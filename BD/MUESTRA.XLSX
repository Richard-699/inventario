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ventario\BD\"/>
    </mc:Choice>
  </mc:AlternateContent>
  <xr:revisionPtr revIDLastSave="0" documentId="13_ncr:1_{4DA83A8F-C285-41C4-8B40-8759D36ACF7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Base de datos" sheetId="3" r:id="rId1"/>
    <sheet name="SAP WM" sheetId="1" r:id="rId2"/>
    <sheet name="SAP 0016" sheetId="10" r:id="rId3"/>
    <sheet name="SAP MB52" sheetId="4" r:id="rId4"/>
    <sheet name="Modificada " sheetId="2" r:id="rId5"/>
    <sheet name="Modificado" sheetId="5" r:id="rId6"/>
    <sheet name="SAP LX03" sheetId="6" r:id="rId7"/>
    <sheet name="Modificada" sheetId="7" r:id="rId8"/>
    <sheet name="SAP UD" sheetId="8" r:id="rId9"/>
    <sheet name="Modifcada" sheetId="9" r:id="rId10"/>
  </sheets>
  <externalReferences>
    <externalReference r:id="rId11"/>
    <externalReference r:id="rId12"/>
  </externalReferences>
  <definedNames>
    <definedName name="_xlnm._FilterDatabase" localSheetId="7" hidden="1">Modificada!$A$1:$F$2113</definedName>
    <definedName name="_xlnm._FilterDatabase" localSheetId="4" hidden="1">'Modificada '!$A$1:$H$123</definedName>
    <definedName name="_xlnm._FilterDatabase" localSheetId="5" hidden="1">Modificado!$A$1:$D$14</definedName>
    <definedName name="_xlnm._FilterDatabase" localSheetId="6" hidden="1">'SAP LX03'!$A$1:$AB$2375</definedName>
    <definedName name="_xlnm._FilterDatabase" localSheetId="3" hidden="1">'SAP MB52'!$A$1:$R$15</definedName>
    <definedName name="_xlnm._FilterDatabase" localSheetId="1" hidden="1">'SAP WM'!$A$1:$Y$124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F20" i="5"/>
  <c r="B3" i="7"/>
  <c r="B4" i="7"/>
  <c r="B5" i="7"/>
  <c r="B6" i="7"/>
  <c r="B7" i="7"/>
  <c r="B8" i="7"/>
  <c r="B9" i="7"/>
  <c r="B10" i="7"/>
  <c r="B11" i="7"/>
  <c r="B12" i="7"/>
  <c r="B2" i="7"/>
  <c r="I642" i="3"/>
  <c r="F642" i="3"/>
  <c r="I641" i="3"/>
  <c r="F641" i="3"/>
  <c r="I640" i="3"/>
  <c r="F640" i="3"/>
  <c r="I639" i="3"/>
  <c r="F639" i="3"/>
  <c r="I638" i="3"/>
  <c r="F638" i="3"/>
  <c r="I637" i="3"/>
  <c r="F637" i="3"/>
  <c r="I636" i="3"/>
  <c r="F636" i="3"/>
  <c r="I635" i="3"/>
  <c r="F635" i="3"/>
  <c r="I634" i="3"/>
  <c r="F634" i="3"/>
  <c r="I633" i="3"/>
  <c r="F633" i="3"/>
  <c r="I632" i="3"/>
  <c r="F632" i="3"/>
  <c r="I631" i="3"/>
  <c r="F631" i="3"/>
  <c r="I630" i="3"/>
  <c r="F630" i="3"/>
  <c r="I629" i="3"/>
  <c r="F629" i="3"/>
  <c r="I628" i="3"/>
  <c r="F628" i="3"/>
  <c r="I627" i="3"/>
  <c r="F627" i="3"/>
  <c r="I626" i="3"/>
  <c r="F626" i="3"/>
  <c r="I625" i="3"/>
  <c r="F625" i="3"/>
  <c r="I624" i="3"/>
  <c r="F624" i="3"/>
  <c r="I623" i="3"/>
  <c r="F623" i="3"/>
  <c r="I622" i="3"/>
  <c r="F622" i="3"/>
  <c r="I621" i="3"/>
  <c r="F621" i="3"/>
  <c r="I620" i="3"/>
  <c r="F620" i="3"/>
  <c r="I619" i="3"/>
  <c r="F619" i="3"/>
  <c r="I618" i="3"/>
  <c r="F618" i="3"/>
  <c r="I617" i="3"/>
  <c r="F617" i="3"/>
  <c r="I616" i="3"/>
  <c r="F616" i="3"/>
  <c r="I615" i="3"/>
  <c r="F615" i="3"/>
  <c r="I614" i="3"/>
  <c r="F614" i="3"/>
  <c r="I613" i="3"/>
  <c r="F613" i="3"/>
  <c r="I612" i="3"/>
  <c r="F612" i="3"/>
  <c r="I611" i="3"/>
  <c r="F611" i="3"/>
  <c r="I610" i="3"/>
  <c r="F610" i="3"/>
  <c r="I609" i="3"/>
  <c r="F609" i="3"/>
  <c r="I608" i="3"/>
  <c r="F608" i="3"/>
  <c r="I607" i="3"/>
  <c r="F607" i="3"/>
  <c r="I606" i="3"/>
  <c r="F606" i="3"/>
  <c r="I605" i="3"/>
  <c r="F605" i="3"/>
  <c r="I604" i="3"/>
  <c r="F604" i="3"/>
  <c r="I603" i="3"/>
  <c r="F603" i="3"/>
  <c r="I602" i="3"/>
  <c r="F602" i="3"/>
  <c r="I601" i="3"/>
  <c r="F601" i="3"/>
  <c r="I600" i="3"/>
  <c r="F600" i="3"/>
  <c r="I599" i="3"/>
  <c r="F599" i="3"/>
  <c r="I598" i="3"/>
  <c r="F598" i="3"/>
  <c r="I597" i="3"/>
  <c r="F597" i="3"/>
  <c r="I596" i="3"/>
  <c r="F596" i="3"/>
  <c r="I595" i="3"/>
  <c r="F595" i="3"/>
  <c r="I594" i="3"/>
  <c r="F594" i="3"/>
  <c r="I593" i="3"/>
  <c r="F593" i="3"/>
  <c r="I592" i="3"/>
  <c r="F592" i="3"/>
  <c r="I591" i="3"/>
  <c r="F591" i="3"/>
  <c r="I590" i="3"/>
  <c r="F590" i="3"/>
  <c r="I589" i="3"/>
  <c r="F589" i="3"/>
  <c r="I588" i="3"/>
  <c r="F588" i="3"/>
  <c r="I587" i="3"/>
  <c r="F587" i="3"/>
  <c r="I586" i="3"/>
  <c r="F586" i="3"/>
  <c r="I585" i="3"/>
  <c r="F585" i="3"/>
  <c r="I584" i="3"/>
  <c r="F584" i="3"/>
  <c r="I583" i="3"/>
  <c r="F583" i="3"/>
  <c r="I582" i="3"/>
  <c r="F582" i="3"/>
  <c r="I581" i="3"/>
  <c r="F581" i="3"/>
  <c r="I580" i="3"/>
  <c r="F580" i="3"/>
  <c r="I579" i="3"/>
  <c r="F579" i="3"/>
  <c r="I578" i="3"/>
  <c r="F578" i="3"/>
  <c r="I577" i="3"/>
  <c r="F577" i="3"/>
  <c r="I576" i="3"/>
  <c r="F576" i="3"/>
  <c r="I575" i="3"/>
  <c r="F575" i="3"/>
  <c r="I574" i="3"/>
  <c r="F574" i="3"/>
  <c r="I573" i="3"/>
  <c r="F573" i="3"/>
  <c r="I572" i="3"/>
  <c r="F572" i="3"/>
  <c r="I571" i="3"/>
  <c r="F571" i="3"/>
  <c r="I570" i="3"/>
  <c r="F570" i="3"/>
  <c r="I569" i="3"/>
  <c r="F569" i="3"/>
  <c r="I568" i="3"/>
  <c r="F568" i="3"/>
  <c r="I567" i="3"/>
  <c r="F567" i="3"/>
  <c r="I566" i="3"/>
  <c r="F566" i="3"/>
  <c r="I565" i="3"/>
  <c r="F565" i="3"/>
  <c r="I564" i="3"/>
  <c r="F564" i="3"/>
  <c r="I563" i="3"/>
  <c r="F563" i="3"/>
  <c r="I562" i="3"/>
  <c r="F562" i="3"/>
  <c r="I561" i="3"/>
  <c r="F561" i="3"/>
  <c r="I560" i="3"/>
  <c r="F560" i="3"/>
  <c r="I559" i="3"/>
  <c r="F559" i="3"/>
  <c r="I558" i="3"/>
  <c r="F558" i="3"/>
  <c r="I557" i="3"/>
  <c r="F557" i="3"/>
  <c r="I556" i="3"/>
  <c r="F556" i="3"/>
  <c r="I555" i="3"/>
  <c r="F555" i="3"/>
  <c r="I554" i="3"/>
  <c r="F554" i="3"/>
  <c r="I553" i="3"/>
  <c r="F553" i="3"/>
  <c r="I552" i="3"/>
  <c r="F552" i="3"/>
  <c r="I551" i="3"/>
  <c r="F551" i="3"/>
  <c r="I550" i="3"/>
  <c r="F550" i="3"/>
  <c r="I549" i="3"/>
  <c r="F549" i="3"/>
  <c r="I548" i="3"/>
  <c r="F548" i="3"/>
  <c r="I547" i="3"/>
  <c r="F547" i="3"/>
  <c r="I546" i="3"/>
  <c r="F546" i="3"/>
  <c r="I545" i="3"/>
  <c r="F545" i="3"/>
  <c r="I544" i="3"/>
  <c r="F544" i="3"/>
  <c r="I543" i="3"/>
  <c r="F543" i="3"/>
  <c r="I542" i="3"/>
  <c r="F542" i="3"/>
  <c r="I541" i="3"/>
  <c r="F541" i="3"/>
  <c r="I540" i="3"/>
  <c r="F540" i="3"/>
  <c r="I539" i="3"/>
  <c r="F539" i="3"/>
  <c r="I538" i="3"/>
  <c r="F538" i="3"/>
  <c r="I537" i="3"/>
  <c r="F537" i="3"/>
  <c r="I536" i="3"/>
  <c r="F536" i="3"/>
  <c r="I535" i="3"/>
  <c r="F535" i="3"/>
  <c r="I534" i="3"/>
  <c r="F534" i="3"/>
  <c r="I533" i="3"/>
  <c r="F533" i="3"/>
  <c r="I532" i="3"/>
  <c r="F532" i="3"/>
  <c r="I531" i="3"/>
  <c r="F531" i="3"/>
  <c r="I530" i="3"/>
  <c r="F530" i="3"/>
  <c r="I529" i="3"/>
  <c r="F529" i="3"/>
  <c r="I528" i="3"/>
  <c r="F528" i="3"/>
  <c r="I527" i="3"/>
  <c r="F527" i="3"/>
  <c r="I526" i="3"/>
  <c r="F526" i="3"/>
  <c r="I525" i="3"/>
  <c r="F525" i="3"/>
  <c r="I524" i="3"/>
  <c r="F524" i="3"/>
  <c r="I523" i="3"/>
  <c r="F523" i="3"/>
  <c r="F522" i="3"/>
  <c r="I521" i="3"/>
  <c r="F521" i="3"/>
  <c r="I520" i="3"/>
  <c r="F520" i="3"/>
  <c r="I519" i="3"/>
  <c r="F519" i="3"/>
  <c r="I518" i="3"/>
  <c r="F518" i="3"/>
  <c r="I517" i="3"/>
  <c r="F517" i="3"/>
  <c r="I516" i="3"/>
  <c r="F516" i="3"/>
  <c r="I515" i="3"/>
  <c r="F515" i="3"/>
  <c r="I514" i="3"/>
  <c r="F514" i="3"/>
  <c r="I513" i="3"/>
  <c r="F513" i="3"/>
  <c r="I512" i="3"/>
  <c r="F512" i="3"/>
  <c r="I511" i="3"/>
  <c r="F511" i="3"/>
  <c r="I510" i="3"/>
  <c r="F510" i="3"/>
  <c r="I509" i="3"/>
  <c r="F509" i="3"/>
  <c r="I508" i="3"/>
  <c r="F508" i="3"/>
  <c r="I507" i="3"/>
  <c r="F507" i="3"/>
  <c r="I506" i="3"/>
  <c r="F506" i="3"/>
  <c r="I505" i="3"/>
  <c r="F505" i="3"/>
  <c r="I504" i="3"/>
  <c r="F504" i="3"/>
  <c r="I503" i="3"/>
  <c r="F503" i="3"/>
  <c r="I502" i="3"/>
  <c r="F502" i="3"/>
  <c r="I501" i="3"/>
  <c r="F501" i="3"/>
  <c r="I500" i="3"/>
  <c r="F500" i="3"/>
  <c r="I499" i="3"/>
  <c r="F499" i="3"/>
  <c r="I498" i="3"/>
  <c r="F498" i="3"/>
  <c r="I497" i="3"/>
  <c r="F497" i="3"/>
  <c r="I496" i="3"/>
  <c r="F496" i="3"/>
  <c r="I495" i="3"/>
  <c r="F495" i="3"/>
  <c r="I494" i="3"/>
  <c r="F494" i="3"/>
  <c r="I493" i="3"/>
  <c r="F493" i="3"/>
  <c r="I492" i="3"/>
  <c r="F492" i="3"/>
  <c r="I491" i="3"/>
  <c r="F491" i="3"/>
  <c r="I490" i="3"/>
  <c r="F490" i="3"/>
  <c r="I489" i="3"/>
  <c r="F489" i="3"/>
  <c r="I488" i="3"/>
  <c r="F488" i="3"/>
  <c r="I487" i="3"/>
  <c r="F487" i="3"/>
  <c r="I486" i="3"/>
  <c r="F486" i="3"/>
  <c r="I485" i="3"/>
  <c r="F485" i="3"/>
  <c r="I484" i="3"/>
  <c r="F484" i="3"/>
  <c r="I483" i="3"/>
  <c r="F483" i="3"/>
  <c r="I482" i="3"/>
  <c r="F482" i="3"/>
  <c r="I481" i="3"/>
  <c r="F481" i="3"/>
  <c r="I480" i="3"/>
  <c r="F480" i="3"/>
  <c r="I479" i="3"/>
  <c r="F479" i="3"/>
  <c r="I478" i="3"/>
  <c r="F478" i="3"/>
  <c r="I477" i="3"/>
  <c r="F477" i="3"/>
  <c r="I476" i="3"/>
  <c r="F476" i="3"/>
  <c r="I475" i="3"/>
  <c r="F475" i="3"/>
  <c r="I474" i="3"/>
  <c r="F474" i="3"/>
  <c r="I473" i="3"/>
  <c r="F473" i="3"/>
  <c r="I472" i="3"/>
  <c r="F472" i="3"/>
  <c r="I471" i="3"/>
  <c r="F471" i="3"/>
  <c r="I470" i="3"/>
  <c r="F470" i="3"/>
  <c r="I469" i="3"/>
  <c r="F469" i="3"/>
  <c r="I468" i="3"/>
  <c r="F468" i="3"/>
  <c r="I467" i="3"/>
  <c r="F467" i="3"/>
  <c r="I466" i="3"/>
  <c r="F466" i="3"/>
  <c r="I465" i="3"/>
  <c r="F465" i="3"/>
  <c r="I464" i="3"/>
  <c r="F464" i="3"/>
  <c r="I463" i="3"/>
  <c r="F463" i="3"/>
  <c r="I462" i="3"/>
  <c r="F462" i="3"/>
  <c r="I461" i="3"/>
  <c r="F461" i="3"/>
  <c r="I460" i="3"/>
  <c r="F460" i="3"/>
  <c r="I459" i="3"/>
  <c r="F459" i="3"/>
  <c r="I458" i="3"/>
  <c r="F458" i="3"/>
  <c r="I457" i="3"/>
  <c r="F457" i="3"/>
  <c r="I456" i="3"/>
  <c r="F456" i="3"/>
  <c r="I455" i="3"/>
  <c r="F455" i="3"/>
  <c r="I454" i="3"/>
  <c r="F454" i="3"/>
  <c r="I453" i="3"/>
  <c r="F453" i="3"/>
  <c r="I452" i="3"/>
  <c r="F452" i="3"/>
  <c r="I451" i="3"/>
  <c r="F451" i="3"/>
  <c r="I450" i="3"/>
  <c r="F450" i="3"/>
  <c r="I449" i="3"/>
  <c r="F449" i="3"/>
  <c r="I448" i="3"/>
  <c r="F448" i="3"/>
  <c r="I447" i="3"/>
  <c r="F447" i="3"/>
  <c r="I446" i="3"/>
  <c r="F446" i="3"/>
  <c r="I445" i="3"/>
  <c r="F445" i="3"/>
  <c r="I444" i="3"/>
  <c r="F444" i="3"/>
  <c r="I443" i="3"/>
  <c r="F443" i="3"/>
  <c r="I442" i="3"/>
  <c r="F442" i="3"/>
  <c r="I441" i="3"/>
  <c r="F441" i="3"/>
  <c r="I440" i="3"/>
  <c r="F440" i="3"/>
  <c r="I439" i="3"/>
  <c r="F439" i="3"/>
  <c r="I438" i="3"/>
  <c r="F438" i="3"/>
  <c r="I437" i="3"/>
  <c r="F437" i="3"/>
  <c r="I436" i="3"/>
  <c r="F436" i="3"/>
  <c r="I435" i="3"/>
  <c r="F435" i="3"/>
  <c r="I434" i="3"/>
  <c r="F434" i="3"/>
  <c r="I433" i="3"/>
  <c r="F433" i="3"/>
  <c r="I432" i="3"/>
  <c r="F432" i="3"/>
  <c r="I431" i="3"/>
  <c r="F431" i="3"/>
  <c r="I430" i="3"/>
  <c r="F430" i="3"/>
  <c r="I429" i="3"/>
  <c r="F429" i="3"/>
  <c r="I428" i="3"/>
  <c r="F428" i="3"/>
  <c r="I427" i="3"/>
  <c r="F427" i="3"/>
  <c r="I426" i="3"/>
  <c r="F426" i="3"/>
  <c r="I425" i="3"/>
  <c r="F425" i="3"/>
  <c r="I424" i="3"/>
  <c r="F424" i="3"/>
  <c r="I423" i="3"/>
  <c r="F423" i="3"/>
  <c r="I422" i="3"/>
  <c r="F422" i="3"/>
  <c r="I421" i="3"/>
  <c r="F421" i="3"/>
  <c r="I420" i="3"/>
  <c r="F420" i="3"/>
  <c r="I419" i="3"/>
  <c r="F419" i="3"/>
  <c r="I418" i="3"/>
  <c r="F418" i="3"/>
  <c r="I417" i="3"/>
  <c r="F417" i="3"/>
  <c r="I416" i="3"/>
  <c r="F416" i="3"/>
  <c r="F415" i="3"/>
  <c r="I414" i="3"/>
  <c r="F414" i="3"/>
  <c r="F413" i="3"/>
  <c r="F412" i="3"/>
  <c r="F411" i="3"/>
  <c r="I410" i="3"/>
  <c r="F410" i="3"/>
  <c r="I409" i="3"/>
  <c r="F409" i="3"/>
  <c r="I408" i="3"/>
  <c r="F408" i="3"/>
  <c r="I407" i="3"/>
  <c r="F407" i="3"/>
  <c r="I406" i="3"/>
  <c r="F406" i="3"/>
  <c r="I405" i="3"/>
  <c r="F405" i="3"/>
  <c r="I404" i="3"/>
  <c r="F404" i="3"/>
  <c r="I403" i="3"/>
  <c r="F403" i="3"/>
  <c r="I402" i="3"/>
  <c r="F402" i="3"/>
  <c r="I401" i="3"/>
  <c r="F401" i="3"/>
  <c r="I400" i="3"/>
  <c r="F400" i="3"/>
  <c r="F399" i="3"/>
  <c r="I398" i="3"/>
  <c r="F398" i="3"/>
  <c r="I397" i="3"/>
  <c r="F397" i="3"/>
  <c r="I396" i="3"/>
  <c r="F396" i="3"/>
  <c r="I395" i="3"/>
  <c r="F395" i="3"/>
  <c r="I394" i="3"/>
  <c r="F394" i="3"/>
  <c r="I393" i="3"/>
  <c r="F393" i="3"/>
  <c r="I392" i="3"/>
  <c r="F392" i="3"/>
  <c r="I391" i="3"/>
  <c r="F391" i="3"/>
  <c r="I390" i="3"/>
  <c r="F390" i="3"/>
  <c r="I389" i="3"/>
  <c r="F389" i="3"/>
  <c r="I388" i="3"/>
  <c r="F388" i="3"/>
  <c r="I387" i="3"/>
  <c r="F387" i="3"/>
  <c r="I386" i="3"/>
  <c r="F386" i="3"/>
  <c r="I385" i="3"/>
  <c r="F385" i="3"/>
  <c r="I384" i="3"/>
  <c r="F384" i="3"/>
  <c r="I383" i="3"/>
  <c r="F383" i="3"/>
  <c r="I382" i="3"/>
  <c r="F382" i="3"/>
  <c r="I381" i="3"/>
  <c r="F381" i="3"/>
  <c r="I380" i="3"/>
  <c r="F380" i="3"/>
  <c r="I379" i="3"/>
  <c r="F379" i="3"/>
  <c r="I378" i="3"/>
  <c r="F378" i="3"/>
  <c r="I377" i="3"/>
  <c r="F377" i="3"/>
  <c r="I376" i="3"/>
  <c r="F376" i="3"/>
  <c r="I375" i="3"/>
  <c r="F375" i="3"/>
  <c r="I374" i="3"/>
  <c r="F374" i="3"/>
  <c r="I373" i="3"/>
  <c r="F373" i="3"/>
  <c r="I372" i="3"/>
  <c r="F372" i="3"/>
  <c r="I371" i="3"/>
  <c r="F371" i="3"/>
  <c r="F370" i="3"/>
  <c r="F369" i="3"/>
  <c r="F368" i="3"/>
  <c r="I367" i="3"/>
  <c r="F367" i="3"/>
  <c r="I366" i="3"/>
  <c r="F366" i="3"/>
  <c r="I365" i="3"/>
  <c r="F365" i="3"/>
  <c r="F364" i="3"/>
  <c r="F363" i="3"/>
  <c r="F362" i="3"/>
  <c r="I361" i="3"/>
  <c r="F361" i="3"/>
  <c r="I360" i="3"/>
  <c r="F360" i="3"/>
  <c r="I359" i="3"/>
  <c r="F359" i="3"/>
  <c r="I358" i="3"/>
  <c r="F358" i="3"/>
  <c r="I357" i="3"/>
  <c r="F357" i="3"/>
  <c r="I356" i="3"/>
  <c r="F356" i="3"/>
  <c r="I355" i="3"/>
  <c r="F355" i="3"/>
  <c r="I354" i="3"/>
  <c r="F354" i="3"/>
  <c r="I353" i="3"/>
  <c r="F353" i="3"/>
  <c r="I352" i="3"/>
  <c r="F352" i="3"/>
  <c r="I351" i="3"/>
  <c r="F351" i="3"/>
  <c r="I350" i="3"/>
  <c r="F350" i="3"/>
  <c r="I349" i="3"/>
  <c r="F349" i="3"/>
  <c r="I348" i="3"/>
  <c r="F348" i="3"/>
  <c r="I347" i="3"/>
  <c r="F347" i="3"/>
  <c r="I346" i="3"/>
  <c r="F346" i="3"/>
  <c r="I345" i="3"/>
  <c r="F345" i="3"/>
  <c r="I344" i="3"/>
  <c r="F344" i="3"/>
  <c r="I343" i="3"/>
  <c r="F343" i="3"/>
  <c r="I342" i="3"/>
  <c r="F342" i="3"/>
  <c r="I341" i="3"/>
  <c r="F341" i="3"/>
  <c r="I340" i="3"/>
  <c r="F340" i="3"/>
  <c r="I339" i="3"/>
  <c r="F339" i="3"/>
  <c r="I338" i="3"/>
  <c r="F338" i="3"/>
  <c r="I337" i="3"/>
  <c r="F337" i="3"/>
  <c r="I336" i="3"/>
  <c r="F336" i="3"/>
  <c r="I335" i="3"/>
  <c r="F335" i="3"/>
  <c r="I334" i="3"/>
  <c r="F334" i="3"/>
  <c r="I333" i="3"/>
  <c r="F333" i="3"/>
  <c r="I332" i="3"/>
  <c r="F332" i="3"/>
  <c r="I331" i="3"/>
  <c r="F331" i="3"/>
  <c r="I330" i="3"/>
  <c r="F330" i="3"/>
  <c r="I329" i="3"/>
  <c r="F329" i="3"/>
  <c r="I328" i="3"/>
  <c r="F328" i="3"/>
  <c r="I327" i="3"/>
  <c r="F327" i="3"/>
  <c r="I326" i="3"/>
  <c r="F326" i="3"/>
  <c r="I325" i="3"/>
  <c r="F325" i="3"/>
  <c r="I324" i="3"/>
  <c r="F324" i="3"/>
  <c r="I323" i="3"/>
  <c r="F323" i="3"/>
  <c r="I322" i="3"/>
  <c r="F322" i="3"/>
  <c r="I321" i="3"/>
  <c r="F321" i="3"/>
  <c r="I320" i="3"/>
  <c r="F320" i="3"/>
  <c r="I319" i="3"/>
  <c r="F319" i="3"/>
  <c r="I318" i="3"/>
  <c r="F318" i="3"/>
  <c r="I317" i="3"/>
  <c r="F317" i="3"/>
  <c r="I316" i="3"/>
  <c r="F316" i="3"/>
  <c r="I315" i="3"/>
  <c r="F315" i="3"/>
  <c r="I314" i="3"/>
  <c r="F314" i="3"/>
  <c r="I313" i="3"/>
  <c r="F313" i="3"/>
  <c r="I312" i="3"/>
  <c r="F312" i="3"/>
  <c r="I311" i="3"/>
  <c r="F311" i="3"/>
  <c r="I310" i="3"/>
  <c r="F310" i="3"/>
  <c r="I309" i="3"/>
  <c r="F309" i="3"/>
  <c r="I308" i="3"/>
  <c r="F308" i="3"/>
  <c r="I307" i="3"/>
  <c r="F307" i="3"/>
  <c r="I306" i="3"/>
  <c r="F306" i="3"/>
  <c r="I305" i="3"/>
  <c r="F305" i="3"/>
  <c r="I304" i="3"/>
  <c r="F304" i="3"/>
  <c r="I303" i="3"/>
  <c r="F303" i="3"/>
  <c r="I302" i="3"/>
  <c r="F302" i="3"/>
  <c r="I301" i="3"/>
  <c r="F301" i="3"/>
  <c r="I300" i="3"/>
  <c r="F300" i="3"/>
  <c r="I299" i="3"/>
  <c r="F299" i="3"/>
  <c r="I298" i="3"/>
  <c r="F298" i="3"/>
  <c r="I297" i="3"/>
  <c r="F297" i="3"/>
  <c r="I296" i="3"/>
  <c r="F296" i="3"/>
  <c r="I295" i="3"/>
  <c r="F295" i="3"/>
  <c r="I294" i="3"/>
  <c r="F294" i="3"/>
  <c r="I293" i="3"/>
  <c r="F293" i="3"/>
  <c r="I292" i="3"/>
  <c r="F292" i="3"/>
  <c r="I291" i="3"/>
  <c r="F291" i="3"/>
  <c r="I290" i="3"/>
  <c r="F290" i="3"/>
  <c r="I289" i="3"/>
  <c r="F289" i="3"/>
  <c r="I288" i="3"/>
  <c r="F288" i="3"/>
  <c r="I287" i="3"/>
  <c r="F287" i="3"/>
  <c r="I286" i="3"/>
  <c r="F286" i="3"/>
  <c r="I285" i="3"/>
  <c r="F285" i="3"/>
  <c r="I284" i="3"/>
  <c r="F284" i="3"/>
  <c r="I283" i="3"/>
  <c r="F283" i="3"/>
  <c r="I282" i="3"/>
  <c r="F282" i="3"/>
  <c r="I281" i="3"/>
  <c r="F281" i="3"/>
  <c r="I280" i="3"/>
  <c r="F280" i="3"/>
  <c r="I279" i="3"/>
  <c r="F279" i="3"/>
  <c r="I278" i="3"/>
  <c r="F278" i="3"/>
  <c r="I277" i="3"/>
  <c r="F277" i="3"/>
  <c r="I276" i="3"/>
  <c r="F276" i="3"/>
  <c r="I275" i="3"/>
  <c r="F275" i="3"/>
  <c r="I274" i="3"/>
  <c r="F274" i="3"/>
  <c r="I273" i="3"/>
  <c r="F273" i="3"/>
  <c r="I272" i="3"/>
  <c r="F272" i="3"/>
  <c r="I271" i="3"/>
  <c r="F271" i="3"/>
  <c r="I270" i="3"/>
  <c r="F270" i="3"/>
  <c r="I269" i="3"/>
  <c r="F269" i="3"/>
  <c r="I268" i="3"/>
  <c r="F268" i="3"/>
  <c r="I267" i="3"/>
  <c r="F267" i="3"/>
  <c r="I266" i="3"/>
  <c r="F266" i="3"/>
  <c r="I265" i="3"/>
  <c r="F265" i="3"/>
  <c r="I264" i="3"/>
  <c r="F264" i="3"/>
  <c r="I263" i="3"/>
  <c r="F263" i="3"/>
  <c r="I262" i="3"/>
  <c r="F262" i="3"/>
  <c r="I261" i="3"/>
  <c r="F261" i="3"/>
  <c r="I260" i="3"/>
  <c r="F260" i="3"/>
  <c r="I259" i="3"/>
  <c r="F259" i="3"/>
  <c r="I258" i="3"/>
  <c r="F258" i="3"/>
  <c r="I257" i="3"/>
  <c r="F257" i="3"/>
  <c r="I256" i="3"/>
  <c r="F256" i="3"/>
  <c r="I255" i="3"/>
  <c r="F255" i="3"/>
  <c r="I254" i="3"/>
  <c r="F254" i="3"/>
  <c r="I253" i="3"/>
  <c r="F253" i="3"/>
  <c r="I252" i="3"/>
  <c r="F252" i="3"/>
  <c r="I251" i="3"/>
  <c r="F251" i="3"/>
  <c r="I250" i="3"/>
  <c r="F250" i="3"/>
  <c r="I249" i="3"/>
  <c r="F249" i="3"/>
  <c r="I248" i="3"/>
  <c r="F248" i="3"/>
  <c r="I247" i="3"/>
  <c r="F247" i="3"/>
  <c r="I246" i="3"/>
  <c r="F246" i="3"/>
  <c r="I245" i="3"/>
  <c r="F245" i="3"/>
  <c r="I244" i="3"/>
  <c r="F244" i="3"/>
  <c r="I243" i="3"/>
  <c r="F243" i="3"/>
  <c r="I242" i="3"/>
  <c r="F242" i="3"/>
  <c r="I241" i="3"/>
  <c r="F241" i="3"/>
  <c r="I240" i="3"/>
  <c r="F240" i="3"/>
  <c r="I239" i="3"/>
  <c r="F239" i="3"/>
  <c r="I238" i="3"/>
  <c r="F238" i="3"/>
  <c r="I237" i="3"/>
  <c r="F237" i="3"/>
  <c r="I236" i="3"/>
  <c r="F236" i="3"/>
  <c r="I235" i="3"/>
  <c r="F235" i="3"/>
  <c r="I234" i="3"/>
  <c r="F234" i="3"/>
  <c r="I233" i="3"/>
  <c r="F233" i="3"/>
  <c r="I232" i="3"/>
  <c r="F232" i="3"/>
  <c r="I231" i="3"/>
  <c r="F231" i="3"/>
  <c r="I230" i="3"/>
  <c r="F230" i="3"/>
  <c r="I229" i="3"/>
  <c r="F229" i="3"/>
  <c r="F228" i="3"/>
  <c r="F227" i="3"/>
  <c r="F226" i="3"/>
  <c r="I225" i="3"/>
  <c r="F225" i="3"/>
  <c r="F224" i="3"/>
  <c r="I223" i="3"/>
  <c r="F223" i="3"/>
  <c r="I222" i="3"/>
  <c r="F222" i="3"/>
  <c r="I221" i="3"/>
  <c r="F221" i="3"/>
  <c r="I220" i="3"/>
  <c r="F220" i="3"/>
  <c r="I219" i="3"/>
  <c r="F219" i="3"/>
  <c r="F218" i="3"/>
  <c r="F217" i="3"/>
  <c r="I216" i="3"/>
  <c r="F216" i="3"/>
  <c r="F215" i="3"/>
  <c r="F214" i="3"/>
  <c r="F213" i="3"/>
  <c r="F212" i="3"/>
  <c r="F211" i="3"/>
  <c r="I210" i="3"/>
  <c r="F210" i="3"/>
  <c r="I209" i="3"/>
  <c r="F209" i="3"/>
  <c r="I208" i="3"/>
  <c r="F208" i="3"/>
  <c r="F207" i="3"/>
  <c r="I206" i="3"/>
  <c r="F206" i="3"/>
  <c r="I205" i="3"/>
  <c r="F205" i="3"/>
  <c r="I204" i="3"/>
  <c r="F204" i="3"/>
  <c r="I203" i="3"/>
  <c r="F203" i="3"/>
  <c r="F202" i="3"/>
  <c r="F201" i="3"/>
  <c r="F200" i="3"/>
  <c r="F199" i="3"/>
  <c r="F198" i="3"/>
  <c r="F197" i="3"/>
  <c r="F196" i="3"/>
  <c r="I195" i="3"/>
  <c r="F195" i="3"/>
  <c r="F194" i="3"/>
  <c r="I193" i="3"/>
  <c r="F193" i="3"/>
  <c r="F192" i="3"/>
  <c r="F191" i="3"/>
  <c r="I190" i="3"/>
  <c r="F190" i="3"/>
  <c r="F189" i="3"/>
  <c r="I188" i="3"/>
  <c r="F188" i="3"/>
  <c r="I187" i="3"/>
  <c r="F187" i="3"/>
  <c r="I186" i="3"/>
  <c r="F186" i="3"/>
  <c r="I185" i="3"/>
  <c r="F185" i="3"/>
  <c r="I184" i="3"/>
  <c r="F184" i="3"/>
  <c r="I183" i="3"/>
  <c r="F183" i="3"/>
  <c r="I182" i="3"/>
  <c r="F182" i="3"/>
  <c r="I181" i="3"/>
  <c r="F181" i="3"/>
  <c r="I180" i="3"/>
  <c r="F180" i="3"/>
  <c r="I179" i="3"/>
  <c r="F179" i="3"/>
  <c r="I178" i="3"/>
  <c r="F178" i="3"/>
  <c r="I177" i="3"/>
  <c r="F177" i="3"/>
  <c r="I176" i="3"/>
  <c r="F176" i="3"/>
  <c r="I175" i="3"/>
  <c r="F175" i="3"/>
  <c r="I174" i="3"/>
  <c r="F174" i="3"/>
  <c r="I173" i="3"/>
  <c r="F173" i="3"/>
  <c r="I172" i="3"/>
  <c r="F172" i="3"/>
  <c r="I171" i="3"/>
  <c r="F171" i="3"/>
  <c r="I170" i="3"/>
  <c r="F170" i="3"/>
  <c r="I169" i="3"/>
  <c r="F169" i="3"/>
  <c r="I168" i="3"/>
  <c r="F168" i="3"/>
  <c r="I167" i="3"/>
  <c r="F167" i="3"/>
  <c r="I166" i="3"/>
  <c r="F166" i="3"/>
  <c r="I165" i="3"/>
  <c r="F165" i="3"/>
  <c r="I164" i="3"/>
  <c r="F164" i="3"/>
  <c r="I163" i="3"/>
  <c r="F163" i="3"/>
  <c r="I162" i="3"/>
  <c r="F162" i="3"/>
  <c r="I161" i="3"/>
  <c r="F161" i="3"/>
  <c r="I160" i="3"/>
  <c r="F160" i="3"/>
  <c r="I159" i="3"/>
  <c r="F159" i="3"/>
  <c r="I158" i="3"/>
  <c r="F158" i="3"/>
  <c r="I157" i="3"/>
  <c r="F157" i="3"/>
  <c r="I156" i="3"/>
  <c r="F156" i="3"/>
  <c r="I155" i="3"/>
  <c r="F155" i="3"/>
  <c r="I154" i="3"/>
  <c r="F154" i="3"/>
  <c r="I153" i="3"/>
  <c r="F153" i="3"/>
  <c r="I152" i="3"/>
  <c r="F152" i="3"/>
  <c r="I151" i="3"/>
  <c r="F151" i="3"/>
  <c r="I150" i="3"/>
  <c r="F150" i="3"/>
  <c r="I149" i="3"/>
  <c r="F149" i="3"/>
  <c r="I148" i="3"/>
  <c r="F148" i="3"/>
  <c r="I147" i="3"/>
  <c r="F147" i="3"/>
  <c r="I146" i="3"/>
  <c r="F146" i="3"/>
  <c r="I145" i="3"/>
  <c r="F145" i="3"/>
  <c r="I144" i="3"/>
  <c r="F144" i="3"/>
  <c r="F143" i="3"/>
  <c r="I142" i="3"/>
  <c r="F142" i="3"/>
  <c r="I141" i="3"/>
  <c r="F141" i="3"/>
  <c r="I140" i="3"/>
  <c r="F140" i="3"/>
  <c r="I139" i="3"/>
  <c r="F139" i="3"/>
  <c r="I138" i="3"/>
  <c r="F138" i="3"/>
  <c r="I137" i="3"/>
  <c r="F137" i="3"/>
  <c r="I136" i="3"/>
  <c r="F136" i="3"/>
  <c r="I135" i="3"/>
  <c r="F135" i="3"/>
  <c r="I134" i="3"/>
  <c r="F134" i="3"/>
  <c r="I133" i="3"/>
  <c r="F133" i="3"/>
  <c r="I132" i="3"/>
  <c r="F132" i="3"/>
  <c r="I131" i="3"/>
  <c r="F131" i="3"/>
  <c r="I130" i="3"/>
  <c r="F130" i="3"/>
  <c r="I129" i="3"/>
  <c r="F129" i="3"/>
  <c r="I128" i="3"/>
  <c r="F128" i="3"/>
  <c r="I127" i="3"/>
  <c r="F127" i="3"/>
  <c r="I126" i="3"/>
  <c r="F126" i="3"/>
  <c r="I125" i="3"/>
  <c r="F125" i="3"/>
  <c r="I124" i="3"/>
  <c r="F124" i="3"/>
  <c r="I123" i="3"/>
  <c r="F123" i="3"/>
  <c r="I122" i="3"/>
  <c r="F122" i="3"/>
  <c r="I121" i="3"/>
  <c r="F121" i="3"/>
  <c r="I120" i="3"/>
  <c r="F120" i="3"/>
  <c r="I119" i="3"/>
  <c r="F119" i="3"/>
  <c r="I118" i="3"/>
  <c r="F118" i="3"/>
  <c r="I117" i="3"/>
  <c r="F117" i="3"/>
  <c r="I116" i="3"/>
  <c r="F116" i="3"/>
  <c r="I115" i="3"/>
  <c r="F115" i="3"/>
  <c r="I114" i="3"/>
  <c r="F114" i="3"/>
  <c r="I113" i="3"/>
  <c r="F113" i="3"/>
  <c r="I112" i="3"/>
  <c r="F112" i="3"/>
  <c r="I111" i="3"/>
  <c r="F111" i="3"/>
  <c r="I110" i="3"/>
  <c r="F110" i="3"/>
  <c r="I109" i="3"/>
  <c r="F109" i="3"/>
  <c r="I108" i="3"/>
  <c r="F108" i="3"/>
  <c r="I107" i="3"/>
  <c r="F107" i="3"/>
  <c r="I106" i="3"/>
  <c r="F106" i="3"/>
  <c r="I105" i="3"/>
  <c r="F105" i="3"/>
  <c r="I104" i="3"/>
  <c r="F104" i="3"/>
  <c r="I103" i="3"/>
  <c r="F103" i="3"/>
  <c r="I102" i="3"/>
  <c r="F102" i="3"/>
  <c r="I101" i="3"/>
  <c r="F101" i="3"/>
  <c r="I100" i="3"/>
  <c r="F100" i="3"/>
  <c r="I99" i="3"/>
  <c r="F99" i="3"/>
  <c r="I98" i="3"/>
  <c r="F98" i="3"/>
  <c r="I97" i="3"/>
  <c r="F97" i="3"/>
  <c r="I96" i="3"/>
  <c r="F96" i="3"/>
  <c r="I95" i="3"/>
  <c r="F95" i="3"/>
  <c r="I94" i="3"/>
  <c r="F94" i="3"/>
  <c r="I93" i="3"/>
  <c r="F93" i="3"/>
  <c r="I92" i="3"/>
  <c r="F92" i="3"/>
  <c r="I91" i="3"/>
  <c r="F91" i="3"/>
  <c r="I90" i="3"/>
  <c r="F90" i="3"/>
  <c r="I89" i="3"/>
  <c r="F89" i="3"/>
  <c r="I88" i="3"/>
  <c r="F88" i="3"/>
  <c r="I87" i="3"/>
  <c r="F87" i="3"/>
  <c r="I86" i="3"/>
  <c r="F86" i="3"/>
  <c r="I85" i="3"/>
  <c r="F85" i="3"/>
  <c r="I84" i="3"/>
  <c r="F84" i="3"/>
  <c r="I83" i="3"/>
  <c r="F83" i="3"/>
  <c r="I82" i="3"/>
  <c r="F82" i="3"/>
  <c r="I81" i="3"/>
  <c r="F81" i="3"/>
  <c r="I80" i="3"/>
  <c r="F80" i="3"/>
  <c r="I79" i="3"/>
  <c r="F79" i="3"/>
  <c r="I78" i="3"/>
  <c r="F78" i="3"/>
  <c r="I77" i="3"/>
  <c r="F77" i="3"/>
  <c r="I76" i="3"/>
  <c r="F76" i="3"/>
  <c r="I75" i="3"/>
  <c r="F75" i="3"/>
  <c r="I74" i="3"/>
  <c r="F74" i="3"/>
  <c r="I73" i="3"/>
  <c r="F73" i="3"/>
  <c r="I72" i="3"/>
  <c r="F72" i="3"/>
  <c r="I71" i="3"/>
  <c r="F71" i="3"/>
  <c r="I70" i="3"/>
  <c r="F70" i="3"/>
  <c r="I69" i="3"/>
  <c r="F69" i="3"/>
  <c r="I68" i="3"/>
  <c r="F68" i="3"/>
  <c r="I67" i="3"/>
  <c r="F67" i="3"/>
  <c r="I66" i="3"/>
  <c r="F66" i="3"/>
  <c r="I65" i="3"/>
  <c r="F65" i="3"/>
  <c r="I64" i="3"/>
  <c r="F64" i="3"/>
  <c r="I63" i="3"/>
  <c r="F63" i="3"/>
  <c r="I62" i="3"/>
  <c r="F62" i="3"/>
  <c r="I61" i="3"/>
  <c r="F61" i="3"/>
  <c r="I60" i="3"/>
  <c r="F60" i="3"/>
  <c r="I59" i="3"/>
  <c r="F59" i="3"/>
  <c r="I58" i="3"/>
  <c r="F58" i="3"/>
  <c r="I57" i="3"/>
  <c r="F57" i="3"/>
  <c r="I56" i="3"/>
  <c r="F56" i="3"/>
  <c r="I55" i="3"/>
  <c r="F55" i="3"/>
  <c r="I54" i="3"/>
  <c r="F54" i="3"/>
  <c r="I53" i="3"/>
  <c r="F53" i="3"/>
  <c r="I52" i="3"/>
  <c r="F52" i="3"/>
  <c r="F51" i="3"/>
  <c r="I50" i="3"/>
  <c r="F50" i="3"/>
  <c r="I49" i="3"/>
  <c r="F49" i="3"/>
  <c r="I48" i="3"/>
  <c r="F48" i="3"/>
  <c r="I47" i="3"/>
  <c r="F47" i="3"/>
  <c r="I46" i="3"/>
  <c r="F46" i="3"/>
  <c r="I45" i="3"/>
  <c r="F45" i="3"/>
  <c r="I44" i="3"/>
  <c r="F44" i="3"/>
  <c r="I43" i="3"/>
  <c r="F43" i="3"/>
  <c r="I42" i="3"/>
  <c r="F42" i="3"/>
  <c r="I41" i="3"/>
  <c r="F41" i="3"/>
  <c r="I40" i="3"/>
  <c r="F40" i="3"/>
  <c r="I39" i="3"/>
  <c r="F39" i="3"/>
  <c r="I38" i="3"/>
  <c r="F38" i="3"/>
  <c r="F37" i="3"/>
  <c r="I36" i="3"/>
  <c r="F36" i="3"/>
  <c r="I35" i="3"/>
  <c r="F35" i="3"/>
  <c r="I34" i="3"/>
  <c r="F34" i="3"/>
  <c r="I33" i="3"/>
  <c r="F33" i="3"/>
  <c r="I32" i="3"/>
  <c r="F32" i="3"/>
  <c r="I31" i="3"/>
  <c r="F31" i="3"/>
  <c r="I30" i="3"/>
  <c r="F30" i="3"/>
  <c r="I29" i="3"/>
  <c r="F29" i="3"/>
  <c r="I28" i="3"/>
  <c r="F28" i="3"/>
  <c r="I27" i="3"/>
  <c r="F27" i="3"/>
  <c r="I26" i="3"/>
  <c r="F26" i="3"/>
  <c r="I25" i="3"/>
  <c r="F25" i="3"/>
  <c r="I24" i="3"/>
  <c r="F24" i="3"/>
  <c r="I23" i="3"/>
  <c r="F23" i="3"/>
  <c r="I22" i="3"/>
  <c r="F22" i="3"/>
  <c r="I21" i="3"/>
  <c r="F21" i="3"/>
  <c r="I20" i="3"/>
  <c r="F20" i="3"/>
  <c r="I19" i="3"/>
  <c r="F19" i="3"/>
  <c r="I18" i="3"/>
  <c r="F18" i="3"/>
  <c r="I17" i="3"/>
  <c r="F17" i="3"/>
  <c r="I16" i="3"/>
  <c r="F16" i="3"/>
  <c r="I15" i="3"/>
  <c r="F15" i="3"/>
  <c r="I14" i="3"/>
  <c r="F14" i="3"/>
  <c r="I13" i="3"/>
  <c r="F13" i="3"/>
  <c r="I12" i="3"/>
  <c r="F12" i="3"/>
  <c r="I11" i="3"/>
  <c r="F11" i="3"/>
  <c r="I10" i="3"/>
  <c r="F10" i="3"/>
  <c r="I9" i="3"/>
  <c r="F9" i="3"/>
  <c r="F8" i="3"/>
  <c r="I7" i="3"/>
  <c r="F7" i="3"/>
  <c r="I6" i="3"/>
  <c r="F6" i="3"/>
  <c r="I5" i="3"/>
  <c r="F5" i="3"/>
  <c r="I4" i="3"/>
  <c r="F4" i="3"/>
  <c r="F3" i="3"/>
  <c r="F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Jaramillo Vergara</author>
  </authors>
  <commentList>
    <comment ref="F1" authorId="0" shapeId="0" xr:uid="{EA04EAD6-2A91-4134-9C18-3B0177AB1BD3}">
      <text>
        <r>
          <rPr>
            <b/>
            <sz val="9"/>
            <color indexed="81"/>
            <rFont val="Tahoma"/>
            <family val="2"/>
          </rPr>
          <t>Ultima validación Febrero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Operador Inventarios</author>
  </authors>
  <commentList>
    <comment ref="F1" authorId="0" shapeId="0" xr:uid="{1047578B-5489-4522-B4CF-FD1355204AD9}">
      <text>
        <r>
          <rPr>
            <b/>
            <sz val="9"/>
            <color indexed="81"/>
            <rFont val="Tahoma"/>
            <family val="2"/>
          </rPr>
          <t>Operador Inventarios:</t>
        </r>
        <r>
          <rPr>
            <sz val="9"/>
            <color indexed="81"/>
            <rFont val="Tahoma"/>
            <family val="2"/>
          </rPr>
          <t xml:space="preserve">
Estas 3 columnas se ocultan, para luego verifiacar la informacion.</t>
        </r>
      </text>
    </comment>
    <comment ref="H1" authorId="0" shapeId="0" xr:uid="{AA10A50A-596D-46C6-8CFF-405AAC0C20D7}">
      <text>
        <r>
          <rPr>
            <b/>
            <sz val="9"/>
            <color indexed="81"/>
            <rFont val="Tahoma"/>
            <family val="2"/>
          </rPr>
          <t>Operador Inventarios:</t>
        </r>
        <r>
          <rPr>
            <sz val="9"/>
            <color indexed="81"/>
            <rFont val="Tahoma"/>
            <family val="2"/>
          </rPr>
          <t xml:space="preserve">
Se adiciona esta columna para el material fisico </t>
        </r>
      </text>
    </comment>
    <comment ref="B2" authorId="0" shapeId="0" xr:uid="{EE49618E-2779-4628-8567-6EAA1FAC38A1}">
      <text>
        <r>
          <rPr>
            <b/>
            <sz val="9"/>
            <color indexed="81"/>
            <rFont val="Tahoma"/>
            <family val="2"/>
          </rPr>
          <t xml:space="preserve">Operador Inventarios:
</t>
        </r>
        <r>
          <rPr>
            <sz val="9"/>
            <color indexed="81"/>
            <rFont val="Tahoma"/>
            <family val="2"/>
          </rPr>
          <t>Hacemos un Buscar Vpara modificar la descripicion del material con el nombre que lo conocemos nosotros.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Operador Inventarios</author>
  </authors>
  <commentList>
    <comment ref="B1" authorId="0" shapeId="0" xr:uid="{6497E72B-25C5-4BFC-8E32-F13286BDF11B}">
      <text>
        <r>
          <rPr>
            <b/>
            <sz val="9"/>
            <color indexed="81"/>
            <rFont val="Tahoma"/>
            <family val="2"/>
          </rPr>
          <t>Operador Inventarios:</t>
        </r>
        <r>
          <rPr>
            <sz val="9"/>
            <color indexed="81"/>
            <rFont val="Tahoma"/>
            <family val="2"/>
          </rPr>
          <t xml:space="preserve">
Esta columna se modifica para la descripcion(Buscar V), al descargar SAP no trae la descripcion.</t>
        </r>
      </text>
    </comment>
    <comment ref="C1" authorId="0" shapeId="0" xr:uid="{210B178E-A6F5-400A-B737-222DACAB880C}">
      <text>
        <r>
          <rPr>
            <b/>
            <sz val="9"/>
            <color indexed="81"/>
            <rFont val="Tahoma"/>
            <family val="2"/>
          </rPr>
          <t>Operador Inventarios:</t>
        </r>
        <r>
          <rPr>
            <sz val="9"/>
            <color indexed="81"/>
            <rFont val="Tahoma"/>
            <family val="2"/>
          </rPr>
          <t xml:space="preserve">
En esta se hace un filtro para el tipo de almacen que se hacen en la exactitud, los demas se borran.</t>
        </r>
      </text>
    </comment>
    <comment ref="F1" authorId="0" shapeId="0" xr:uid="{8D9D1C06-0DA9-46F4-A3F1-5519B22F38F0}">
      <text>
        <r>
          <rPr>
            <b/>
            <sz val="9"/>
            <color indexed="81"/>
            <rFont val="Tahoma"/>
            <family val="2"/>
          </rPr>
          <t>Operador Inventarios:</t>
        </r>
        <r>
          <rPr>
            <sz val="9"/>
            <color indexed="81"/>
            <rFont val="Tahoma"/>
            <family val="2"/>
          </rPr>
          <t xml:space="preserve">
Se modifica para ingreasar novedad encontrada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Operador Inventarios</author>
  </authors>
  <commentList>
    <comment ref="D1" authorId="0" shapeId="0" xr:uid="{77DC33FC-5716-49F6-8FFD-D11B869B8901}">
      <text>
        <r>
          <rPr>
            <b/>
            <sz val="9"/>
            <color indexed="81"/>
            <rFont val="Tahoma"/>
            <family val="2"/>
          </rPr>
          <t>Operador Inventarios:</t>
        </r>
        <r>
          <rPr>
            <sz val="9"/>
            <color indexed="81"/>
            <rFont val="Tahoma"/>
            <family val="2"/>
          </rPr>
          <t xml:space="preserve">
Estas 3 columbas se ocultan para luego comparar con el fisico </t>
        </r>
      </text>
    </comment>
    <comment ref="G1" authorId="0" shapeId="0" xr:uid="{8AFE2E3F-A65F-4A85-B013-3C5648644218}">
      <text>
        <r>
          <rPr>
            <b/>
            <sz val="9"/>
            <color indexed="81"/>
            <rFont val="Tahoma"/>
            <family val="2"/>
          </rPr>
          <t>Operador Inventarios:</t>
        </r>
        <r>
          <rPr>
            <sz val="9"/>
            <color indexed="81"/>
            <rFont val="Tahoma"/>
            <family val="2"/>
          </rPr>
          <t xml:space="preserve">
Para este formato se descarga como para el WM, pero se necesita informacion diferente </t>
        </r>
      </text>
    </comment>
  </commentList>
</comments>
</file>

<file path=xl/sharedStrings.xml><?xml version="1.0" encoding="utf-8"?>
<sst xmlns="http://schemas.openxmlformats.org/spreadsheetml/2006/main" count="58380" uniqueCount="5828">
  <si>
    <t>W11667598</t>
  </si>
  <si>
    <t>CAJA ENGRENAJE COPA 2.0 QIJING</t>
  </si>
  <si>
    <t>433</t>
  </si>
  <si>
    <t>WM01</t>
  </si>
  <si>
    <t/>
  </si>
  <si>
    <t>DOP</t>
  </si>
  <si>
    <t>ARO</t>
  </si>
  <si>
    <t>A-5-8-2</t>
  </si>
  <si>
    <t>3000174139</t>
  </si>
  <si>
    <t>DO</t>
  </si>
  <si>
    <t>PES</t>
  </si>
  <si>
    <t>3000174142</t>
  </si>
  <si>
    <t>W11667597</t>
  </si>
  <si>
    <t>CAJA ENGRANAJE COPA 1.0 QIJING</t>
  </si>
  <si>
    <t>A-9-5-2</t>
  </si>
  <si>
    <t>3000175043</t>
  </si>
  <si>
    <t>EGR</t>
  </si>
  <si>
    <t>PRP</t>
  </si>
  <si>
    <t>B-1-1-2</t>
  </si>
  <si>
    <t>3000174125</t>
  </si>
  <si>
    <t>PP</t>
  </si>
  <si>
    <t>BRO</t>
  </si>
  <si>
    <t>B-3-6-1</t>
  </si>
  <si>
    <t>3000174161</t>
  </si>
  <si>
    <t>B-7-4-1</t>
  </si>
  <si>
    <t>3000174405</t>
  </si>
  <si>
    <t>B-8-4-2</t>
  </si>
  <si>
    <t>3000174126</t>
  </si>
  <si>
    <t>C-10-2-2</t>
  </si>
  <si>
    <t>3000174425</t>
  </si>
  <si>
    <t>3000174428</t>
  </si>
  <si>
    <t>W10777493</t>
  </si>
  <si>
    <t>CJ MECANISMO</t>
  </si>
  <si>
    <t>C-5-3-2</t>
  </si>
  <si>
    <t>3000171901</t>
  </si>
  <si>
    <t>PST</t>
  </si>
  <si>
    <t>3000171902</t>
  </si>
  <si>
    <t>C-8-1-2</t>
  </si>
  <si>
    <t>3000171907</t>
  </si>
  <si>
    <t>3000170007</t>
  </si>
  <si>
    <t>E-4-5-2</t>
  </si>
  <si>
    <t>3000174283</t>
  </si>
  <si>
    <t>3000170867</t>
  </si>
  <si>
    <t>E-5-7-2</t>
  </si>
  <si>
    <t>3000170391</t>
  </si>
  <si>
    <t>3000170392</t>
  </si>
  <si>
    <t>E-5-8-1</t>
  </si>
  <si>
    <t>3000170390</t>
  </si>
  <si>
    <t>3000170389</t>
  </si>
  <si>
    <t>E-7-6-1</t>
  </si>
  <si>
    <t>3000170382</t>
  </si>
  <si>
    <t>3000170381</t>
  </si>
  <si>
    <t>E-7-6-2</t>
  </si>
  <si>
    <t>3000170379</t>
  </si>
  <si>
    <t>3000170380</t>
  </si>
  <si>
    <t>E-8-5-1</t>
  </si>
  <si>
    <t>3000170377</t>
  </si>
  <si>
    <t>3000170378</t>
  </si>
  <si>
    <t>E-8-8-2</t>
  </si>
  <si>
    <t>3000170892</t>
  </si>
  <si>
    <t>3000170891</t>
  </si>
  <si>
    <t>E-9-6-2</t>
  </si>
  <si>
    <t>3000170863</t>
  </si>
  <si>
    <t>3000170866</t>
  </si>
  <si>
    <t>E-9-8-1</t>
  </si>
  <si>
    <t>3000170890</t>
  </si>
  <si>
    <t>3000170889</t>
  </si>
  <si>
    <t>F-10-5-1</t>
  </si>
  <si>
    <t>3000174162</t>
  </si>
  <si>
    <t>F-10-6-1</t>
  </si>
  <si>
    <t>3000174159</t>
  </si>
  <si>
    <t>F-10-7-1</t>
  </si>
  <si>
    <t>3000174143</t>
  </si>
  <si>
    <t>F-4-3-2</t>
  </si>
  <si>
    <t>3000174123</t>
  </si>
  <si>
    <t>F-5-2-1</t>
  </si>
  <si>
    <t>3000174145</t>
  </si>
  <si>
    <t>F-6-2-1</t>
  </si>
  <si>
    <t>3000174160</t>
  </si>
  <si>
    <t>F-7-1-1</t>
  </si>
  <si>
    <t>3000171899</t>
  </si>
  <si>
    <t>F-9-4-1</t>
  </si>
  <si>
    <t>3000174141</t>
  </si>
  <si>
    <t>G-1-6-1</t>
  </si>
  <si>
    <t>3000170375</t>
  </si>
  <si>
    <t>3000170376</t>
  </si>
  <si>
    <t>G-1-6-2</t>
  </si>
  <si>
    <t>3000170373</t>
  </si>
  <si>
    <t>3000170372</t>
  </si>
  <si>
    <t>G-10-5-2</t>
  </si>
  <si>
    <t>3000170371</t>
  </si>
  <si>
    <t>3000170374</t>
  </si>
  <si>
    <t>G-10-6-1</t>
  </si>
  <si>
    <t>3000170369</t>
  </si>
  <si>
    <t>3000170370</t>
  </si>
  <si>
    <t>G-2-4-2</t>
  </si>
  <si>
    <t>3000170861</t>
  </si>
  <si>
    <t>3000170864</t>
  </si>
  <si>
    <t>G-4-4-1</t>
  </si>
  <si>
    <t>3000170367</t>
  </si>
  <si>
    <t>3000170368</t>
  </si>
  <si>
    <t>G-4-5-1</t>
  </si>
  <si>
    <t>3000170859</t>
  </si>
  <si>
    <t>3000170862</t>
  </si>
  <si>
    <t>G-5-7-2</t>
  </si>
  <si>
    <t>3000170865</t>
  </si>
  <si>
    <t>3000170855</t>
  </si>
  <si>
    <t>G-6-2-2</t>
  </si>
  <si>
    <t>3000171903</t>
  </si>
  <si>
    <t>3000171904</t>
  </si>
  <si>
    <t>G-8-6-1</t>
  </si>
  <si>
    <t>3000170362</t>
  </si>
  <si>
    <t>3000170365</t>
  </si>
  <si>
    <t>G-8-6-2</t>
  </si>
  <si>
    <t>3000174426</t>
  </si>
  <si>
    <t>3000174412</t>
  </si>
  <si>
    <t>G-9-5-1</t>
  </si>
  <si>
    <t>3000174280</t>
  </si>
  <si>
    <t>3000174281</t>
  </si>
  <si>
    <t>G-9-8-2</t>
  </si>
  <si>
    <t>3000170387</t>
  </si>
  <si>
    <t>3000170388</t>
  </si>
  <si>
    <t>902</t>
  </si>
  <si>
    <t>001</t>
  </si>
  <si>
    <t>GR-ZONE</t>
  </si>
  <si>
    <t>H-1-7-2</t>
  </si>
  <si>
    <t>3000174128</t>
  </si>
  <si>
    <t>H-2-7-1</t>
  </si>
  <si>
    <t>3000174129</t>
  </si>
  <si>
    <t>H-3-3-2</t>
  </si>
  <si>
    <t>3000174131</t>
  </si>
  <si>
    <t>H-4-3-2</t>
  </si>
  <si>
    <t>3000174144</t>
  </si>
  <si>
    <t>H-9-6-1</t>
  </si>
  <si>
    <t>3000174130</t>
  </si>
  <si>
    <t>H-9-6-2</t>
  </si>
  <si>
    <t>3000174127</t>
  </si>
  <si>
    <t>H-9-7-2</t>
  </si>
  <si>
    <t>3000171898</t>
  </si>
  <si>
    <t>I-1-5-1</t>
  </si>
  <si>
    <t>3000170366</t>
  </si>
  <si>
    <t>3000170361</t>
  </si>
  <si>
    <t>I-1-7-2</t>
  </si>
  <si>
    <t>3000170888</t>
  </si>
  <si>
    <t>3000170887</t>
  </si>
  <si>
    <t>I-10-4-2</t>
  </si>
  <si>
    <t>3000174277</t>
  </si>
  <si>
    <t>3000174278</t>
  </si>
  <si>
    <t>I-10-5-2</t>
  </si>
  <si>
    <t>3000174276</t>
  </si>
  <si>
    <t>3000174274</t>
  </si>
  <si>
    <t>I-10-6-1</t>
  </si>
  <si>
    <t>3000174272</t>
  </si>
  <si>
    <t>3000174275</t>
  </si>
  <si>
    <t>I-10-6-2</t>
  </si>
  <si>
    <t>3000170364</t>
  </si>
  <si>
    <t>3000170363</t>
  </si>
  <si>
    <t>I-10-8-2</t>
  </si>
  <si>
    <t>3000170385</t>
  </si>
  <si>
    <t>3000170386</t>
  </si>
  <si>
    <t>I-3-4-1</t>
  </si>
  <si>
    <t>3000174273</t>
  </si>
  <si>
    <t>3000174269</t>
  </si>
  <si>
    <t>I-4-5-1</t>
  </si>
  <si>
    <t>3000170393</t>
  </si>
  <si>
    <t>3000170394</t>
  </si>
  <si>
    <t>I-4-6-1</t>
  </si>
  <si>
    <t>3000170396</t>
  </si>
  <si>
    <t>3000170395</t>
  </si>
  <si>
    <t>I-5-6-1</t>
  </si>
  <si>
    <t>3000174270</t>
  </si>
  <si>
    <t>3000174268</t>
  </si>
  <si>
    <t>I-5-7-2</t>
  </si>
  <si>
    <t>3000174279</t>
  </si>
  <si>
    <t>3000174282</t>
  </si>
  <si>
    <t>I-6-2-2</t>
  </si>
  <si>
    <t>3000174427</t>
  </si>
  <si>
    <t>3000174421</t>
  </si>
  <si>
    <t>I-6-3-2</t>
  </si>
  <si>
    <t>3000174419</t>
  </si>
  <si>
    <t>3000174422</t>
  </si>
  <si>
    <t>I-6-5-1</t>
  </si>
  <si>
    <t>3000174423</t>
  </si>
  <si>
    <t>3000174271</t>
  </si>
  <si>
    <t>I-6-8-2</t>
  </si>
  <si>
    <t>3000170886</t>
  </si>
  <si>
    <t>3000170885</t>
  </si>
  <si>
    <t>I-7-2-2</t>
  </si>
  <si>
    <t>3000174417</t>
  </si>
  <si>
    <t>3000174420</t>
  </si>
  <si>
    <t>I-8-7-2</t>
  </si>
  <si>
    <t>3000170884</t>
  </si>
  <si>
    <t>3000170883</t>
  </si>
  <si>
    <t>I-9-2-1</t>
  </si>
  <si>
    <t>3000174418</t>
  </si>
  <si>
    <t>3000174415</t>
  </si>
  <si>
    <t>I-9-3-1</t>
  </si>
  <si>
    <t>3000174414</t>
  </si>
  <si>
    <t>3000174416</t>
  </si>
  <si>
    <t>I-9-3-2</t>
  </si>
  <si>
    <t>3000174411</t>
  </si>
  <si>
    <t>3000174413</t>
  </si>
  <si>
    <t>I-9-6-1</t>
  </si>
  <si>
    <t>3000174408</t>
  </si>
  <si>
    <t>3000170868</t>
  </si>
  <si>
    <t>I-9-6-2</t>
  </si>
  <si>
    <t>3000170860</t>
  </si>
  <si>
    <t>3000170857</t>
  </si>
  <si>
    <t>PKN</t>
  </si>
  <si>
    <t>P01</t>
  </si>
  <si>
    <t>MEC-C1</t>
  </si>
  <si>
    <t>MEC-C2</t>
  </si>
  <si>
    <t>Material</t>
  </si>
  <si>
    <t>Descripción del material</t>
  </si>
  <si>
    <t>Centro</t>
  </si>
  <si>
    <t>Almacén</t>
  </si>
  <si>
    <t>Diferenciación stock</t>
  </si>
  <si>
    <t>Stock especial</t>
  </si>
  <si>
    <t>Tipo almacén</t>
  </si>
  <si>
    <t>Área almacenamiento</t>
  </si>
  <si>
    <t>Ubicación</t>
  </si>
  <si>
    <t>Stock disponible</t>
  </si>
  <si>
    <t>Stock a entrar</t>
  </si>
  <si>
    <t>Stock salida almacén</t>
  </si>
  <si>
    <t>Última entrada</t>
  </si>
  <si>
    <t>Inventario act.</t>
  </si>
  <si>
    <t>Último movimiento</t>
  </si>
  <si>
    <t>Último almacenam.</t>
  </si>
  <si>
    <t>Unidad almacén</t>
  </si>
  <si>
    <t>Tipo de ubicación</t>
  </si>
  <si>
    <t>Hora</t>
  </si>
  <si>
    <t>Posición-ubicación</t>
  </si>
  <si>
    <t>Tipo unidad almacén</t>
  </si>
  <si>
    <t>Capacidad total</t>
  </si>
  <si>
    <t>Capacidad restante</t>
  </si>
  <si>
    <t>Bloq.almacenamiento</t>
  </si>
  <si>
    <t>Bloqueo de salidas</t>
  </si>
  <si>
    <t>Fisico</t>
  </si>
  <si>
    <t>Texto breve de material SAP</t>
  </si>
  <si>
    <t>UMB</t>
  </si>
  <si>
    <t>Nombre interno</t>
  </si>
  <si>
    <t>Grupo</t>
  </si>
  <si>
    <t>Proveedor</t>
  </si>
  <si>
    <t>Plataforma</t>
  </si>
  <si>
    <t>Nota</t>
  </si>
  <si>
    <t>Validac</t>
  </si>
  <si>
    <t>W11121945</t>
  </si>
  <si>
    <t>STEEL GZ S250GD Z100 1,55X337</t>
  </si>
  <si>
    <t>KG</t>
  </si>
  <si>
    <t>LAMINA GZ S250GD Z100 1,55X337 (SOP MOTOR) ARME</t>
  </si>
  <si>
    <t>LAMINA_PROV</t>
  </si>
  <si>
    <t>No aplica</t>
  </si>
  <si>
    <t>Sin existencia</t>
  </si>
  <si>
    <t>OK</t>
  </si>
  <si>
    <t>W11261457</t>
  </si>
  <si>
    <t xml:space="preserve">AGITATOR </t>
  </si>
  <si>
    <t>PC</t>
  </si>
  <si>
    <t>AGITADOR AGP BOTERO 2</t>
  </si>
  <si>
    <t>AGIPELLER</t>
  </si>
  <si>
    <t>Botero 2</t>
  </si>
  <si>
    <t>W10725483</t>
  </si>
  <si>
    <t>UN</t>
  </si>
  <si>
    <t>AGIPELLER WHP (GRIS)</t>
  </si>
  <si>
    <t>W11780501</t>
  </si>
  <si>
    <t>MANUAL COPA NIAGARA</t>
  </si>
  <si>
    <t>MANUAL HCB NIAGARA</t>
  </si>
  <si>
    <t>MANUAL HCB NIAG</t>
  </si>
  <si>
    <t>Copa 2.0</t>
  </si>
  <si>
    <t>W11502214</t>
  </si>
  <si>
    <t>conjunto Filtro Whp</t>
  </si>
  <si>
    <t>CJ FILTRO WHP COPA 2 ENSAMBLADO</t>
  </si>
  <si>
    <t>CJ FILTRO ENS</t>
  </si>
  <si>
    <t>W11763981</t>
  </si>
  <si>
    <t>MANUAL COPA 2.0, QUICK WIN, ES</t>
  </si>
  <si>
    <t>MANUAL WHP COPA 2.0</t>
  </si>
  <si>
    <t>MANUAL WHP</t>
  </si>
  <si>
    <t>W11736595</t>
  </si>
  <si>
    <t>STEEL-GZ100 DX52D 1.25X337</t>
  </si>
  <si>
    <t>LAMINA GZ100 DX52D 1,25X337 (SOP MOTOR) ARME</t>
  </si>
  <si>
    <t>En bodega de Proveedor</t>
  </si>
  <si>
    <t>W11775050</t>
  </si>
  <si>
    <t>M8-1.25 X HW HX SER TORNILLO</t>
  </si>
  <si>
    <t>TORNILLO (SOPORTE MOTOR) NUEVO</t>
  </si>
  <si>
    <t>TORNILLOS</t>
  </si>
  <si>
    <t>Copa 1.0 y 2.0</t>
  </si>
  <si>
    <t>W11775427</t>
  </si>
  <si>
    <t>AGITATOR PACKAGE ASSY (30 PARTS)</t>
  </si>
  <si>
    <t>AGITADOR AGP BOTERO 2_</t>
  </si>
  <si>
    <t>W11491686</t>
  </si>
  <si>
    <t>TECH COVER, WITH SEN</t>
  </si>
  <si>
    <t>TAPA PLACA POTENCIA COPA 2.0</t>
  </si>
  <si>
    <t>TAPA PLACA POTENCIA</t>
  </si>
  <si>
    <t>W11519084</t>
  </si>
  <si>
    <t>TOP GRIS</t>
  </si>
  <si>
    <t>TAPA FIJA HCB GRAFITTO COPA 2.0</t>
  </si>
  <si>
    <t>TAPA FIJA</t>
  </si>
  <si>
    <t>W11736155</t>
  </si>
  <si>
    <t>MOTOR SUPPORT 1.25</t>
  </si>
  <si>
    <t>SOPORTE MOTOR 1.25 NUEVO</t>
  </si>
  <si>
    <t>SOPORTE MOTOR</t>
  </si>
  <si>
    <t>W11486744</t>
  </si>
  <si>
    <t>BEARING,BALL,6006-2RS</t>
  </si>
  <si>
    <t>BEARING BALL (RODAMIENTO) NUEVO</t>
  </si>
  <si>
    <t>RODAMIENTOS</t>
  </si>
  <si>
    <t>W11515777</t>
  </si>
  <si>
    <t>LEVA EXTERNA 37°</t>
  </si>
  <si>
    <t>LEVA EXTERNA 37° NUEVA</t>
  </si>
  <si>
    <t>LEVA EXTERNA</t>
  </si>
  <si>
    <t>W11707208</t>
  </si>
  <si>
    <t>PAINEL DECORATIVO HACEB</t>
  </si>
  <si>
    <t>PAINEL DECORATIVO AGP HACEB 13KG</t>
  </si>
  <si>
    <t>PANEL DECORATIVO</t>
  </si>
  <si>
    <t>Copa 1.0</t>
  </si>
  <si>
    <t>W11708037</t>
  </si>
  <si>
    <t>PAINEL DECORATIVO IMP HACEB 9KG</t>
  </si>
  <si>
    <t>W11708038</t>
  </si>
  <si>
    <t>PANEL DECORATIVO IMP HACEB 10KG</t>
  </si>
  <si>
    <t>W11708042</t>
  </si>
  <si>
    <t>OVERLAY</t>
  </si>
  <si>
    <t>PANEL IMPELLER WHP 18K</t>
  </si>
  <si>
    <t>W11736156</t>
  </si>
  <si>
    <t>CAME ARTICULADO COPA 37°</t>
  </si>
  <si>
    <t>LEVA ARTICULADA NUEVA 37°</t>
  </si>
  <si>
    <t>LEVA ARTICULADA</t>
  </si>
  <si>
    <t>W11763989</t>
  </si>
  <si>
    <t>MANUAL COPA 2.0, QUICK WIN, EN</t>
  </si>
  <si>
    <t>MANUAL WHP COPA 2.0 CARIBE NUEVO</t>
  </si>
  <si>
    <t>W11761768</t>
  </si>
  <si>
    <t>LOWER HARNESS GOOD SUP</t>
  </si>
  <si>
    <t>ARNES INF GOOD COPA 2.0 CONECT NUEVO</t>
  </si>
  <si>
    <t>ARNES INFERIOR</t>
  </si>
  <si>
    <t>W11759872</t>
  </si>
  <si>
    <t>ARNES SUPERIOR</t>
  </si>
  <si>
    <t>ARNES INF BEST COPA 2.0 CONECT NUEVO</t>
  </si>
  <si>
    <t>W11762832</t>
  </si>
  <si>
    <t>DAMPER PAD PU WITH FELT AND ADHESIVE</t>
  </si>
  <si>
    <t>ESPUMA COPA 2.0 NUEVA</t>
  </si>
  <si>
    <t>ESPUMAS</t>
  </si>
  <si>
    <t>W11759084</t>
  </si>
  <si>
    <t>ENERGY EFFICIENCY COL 19 KG  AGI BOT 2.0</t>
  </si>
  <si>
    <t>ETIQUETA ENERGIA (WW19WTA-WW19ZNA) BOTERO 2.0</t>
  </si>
  <si>
    <t>ETIQUETAS ENERGIA (BOTERO 2)</t>
  </si>
  <si>
    <t>Botero</t>
  </si>
  <si>
    <t>W11759090</t>
  </si>
  <si>
    <t>ENERGY EFFICIENCY COL 17 KG AGI BOT 2.0</t>
  </si>
  <si>
    <t>ETIQUETA ENERGIA (WW17WTA-WW17WBA) BOTERO 2.0</t>
  </si>
  <si>
    <t>W11759279</t>
  </si>
  <si>
    <t>ENERGY EFFICIENCY EQ 17 KG AGI BOT 2.0</t>
  </si>
  <si>
    <t>ETIQUETA EFIC BOT 2 WW17WTA-WW17WBA</t>
  </si>
  <si>
    <t>ETIQUETAS EFICIENCIA ENERG (BOTERO 2)</t>
  </si>
  <si>
    <t>W11769469</t>
  </si>
  <si>
    <t>MANUAL BOTERO 2.0</t>
  </si>
  <si>
    <t>MANUAL WHP BOTERO 2</t>
  </si>
  <si>
    <t>MANUAL BOTERO</t>
  </si>
  <si>
    <t>W11769423</t>
  </si>
  <si>
    <t>ENERGY EFFICIENCY COL 17 KG  IMP BOT 2.0</t>
  </si>
  <si>
    <t>ETIQUETA ENERGIA (WW17NNA-WW17NTA) BOTERO 2.0</t>
  </si>
  <si>
    <t>W11769451</t>
  </si>
  <si>
    <t>ENERGY EFFICIENCY EQ 17 KG IMP BOT 2.0</t>
  </si>
  <si>
    <t>ETIQUETA EFIC BOT 2 WW17NNA-WW17NTA</t>
  </si>
  <si>
    <t>W11435989</t>
  </si>
  <si>
    <t>ANEL DO TANQUE DOVE GREY</t>
  </si>
  <si>
    <t>ANILLO TANQUE HCB 28-30 GRIS</t>
  </si>
  <si>
    <t>ANILLO TANQUE</t>
  </si>
  <si>
    <t>W11514272</t>
  </si>
  <si>
    <t>STEEL-GZ100 S220GD 0.60X917X2114</t>
  </si>
  <si>
    <t>LAM GAB BEST 917X2114 BAMESA COPA 2.0</t>
  </si>
  <si>
    <t>LAMINA GAB (COPA2)</t>
  </si>
  <si>
    <t>W11514267</t>
  </si>
  <si>
    <t>STEEL-GZ100 S220GD 0.60X877X2114</t>
  </si>
  <si>
    <t>LAM GAB GOOD 877X2114 BAMESA COPA 2.0</t>
  </si>
  <si>
    <t>W11486506</t>
  </si>
  <si>
    <t>STEEL-SS 430 0.45X452.0XC</t>
  </si>
  <si>
    <t>LAMINA CESTO BEST 0.45X 452 COPA 2.0 (APERAM)</t>
  </si>
  <si>
    <t>LAMINA CESTO (COPA 2.0)</t>
  </si>
  <si>
    <t>W10677261</t>
  </si>
  <si>
    <t>STEEL SS 430 2B 0.45X387,0XC</t>
  </si>
  <si>
    <t>LAMINA CESTO BEST 0.45X 384 (APERAM)</t>
  </si>
  <si>
    <t>LAMINA CESTO (COPA 1.0)</t>
  </si>
  <si>
    <t>W10677260</t>
  </si>
  <si>
    <t>STEEL SS 430 2B 0.45X354XC</t>
  </si>
  <si>
    <t>LAMINA CESTO GOOD 0.45X 354 (APERAM)</t>
  </si>
  <si>
    <t>W11673742</t>
  </si>
  <si>
    <t>HINGE COVER</t>
  </si>
  <si>
    <t>TAPA PORON BOTERO</t>
  </si>
  <si>
    <t>KIT TAPA BOTERO</t>
  </si>
  <si>
    <t>W11351742</t>
  </si>
  <si>
    <t>REDE SUPERIOR AGIPELLER MK LOW</t>
  </si>
  <si>
    <t>ARNES SUP AGP LOW</t>
  </si>
  <si>
    <t>W11733960</t>
  </si>
  <si>
    <t>LINTER FILTER  ASSY</t>
  </si>
  <si>
    <t>CJ FILTRO BOTERO 2</t>
  </si>
  <si>
    <t>FILTRO</t>
  </si>
  <si>
    <t>W11740236</t>
  </si>
  <si>
    <t>OVERLAY W/O PETS CYCLE, KNOB</t>
  </si>
  <si>
    <t>PANEL DECORATIVO BOTERO 2.0</t>
  </si>
  <si>
    <t>W11745884</t>
  </si>
  <si>
    <t>CTRL-MEGA UI 2 ENCODER, BOTERO</t>
  </si>
  <si>
    <t>TARJETA+ENCODER BOTERO 2.0</t>
  </si>
  <si>
    <t>TARJETA ELECTRONICA</t>
  </si>
  <si>
    <t>W11748855</t>
  </si>
  <si>
    <t>Etiqueta de capacidad, 20 kg</t>
  </si>
  <si>
    <t>ETIQUETA DE CAPACIDAD 20kg BOTERO 2.0</t>
  </si>
  <si>
    <t>ETIQUETA CAPACIDAD</t>
  </si>
  <si>
    <t>W11750319</t>
  </si>
  <si>
    <t>TOP REAR COVER BLACK</t>
  </si>
  <si>
    <t>TAPA TRASERA TF NEGRA BOTERO 2.0</t>
  </si>
  <si>
    <t>TAPA TRASERA TF</t>
  </si>
  <si>
    <t>W11755368</t>
  </si>
  <si>
    <t>OVERLAY PETS AGITATOR KNOB</t>
  </si>
  <si>
    <t>PANEL DECORATIVO PET BOTERO 2.0</t>
  </si>
  <si>
    <t>W11758441</t>
  </si>
  <si>
    <t>ENERGY EFFICIENCY WHP COL 20 KG</t>
  </si>
  <si>
    <t>ETIQUETA ENERGIA (WW20WTA/20WNA) BOTERO 2.0</t>
  </si>
  <si>
    <t>ETIQUETAS ENERGIA (BOTERO)</t>
  </si>
  <si>
    <t>W11758565</t>
  </si>
  <si>
    <t>ENERGY EFFICIENCY WHP COL 20 KG IMP</t>
  </si>
  <si>
    <t>ETIQUETA ENERGIA 220 (WW20NN)</t>
  </si>
  <si>
    <t>W11759080</t>
  </si>
  <si>
    <t>ENERGY EFFICIENCY COL 20 KG IMP BOT 2.0</t>
  </si>
  <si>
    <t>ETIQUETA ENERGIA (WW20NTB/20NBB) BOTERO 2.0</t>
  </si>
  <si>
    <t>W11759082</t>
  </si>
  <si>
    <t>ENERGY EFFICIENCY COL 19 KG IMP BOT 2.0</t>
  </si>
  <si>
    <t>ETIQUETA ENERGIA (WW19NTB/19NNA) BOTERO 2.0</t>
  </si>
  <si>
    <t>W11759275</t>
  </si>
  <si>
    <t>ENERGY EFFICIENCY EQ 19 &amp; 20 KG IMP BOT</t>
  </si>
  <si>
    <t>ETIQUETA EFIC (WW19NTB/19NNA/20NTB/20NNA/20NBB) BOTERO 2.0</t>
  </si>
  <si>
    <t>ETIQUETAS EFICIENCIA ENERG (BOTERO)</t>
  </si>
  <si>
    <t>W11759277</t>
  </si>
  <si>
    <t>ENERGY EFFICIENCY EQ 19&amp;20 KG AGI  BOT</t>
  </si>
  <si>
    <t>ETIQUETA EFIC (WW19WTA/20WTA/20WNA/19ZNA/20WSA) BOTERO 2.0</t>
  </si>
  <si>
    <t>W11614673</t>
  </si>
  <si>
    <t>POM-CELCON GC25A 968000 NAT</t>
  </si>
  <si>
    <t>POM COPOLIMERO COM 25% GC25T</t>
  </si>
  <si>
    <t>RESINAS_PROVEED</t>
  </si>
  <si>
    <t>W11522619</t>
  </si>
  <si>
    <t>LOWER HARNESS GOOD/BETTER (Brascabos)</t>
  </si>
  <si>
    <t>ARNES INF GOOD (BRASCABOS) WHP/HCB</t>
  </si>
  <si>
    <t>W11629027</t>
  </si>
  <si>
    <t>GLASS BLACK</t>
  </si>
  <si>
    <t>VIDRIO BOTERO 2.0</t>
  </si>
  <si>
    <t>VIDRIOS</t>
  </si>
  <si>
    <t>W11677845</t>
  </si>
  <si>
    <t>GLASS SMOKED BLACK</t>
  </si>
  <si>
    <t>VIDRIO OSCURO SMOKED WHP COPA 2.0</t>
  </si>
  <si>
    <t>W11541521</t>
  </si>
  <si>
    <t>GLASS CLEAR, SM</t>
  </si>
  <si>
    <t>VIDRIO TRANSP HCB SM COPA 2.0</t>
  </si>
  <si>
    <t>W11502760</t>
  </si>
  <si>
    <t>GLASS CLEAR BLACK, S</t>
  </si>
  <si>
    <t>VIDRIO TRANSP NEGRO WHP COPA 2.0</t>
  </si>
  <si>
    <t>W11491997</t>
  </si>
  <si>
    <t>GLASS CLEAR TEMPEST,</t>
  </si>
  <si>
    <t>VIDRIO TRANSP TEMPEST WHP COPA 2.0</t>
  </si>
  <si>
    <t>W11548651</t>
  </si>
  <si>
    <t>GLASS</t>
  </si>
  <si>
    <t>VIDRIO WHP IMP ACROSS</t>
  </si>
  <si>
    <t>W11193830</t>
  </si>
  <si>
    <t>VIDRO AGIPELLER WHP</t>
  </si>
  <si>
    <t>VIDRO AGIPELLER WHP (IMPORTADO)</t>
  </si>
  <si>
    <t>W11347692</t>
  </si>
  <si>
    <t>VIDRO HCB</t>
  </si>
  <si>
    <t>VIDRO HCB (IMPORTADO) Copa 1.0</t>
  </si>
  <si>
    <t>W11403891</t>
  </si>
  <si>
    <t>PNEUMATIC SUPENSION ROD "U" SHAPED</t>
  </si>
  <si>
    <t>VARILLA SUSP BEST</t>
  </si>
  <si>
    <t>VARILLA SUSPENSION</t>
  </si>
  <si>
    <t>W11497938</t>
  </si>
  <si>
    <t>PNEUMATIC SUSPENSION</t>
  </si>
  <si>
    <t>VARILLA SUSP BEST COPA 2.0</t>
  </si>
  <si>
    <t>W11403890</t>
  </si>
  <si>
    <t>VARILLA SUSP GOOD</t>
  </si>
  <si>
    <t>W11109356</t>
  </si>
  <si>
    <t>FALSE INLET VALVE</t>
  </si>
  <si>
    <t>FALSA VALVULA</t>
  </si>
  <si>
    <t>VALVULAS</t>
  </si>
  <si>
    <t>W11502149</t>
  </si>
  <si>
    <t>VALVULA 220 ROSADA COPA 2.0</t>
  </si>
  <si>
    <t>VALVULA 220V (ROSADA) COPA 2.0</t>
  </si>
  <si>
    <t>W11502146</t>
  </si>
  <si>
    <t>INLET VALVE HIGH FLOW 220V COPA TRS</t>
  </si>
  <si>
    <t>VALVULA 220V (VERDE OSCURA) COPA 2.0</t>
  </si>
  <si>
    <t>W11502148</t>
  </si>
  <si>
    <t>VALVULA ROJA COPA 2.0</t>
  </si>
  <si>
    <t>VALVULA DE AGUA CAL (ROJA OSC) COPA 2.0</t>
  </si>
  <si>
    <t>W10718167</t>
  </si>
  <si>
    <t>VALVULA DE AGUA CALIENTE 120V 60HZ</t>
  </si>
  <si>
    <t>VALVULA DE AGUA CALIENTE (ROJA)</t>
  </si>
  <si>
    <t>W10718173</t>
  </si>
  <si>
    <t>VALVULA DE AGUA CALIENTE 220V</t>
  </si>
  <si>
    <t>VALVULA DE AGUA CALIENTE 220V (ROSADA)</t>
  </si>
  <si>
    <t>W11502145</t>
  </si>
  <si>
    <t>INLET VALVE HIGH FLOW 127V</t>
  </si>
  <si>
    <t>VALVULA DE AGUA FRIA (AZUL OSC) COPA 2.0</t>
  </si>
  <si>
    <t>W10718177</t>
  </si>
  <si>
    <t>VALVULA DE AGUA FRIA 127V</t>
  </si>
  <si>
    <t>VALVULA DE AGUA FRIA (AZUL)</t>
  </si>
  <si>
    <t>W11344664</t>
  </si>
  <si>
    <t>INLET VALVE HIGH FLOW 127V, NEU</t>
  </si>
  <si>
    <t>VALVULA DE AGUA FRIA 127V BRASTEMP</t>
  </si>
  <si>
    <t>W10718178</t>
  </si>
  <si>
    <t>VALVULA DE AGUA FRIA 220V</t>
  </si>
  <si>
    <t>VALVULA DE AGUA FRIA 220 V (VERDE)</t>
  </si>
  <si>
    <t>W11161446</t>
  </si>
  <si>
    <t>IU COVER IMPELLER CON REMOLIDO</t>
  </si>
  <si>
    <t>UI COVER IMP COP 1.0</t>
  </si>
  <si>
    <t>UI COVER</t>
  </si>
  <si>
    <t>W11125956</t>
  </si>
  <si>
    <t>UI COVER AGIPELLER</t>
  </si>
  <si>
    <t>W10917031</t>
  </si>
  <si>
    <t>UI COVER AGP</t>
  </si>
  <si>
    <t>326066095</t>
  </si>
  <si>
    <t>TUERCA CONSOLA</t>
  </si>
  <si>
    <t>TUERCAS CONSOLA</t>
  </si>
  <si>
    <t>W10548856</t>
  </si>
  <si>
    <t>TUERCA POLEA MOTOR</t>
  </si>
  <si>
    <t>TUERCA MOTOR</t>
  </si>
  <si>
    <t>TUERCAS</t>
  </si>
  <si>
    <t>W10661343</t>
  </si>
  <si>
    <t>TRAVESAÑO INFERIOR</t>
  </si>
  <si>
    <t>TRAVESAÑO METALICO INFERIOR</t>
  </si>
  <si>
    <t>TRAVESAÑOS</t>
  </si>
  <si>
    <t>W10638603</t>
  </si>
  <si>
    <t>TRAVESAÑO SUPERIOR</t>
  </si>
  <si>
    <t>TRAVESAÑO METALICO SUPERIOR</t>
  </si>
  <si>
    <t>W10883724</t>
  </si>
  <si>
    <t>TORRE CIRCULACION C/F BEST HCB+SEAL</t>
  </si>
  <si>
    <t>TORRE DE CIRCULACION C/F BEST HCB</t>
  </si>
  <si>
    <t>TORRES DE CIRCULACIÓN</t>
  </si>
  <si>
    <t>W10883723</t>
  </si>
  <si>
    <t>TORRE C/ FILTRO BEST WHP + VEDAÇÃO</t>
  </si>
  <si>
    <t>TORRE DE CIRCULACIÓN C/F BEST WHP</t>
  </si>
  <si>
    <t>W10883722</t>
  </si>
  <si>
    <t>TORRE CIRCULACION C/F GOOD HCB+SEAL</t>
  </si>
  <si>
    <t>TORRE DE CIRCULACION C/F GOOD HCB</t>
  </si>
  <si>
    <t>W10883720</t>
  </si>
  <si>
    <t>TORRE CIRCULACION C/F GOOD WHP+SEAL</t>
  </si>
  <si>
    <t>TORRE DE CIRCULACION C/F GOOD WHP</t>
  </si>
  <si>
    <t>W10883730</t>
  </si>
  <si>
    <t>TORRE CIRCULACION S/F BEST HCB+SEAL</t>
  </si>
  <si>
    <t>TORRE DE CIRCULACION S/F BEST HCB</t>
  </si>
  <si>
    <t>W11210491</t>
  </si>
  <si>
    <t>TORRE CIRCULACIÓN S/F BEST S/R WHP</t>
  </si>
  <si>
    <t>TORRE DE CIRCULACIÓN S/F BEST WHP</t>
  </si>
  <si>
    <t>W10883727</t>
  </si>
  <si>
    <t>TORRE CIRCULACION S/F GOOD HCB+SEAL</t>
  </si>
  <si>
    <t>TORRE DE CIRCULACION S/F GOOD HCB</t>
  </si>
  <si>
    <t>W11210490</t>
  </si>
  <si>
    <t>TORRE CIRCULACIÓN S/F GOOD S/R WHP</t>
  </si>
  <si>
    <t>TORRE DE CIRCULACIÓN S/F GOOD WHP</t>
  </si>
  <si>
    <t>W10888142</t>
  </si>
  <si>
    <t>PARAF SEXT HI-LO S/FEN C/FLA 4,8X11</t>
  </si>
  <si>
    <t>TORNILLO (ACTUADOR-CONSOLA)</t>
  </si>
  <si>
    <t>W10850803</t>
  </si>
  <si>
    <t>PARAF SEXT METR S/FEN C/FLA 4,8X13</t>
  </si>
  <si>
    <t>TORNILLO (CJ LEVAS_PROTECT_ABRAZ CAPAC)</t>
  </si>
  <si>
    <t>W10750540</t>
  </si>
  <si>
    <t>CREW HEX HEAD 8-16X20</t>
  </si>
  <si>
    <t>TORNILLO (DRIVE BLOCK)</t>
  </si>
  <si>
    <t>W10888140</t>
  </si>
  <si>
    <t>SIPHON HOUSING SCREW</t>
  </si>
  <si>
    <t>TORNILLO (ELECTROBOMBA)</t>
  </si>
  <si>
    <t>W10888143</t>
  </si>
  <si>
    <t>SCREW HEX FLA HI-LO 3.9 X 18 INOX</t>
  </si>
  <si>
    <t>TORNILLO (FILTRO_DRENAJE)</t>
  </si>
  <si>
    <t>W10715814</t>
  </si>
  <si>
    <t>TORNILLO AGITADOR HLD - CAB. HEXA. M6X29</t>
  </si>
  <si>
    <t>TORNILLO (FONDO CESTO_ROSADO)</t>
  </si>
  <si>
    <t>W10892220</t>
  </si>
  <si>
    <t>TORNILLO</t>
  </si>
  <si>
    <t>TORNILLO (MICRO_LLAVE)</t>
  </si>
  <si>
    <t>W10892218</t>
  </si>
  <si>
    <t>TORNILLO (MOTOR)</t>
  </si>
  <si>
    <t>W10260856</t>
  </si>
  <si>
    <t>TORNILLO CAB. HEX FLANGE AP 3 X 7</t>
  </si>
  <si>
    <t>TORNILLO (PALANCA MICRO_TARJETA AGP)</t>
  </si>
  <si>
    <t>W10885565</t>
  </si>
  <si>
    <t>SCREW HEX FLA HI-LO 3.9 X 18</t>
  </si>
  <si>
    <t>TORNILLO (PROTECTOR POLEA)</t>
  </si>
  <si>
    <t>000028290</t>
  </si>
  <si>
    <t>TORNILLO (SOPORTE MOTOR)</t>
  </si>
  <si>
    <t>W10863528</t>
  </si>
  <si>
    <t>PARAF SEXT HI-LO S/FEN C/FLA 7X30</t>
  </si>
  <si>
    <t>TORNILLO (SOPORTE TANQUE)</t>
  </si>
  <si>
    <t>W10851242</t>
  </si>
  <si>
    <t>PARAFUSO AACS M8 X 9,5 ROHS</t>
  </si>
  <si>
    <t>TORNILLO (TAPA TRASERA)</t>
  </si>
  <si>
    <t>W10772018</t>
  </si>
  <si>
    <t>TORNILLO BASE BOMBA</t>
  </si>
  <si>
    <t>TORNILLO (TORRE GRANDE)</t>
  </si>
  <si>
    <t>W10772017</t>
  </si>
  <si>
    <t>TORNILLO LATERAL DE BOMBA</t>
  </si>
  <si>
    <t>TORNILLO (TORRE PEQUEÑO)</t>
  </si>
  <si>
    <t>W10862937</t>
  </si>
  <si>
    <t>PARAF SEXT HI-LO S/FEN C/FLA 3,9X14</t>
  </si>
  <si>
    <t>TORNILLO (VARIOS PUESTOS)</t>
  </si>
  <si>
    <t>W10335914</t>
  </si>
  <si>
    <t>HEX SERR FLAN HEAD METR SCREW 6X39</t>
  </si>
  <si>
    <t>TORNILLO 6X39 (wedge block) COPA 2.0</t>
  </si>
  <si>
    <t>326041720</t>
  </si>
  <si>
    <t>TORNILLO HI-LOW</t>
  </si>
  <si>
    <t>TORNILLO DAMPER 3,9X12 COPA 2.0</t>
  </si>
  <si>
    <t>W10892221</t>
  </si>
  <si>
    <t>PARAF SEXT M5X11 FLANGE LISA ZINCADO</t>
  </si>
  <si>
    <t>TORNILLO M5X11 (LANGE LISA ZINCADO)</t>
  </si>
  <si>
    <t>W10351766</t>
  </si>
  <si>
    <t>M6-1.0 X 20 CHA S/R S.BLOQ. INOX 304</t>
  </si>
  <si>
    <t>TORNILLO M6 X 20 DE CUÑA COPA 2.0</t>
  </si>
  <si>
    <t>326012084</t>
  </si>
  <si>
    <t>3-1.4 X 6 PN LR SCREW</t>
  </si>
  <si>
    <t>TORNILLO TARJETA -PLACA COPA 2.0</t>
  </si>
  <si>
    <t>W10845136</t>
  </si>
  <si>
    <t>TIRANTE</t>
  </si>
  <si>
    <t>TIRANTES</t>
  </si>
  <si>
    <t>W11176259</t>
  </si>
  <si>
    <t>ACAMAR HIGH - COPACABANA</t>
  </si>
  <si>
    <t>TARJETA (NEGRA) ACAMAR HIGH</t>
  </si>
  <si>
    <t>W11176258</t>
  </si>
  <si>
    <t>ECAD-MEGA UI</t>
  </si>
  <si>
    <t>TARJETA AGIPELLER (BL) WHP</t>
  </si>
  <si>
    <t>W11491760</t>
  </si>
  <si>
    <t>PCBA, MEGA UI 2, COPA 2 LOW</t>
  </si>
  <si>
    <t>TARJETA AZUL HCB (LOW) COPA 2.0</t>
  </si>
  <si>
    <t>W11491759</t>
  </si>
  <si>
    <t>PCBA, MEGA UI 2, COPA 2 HIGH</t>
  </si>
  <si>
    <t>TARJETA AZUL HCB/WHP (HIGH) COPA 2.0</t>
  </si>
  <si>
    <t>W11697752</t>
  </si>
  <si>
    <t>HMI PROSTAR BR SW</t>
  </si>
  <si>
    <t>TARJETA DE CONT WHP BRASIL (PROSTAR)</t>
  </si>
  <si>
    <t>W11134060</t>
  </si>
  <si>
    <t>CJ UI IMPELLER VERDE HACEB</t>
  </si>
  <si>
    <t>TARJETA DE CONTROL HACEB IMP</t>
  </si>
  <si>
    <t>W11491763</t>
  </si>
  <si>
    <t>PCB ASSY - PROSTAR C</t>
  </si>
  <si>
    <t>TARJETA DE CONTROL HCB (PROSTAR) COPA 2.0</t>
  </si>
  <si>
    <t>W10710606</t>
  </si>
  <si>
    <t>TARJETA DE CONTROL HCB AGIPELLER</t>
  </si>
  <si>
    <t>TARJETA DE CONTROL HCB AGP</t>
  </si>
  <si>
    <t>W11125005</t>
  </si>
  <si>
    <t>LUMINA LOW WHP</t>
  </si>
  <si>
    <t>TARJETA DE CONTROL WH IMP (LUMINA LOW)</t>
  </si>
  <si>
    <t>W11491761</t>
  </si>
  <si>
    <t>TARJETA DE CONTROL WHP (PROSTAR) COPA 2.0</t>
  </si>
  <si>
    <t>W11543440</t>
  </si>
  <si>
    <t>CTRL-MEGA UI2 ENCODER, EDGE L26</t>
  </si>
  <si>
    <t>TARJETA ENCODER EDGE L26 BOTERO</t>
  </si>
  <si>
    <t>W11447785</t>
  </si>
  <si>
    <t>MEGA LOW COPA QUASAR</t>
  </si>
  <si>
    <t>TARJETA VERDE (ROSADA) WHP/HCB</t>
  </si>
  <si>
    <t>W10826066</t>
  </si>
  <si>
    <t>TAPA VALVULA 110V</t>
  </si>
  <si>
    <t>TAPA VALVULA 110V ROJA</t>
  </si>
  <si>
    <t>TAPA VALVULA</t>
  </si>
  <si>
    <t>W10840431</t>
  </si>
  <si>
    <t>TAPA VALVULA 220V</t>
  </si>
  <si>
    <t>TAPA VALVULA 220V ROSADA</t>
  </si>
  <si>
    <t>W11501420</t>
  </si>
  <si>
    <t>REAR COVER GREY</t>
  </si>
  <si>
    <t>TAPA TRASERA TF HCB DOVE GRAY COPA 2.0</t>
  </si>
  <si>
    <t>W11563286</t>
  </si>
  <si>
    <t>TAPA TRASERA NEGRA</t>
  </si>
  <si>
    <t>TAPA TRASERA TF HCB NEGRA SIN SERIG COPA 2.0</t>
  </si>
  <si>
    <t>W11501571</t>
  </si>
  <si>
    <t>REAR COVER BLACK</t>
  </si>
  <si>
    <t>TAPA TRASERA TF WHP NEGRA COPA 2.0</t>
  </si>
  <si>
    <t>W11501568</t>
  </si>
  <si>
    <t>REAR COVER TEMPEST</t>
  </si>
  <si>
    <t>TAPA TRASERA TF WHP TEMPEST COPA 2.0</t>
  </si>
  <si>
    <t>W11548046</t>
  </si>
  <si>
    <t>Tampo Traseiro Poliondas Best Blanco</t>
  </si>
  <si>
    <t>TAPA TRAS POLIONDA BEST BL</t>
  </si>
  <si>
    <t>TAPA TRASERA GB</t>
  </si>
  <si>
    <t>W11580132</t>
  </si>
  <si>
    <t>BS, BEST, GRAY ST, GRAY</t>
  </si>
  <si>
    <t>TAPA TRAS POLIONDA BEST GRAY</t>
  </si>
  <si>
    <t>W11548049</t>
  </si>
  <si>
    <t>Tampo Traseiro Poliondas Good Blanco</t>
  </si>
  <si>
    <t>TAPA TRAS POLIONDA GOOD BL</t>
  </si>
  <si>
    <t>W11580133</t>
  </si>
  <si>
    <t>BACK COVER WITH RIBS, BEST, GRAY</t>
  </si>
  <si>
    <t>TAPA TRAS POLIONDA GOOD GRAY</t>
  </si>
  <si>
    <t>W10661829</t>
  </si>
  <si>
    <t>W11500972</t>
  </si>
  <si>
    <t>UPPER FRAME,WHITE</t>
  </si>
  <si>
    <t>TAPA MOVIL SUP HCB BLANCO COPA 2.0 (FRAME)</t>
  </si>
  <si>
    <t>TAPA MOVIL SUPERIOR</t>
  </si>
  <si>
    <t>W11642310</t>
  </si>
  <si>
    <t>Frame superior Coal Haceb</t>
  </si>
  <si>
    <t>TAPA MOVIL SUP HCB COAL COPA 2.0 (FRAME)</t>
  </si>
  <si>
    <t>W11500968</t>
  </si>
  <si>
    <t>UPPER FRAME,BLACK</t>
  </si>
  <si>
    <t>TAPA MOVIL SUP HCB NEGRO COPA 2.0 (FRAME)</t>
  </si>
  <si>
    <t>W11500975</t>
  </si>
  <si>
    <t>LOWER FRAME,WHITE</t>
  </si>
  <si>
    <t>TAPA MOVIL INF HCB BLANCO COPA 2.0</t>
  </si>
  <si>
    <t>TAPA MOVIL INFERIOR</t>
  </si>
  <si>
    <t>W11581234</t>
  </si>
  <si>
    <t>Frame Inferior Hcb Chrysler</t>
  </si>
  <si>
    <t>TAPA MOVIL INF HCB CHRYSLER COPA 2.0</t>
  </si>
  <si>
    <t>W11503279</t>
  </si>
  <si>
    <t>Tapa Movil Inferior HCB</t>
  </si>
  <si>
    <t>TAPA MOVIL INF HCB COAL COPA 2.0</t>
  </si>
  <si>
    <t>W11625470</t>
  </si>
  <si>
    <t>LOWER FRAME, BLACK SHEEP</t>
  </si>
  <si>
    <t>TAPA MOVIL INF HCB NEGRO COPA 2.0</t>
  </si>
  <si>
    <t>W11730495</t>
  </si>
  <si>
    <t>LID FRAME SOFT CLOSE</t>
  </si>
  <si>
    <t>FRAME NEGRO BOTERO 2</t>
  </si>
  <si>
    <t>TAPA MOVIL</t>
  </si>
  <si>
    <t>W11638826</t>
  </si>
  <si>
    <t>Frame Inferior Black Haceb</t>
  </si>
  <si>
    <t>MARCO HCB NEGRO</t>
  </si>
  <si>
    <t>W11548301</t>
  </si>
  <si>
    <t>FRAME HCB COAL</t>
  </si>
  <si>
    <t>TAPA MOVIL HCB COAL (NEGRA)</t>
  </si>
  <si>
    <t>W11491993</t>
  </si>
  <si>
    <t>FRAME BLACK</t>
  </si>
  <si>
    <t>TAPA MOVIL WHP NEGRO COPA 2.0</t>
  </si>
  <si>
    <t>W11491992</t>
  </si>
  <si>
    <t>FRAME TEMPEST</t>
  </si>
  <si>
    <t>TAPA MOVIL WHP TEMPEST COPA 2.0</t>
  </si>
  <si>
    <t>W11351956</t>
  </si>
  <si>
    <t>TAMPA IMPELLER/AGIPELLER</t>
  </si>
  <si>
    <t>TAPA IMP/AGP BLANCA</t>
  </si>
  <si>
    <t>TAPA IMP/AGP</t>
  </si>
  <si>
    <t>W11351954</t>
  </si>
  <si>
    <t>TAPA IMP/AGP GRIS</t>
  </si>
  <si>
    <t>W11496615</t>
  </si>
  <si>
    <t>IMPELLER CAP</t>
  </si>
  <si>
    <t>TAPA IMPEL WHP GRIS COPA 2.0</t>
  </si>
  <si>
    <t>W11502220</t>
  </si>
  <si>
    <t>LINT FILTER COVER HC</t>
  </si>
  <si>
    <t>TAPA FILTRO HCB GRIS COPA 2.0</t>
  </si>
  <si>
    <t>TAPA FILTRO</t>
  </si>
  <si>
    <t>W11502216</t>
  </si>
  <si>
    <t>LINT FILTER COVER WH</t>
  </si>
  <si>
    <t>TAPA FILTRO WHP GRIS COPA 2.0</t>
  </si>
  <si>
    <t>W11723618</t>
  </si>
  <si>
    <t>TOP L24, COLD WATER, GREY</t>
  </si>
  <si>
    <t>TAPA FIJA BOTERO TEMPEST</t>
  </si>
  <si>
    <t>W11730555</t>
  </si>
  <si>
    <t>TOP L24,COLD WATER, WHITE</t>
  </si>
  <si>
    <t>TAPA FIJA BOTERO BLANCA</t>
  </si>
  <si>
    <t>W11750177</t>
  </si>
  <si>
    <t>TOP L24, COLD WATER, BLACK</t>
  </si>
  <si>
    <t>TAPA FIJA BOTERO NEGRA</t>
  </si>
  <si>
    <t>W11501569</t>
  </si>
  <si>
    <t>TOP TEMPEST</t>
  </si>
  <si>
    <t>TAJA FIJA WHP TEMPEST FRIA COPA 2.0</t>
  </si>
  <si>
    <t>W11539825</t>
  </si>
  <si>
    <t>GVM-TOP HV LL</t>
  </si>
  <si>
    <t>TAPA FIJA HCB AGP GRIS COAL</t>
  </si>
  <si>
    <t>W11638815</t>
  </si>
  <si>
    <t>TAPA FIJA NEGRA</t>
  </si>
  <si>
    <t>TAPA FIJA HCB AGP NEGRA</t>
  </si>
  <si>
    <t>W11519086</t>
  </si>
  <si>
    <t>TOP Whirlpool</t>
  </si>
  <si>
    <t>TAPA FIJA HCB CHRYSLER EVOX COPA 2.0</t>
  </si>
  <si>
    <t>W11519083</t>
  </si>
  <si>
    <t>Tapa Fija HCB</t>
  </si>
  <si>
    <t>TAPA FIJA HCB COAL FRIA COPA 2.0</t>
  </si>
  <si>
    <t>W11501424</t>
  </si>
  <si>
    <t>TOP WHITE</t>
  </si>
  <si>
    <t>TAPA FIJA HCB FRIA BLANCO COPA 2.0</t>
  </si>
  <si>
    <t>W11642094</t>
  </si>
  <si>
    <t>TAPA FIJA HCB NEGRA COPA 2.0</t>
  </si>
  <si>
    <t>W11691104</t>
  </si>
  <si>
    <t>TAPA FIJA IMP WHP TEMPEST</t>
  </si>
  <si>
    <t>W11401383</t>
  </si>
  <si>
    <t>TAMPA FIXA AGIPELLER TEMPEST WHP</t>
  </si>
  <si>
    <t>TAPA FIJA WHP AGP NEGRA</t>
  </si>
  <si>
    <t>W11401384</t>
  </si>
  <si>
    <t>TAPA FIJA WHP AGP TEMPEST</t>
  </si>
  <si>
    <t>W11501577</t>
  </si>
  <si>
    <t>TOP CHROME HOT</t>
  </si>
  <si>
    <t>TAPA FIJA WHP AGUA CAL CHROME SHADOW COPA 2.0</t>
  </si>
  <si>
    <t>W11501570</t>
  </si>
  <si>
    <t>TOP TEMPEST HOT</t>
  </si>
  <si>
    <t>TAPA FIJA WHP AGUA CAL TEMPEST COPA 2.0</t>
  </si>
  <si>
    <t>W11501567</t>
  </si>
  <si>
    <t>TOP WHITE HOT</t>
  </si>
  <si>
    <t>TAPA FIJA WHP CALIENTE BLANCO COPA 2.0</t>
  </si>
  <si>
    <t>W11501566</t>
  </si>
  <si>
    <t>TAPA FIJA WHP FRIA BLANCO COPA 2.0</t>
  </si>
  <si>
    <t>W11401379</t>
  </si>
  <si>
    <t>TAPA FIJA WHP IMP NEGRA</t>
  </si>
  <si>
    <t>W11520036</t>
  </si>
  <si>
    <t>Tapa Fija Gris coal 2V</t>
  </si>
  <si>
    <t>TAPA FIJA GRIS COAL 2V</t>
  </si>
  <si>
    <t>W11500979</t>
  </si>
  <si>
    <t>DAMPER COVER,WHITE</t>
  </si>
  <si>
    <t>TAPA DAMPER HCB BLANCO COPA 2.0</t>
  </si>
  <si>
    <t>TAPA DAMPER</t>
  </si>
  <si>
    <t>W11581273</t>
  </si>
  <si>
    <t>Damper Cover Chrysler</t>
  </si>
  <si>
    <t>TAPA DAMPER HCB COVER CHRYSLER COPA 2.0</t>
  </si>
  <si>
    <t>W11503285</t>
  </si>
  <si>
    <t>Damper Cover Haceb Coal</t>
  </si>
  <si>
    <t>TAPA DAMPER HCB COVER COAL COPA 2.0</t>
  </si>
  <si>
    <t>W11625464</t>
  </si>
  <si>
    <t>DAMPER COVER,COAL GRAY</t>
  </si>
  <si>
    <t>TAPA DAMPER HCB COVER NEGRO COPA 2.0</t>
  </si>
  <si>
    <t>W11492000</t>
  </si>
  <si>
    <t>DAMPER COVER BLACK</t>
  </si>
  <si>
    <t>TAPA DAMPER WHP NEGRO COPA 2.0</t>
  </si>
  <si>
    <t>W11491999</t>
  </si>
  <si>
    <t>DAMPER COVER TEMPEST</t>
  </si>
  <si>
    <t>TAPA DAMPER WHP TEMPEST COPA 2.0</t>
  </si>
  <si>
    <t>W10705255</t>
  </si>
  <si>
    <t>TAPA ALMOFADA</t>
  </si>
  <si>
    <t>TAPA ALMOFADA (tapa cojin)</t>
  </si>
  <si>
    <t>W10704805</t>
  </si>
  <si>
    <t>TANQUE-TUB 24"</t>
  </si>
  <si>
    <t>TANQUE</t>
  </si>
  <si>
    <t>W10710121</t>
  </si>
  <si>
    <t>SOPORTE TANQUE</t>
  </si>
  <si>
    <t>SOPORTE TANQUE (FUNDALCO)</t>
  </si>
  <si>
    <t>W11353094</t>
  </si>
  <si>
    <t>SUPORTE MOTOR</t>
  </si>
  <si>
    <t>W10655121</t>
  </si>
  <si>
    <t>SOPORTE MICRO CHAVE</t>
  </si>
  <si>
    <t>SOPORTE MICRO LLAVE</t>
  </si>
  <si>
    <t>W11618773</t>
  </si>
  <si>
    <t>RAW DRIVE HUB</t>
  </si>
  <si>
    <t>SOPORTE CESTO ALUMINIO COPA 2.0</t>
  </si>
  <si>
    <t>SOPORTE CESTO</t>
  </si>
  <si>
    <t>W11746905</t>
  </si>
  <si>
    <t>SILICONA SPRAY CRC</t>
  </si>
  <si>
    <t>ML</t>
  </si>
  <si>
    <t>SILICONA SPRAY CRC 430ML (Emp y Empaques)</t>
  </si>
  <si>
    <t>SILICONA</t>
  </si>
  <si>
    <t>W10516159</t>
  </si>
  <si>
    <t>ROLAMENTO- BALL 6006 2RS</t>
  </si>
  <si>
    <t>BEARING BALL (RODAMIENTO)</t>
  </si>
  <si>
    <t>W10647949</t>
  </si>
  <si>
    <t>RETENEDOR DRIVE BLOCK</t>
  </si>
  <si>
    <t>RETENEDOR</t>
  </si>
  <si>
    <t>W11657637</t>
  </si>
  <si>
    <t>RETENTOR DA SUSPENSAO</t>
  </si>
  <si>
    <t>RETENEDOR DE SUSP VARILLA</t>
  </si>
  <si>
    <t>RETEN SUSPENSION</t>
  </si>
  <si>
    <t>W10751509</t>
  </si>
  <si>
    <t>RETEN LAVADORA /AWR680-3</t>
  </si>
  <si>
    <t>RETENEDOR LAVADORA (PARKER)</t>
  </si>
  <si>
    <t>RETEN LAVADORA</t>
  </si>
  <si>
    <t>W10890629</t>
  </si>
  <si>
    <t>RESORTE SUSPENSION</t>
  </si>
  <si>
    <t>326001560</t>
  </si>
  <si>
    <t>RESORTE FRENO</t>
  </si>
  <si>
    <t>RESORTE FRENO WWI13/16</t>
  </si>
  <si>
    <t>W10742395</t>
  </si>
  <si>
    <t>RESORTE</t>
  </si>
  <si>
    <t>RESORTE ESPARCIDOR</t>
  </si>
  <si>
    <t>RESORTE ESPARCIDOR_PROV</t>
  </si>
  <si>
    <t>W11104317</t>
  </si>
  <si>
    <t>RESORTE EMBRAGUE</t>
  </si>
  <si>
    <t>326028747</t>
  </si>
  <si>
    <t>POLYPROPYLENE</t>
  </si>
  <si>
    <t>RECICLADO DE TANQUE</t>
  </si>
  <si>
    <t>RESINAS_REMOLIDO</t>
  </si>
  <si>
    <t>W11674916</t>
  </si>
  <si>
    <t>ABS - REGRIND LG CHEM HG173 966248</t>
  </si>
  <si>
    <t>ABS REMOLIDO ABS (Cod Plastirios)</t>
  </si>
  <si>
    <t>W11708323</t>
  </si>
  <si>
    <t>ABS PLASTIRIOS RECYCLED HG173 969127</t>
  </si>
  <si>
    <t>ABS REMOLIDO ABS (cod Riduco)</t>
  </si>
  <si>
    <t>W11634496</t>
  </si>
  <si>
    <t>ABS - TRUHER RECYCLED HG173 969127  GRAY</t>
  </si>
  <si>
    <t>ABS TRUHER RECYCLED (Cod Truher)</t>
  </si>
  <si>
    <t>326041932</t>
  </si>
  <si>
    <t>polipropileno reciclado</t>
  </si>
  <si>
    <t>POLIPROPILENO RECICLADO TANQUE (Cod Plastirios)</t>
  </si>
  <si>
    <t>326025857</t>
  </si>
  <si>
    <t>ABS ALTO FLUXO NATURAL (GP22NATURAL)</t>
  </si>
  <si>
    <t>ABS ALTO FLUJO NAT-GP22NATURAL</t>
  </si>
  <si>
    <t>W10768386</t>
  </si>
  <si>
    <t>ABS ALTO IMPACTO TEMPEST GREY</t>
  </si>
  <si>
    <t>ABS ALTO IMP TEMPEST-HG173-8P022</t>
  </si>
  <si>
    <t>326032999</t>
  </si>
  <si>
    <t>ABS ALTO IMPACTO ALTA FLUIDEZ GW</t>
  </si>
  <si>
    <t>ABS ALTO IMPACTO ALTA FLUIDEZ GW-W07802</t>
  </si>
  <si>
    <t>W10917421</t>
  </si>
  <si>
    <t>ABS ALTO IMPACTO GRIS TITANIO HACEB</t>
  </si>
  <si>
    <t>ABS ALTO IMPACTO GRIS TITANIO-8P736</t>
  </si>
  <si>
    <t>W11291871</t>
  </si>
  <si>
    <t>ABS Alto Impacto Black</t>
  </si>
  <si>
    <t>ABS ALTO IMPACTO NEGRO-95271</t>
  </si>
  <si>
    <t>W11527436</t>
  </si>
  <si>
    <t>ABS - ABS HG173 968135 EE ANTRACITE DARK</t>
  </si>
  <si>
    <t>ABS HG173-8S886 EE ANTRACITE COAL</t>
  </si>
  <si>
    <t>W10352978</t>
  </si>
  <si>
    <t>ABS ALTO IMPACTO ALTA FLUIDEZ GW C/ ADIT</t>
  </si>
  <si>
    <t>ABS LG BLANCO HG173-HW07802</t>
  </si>
  <si>
    <t>326039029</t>
  </si>
  <si>
    <t>ABS MEDIO IMPACTO ANTI CHAMA 5VA</t>
  </si>
  <si>
    <t>ABS MEDIO IMPACTO ANTI CHAMA 5VA-17606</t>
  </si>
  <si>
    <t>W10804329</t>
  </si>
  <si>
    <t>CONCENTRADO</t>
  </si>
  <si>
    <t>G</t>
  </si>
  <si>
    <t>CONCETRADO CROMEX-PIGMENTO NEGRO 2032</t>
  </si>
  <si>
    <t>326028198</t>
  </si>
  <si>
    <t>COPOLIMERO DE PROPENO/ETENO (CP401HC)</t>
  </si>
  <si>
    <t>COPOLIMERO DE PROPENO/ETENO-CP401HC</t>
  </si>
  <si>
    <t>051002253</t>
  </si>
  <si>
    <t>POLIESTIRENO</t>
  </si>
  <si>
    <t>INNOVA HIPS RT441M (2253)</t>
  </si>
  <si>
    <t>W11117473</t>
  </si>
  <si>
    <t>MB -ABS TERMOCOLOR TMB 77002 968992</t>
  </si>
  <si>
    <t>MASTER ABS CHAGALL COPA 2.0</t>
  </si>
  <si>
    <t>W11456172</t>
  </si>
  <si>
    <t>MB_ABS - POLYONE CC10322639WE 966170 DOV</t>
  </si>
  <si>
    <t>MASTER ABS DOVE GREY CC10322639WE 966170</t>
  </si>
  <si>
    <t>W10915832</t>
  </si>
  <si>
    <t>MB-PP ARCOLOR 15444 967000 DOLPHIN GRA</t>
  </si>
  <si>
    <t>MASTER PP GRAY DOLPHIN-15444 967000</t>
  </si>
  <si>
    <t>W10804239</t>
  </si>
  <si>
    <t>MB-PP W PENN UC2QO0 966170 DOVE GREY LT</t>
  </si>
  <si>
    <t>MASTER PP WPENN UC2QO0 966170 DOVE GREY LT</t>
  </si>
  <si>
    <t>W10733317</t>
  </si>
  <si>
    <t>PP - AZUL CRISTAL</t>
  </si>
  <si>
    <t>MASTER PP-AZUL CRISTAL-14306</t>
  </si>
  <si>
    <t>W11161623</t>
  </si>
  <si>
    <t>MB - CELCON M90-07 CD3068 K40 BLACK</t>
  </si>
  <si>
    <t>MB CELCON M90-07 CD3068 K40 BLACK</t>
  </si>
  <si>
    <t>W10261574</t>
  </si>
  <si>
    <t>PA66 NATURAL + 33% FG</t>
  </si>
  <si>
    <t>NYLON DUPONT 70 G 33HS1L NAT</t>
  </si>
  <si>
    <t>326010544</t>
  </si>
  <si>
    <t>POLIAMIDA 6.6 WITH 33% GLASS REINFORCED</t>
  </si>
  <si>
    <t>NYLON DUPONT ZYTEL NEGRO- 70 G 33HS1L BK 031</t>
  </si>
  <si>
    <t>W10759651</t>
  </si>
  <si>
    <t>MASTER ABS CINZA DOLPHIN</t>
  </si>
  <si>
    <t>PIGMENTO GRIS 14329 DOLPHIN CROMEX</t>
  </si>
  <si>
    <t>000306300</t>
  </si>
  <si>
    <t>POLIPROPILENO COMUM (H 503)</t>
  </si>
  <si>
    <t>POLIPROPILENO COMUM-H 503</t>
  </si>
  <si>
    <t>000306307</t>
  </si>
  <si>
    <t>POM COPOL#MERO COM TEFLON LW-90</t>
  </si>
  <si>
    <t>POM CELCOM LW-90</t>
  </si>
  <si>
    <t>W10486429</t>
  </si>
  <si>
    <t>POM COPOL#MERO ALTA FLUIDEZ</t>
  </si>
  <si>
    <t>POM CELCOM WHP M270 968000 NAT</t>
  </si>
  <si>
    <t>000306308</t>
  </si>
  <si>
    <t>POM COPOLIMERO</t>
  </si>
  <si>
    <t>POM CELCON M50 CF2001 NAT A1</t>
  </si>
  <si>
    <t>W10512641</t>
  </si>
  <si>
    <t>POM-W10271570 CLASSE 9- CINZA CHAGALL</t>
  </si>
  <si>
    <t>POM-W10271570 CLASSE 9-CINZA CHAGALL</t>
  </si>
  <si>
    <t>000306302</t>
  </si>
  <si>
    <t>PP COPO ALTA FLUIDEZ MEDIO IMPACTO</t>
  </si>
  <si>
    <t>PP COPO ALTA FLUIDEZ BRASKEM-CP 241</t>
  </si>
  <si>
    <t>326033002</t>
  </si>
  <si>
    <t>CONC.COR PP GW</t>
  </si>
  <si>
    <t>PP CROMEX BLANCO GW-2225</t>
  </si>
  <si>
    <t>W10346385</t>
  </si>
  <si>
    <t>MASTER CINZA CHAGALL PP</t>
  </si>
  <si>
    <t>PP CROMEX GRIS CHAGALL-11982</t>
  </si>
  <si>
    <t>326006408</t>
  </si>
  <si>
    <t>CONC.COR PRETO P/ABS</t>
  </si>
  <si>
    <t>PP CROMEX NEGRO ABS- 3001</t>
  </si>
  <si>
    <t>004259220</t>
  </si>
  <si>
    <t>PP HOMO 40% TALCO BAIXA FLUIDEZ</t>
  </si>
  <si>
    <t>PP HOMO 40% TALCO BAJA FLUIDEZ-BOREALIS</t>
  </si>
  <si>
    <t>000306301</t>
  </si>
  <si>
    <t>PP HOMO BAIXA FLUIDEZ</t>
  </si>
  <si>
    <t>PP HOMO BAIXA FLUIDEZ-H 603</t>
  </si>
  <si>
    <t>W10710904</t>
  </si>
  <si>
    <t>MB-PP W PENN UC2OF0 966248 TEMPEST GREY</t>
  </si>
  <si>
    <t>PP W PENN UC2OF0 966248 TEMPEST GREY</t>
  </si>
  <si>
    <t>W11352621</t>
  </si>
  <si>
    <t>PP - WPENN UP3F306 800043 WHITE LOW TIO2</t>
  </si>
  <si>
    <t>PP-WPENN UP3F306 800043 WHITE LOW TIO2</t>
  </si>
  <si>
    <t>W10821148</t>
  </si>
  <si>
    <t>REMACHE ALUMINIO</t>
  </si>
  <si>
    <t>REMACHE</t>
  </si>
  <si>
    <t>W11526356</t>
  </si>
  <si>
    <t>LEVEL SCALE ASSY</t>
  </si>
  <si>
    <t>REGLA DE NIVEL WHP BL COPA 2.0</t>
  </si>
  <si>
    <t>REGLA DE NIVEL</t>
  </si>
  <si>
    <t>W11287574</t>
  </si>
  <si>
    <t>PRIMER</t>
  </si>
  <si>
    <t>PRIMER (TESA)</t>
  </si>
  <si>
    <t>QUIMICOS-PRIMER</t>
  </si>
  <si>
    <t>W10763490</t>
  </si>
  <si>
    <t>NANOCERÂMICO (TECTALIS MAKE UP A)</t>
  </si>
  <si>
    <t>NANOCERÂMICO TECTALIS LADO A caneca grande NE</t>
  </si>
  <si>
    <t>QUIMICOS-NANOCERAMICO</t>
  </si>
  <si>
    <t>W10748096</t>
  </si>
  <si>
    <t>GRAXA RS 34</t>
  </si>
  <si>
    <t>GRASA RS34 25 KG COPA 2.0</t>
  </si>
  <si>
    <t>QUIMICOS-GRASA COPA2</t>
  </si>
  <si>
    <t>326059648</t>
  </si>
  <si>
    <t>GRASA MULTIFAK EP2 00995</t>
  </si>
  <si>
    <t>GRASA CANECA 170 KG</t>
  </si>
  <si>
    <t>QUIMICOS-GRASA</t>
  </si>
  <si>
    <t>W11546473</t>
  </si>
  <si>
    <t>GRAXA MULTIFAK EP2 00995</t>
  </si>
  <si>
    <t>GRASA EP2 00995 (5 GAL)</t>
  </si>
  <si>
    <t>W10763489</t>
  </si>
  <si>
    <t>DESENGRAXANTE (P3 RYDOLINE 7163 CF5)</t>
  </si>
  <si>
    <t>BONDERITE 7163 caneca mediana</t>
  </si>
  <si>
    <t>QUIMICOS-DESENGRASANTE</t>
  </si>
  <si>
    <t>W10777934</t>
  </si>
  <si>
    <t>BONDERITE M-NT 1200 MAKE UP B HENKEL</t>
  </si>
  <si>
    <t>BONDERITE-TECTALIS LADO B caneca grande NE</t>
  </si>
  <si>
    <t>QUIMICOS-BONDERITE</t>
  </si>
  <si>
    <t>W10777932</t>
  </si>
  <si>
    <t>ADITIVO SURFACTANTE PRÉ TRATAMENT HENKE</t>
  </si>
  <si>
    <t>ADITIVO HENKEL C-AD905 Caneca pequeña</t>
  </si>
  <si>
    <t>QUIMICOS-ADITIVO</t>
  </si>
  <si>
    <t>W11572466</t>
  </si>
  <si>
    <t>PUXADOR</t>
  </si>
  <si>
    <t>PUXADOR ACROS</t>
  </si>
  <si>
    <t>W10703510</t>
  </si>
  <si>
    <t>PUXADOR AGIPELLER WHP BLANCO</t>
  </si>
  <si>
    <t>PUXADOR AGP WHP (BLANCO)</t>
  </si>
  <si>
    <t>W11238767</t>
  </si>
  <si>
    <t>PUXADOR AGIPELLER WHP SP</t>
  </si>
  <si>
    <t>PUXADOR AGP WHP SP</t>
  </si>
  <si>
    <t>W11642308</t>
  </si>
  <si>
    <t>HANDLE TRIM,COAL GRA</t>
  </si>
  <si>
    <t>PUXADOR COAL COPA 2.0</t>
  </si>
  <si>
    <t>W11500988</t>
  </si>
  <si>
    <t>HANDLE TRIM,CHR</t>
  </si>
  <si>
    <t>PUXADOR HCB CROMADO COPA 2.0</t>
  </si>
  <si>
    <t>W11625463</t>
  </si>
  <si>
    <t>HANDLE TRIM, BLACK SHEEP</t>
  </si>
  <si>
    <t>PUXADOR NEGRO COPA 2.0</t>
  </si>
  <si>
    <t>W10741520</t>
  </si>
  <si>
    <t>PROTECTOR DE TERMINALES</t>
  </si>
  <si>
    <t>PROTECTOR TERMINALES</t>
  </si>
  <si>
    <t>W11735694</t>
  </si>
  <si>
    <t>PROTECTOR POLEA EN ABS</t>
  </si>
  <si>
    <t>PROTECTOR POLEA EN ABS (FACTORIAS)</t>
  </si>
  <si>
    <t>PROTECTOR POLEA</t>
  </si>
  <si>
    <t>W11734874</t>
  </si>
  <si>
    <t>PROTECTOR DE POLEA ABS COPA</t>
  </si>
  <si>
    <t>PROTECTOR POLEA EN ABS (TRUHER)</t>
  </si>
  <si>
    <t>W11094445</t>
  </si>
  <si>
    <t>FUNDO PROTETOR RESINA TANQUE</t>
  </si>
  <si>
    <t>FONDO PROTECTOR</t>
  </si>
  <si>
    <t>PROTECTOR COMPONENTES</t>
  </si>
  <si>
    <t>W10876922</t>
  </si>
  <si>
    <t>PRESSURE SWITCH SEALING</t>
  </si>
  <si>
    <t>SELLO ESPUMA AGIPELLER (PRESSURE)</t>
  </si>
  <si>
    <t>PRESSURE</t>
  </si>
  <si>
    <t>W11160690</t>
  </si>
  <si>
    <t>PRESSURE SENSOR</t>
  </si>
  <si>
    <t>PRESOSTATO LINEAL</t>
  </si>
  <si>
    <t>PRESOSTATO</t>
  </si>
  <si>
    <t>W11491994</t>
  </si>
  <si>
    <t>HINGE POST</t>
  </si>
  <si>
    <t>POSTE BISAGRA NEGRO COPA 2.0</t>
  </si>
  <si>
    <t>POSTE BISAGRA</t>
  </si>
  <si>
    <t>W11705450</t>
  </si>
  <si>
    <t>CONSOLA WHP IMPELLER COPA 2.0</t>
  </si>
  <si>
    <t>CONSOLA WHP SHELL COPA 2.0 CON REMOL</t>
  </si>
  <si>
    <t>PORTA TARJETAS</t>
  </si>
  <si>
    <t>W10725000</t>
  </si>
  <si>
    <t>CJ TAMPO AGP HCB</t>
  </si>
  <si>
    <t>TAPA PORON HCB AGP</t>
  </si>
  <si>
    <t>PORON TAPA</t>
  </si>
  <si>
    <t>W11535999</t>
  </si>
  <si>
    <t>Cj Tampo EPS Haceb</t>
  </si>
  <si>
    <t>TAPA PORON HCB COPA 2.0</t>
  </si>
  <si>
    <t>W10724998</t>
  </si>
  <si>
    <t>CJ TAMPO AGP WHP</t>
  </si>
  <si>
    <t>TAPA PORON WHP AGP</t>
  </si>
  <si>
    <t>W11536005</t>
  </si>
  <si>
    <t>Cj Tampo EPS WHP Spanish</t>
  </si>
  <si>
    <t>TAPA PORON WHP COPA 2.0</t>
  </si>
  <si>
    <t>W10672816</t>
  </si>
  <si>
    <t>CJ CUBIERTA SUPERIOR</t>
  </si>
  <si>
    <t>TAPA PORON WHP IMP</t>
  </si>
  <si>
    <t>W11700209</t>
  </si>
  <si>
    <t>EPS TOP ASSEMBLY WHP BEST - ENGLISH</t>
  </si>
  <si>
    <t>TAPA PORON WHP MEX</t>
  </si>
  <si>
    <t>W11760032</t>
  </si>
  <si>
    <t>TOP COVER ASSY BP TRIL. W/O HANDLE</t>
  </si>
  <si>
    <t>W11483986</t>
  </si>
  <si>
    <t>LID SUPPORT HCB, NEU</t>
  </si>
  <si>
    <t>SOPORTE PORON TAPA HCB COPA 2.0</t>
  </si>
  <si>
    <t>PORON SOPORTE VIDRIO</t>
  </si>
  <si>
    <t>W11483973</t>
  </si>
  <si>
    <t>LID SUPPORT WHP, NEU</t>
  </si>
  <si>
    <t>SOPORTE PORON TAPA WHP COPA 2.0</t>
  </si>
  <si>
    <t>W10717793</t>
  </si>
  <si>
    <t>ESQUINERO TRASERO</t>
  </si>
  <si>
    <t>ESQUINERO PORON TRASERO BEST</t>
  </si>
  <si>
    <t>PORON ESQUIN TRAS</t>
  </si>
  <si>
    <t>W11490324</t>
  </si>
  <si>
    <t>REAR CORNER EPS BEST</t>
  </si>
  <si>
    <t>ESQUINERO PORON TRASERO BEST COPA 2.0</t>
  </si>
  <si>
    <t>W11483976</t>
  </si>
  <si>
    <t>REAR CORNER EPS, NEU</t>
  </si>
  <si>
    <t>ESQUINERO PORON TRASERO GOOD COPA 2.0</t>
  </si>
  <si>
    <t>W11490321</t>
  </si>
  <si>
    <t>FRONT CORNER EPS BES</t>
  </si>
  <si>
    <t>ESQUINERO PORON FRONT BEST COPA 2.0</t>
  </si>
  <si>
    <t>PORON ESQUIN FRONT</t>
  </si>
  <si>
    <t>W11483975</t>
  </si>
  <si>
    <t>FRONT CORNER EPS, NE</t>
  </si>
  <si>
    <t>ESQUINERO PORON FRONT GOOD COPA 2.0</t>
  </si>
  <si>
    <t>W10717792</t>
  </si>
  <si>
    <t>ESQUINERO FRONTAL</t>
  </si>
  <si>
    <t>ESQUINERO PORON FRONTAL BEST</t>
  </si>
  <si>
    <t>W11483974</t>
  </si>
  <si>
    <t>EPS BASE, NEU</t>
  </si>
  <si>
    <t>BASE EPS GOOD-BEST COPA 2.0</t>
  </si>
  <si>
    <t>PORON BASE</t>
  </si>
  <si>
    <t>W10717791</t>
  </si>
  <si>
    <t>BASE TRANSPORTE</t>
  </si>
  <si>
    <t>BASE PORON BEST</t>
  </si>
  <si>
    <t>W10672820</t>
  </si>
  <si>
    <t>BASE TRANSPORTE_BETTER</t>
  </si>
  <si>
    <t>BASE PORON BETTER</t>
  </si>
  <si>
    <t>W11552554</t>
  </si>
  <si>
    <t>Polea 50Hz</t>
  </si>
  <si>
    <t>POLEA 50HZ</t>
  </si>
  <si>
    <t>POLEAS</t>
  </si>
  <si>
    <t>W11552555</t>
  </si>
  <si>
    <t>Polea 60Hz</t>
  </si>
  <si>
    <t>POLEA 60HZ</t>
  </si>
  <si>
    <t>W11486735</t>
  </si>
  <si>
    <t>PLUG BALANCE RING</t>
  </si>
  <si>
    <t>PLUG BLANCO COPA 2.0</t>
  </si>
  <si>
    <t>PLUG</t>
  </si>
  <si>
    <t>W11351945</t>
  </si>
  <si>
    <t>PLUG HCB BLANCO</t>
  </si>
  <si>
    <t>W11351948</t>
  </si>
  <si>
    <t>PLUG WHP GRIS</t>
  </si>
  <si>
    <t>W10756449</t>
  </si>
  <si>
    <t>BOLSA PLASTICA STRETCH HOOD</t>
  </si>
  <si>
    <t>PLASTICO STRETCH HOOD(580+530)x3,15 80M</t>
  </si>
  <si>
    <t>PLASTICO DE EMPAQUE</t>
  </si>
  <si>
    <t>W11491726</t>
  </si>
  <si>
    <t>ACU, ASSY, LAR COPA2, BATMAN, PANASONIC</t>
  </si>
  <si>
    <t>PLACA POTENCIA BATMAN LAR COPA 2.0</t>
  </si>
  <si>
    <t>PLACA POTENCIA</t>
  </si>
  <si>
    <t>W11553515</t>
  </si>
  <si>
    <t>CTRL-LAR COPA2, BATMAN, PANASONIC</t>
  </si>
  <si>
    <t>PLACA POTENCIA BATMAN PANASONIC COPA 2.0</t>
  </si>
  <si>
    <t>W11036799</t>
  </si>
  <si>
    <t>POWER BOARD ASSY COPACABANA</t>
  </si>
  <si>
    <t>PLACA POTENCIA MAKAIRA</t>
  </si>
  <si>
    <t>W11133652</t>
  </si>
  <si>
    <t>POWER BOARD ASSY COPACABANA LOW</t>
  </si>
  <si>
    <t>PLACA POTENCIA MAKAIRA (LOW)</t>
  </si>
  <si>
    <t>W10763437</t>
  </si>
  <si>
    <t>ESMALTE HIBRIDO BLANCO</t>
  </si>
  <si>
    <t>PINTURA BLANCA</t>
  </si>
  <si>
    <t>PINTURAS</t>
  </si>
  <si>
    <t>W11660525</t>
  </si>
  <si>
    <t>Pintura Nuevo Coal Gray</t>
  </si>
  <si>
    <t>PINTURA COAL GRAY</t>
  </si>
  <si>
    <t>W10763441</t>
  </si>
  <si>
    <t>ESMALTE HIBRIDO TEMPEST</t>
  </si>
  <si>
    <t>PINTURA GRIS TEMPEST</t>
  </si>
  <si>
    <t>W11254879</t>
  </si>
  <si>
    <t>ESMALTE HIBRIDO PÓ NEGRO</t>
  </si>
  <si>
    <t>PINTURA NEGRA</t>
  </si>
  <si>
    <t>W10679136</t>
  </si>
  <si>
    <t>PIN DE BISAGRA</t>
  </si>
  <si>
    <t>PIN BISAGRA</t>
  </si>
  <si>
    <t>W11501897</t>
  </si>
  <si>
    <t>LEVELER FOOT BLACK</t>
  </si>
  <si>
    <t>PIE NIVELADOR NEGRO</t>
  </si>
  <si>
    <t>PIE NIVELADOR</t>
  </si>
  <si>
    <t>W11501898</t>
  </si>
  <si>
    <t>LEVELER FOOT TEMPEST</t>
  </si>
  <si>
    <t>PIE NIVELADOR TEMPEST</t>
  </si>
  <si>
    <t>W11641191</t>
  </si>
  <si>
    <t>CYCLE KNOB HACEB BLACK ASSY</t>
  </si>
  <si>
    <t>PERILLA CICLOS HCB NEGRA</t>
  </si>
  <si>
    <t>PERILLAS</t>
  </si>
  <si>
    <t>W10703613</t>
  </si>
  <si>
    <t>PERILLA CICLOS WHP NEGRA (Grande)</t>
  </si>
  <si>
    <t>PERILLA CICLOS WHP NEGRA (GRANDE)</t>
  </si>
  <si>
    <t>W11548734</t>
  </si>
  <si>
    <t>CYCLE KNOB HACEB SOLID SILVER ASSY</t>
  </si>
  <si>
    <t>PERILLA DE CICLOS HCB COAL (NEGRA)</t>
  </si>
  <si>
    <t>W11548735</t>
  </si>
  <si>
    <t>PERILLA ENCODER HCB COAL (NEGRA)</t>
  </si>
  <si>
    <t>W11641196</t>
  </si>
  <si>
    <t>ENCODER KNOB ASSY BLACK</t>
  </si>
  <si>
    <t>PERILLA ENCODER HCB NEGRA</t>
  </si>
  <si>
    <t>W11501490</t>
  </si>
  <si>
    <t>IMD Producto 11kg Argentina</t>
  </si>
  <si>
    <t>PANEL-CONSOLA IMD 11KG ARG COPA 2.0</t>
  </si>
  <si>
    <t>PANEL DECORATIVO IMD</t>
  </si>
  <si>
    <t>W11675631</t>
  </si>
  <si>
    <t>CONSOLE IMPELLER WHP (PS)</t>
  </si>
  <si>
    <t>PANEL-CONSOLA IMD 17 KG PORTUGUES COPA 2.0</t>
  </si>
  <si>
    <t>W11501470</t>
  </si>
  <si>
    <t>PANEL CONSOLE IMPELLER WHP</t>
  </si>
  <si>
    <t>PANEL-CONSOLA IMD 17KG COL COPA 2.0</t>
  </si>
  <si>
    <t>W11501478</t>
  </si>
  <si>
    <t>PANEL CONSOLE IMPELLER WHP (PS)</t>
  </si>
  <si>
    <t>PANEL-CONSOLA IMD 17KG INGLES COPA 2.0</t>
  </si>
  <si>
    <t>W11501485</t>
  </si>
  <si>
    <t>PANEL-CONSOLA IMD 17KG PERU COPA 2.0</t>
  </si>
  <si>
    <t>W11501481</t>
  </si>
  <si>
    <t>PANEL-CONSOLA IMD 20KG INGLES COPA 2.0</t>
  </si>
  <si>
    <t>W11501486</t>
  </si>
  <si>
    <t>PANEL-CONSOLA IMD 20KG UPB COPA 2.0</t>
  </si>
  <si>
    <t>W11682101</t>
  </si>
  <si>
    <t>PANEL-CONSOLA IMD WHP NEGRA 21 Kg COP 2.0</t>
  </si>
  <si>
    <t>W11525594</t>
  </si>
  <si>
    <t>PANEL-CONSOLA IMD WW19BTAHLA COPA 2.0</t>
  </si>
  <si>
    <t>W11501474</t>
  </si>
  <si>
    <t>PANEL-CONSOLA IMD WW19LBAHLA/BLA COPA 2.0</t>
  </si>
  <si>
    <t>W11501475</t>
  </si>
  <si>
    <t>PANEL-CONSOLA IMD WW19LTAHLA COPA 2.0</t>
  </si>
  <si>
    <t>W11501477</t>
  </si>
  <si>
    <t>PANEL-CONSOLA IMD WW20B COPA 2.0</t>
  </si>
  <si>
    <t>W11525592</t>
  </si>
  <si>
    <t>PANEL-CONSOLA IMD WW20LTAHLA COPA 2.0</t>
  </si>
  <si>
    <t>W11548416</t>
  </si>
  <si>
    <t>PANEL DECORATIVO HACEB HW13UOHCO</t>
  </si>
  <si>
    <t>W11707206</t>
  </si>
  <si>
    <t>PANEL DECORATIVO HCB HW14MOAHCO</t>
  </si>
  <si>
    <t>W11548420</t>
  </si>
  <si>
    <t>PANEL AGP HCB 18 KG (MIZU-MOX)</t>
  </si>
  <si>
    <t>W11688393</t>
  </si>
  <si>
    <t>PANEL DECORATIVO 14KG</t>
  </si>
  <si>
    <t>W11690228</t>
  </si>
  <si>
    <t>PANEL DECORATIVO 16KG</t>
  </si>
  <si>
    <t>W11672696</t>
  </si>
  <si>
    <t>OVERLAY BOTERO,19KG</t>
  </si>
  <si>
    <t>PANEL DECORATIVO 19KG BOTERO</t>
  </si>
  <si>
    <t>W11672697</t>
  </si>
  <si>
    <t>OVERLAY BOTERO,20KG</t>
  </si>
  <si>
    <t>PANEL DECORATIVO 20KG BOTERO</t>
  </si>
  <si>
    <t>W11707199</t>
  </si>
  <si>
    <t>PANEL DECORATIVO HCB 16KG</t>
  </si>
  <si>
    <t>W11707205</t>
  </si>
  <si>
    <t>PANEL DECORATIVO HCB 19KG</t>
  </si>
  <si>
    <t>W11638748</t>
  </si>
  <si>
    <t>PANEL DECORATIVO HCB HW18MOAHCO</t>
  </si>
  <si>
    <t>W11688390</t>
  </si>
  <si>
    <t>PAINEL DECORATIVO WHP</t>
  </si>
  <si>
    <t>PANEL DECORATIVO WHP 9 KG</t>
  </si>
  <si>
    <t>W11547341</t>
  </si>
  <si>
    <t>PANEL DECORATIVO AGP WWG15 (15 KG)</t>
  </si>
  <si>
    <t>W11382983</t>
  </si>
  <si>
    <t>PANEL DECORATIVO AGP WWG18BSHLA</t>
  </si>
  <si>
    <t>W11707201</t>
  </si>
  <si>
    <t>PANEL DECORTIVO HCB 20KG</t>
  </si>
  <si>
    <t>W11487592</t>
  </si>
  <si>
    <t>PANEL IMP HCB 14 KG (ZOU/D BL)</t>
  </si>
  <si>
    <t>W11502601</t>
  </si>
  <si>
    <t>PANEL IMP HCB 14 KG (ZOU/D NE)</t>
  </si>
  <si>
    <t>W11502616</t>
  </si>
  <si>
    <t>PANEL IMP HCB 20 KG (ZOU/D INOX) AGUA CAL</t>
  </si>
  <si>
    <t>W11035715</t>
  </si>
  <si>
    <t>PANEL TRASERO WHP</t>
  </si>
  <si>
    <t>W11125982</t>
  </si>
  <si>
    <t>PANEL WHP AGP 18 KG</t>
  </si>
  <si>
    <t>W10655120</t>
  </si>
  <si>
    <t>PALANCA MICRO LLAVE WWI13AB/AS</t>
  </si>
  <si>
    <t>PALANCA MICRO CHAVE</t>
  </si>
  <si>
    <t>PALANCA MICROLLAVE</t>
  </si>
  <si>
    <t>W11230602</t>
  </si>
  <si>
    <t>CJ MOTOR/POLIA 230/50 HZ 1/4 HP</t>
  </si>
  <si>
    <t>MOTOR 230/50 HZ 1/4 HP (GOOD)</t>
  </si>
  <si>
    <t>MOTORES</t>
  </si>
  <si>
    <t>W11195522</t>
  </si>
  <si>
    <t>MOTOR WELLING 1/4-127/60 DIECAST PULLEY</t>
  </si>
  <si>
    <t>MOTOR WELLING 1/4-127/60 (GOOD)</t>
  </si>
  <si>
    <t>W11195520</t>
  </si>
  <si>
    <t>MOTOR WELLING 127V 60HZ DIE CAST PULLEY</t>
  </si>
  <si>
    <t>MOTOR WELLING 127V 60HZ (BEST)</t>
  </si>
  <si>
    <t>W11195521</t>
  </si>
  <si>
    <t>MOTOR WELLING 220V 60HZ DIE CAST PULLEY</t>
  </si>
  <si>
    <t>MOTOR WELLING 220V 60HZ (BEST)</t>
  </si>
  <si>
    <t>W11496614</t>
  </si>
  <si>
    <t>MINI PROPELLER</t>
  </si>
  <si>
    <t>MINI IMPELLER WHP GRIS COPA 2.0</t>
  </si>
  <si>
    <t>W11433901</t>
  </si>
  <si>
    <t>MINI PROPELLER HACEB</t>
  </si>
  <si>
    <t>MINI PROPELLER HACEB (GRIS)</t>
  </si>
  <si>
    <t>W10694416</t>
  </si>
  <si>
    <t>MINI PROPELLER WHP</t>
  </si>
  <si>
    <t>MINI PROPELLER WHP (GRIS)</t>
  </si>
  <si>
    <t>W10691654</t>
  </si>
  <si>
    <t>LLAVE MICRO SWITCH WWI13AB/AS</t>
  </si>
  <si>
    <t>MICRO LLAVE</t>
  </si>
  <si>
    <t>MICROLLAVE</t>
  </si>
  <si>
    <t>MECANISMO COPA 1.0</t>
  </si>
  <si>
    <t>MECANISMO</t>
  </si>
  <si>
    <t>W11499432</t>
  </si>
  <si>
    <t>MECANISMO COPA 2.0</t>
  </si>
  <si>
    <t>MECANISMO COPA QIJING 1.0</t>
  </si>
  <si>
    <t>MECANISMO COPA QIJING 2.0</t>
  </si>
  <si>
    <t>W10638576</t>
  </si>
  <si>
    <t>MARCO DECORATIVO</t>
  </si>
  <si>
    <t>FRAME DECORATIVO</t>
  </si>
  <si>
    <t>W11738780</t>
  </si>
  <si>
    <t>MANUAL COPA 1 - LAR N/ARG</t>
  </si>
  <si>
    <t>MANUAL COPA 1 ARGENTINA</t>
  </si>
  <si>
    <t>W11740052</t>
  </si>
  <si>
    <t>MANUAL COPA EDGE - SKU ARG</t>
  </si>
  <si>
    <t>MANUAL WHP ARG COPA 2.0</t>
  </si>
  <si>
    <t>W11667030</t>
  </si>
  <si>
    <t>MANUAL LARN COPA CHILE</t>
  </si>
  <si>
    <t>MANUAL WHP CHILE</t>
  </si>
  <si>
    <t>W11698671</t>
  </si>
  <si>
    <t>MANUAL WHP IMP</t>
  </si>
  <si>
    <t>W11570231</t>
  </si>
  <si>
    <t>Manual - Lar S</t>
  </si>
  <si>
    <t>MANUAL WHP LAR S COPA 2.0</t>
  </si>
  <si>
    <t>W11675892</t>
  </si>
  <si>
    <t>MANUAL COPA 2.0 - LARN</t>
  </si>
  <si>
    <t>MANUAL WHP LARN BOTERO</t>
  </si>
  <si>
    <t>W11667041</t>
  </si>
  <si>
    <t>MANUAL COPA EDGE - CARIBBEAN</t>
  </si>
  <si>
    <t>MANUAL WHP COPA 2.0 CARIBE</t>
  </si>
  <si>
    <t>W11752433</t>
  </si>
  <si>
    <t>MANUAL COPA 2.0- HACEB</t>
  </si>
  <si>
    <t>MANUAL HCB COPA 2.0</t>
  </si>
  <si>
    <t>MANUAL HCB</t>
  </si>
  <si>
    <t>W11752435</t>
  </si>
  <si>
    <t>MANUAL COPA 1 - HACEB</t>
  </si>
  <si>
    <t>MANUAL HCB COPA 1.0</t>
  </si>
  <si>
    <t>W11680116</t>
  </si>
  <si>
    <t>MANUAL COPA 2.0 BRASTEMP</t>
  </si>
  <si>
    <t>MANUAL BRASTEMP</t>
  </si>
  <si>
    <t>W11223643</t>
  </si>
  <si>
    <t>Manguera de presostato - Best.</t>
  </si>
  <si>
    <t>MANGUERA PRESOSTATO BEST VERDE</t>
  </si>
  <si>
    <t>MANGUERAS PRESOSTATO</t>
  </si>
  <si>
    <t>W11502144</t>
  </si>
  <si>
    <t>PRESSURE SWITCH HOSE</t>
  </si>
  <si>
    <t>MANGUERA PRESOSTATO BEST AMARI COPA 2.0</t>
  </si>
  <si>
    <t>W11223649</t>
  </si>
  <si>
    <t>Manguera presostato - Good</t>
  </si>
  <si>
    <t>MANGUERA PRESOSTATO GOOD AZUL</t>
  </si>
  <si>
    <t>W11502142</t>
  </si>
  <si>
    <t>MANGUERA PRESOSTATO GOOD ROJA COPA 2.0</t>
  </si>
  <si>
    <t>W11502153</t>
  </si>
  <si>
    <t>FILL HOSE ASSY COPA HOT</t>
  </si>
  <si>
    <t>MANGUERA AGUA CALIENTE (ROJA)</t>
  </si>
  <si>
    <t>MANGUERAS ENTRADA AGUA</t>
  </si>
  <si>
    <t>W11502155</t>
  </si>
  <si>
    <t>FILL HOSE ASSY SUPER</t>
  </si>
  <si>
    <t>MANGUERA AGUA CALIENTE (ROSADA)</t>
  </si>
  <si>
    <t>W11502151</t>
  </si>
  <si>
    <t>FILL HOSE ASSY COPA COLD</t>
  </si>
  <si>
    <t>MANGUERA AGUA FRIA (AZUL)</t>
  </si>
  <si>
    <t>W11502152</t>
  </si>
  <si>
    <t>FILL HOSE ASSY COPA COLD TRS</t>
  </si>
  <si>
    <t>MANGUERA AGUA FRIA (VERDE)</t>
  </si>
  <si>
    <t>W11383452</t>
  </si>
  <si>
    <t>CJ MANGUEIRA DRENAGEM</t>
  </si>
  <si>
    <t>MANGUERA DE DRENAJE BETTER GRIS (NUEVA)</t>
  </si>
  <si>
    <t>MANGUERAS DRENAJE</t>
  </si>
  <si>
    <t>W11383451</t>
  </si>
  <si>
    <t>DRAIN HOSE ASSY</t>
  </si>
  <si>
    <t>MANGUERA DRENAJE BEST NEG (NUEVA)</t>
  </si>
  <si>
    <t>W11466974</t>
  </si>
  <si>
    <t>Lifter WHP</t>
  </si>
  <si>
    <t>ALETA CESTO WHP COPA 2.0</t>
  </si>
  <si>
    <t>LIFTER</t>
  </si>
  <si>
    <t>W10718075</t>
  </si>
  <si>
    <t>LEVA EXTERNA WWI13AB/AS</t>
  </si>
  <si>
    <t>W10734499</t>
  </si>
  <si>
    <t>LEVA PLASTICA ARTICULADA LAVADOR/ CWD22</t>
  </si>
  <si>
    <t>W10810425</t>
  </si>
  <si>
    <t>BI 430 #4 0,5X1220XC</t>
  </si>
  <si>
    <t>LAMINA BI 430 #4 0,5X1220XC FRAME DECORAT</t>
  </si>
  <si>
    <t>W11265186</t>
  </si>
  <si>
    <t>STEEL- GZ DX51D+BORO 0,60X406XC</t>
  </si>
  <si>
    <t>LAMINA GZ DX51D+BORO 0,60X406XC TRAVESAÑO</t>
  </si>
  <si>
    <t>W11121952</t>
  </si>
  <si>
    <t>STEEL GZ DX52D Z100 1,25X109</t>
  </si>
  <si>
    <t>LAMINA GZ DX52D Z100 1,25X109 (ARME)</t>
  </si>
  <si>
    <t>W11265178</t>
  </si>
  <si>
    <t>LAMINA GZ S250GD Z100 1,55X337 (SOP MOTOR) BAMESA</t>
  </si>
  <si>
    <t>W11266042</t>
  </si>
  <si>
    <t>TZCM Z90 CS 1,25X192,0XC</t>
  </si>
  <si>
    <t>LAMINA Z90 CS 1,25X192,0XC (ARME)</t>
  </si>
  <si>
    <t>W11121971</t>
  </si>
  <si>
    <t>STEEL GZ DX52D Z100 1,25X115</t>
  </si>
  <si>
    <t>LAMINA GZ Z90 SS340 1,55X115 (ESQUIN INF-SUP) ARME</t>
  </si>
  <si>
    <t>W11265180</t>
  </si>
  <si>
    <t>LAMINA GZ Z90 SS340 1,55X115 (ESQUIN INF-SUP) BAMESA</t>
  </si>
  <si>
    <t>W11266043</t>
  </si>
  <si>
    <t>TZCM Z90 CS 0,5X330XC</t>
  </si>
  <si>
    <t>LAMINA TZCM Z90 CS 0,5X330XC</t>
  </si>
  <si>
    <t>W11265189</t>
  </si>
  <si>
    <t>TZCM Z90 CS 0,60X406XC</t>
  </si>
  <si>
    <t>LAMINA TZCM Z90 CS 0,60X406XC TRAVESAÑO</t>
  </si>
  <si>
    <t>W11701553</t>
  </si>
  <si>
    <t>STEEL-GZ100 S220GD 0,60X917X2171.5</t>
  </si>
  <si>
    <t>LAM GAB BEST 917X2171,5 ARME (Copa 1.0)</t>
  </si>
  <si>
    <t>LAMINA GABINETE</t>
  </si>
  <si>
    <t>W11319301</t>
  </si>
  <si>
    <t>STEEL DX51D+BORO 0,5X330XC</t>
  </si>
  <si>
    <t>LAM GAB BEST 917X2171,5 BAMESA</t>
  </si>
  <si>
    <t>W11546472</t>
  </si>
  <si>
    <t>LAM GAB BEST 917X2114 COPA 2.0</t>
  </si>
  <si>
    <t>W11514269</t>
  </si>
  <si>
    <t>STEEL-CFM S220GD 0.60X917X2114 969406</t>
  </si>
  <si>
    <t>LAM GAB BEST HCB 917X2114 9406 COPA 2.0 PREPINTADA</t>
  </si>
  <si>
    <t>W11514270</t>
  </si>
  <si>
    <t>STEEL-CFM S220GD 0.60X917X2114 968519</t>
  </si>
  <si>
    <t>LAM GAB BEST WHP 917X2114 8519 PREPINTADA COPA 2.0</t>
  </si>
  <si>
    <t>W11546471</t>
  </si>
  <si>
    <t>LAM GAB GOOD 877X2114 COPA 2.0</t>
  </si>
  <si>
    <t>W11547824</t>
  </si>
  <si>
    <t>STEEL-SS EN1.4016 0.45X452.0XC</t>
  </si>
  <si>
    <t>LAMINA CESTO BEST 0.45X 452 COPA 2.0 (CORTEACEROS)</t>
  </si>
  <si>
    <t>W11547823</t>
  </si>
  <si>
    <t>STEEL-SS EN1.4016 0.45X402XC</t>
  </si>
  <si>
    <t>LAMINA CESTO GOOD 0.45X 402 (POSCO) COPA 2.0</t>
  </si>
  <si>
    <t>W11486504</t>
  </si>
  <si>
    <t>STEEL-SS 430 0.45X402XC</t>
  </si>
  <si>
    <t>LAMINA CESTO GOOD 0.45X 402 COPA2 (APERAM)</t>
  </si>
  <si>
    <t>W11521727</t>
  </si>
  <si>
    <t>STEEL-SS EN1.4016 BA 0.45X384</t>
  </si>
  <si>
    <t>LAMINA CESTO BEST 0.45X 384 (POSCO)</t>
  </si>
  <si>
    <t>W11521723</t>
  </si>
  <si>
    <t>STEEL SS EN 1.4016 BA 0.45X354</t>
  </si>
  <si>
    <t>LAMINA CESTO GOOD 0.45X 354 (POSCO)</t>
  </si>
  <si>
    <t>W11691121</t>
  </si>
  <si>
    <t>TAMPO EPS</t>
  </si>
  <si>
    <t>TAPA PORON REPUESTO BOTERO</t>
  </si>
  <si>
    <t>W11690118</t>
  </si>
  <si>
    <t>Top White Botero Assy</t>
  </si>
  <si>
    <t>CJ TAPA FIJA+POSTE BISAGRA BLANCO BOTERO</t>
  </si>
  <si>
    <t>W11690112</t>
  </si>
  <si>
    <t>Top Tempest Botero Assy</t>
  </si>
  <si>
    <t>CJ TAPA FIJA+POSTE BISAGRA TEMPEST BOTERO</t>
  </si>
  <si>
    <t>W11262421</t>
  </si>
  <si>
    <t>CONSOLE FRAME COSMETALLIC</t>
  </si>
  <si>
    <t>CONSOLA BOTERO</t>
  </si>
  <si>
    <t>W11684000</t>
  </si>
  <si>
    <t>KIT TOP WHITE 120V 60HZ (WW20NBAHKT)</t>
  </si>
  <si>
    <t>CJ</t>
  </si>
  <si>
    <t>KIT TAPA BL BOTERO WW20</t>
  </si>
  <si>
    <t>W11683999</t>
  </si>
  <si>
    <t>KIT TOP TEMPEST 120V 60HZ (WW20NTAHKT)</t>
  </si>
  <si>
    <t>KIT TAPA TEMPEST BOTERO WW20</t>
  </si>
  <si>
    <t>W11184185</t>
  </si>
  <si>
    <t>LID SUPPORT</t>
  </si>
  <si>
    <t>LID SUPPORT BOTERO</t>
  </si>
  <si>
    <t>W11246293</t>
  </si>
  <si>
    <t>ENCODER KNOB ASSY COLOR</t>
  </si>
  <si>
    <t>PERILLA BOTERO</t>
  </si>
  <si>
    <t>W11225676</t>
  </si>
  <si>
    <t>POSTE BISAGRA BOTERO</t>
  </si>
  <si>
    <t>W11452385</t>
  </si>
  <si>
    <t>TOP COVER ASSY</t>
  </si>
  <si>
    <t>TAPA DAMPER BOTERO</t>
  </si>
  <si>
    <t>W11230091</t>
  </si>
  <si>
    <t>TOP REAR COVER</t>
  </si>
  <si>
    <t>TAPA TRASERA BLANCA BOTERO</t>
  </si>
  <si>
    <t>W11245143</t>
  </si>
  <si>
    <t>TAPA TRASERA TEMPEST BOTERO</t>
  </si>
  <si>
    <t>W11673741</t>
  </si>
  <si>
    <t>LID ASSY</t>
  </si>
  <si>
    <t>Tapa movil BOTERO</t>
  </si>
  <si>
    <t>W10749069</t>
  </si>
  <si>
    <t>IMPELLER HCB</t>
  </si>
  <si>
    <t>IMPELLER HCB (BLANCO)</t>
  </si>
  <si>
    <t>IMPELLER</t>
  </si>
  <si>
    <t>W11496616</t>
  </si>
  <si>
    <t>IMPELLER HCB COPA 2.0</t>
  </si>
  <si>
    <t>W10673299</t>
  </si>
  <si>
    <t>IMPELLER GRIS WHP</t>
  </si>
  <si>
    <t>IMPELLER WHP (GRIS)</t>
  </si>
  <si>
    <t>W11496613</t>
  </si>
  <si>
    <t>IMPELLER WHP COPA 2.0</t>
  </si>
  <si>
    <t>W11391512</t>
  </si>
  <si>
    <t>MAGNET - LID, STRIKE</t>
  </si>
  <si>
    <t>IMAN (LID LOCK) COPA 2.0</t>
  </si>
  <si>
    <t>IMAN_PROVEEDORES</t>
  </si>
  <si>
    <t>W10463824</t>
  </si>
  <si>
    <t>MAGNET</t>
  </si>
  <si>
    <t>IMAN COPA 2.0</t>
  </si>
  <si>
    <t>IMAN</t>
  </si>
  <si>
    <t>W11760064</t>
  </si>
  <si>
    <t>GUIA RAPIDA BOTERO 2.0</t>
  </si>
  <si>
    <t>GUIA DE USO BOTERO 2.0</t>
  </si>
  <si>
    <t>GUIAS DE USO</t>
  </si>
  <si>
    <t>W11687561</t>
  </si>
  <si>
    <t>Guia BOTERO</t>
  </si>
  <si>
    <t>GUIA DE USO BOTERO</t>
  </si>
  <si>
    <t>W11680127</t>
  </si>
  <si>
    <t>GUIA DE USO BRASTEMP</t>
  </si>
  <si>
    <t>W11570230</t>
  </si>
  <si>
    <t>Guia rápido CAR- inglés</t>
  </si>
  <si>
    <t>GUIA DE USO CARIBE COPA 2.0</t>
  </si>
  <si>
    <t>W11697717</t>
  </si>
  <si>
    <t>USER GUIDE - COL Y ARG FRONT PANEL</t>
  </si>
  <si>
    <t>GUIA DE USO WHP IMP</t>
  </si>
  <si>
    <t>W11570229</t>
  </si>
  <si>
    <t>USER GUIDE - COPA EDGE LARS</t>
  </si>
  <si>
    <t>GUIA DE USO WHP LAR S COPA 2.0</t>
  </si>
  <si>
    <t>W11655338</t>
  </si>
  <si>
    <t>GUIA RAPIDA COPA 1</t>
  </si>
  <si>
    <t>GUIA DE USO WHP NUEVA</t>
  </si>
  <si>
    <t>W11655335</t>
  </si>
  <si>
    <t>GUIA RAPIDA COPA 2</t>
  </si>
  <si>
    <t>GUIA DE USO WHP NUEVA COPA 2.0</t>
  </si>
  <si>
    <t>W11432742</t>
  </si>
  <si>
    <t>STRAP GUIDE</t>
  </si>
  <si>
    <t>GUIA TIRANTE SUSPENSIÓN</t>
  </si>
  <si>
    <t>W11134859</t>
  </si>
  <si>
    <t>GUIA DE LUZ</t>
  </si>
  <si>
    <t>GUIA DE LUZ WHP AGP</t>
  </si>
  <si>
    <t>W10760337</t>
  </si>
  <si>
    <t>EMPAQUE BOMBA FILTRO - BEST</t>
  </si>
  <si>
    <t>GUARNICION TORRE BEST CORTA</t>
  </si>
  <si>
    <t>GUARNICIÓN_PROV</t>
  </si>
  <si>
    <t>W10760339</t>
  </si>
  <si>
    <t>BOMBA DE TORRE CON ESPONJA JET SEAL-BEST</t>
  </si>
  <si>
    <t>GUARNICION TORRE BEST LARGA</t>
  </si>
  <si>
    <t>W10760335</t>
  </si>
  <si>
    <t>EMPAQUE BOMBA FILTRO</t>
  </si>
  <si>
    <t>GUARNICION TORRE GOOD CORTA</t>
  </si>
  <si>
    <t>W10760338</t>
  </si>
  <si>
    <t>EMPAQUE BOMBA JET</t>
  </si>
  <si>
    <t>GUARNICION TORRE GOOD LARGA</t>
  </si>
  <si>
    <t>W10823957</t>
  </si>
  <si>
    <t>BORRACHA APOIO BANDE DE FREIO</t>
  </si>
  <si>
    <t>GOMA BANDA FRENO (BORRACHA)</t>
  </si>
  <si>
    <t>GOMA_PROVEEDOR</t>
  </si>
  <si>
    <t>W11682964</t>
  </si>
  <si>
    <t>CJ GAVETA CINZA</t>
  </si>
  <si>
    <t>GAVETA ACROS TEMPEST SIN ETIQ</t>
  </si>
  <si>
    <t>GAVETAS</t>
  </si>
  <si>
    <t>W11680573</t>
  </si>
  <si>
    <t>DISPENSER DRAWER ASSY COPA HCB STORM</t>
  </si>
  <si>
    <t>GAVETA HCB CHHRYSLER COPA 2.0 SIN ETIQ</t>
  </si>
  <si>
    <t>W11682961</t>
  </si>
  <si>
    <t>CJ GAVETA COAL</t>
  </si>
  <si>
    <t>GAVETA HCB COAL (NG/TAPON GRIS) SIN ETIQ</t>
  </si>
  <si>
    <t>W11680569</t>
  </si>
  <si>
    <t>DISPENSER DRAWER ASSY COPA HCB WHITE</t>
  </si>
  <si>
    <t>GAVETA HCB BLANCA COPA 2.0</t>
  </si>
  <si>
    <t>W11680567</t>
  </si>
  <si>
    <t>DISPENSER DRAWER ASSY COPA HCB COAL</t>
  </si>
  <si>
    <t>GAVETA HCB COAL COPA 2.0 SIN ETIQ</t>
  </si>
  <si>
    <t>W11680568</t>
  </si>
  <si>
    <t>DRAWER ASSY</t>
  </si>
  <si>
    <t>GAVETA HCB NEGRA COPA 2.0 SIN ETIQ</t>
  </si>
  <si>
    <t>W11682962</t>
  </si>
  <si>
    <t>DISPENSER FASCIA</t>
  </si>
  <si>
    <t>GAVETA HCB NEGRA SIN ETIQ</t>
  </si>
  <si>
    <t>W11680571</t>
  </si>
  <si>
    <t>DISPENSER DRAWER ASSY COPA HCB CHRYSLER</t>
  </si>
  <si>
    <t>GAVETA HCB STORM COPA 2.0 SIN ETIQ</t>
  </si>
  <si>
    <t>W11682968</t>
  </si>
  <si>
    <t>GAVETA WHP (TEMPEST) P SIN ETIQ</t>
  </si>
  <si>
    <t>W11680576</t>
  </si>
  <si>
    <t>DISPENSER DRAWER ASSY COPA WHP WHITE</t>
  </si>
  <si>
    <t>GAVETA WHP BLANCA COPA 2.0 SIN ETIQ</t>
  </si>
  <si>
    <t>W11682963</t>
  </si>
  <si>
    <t>GAVETA WHP BLANCA SIN ETIQUETA</t>
  </si>
  <si>
    <t>W11680575</t>
  </si>
  <si>
    <t>DISPENSER DRAWER ASSY COPA WHP SHADOW</t>
  </si>
  <si>
    <t>GAVETA WHP SHADOW COPA 2.0 SIN ETIQUETA</t>
  </si>
  <si>
    <t>W11680574</t>
  </si>
  <si>
    <t>DISPENSER DRAWER ASSY COPA WHP TEMPEST</t>
  </si>
  <si>
    <t>GAVETA WHP TEMPEST COPA 2.0 SIN ETIQ</t>
  </si>
  <si>
    <t>W11750496</t>
  </si>
  <si>
    <t>DISPENSER DRAWER ASSY</t>
  </si>
  <si>
    <t>GAVETA BOTERO</t>
  </si>
  <si>
    <t>W10702019</t>
  </si>
  <si>
    <t>FUNDO CESTO</t>
  </si>
  <si>
    <t>FONDO CESTO COPA 1.0</t>
  </si>
  <si>
    <t>FONDO CESTO</t>
  </si>
  <si>
    <t>W11486068</t>
  </si>
  <si>
    <t>BASKET BASE 25</t>
  </si>
  <si>
    <t>FONDO CESTO COPA 2.0 M1</t>
  </si>
  <si>
    <t>W10705286</t>
  </si>
  <si>
    <t>FILTRO DE DRENAJE</t>
  </si>
  <si>
    <t>FILTRO DRENAJE</t>
  </si>
  <si>
    <t>W11572659</t>
  </si>
  <si>
    <t>LINT FILTER ASSY - WHIRLPOOL</t>
  </si>
  <si>
    <t>CJ FILTRO ACROS</t>
  </si>
  <si>
    <t>W10770058</t>
  </si>
  <si>
    <t>FILTRO AZUL WHP</t>
  </si>
  <si>
    <t>CJ FILTRO AZUL WHP</t>
  </si>
  <si>
    <t>W11433903</t>
  </si>
  <si>
    <t>CJ FILTRO HACEB</t>
  </si>
  <si>
    <t>CJ FILTRO HACEB QUASAR</t>
  </si>
  <si>
    <t>W11680526</t>
  </si>
  <si>
    <t>DRY ACCESS LABEL, SM</t>
  </si>
  <si>
    <t>ETIQUETA QR BRASTEMP</t>
  </si>
  <si>
    <t>ETIQUETAS QR</t>
  </si>
  <si>
    <t>W11696110</t>
  </si>
  <si>
    <t>QR CODE LABEL</t>
  </si>
  <si>
    <t>ETIQUETA QR YOUTUBE NUEVA</t>
  </si>
  <si>
    <t>W11101821</t>
  </si>
  <si>
    <t>CJ ETIQ MARKETING IMPELLER BEST</t>
  </si>
  <si>
    <t>ETIQUETA MARKETING IMP BEST</t>
  </si>
  <si>
    <t>ETIQUETAS MARKETING</t>
  </si>
  <si>
    <t>W10849164</t>
  </si>
  <si>
    <t>ETIQ MARKETING SISTEMA INTELLIDRIVE</t>
  </si>
  <si>
    <t>ETIQUETA MARKETING INTELLIDRIVE</t>
  </si>
  <si>
    <t>W11678817</t>
  </si>
  <si>
    <t>HACEB WARRANTY LABEL 10 AÑOS</t>
  </si>
  <si>
    <t>ETIQUETA GARANTIA 10 AÑOS HCB</t>
  </si>
  <si>
    <t>ETIQUETAS GARANTIA</t>
  </si>
  <si>
    <t>W11570233</t>
  </si>
  <si>
    <t>Extended Warranty Label - Lar N &amp; CAR</t>
  </si>
  <si>
    <t>ETIQUETA GARANTÍA EXTEND WHP LAR N &amp; CAR COPA 2.0</t>
  </si>
  <si>
    <t>W11570234</t>
  </si>
  <si>
    <t>Extended Warranty Label - Lar S</t>
  </si>
  <si>
    <t>ETIQUETA GARANTÍA EXTEND WHP LAR S COPA 2.0</t>
  </si>
  <si>
    <t>W11680525</t>
  </si>
  <si>
    <t>ETIQUETA GARANTIA PORTUGUES</t>
  </si>
  <si>
    <t>W11738565</t>
  </si>
  <si>
    <t>ENERGY EFFICIENCY LABEL WW09HBB</t>
  </si>
  <si>
    <t>ETIQUETA ENERGIA ARG WW09HBB</t>
  </si>
  <si>
    <t>ETIQUETAS ENERGIA (WHP) ARG</t>
  </si>
  <si>
    <t>W11738562</t>
  </si>
  <si>
    <t>ENERGY EFFICIENCY LABEL 11KG ARG</t>
  </si>
  <si>
    <t>ETIQUETA ENERGIA WW11BLA</t>
  </si>
  <si>
    <t>W11738559</t>
  </si>
  <si>
    <t>ETIQUETA ENERGIA WW11BTA</t>
  </si>
  <si>
    <t>W11548563</t>
  </si>
  <si>
    <t>ENERGY EFFICIENCY TAG WWG15BN - BB</t>
  </si>
  <si>
    <t>ETIQUETA ENERGIA (WWG15BB-BN)</t>
  </si>
  <si>
    <t>ETIQUETAS ENERGIA (WHP)</t>
  </si>
  <si>
    <t>W11548561</t>
  </si>
  <si>
    <t>ENERGY EFFICIENCY TAG</t>
  </si>
  <si>
    <t>ETIQUETA ENERGIA (WWG15BSHLA)</t>
  </si>
  <si>
    <t>W11679698</t>
  </si>
  <si>
    <t>ETIQUETA ENERGIA 220(WW19NTA/19NBA)</t>
  </si>
  <si>
    <t>W11679700</t>
  </si>
  <si>
    <t>ETIQUETA ENERGIA 220 WW20NTA / 20NBA</t>
  </si>
  <si>
    <t>W11662150</t>
  </si>
  <si>
    <t>ETIQUETA ENERGIA 220 (WW20LBA/LTHLA)</t>
  </si>
  <si>
    <t>W11374781</t>
  </si>
  <si>
    <t>ETIQUETA ENERGIA (WWG18CN/18CA)</t>
  </si>
  <si>
    <t>W11374800</t>
  </si>
  <si>
    <t>ETIQUETA EFIC WHP (WWG18CB/CS/CN/CA-WWI18CA)</t>
  </si>
  <si>
    <t>ETIQUETAS EFICIENCIA ENERG (WHP)</t>
  </si>
  <si>
    <t>W11693630</t>
  </si>
  <si>
    <t>ETIQUETA EFIC (WW14RBA/RTA-WW16RBA/16RTA)</t>
  </si>
  <si>
    <t>W11679694</t>
  </si>
  <si>
    <t>ETIQUETA EFIC WHP 220 WW20NTA/NBA/19NTA/19NBA</t>
  </si>
  <si>
    <t>W11399409</t>
  </si>
  <si>
    <t>ENERGY EFFICIENCY G18CBHLA</t>
  </si>
  <si>
    <t>ETIQUETA ENERGIA (WWG18CB)</t>
  </si>
  <si>
    <t>W11374778</t>
  </si>
  <si>
    <t>ETIQUETA ENERGIA (WWG18CSHLA)</t>
  </si>
  <si>
    <t>W11693635</t>
  </si>
  <si>
    <t>ETIQUETA ENERGIA 220 (WW14RB/14RTA)</t>
  </si>
  <si>
    <t>W11693743</t>
  </si>
  <si>
    <t>ETIQUETA ENERGIA (WW16RBA/16RTA)</t>
  </si>
  <si>
    <t>W11570247</t>
  </si>
  <si>
    <t>Energy Label WW17KBAHLA</t>
  </si>
  <si>
    <t>ETIQUETA ENERGIA WW17KBA/KTA COPA 2.0</t>
  </si>
  <si>
    <t>W11570256</t>
  </si>
  <si>
    <t>ETIQUETA EFIC WW17KBA/KTA COPA 2.0</t>
  </si>
  <si>
    <t>W11576676</t>
  </si>
  <si>
    <t>Energy Label WW19BTAHLA</t>
  </si>
  <si>
    <t>ETIQUETA ENERGIA (WW19BTA) COPA 2.0</t>
  </si>
  <si>
    <t>W11570259</t>
  </si>
  <si>
    <t>ETIQUETA EFIC (WW19BTA/WW20BTA/20BHA COPA 2.0</t>
  </si>
  <si>
    <t>W11570249</t>
  </si>
  <si>
    <t>Energy Label WW19LBAHLA</t>
  </si>
  <si>
    <t>ETIQUETA ENERGIA 220 (WW19LBA/19LTA COPA 2.0)</t>
  </si>
  <si>
    <t>W11672498</t>
  </si>
  <si>
    <t>ETIQUETA EFIC WW19LBA /19LTA/20LBA/20LTA</t>
  </si>
  <si>
    <t>W11570242</t>
  </si>
  <si>
    <t>Energy Label WW20BLA9LA</t>
  </si>
  <si>
    <t>ETIQUETA ENERGIA (WW20BLA9LA/20BTA9LA) UPB COPA 2.0</t>
  </si>
  <si>
    <t>W11570251</t>
  </si>
  <si>
    <t>Energy Label WW20BTAHLA</t>
  </si>
  <si>
    <t>ETIQUETA ENERGIA (WW20BTA/20BHA) COPA 2.0</t>
  </si>
  <si>
    <t>W11551254</t>
  </si>
  <si>
    <t>ETIQUETA EFIC WWG15BB/15BS/15BN/BA-WWI16BA</t>
  </si>
  <si>
    <t>W11432747</t>
  </si>
  <si>
    <t>ETIQUETA ENERGIA (WWG18BS/18BB)</t>
  </si>
  <si>
    <t>W11432760</t>
  </si>
  <si>
    <t>ETIQUETA EFIC WWG18BB/18BS</t>
  </si>
  <si>
    <t>W11738567</t>
  </si>
  <si>
    <t>ENERGY EFFICIENCY LABEL WW10HTB</t>
  </si>
  <si>
    <t>ETIQUETA ENERGIA (WW10HTB) ARG</t>
  </si>
  <si>
    <t>W11696413</t>
  </si>
  <si>
    <t>ENERGY EFFICIENCY LABEL</t>
  </si>
  <si>
    <t>ETIQUETA EFIC WW21BTA/21BBA/20BTA/20BTA (MEX)</t>
  </si>
  <si>
    <t>ETIQUETAS EFICIENCIA ENERG (MEX)</t>
  </si>
  <si>
    <t>W11580140</t>
  </si>
  <si>
    <t>Energy Label Hcb 14kg</t>
  </si>
  <si>
    <t>ETIQUETA ENERGIA HCB 14Kg COPA 2.0</t>
  </si>
  <si>
    <t>ETIQUETAS ENERGIA (HCB)</t>
  </si>
  <si>
    <t>W11580142</t>
  </si>
  <si>
    <t>Energy Label Hcb 16kg</t>
  </si>
  <si>
    <t>ETIQUETA ENERGIA HCB 16KG COPA 2.0</t>
  </si>
  <si>
    <t>W11580144</t>
  </si>
  <si>
    <t>Energy Label Hcb 19kg</t>
  </si>
  <si>
    <t>ETIQUETA ENERGIA HCB 19Kg COPA 2.0</t>
  </si>
  <si>
    <t>W11580146</t>
  </si>
  <si>
    <t>Energy Label Hcb 20kg</t>
  </si>
  <si>
    <t>ETIQUETA ENERGIA HCB 20Kg COPA 2.0</t>
  </si>
  <si>
    <t>W11580148</t>
  </si>
  <si>
    <t>Energy Label Hcb 20kg Hot</t>
  </si>
  <si>
    <t>ETIQUETA ENERGIA HCB 20Kg CAL COPA 2.0</t>
  </si>
  <si>
    <t>W11554561</t>
  </si>
  <si>
    <t>ETIQUETA HCB AGP ( LA13EVA16A-CC1HW)</t>
  </si>
  <si>
    <t>ETIQUETA ENERGIA HCB AGP (LA13EVA16A-CC1HW)</t>
  </si>
  <si>
    <t>W11554576</t>
  </si>
  <si>
    <t>ETIQUETA HCB AGP G (lLA18EVI16A-CC1HW)</t>
  </si>
  <si>
    <t>ETIQUETA ENERGIA HCB 18Kg AGP</t>
  </si>
  <si>
    <t>W11647766</t>
  </si>
  <si>
    <t>ETIQUETA ENERGIA HCB LA18EVI16B COPA 2.0</t>
  </si>
  <si>
    <t>W11682997</t>
  </si>
  <si>
    <t>INMETRO LABEL BWK14ABANA</t>
  </si>
  <si>
    <t>ETIQUETA ENERGIA (BW17LTAHBR) BRASTEMP</t>
  </si>
  <si>
    <t>ETIQUETAS ENERGIA (BRASTEMP)</t>
  </si>
  <si>
    <t>W11683066</t>
  </si>
  <si>
    <t>ETIQUETA ENERGIA (BW17LTABBR) BRASTEMP</t>
  </si>
  <si>
    <t>W10866946</t>
  </si>
  <si>
    <t>WARNING POWER CORD LABEL</t>
  </si>
  <si>
    <t>ETIQUETA ADVERT BRASTEMP</t>
  </si>
  <si>
    <t>ETIQUETAS ADVERTENCIA</t>
  </si>
  <si>
    <t>W10233113</t>
  </si>
  <si>
    <t>ETIQUETA ADVERTENCIA CHOQUE ELETRICO</t>
  </si>
  <si>
    <t>ETIQUETA ADVERT CHOQUE ELETRICO</t>
  </si>
  <si>
    <t>W11043931</t>
  </si>
  <si>
    <t>LABEL-WARN DISC PWR TRILINGUAL</t>
  </si>
  <si>
    <t>ETIQUETA ADVERT CHOQUE ELETRICO (CARIBE) COPA 2.0</t>
  </si>
  <si>
    <t>W11596380</t>
  </si>
  <si>
    <t>ETIQUETA SERVICIO HCB</t>
  </si>
  <si>
    <t>ETIQUETA SERVICIO</t>
  </si>
  <si>
    <t>W11691488</t>
  </si>
  <si>
    <t>ADESIVO REGUA DE NIVEL</t>
  </si>
  <si>
    <t>ETIQUETA REGLA DE NIVEL</t>
  </si>
  <si>
    <t>W11550829</t>
  </si>
  <si>
    <t>LEVEL SCALE STICKER</t>
  </si>
  <si>
    <t>ETIQUETA REGLA DE NIVEL TORRE (GRIS)</t>
  </si>
  <si>
    <t>W11661750</t>
  </si>
  <si>
    <t>LEVEL SCALE LABEL</t>
  </si>
  <si>
    <t>ETIQUETA REGLA DE NIVEL WHP COPA 2.0</t>
  </si>
  <si>
    <t>W11175874</t>
  </si>
  <si>
    <t>ETIQUETA REGLA NIVEL TORRE BEST</t>
  </si>
  <si>
    <t>W11175939</t>
  </si>
  <si>
    <t>ETIQUETA REGUA DE NIVEL</t>
  </si>
  <si>
    <t>ETIQUETA REGLA NIVEL TORRE GOOD</t>
  </si>
  <si>
    <t>W10804305</t>
  </si>
  <si>
    <t>ETIQUETA PLACA POTENCIA</t>
  </si>
  <si>
    <t>ETIQUETA DE PLACA POTENCIA</t>
  </si>
  <si>
    <t>W11625724</t>
  </si>
  <si>
    <t>ETIQUETA DE LLENADO WHP CARIBE COPA 2.0</t>
  </si>
  <si>
    <t>ETIQUETA LLENADO</t>
  </si>
  <si>
    <t>W11625722</t>
  </si>
  <si>
    <t>ETIQUETA DE LLENADO WHP COPA 2.0</t>
  </si>
  <si>
    <t>W10917614</t>
  </si>
  <si>
    <t>ETIQUETA DE IDENTIFICAÇÃO</t>
  </si>
  <si>
    <t>ETIQUETA DE IDENTIFICACIÓN</t>
  </si>
  <si>
    <t>ETIQUETA IDENTIFICACIÓN</t>
  </si>
  <si>
    <t>W11685272</t>
  </si>
  <si>
    <t>ETIQUETA DE IDENTIFICACIÓN BRASTEMP</t>
  </si>
  <si>
    <t>W11520671</t>
  </si>
  <si>
    <t>LIGHT GUIDE OVERLAY-</t>
  </si>
  <si>
    <t>ETIQUETA GUIA DE LUZ COPA 2.0</t>
  </si>
  <si>
    <t>ETIQUETA GUIA DE LUZ</t>
  </si>
  <si>
    <t>W11134931</t>
  </si>
  <si>
    <t>LIGHT GUIDE OVERLAY- 7 SEG COPA</t>
  </si>
  <si>
    <t>ETIQUETA GUIA DE LUZ WHP</t>
  </si>
  <si>
    <t>W10856689</t>
  </si>
  <si>
    <t>Etiqueta de Distribuidores</t>
  </si>
  <si>
    <t>ETIQUETA DISTRIBUIDORES (BOLIVIA)</t>
  </si>
  <si>
    <t>ETIQUETA DISTRIBUIDORES</t>
  </si>
  <si>
    <t>W11576381</t>
  </si>
  <si>
    <t>Lid Lock Label</t>
  </si>
  <si>
    <t>ETIQUETA BLOQUEO TAPA CARIBE COPA 2.0</t>
  </si>
  <si>
    <t>ETIQUETA DE BLOQUEO</t>
  </si>
  <si>
    <t>W11525916</t>
  </si>
  <si>
    <t>ETIQUETA BLOQUEO TAPA COPA 2.0</t>
  </si>
  <si>
    <t>W10803373</t>
  </si>
  <si>
    <t>ETIQUETA ATENCION</t>
  </si>
  <si>
    <t>ETIQUETA DE ATENCION COPA 2.0</t>
  </si>
  <si>
    <t>ETIQUETA DE ATENCIÓN</t>
  </si>
  <si>
    <t>W11324355</t>
  </si>
  <si>
    <t>ETIQUETA ATENÇÃO</t>
  </si>
  <si>
    <t>ETIQUETA DE ATENCION INGLES COPA 2.0</t>
  </si>
  <si>
    <t>W10517931</t>
  </si>
  <si>
    <t>Conagua Energy Label</t>
  </si>
  <si>
    <t>ETIQUETA CONAGUA WW21BTAHME COPA 2.0</t>
  </si>
  <si>
    <t>ETIQUETA CONAGUA</t>
  </si>
  <si>
    <t>W11606776</t>
  </si>
  <si>
    <t>CODE LABEL</t>
  </si>
  <si>
    <t>ETIQUETA CICLO ROPA MASCOTAS COPA 2.0</t>
  </si>
  <si>
    <t>ETIQUETA CICLO MASCOTAS</t>
  </si>
  <si>
    <t>W11616007</t>
  </si>
  <si>
    <t>SGS LABEL HACEB, SM  </t>
  </si>
  <si>
    <t>ETIQUETA CERTIFICACIÓN HCB (SGS) COPA 2.0</t>
  </si>
  <si>
    <t>ETIQUETA CERTIFICACIÓN</t>
  </si>
  <si>
    <t>W11642866</t>
  </si>
  <si>
    <t>ETIQUETA CERTIFICACIÓN SEGURIDAD</t>
  </si>
  <si>
    <t>W11748859</t>
  </si>
  <si>
    <t>ETIQUETA DE CAPACIDAD, 19 KG</t>
  </si>
  <si>
    <t>ETIQUETA DE CAPACIDAD NUEVA 19KG</t>
  </si>
  <si>
    <t>W11748861</t>
  </si>
  <si>
    <t>ETIQUETA DE CAPACIDAD, 17 KG</t>
  </si>
  <si>
    <t>ETIQUETA DE CAPACIDAD NUEVA 17KG</t>
  </si>
  <si>
    <t>W10650429</t>
  </si>
  <si>
    <t>ETIQUETA CAPACIDAD COPA 2.0</t>
  </si>
  <si>
    <t>W11316690</t>
  </si>
  <si>
    <t>GUSSET BOTTOM</t>
  </si>
  <si>
    <t>ESQUINERO METALICO INFERIOR</t>
  </si>
  <si>
    <t>ESQUINEROS METALICOS</t>
  </si>
  <si>
    <t>W11316689</t>
  </si>
  <si>
    <t>ESQUINERO SUPERIOR</t>
  </si>
  <si>
    <t>ESQUINERO METALICO SUPERIOR</t>
  </si>
  <si>
    <t>W10713714</t>
  </si>
  <si>
    <t>ISOLASAO PAD</t>
  </si>
  <si>
    <t>ESPUMA BL GABINETE (ISOLASAO PAD)</t>
  </si>
  <si>
    <t>W11568113</t>
  </si>
  <si>
    <t>New Gabinet Pad</t>
  </si>
  <si>
    <t>ESPUMA NEGRA GABINETE COPA 2.0</t>
  </si>
  <si>
    <t>W11733416</t>
  </si>
  <si>
    <t>DISTRIBUIDOR QUENTE/FRIO</t>
  </si>
  <si>
    <t>ESPARCIDOR AGUA CAL COPA 2.0</t>
  </si>
  <si>
    <t>ESPARCIDOR</t>
  </si>
  <si>
    <t>W11733417</t>
  </si>
  <si>
    <t>DISTRIBUIDOR FRIO</t>
  </si>
  <si>
    <t>ESPARCIDOR AGUA FRIA COPA 2.0</t>
  </si>
  <si>
    <t>W11131127</t>
  </si>
  <si>
    <t>CJ ESPALHADOR</t>
  </si>
  <si>
    <t>ESPARCIDOR NATURAL</t>
  </si>
  <si>
    <t>W11463922</t>
  </si>
  <si>
    <t>CJ ESPALHADOR RETIRO FALSA VALVULA</t>
  </si>
  <si>
    <t>ESPARCIDOR NATURAL SIN FALSA VALVULA</t>
  </si>
  <si>
    <t>W10873962</t>
  </si>
  <si>
    <t>GASKET</t>
  </si>
  <si>
    <t>EMPAQUE VALVULA</t>
  </si>
  <si>
    <t>326001101</t>
  </si>
  <si>
    <t>JUNTA ELECTROVÁLVULA EWH09AB CWC22B</t>
  </si>
  <si>
    <t>EMPAQUE VALVULA COPA 2.0</t>
  </si>
  <si>
    <t>W10873928</t>
  </si>
  <si>
    <t>O'RING CLOSING ENCODER</t>
  </si>
  <si>
    <t>SELLO PLASTICO O'RING CLOSING</t>
  </si>
  <si>
    <t>EMPAQUE TAPA FIJA AGP</t>
  </si>
  <si>
    <t>W10873275</t>
  </si>
  <si>
    <t>EMBLEMA DO BOTAO DE CICLOS WHP</t>
  </si>
  <si>
    <t>EMPLEMA DE PERILLA GRANDE WHP</t>
  </si>
  <si>
    <t>EMBLEMA CICLOS_PROV</t>
  </si>
  <si>
    <t>W10872853</t>
  </si>
  <si>
    <t>ELETROBOMBA ALUMINIO 120V 60HZ</t>
  </si>
  <si>
    <t>ELECTROBOMBA 120V/60HZ</t>
  </si>
  <si>
    <t>ELECTROBOMBA</t>
  </si>
  <si>
    <t>W10872849</t>
  </si>
  <si>
    <t>ELECTROBOMBA 220V 50 HZ</t>
  </si>
  <si>
    <t>W11337740</t>
  </si>
  <si>
    <t>ALUMINUM PUMP 220V 50 HZ</t>
  </si>
  <si>
    <t>ELECTROBOMBA 220V 50 HZ CARIBE</t>
  </si>
  <si>
    <t>W10872851</t>
  </si>
  <si>
    <t>ELETROBOMBA ALUMINIO 220V 60HZ</t>
  </si>
  <si>
    <t>ELETROBOMBA 220V 60HZ</t>
  </si>
  <si>
    <t>000360420</t>
  </si>
  <si>
    <t>EJE MECANISMO FRENO AWR680/3-CWR600 &amp;</t>
  </si>
  <si>
    <t>EJE MECANISMO FRENO</t>
  </si>
  <si>
    <t>EJE MECANISMO</t>
  </si>
  <si>
    <t>W10719069</t>
  </si>
  <si>
    <t>DRIVE BLOCK</t>
  </si>
  <si>
    <t>W11135576</t>
  </si>
  <si>
    <t>DAMPER HINGE-LEFT</t>
  </si>
  <si>
    <t>DAMPER BISAGRA IZQ BOTERO 1</t>
  </si>
  <si>
    <t>DAMPER</t>
  </si>
  <si>
    <t>W11722195</t>
  </si>
  <si>
    <t>REDUCED DAMPER HACEB</t>
  </si>
  <si>
    <t>DAMPER HCB (NEGRO/AMAR) COPA 2.0</t>
  </si>
  <si>
    <t>W11411580</t>
  </si>
  <si>
    <t>DAMPER LEFT OD14 3.8Nm</t>
  </si>
  <si>
    <t>DAMPER LEFT OD14 3.8NM (AZUL)</t>
  </si>
  <si>
    <t>W11705885</t>
  </si>
  <si>
    <t>DAMPER LEFT</t>
  </si>
  <si>
    <t>DAMPER WHP (NEGRO) COPA 2.0</t>
  </si>
  <si>
    <t>W11345206</t>
  </si>
  <si>
    <t>SC FALSE DAMPER CIRCULAR</t>
  </si>
  <si>
    <t>FALSO DAMPER</t>
  </si>
  <si>
    <t>W11728573</t>
  </si>
  <si>
    <t>DAMPER IZQUIERDO (GRIS) BOTERO 2</t>
  </si>
  <si>
    <t>W11728575</t>
  </si>
  <si>
    <t>DAMPER RIGHT</t>
  </si>
  <si>
    <t>DAMPER DERECHO (AMARILLO) BOTERO 2</t>
  </si>
  <si>
    <t>W11561657</t>
  </si>
  <si>
    <t>SEGURO SOPORTE CESTO LAVA/ WWQ22-WWQ24</t>
  </si>
  <si>
    <t>CUÑA SOPORTE CESTO COPA 2.0</t>
  </si>
  <si>
    <t>CUÑA</t>
  </si>
  <si>
    <t>W11491988</t>
  </si>
  <si>
    <t>HINGE COVER RIGHT BL</t>
  </si>
  <si>
    <t>CUBIERTA BISAG DER NEGRO COPA 2.0</t>
  </si>
  <si>
    <t>CUBIERTA BISAGRA</t>
  </si>
  <si>
    <t>W11491987</t>
  </si>
  <si>
    <t>HINGE COVER RIGHT TE</t>
  </si>
  <si>
    <t>CUBIERTA BISAG DER TEMPEST COPA 2.0</t>
  </si>
  <si>
    <t>W11491991</t>
  </si>
  <si>
    <t>HINGE COVER LEFT BLA</t>
  </si>
  <si>
    <t>CUBIERTA BISAG IZQ NEGRO COPA 2.0</t>
  </si>
  <si>
    <t>W11491990</t>
  </si>
  <si>
    <t>HINGE COVER LEFT TEM</t>
  </si>
  <si>
    <t>CUBIERTA BISAG IZQ TEMPEST COPA 2.0</t>
  </si>
  <si>
    <t>W10470951</t>
  </si>
  <si>
    <t>CORREA POLEA POLI V</t>
  </si>
  <si>
    <t>CORREA POLI V</t>
  </si>
  <si>
    <t>CORREAS</t>
  </si>
  <si>
    <t>W10763062</t>
  </si>
  <si>
    <t>COPO SUSPENSION 24"</t>
  </si>
  <si>
    <t>COPO DE SUSPENSION</t>
  </si>
  <si>
    <t>COPO SUSPENSION</t>
  </si>
  <si>
    <t>W11641188</t>
  </si>
  <si>
    <t>Consola Manual Black Haceb</t>
  </si>
  <si>
    <t>CONSOLA (PERILLA) HCB NEGRA</t>
  </si>
  <si>
    <t>CONSOLAS</t>
  </si>
  <si>
    <t>W11548729</t>
  </si>
  <si>
    <t>CONSOLE AGIPELLER COAL</t>
  </si>
  <si>
    <t>CONSOLA AGP HCB COAL</t>
  </si>
  <si>
    <t>W11705447</t>
  </si>
  <si>
    <t>CONSOLE AGP WHP</t>
  </si>
  <si>
    <t>CONSOLA AGP WHP CON REMOL</t>
  </si>
  <si>
    <t>W11487591</t>
  </si>
  <si>
    <t>CJ CONSOLE + OVERLAY</t>
  </si>
  <si>
    <t>CONSOLA HCB (BLANCO) COPA 2.0</t>
  </si>
  <si>
    <t>W11502600</t>
  </si>
  <si>
    <t>CONSOLA HCB (NEGRO) COPA 2.0</t>
  </si>
  <si>
    <t>W11642306</t>
  </si>
  <si>
    <t>CJ CONSOLE + OVERLAY AGI GOOD - M13</t>
  </si>
  <si>
    <t>CONSOLA HCB (COAL) COPA 2.0</t>
  </si>
  <si>
    <t>W11705449</t>
  </si>
  <si>
    <t>CONSOLE HACEB</t>
  </si>
  <si>
    <t>CONSOLA HCB IMPELLER CON REMOL</t>
  </si>
  <si>
    <t>W11705448</t>
  </si>
  <si>
    <t>CONSOLA WHP IMPELLER (NEGRA) CON REMOL</t>
  </si>
  <si>
    <t>W11502608</t>
  </si>
  <si>
    <t>CONSOLA HCB (TITANIO) COPA 2.0</t>
  </si>
  <si>
    <t>W11130596</t>
  </si>
  <si>
    <t>OFFBOARD ENCODER 16 POS</t>
  </si>
  <si>
    <t>CODIFICADOR ROTATORIO-ENCODER 16 P</t>
  </si>
  <si>
    <t>CODIFICADOR</t>
  </si>
  <si>
    <t>W10414411</t>
  </si>
  <si>
    <t>ENCODER - ROTARY, 5 POS</t>
  </si>
  <si>
    <t>CODIFICADOR ROTATORIO-ENCODER 5P</t>
  </si>
  <si>
    <t>W10472321</t>
  </si>
  <si>
    <t>CLIP CONTRA PORTA</t>
  </si>
  <si>
    <t>W11531804</t>
  </si>
  <si>
    <t>BRUSH</t>
  </si>
  <si>
    <t>CJ CEPILLO WHP COPA 2.0</t>
  </si>
  <si>
    <t>CJ CEPILLO</t>
  </si>
  <si>
    <t>W11287572</t>
  </si>
  <si>
    <t>BLANK ADHESIVE TAPE HANDLE 9.5X1.1</t>
  </si>
  <si>
    <t>M</t>
  </si>
  <si>
    <t>CINTA AZUL DELGADA (9.5X1.1) TESA</t>
  </si>
  <si>
    <t>CINTA TAPA MOVIL</t>
  </si>
  <si>
    <t>W11287573</t>
  </si>
  <si>
    <t>BLANK ADHESIVE TAPE HANDLE 19X1.1</t>
  </si>
  <si>
    <t>CINTA AZUL GRUESA (19X1.1) TESA</t>
  </si>
  <si>
    <t>W11250152</t>
  </si>
  <si>
    <t>CINTA</t>
  </si>
  <si>
    <t>CINTA IMPRESIÓN ETIQUETA IDENTIF</t>
  </si>
  <si>
    <t>CINTA IMPRESIÓN</t>
  </si>
  <si>
    <t>004314824</t>
  </si>
  <si>
    <t>CINTA TRANSPARENTE EMBALAJE</t>
  </si>
  <si>
    <t>CINTA TRANSPARENTE SKD (TESA)</t>
  </si>
  <si>
    <t>CINTA EMPAQUE SKD</t>
  </si>
  <si>
    <t>W11296042</t>
  </si>
  <si>
    <t>FITA ADESIVA AZUL 19MM</t>
  </si>
  <si>
    <t>CINTA AZUL 19MM (TESA)</t>
  </si>
  <si>
    <t>CINTA EMPAQUE (MANUAL/GUIA)</t>
  </si>
  <si>
    <t>W11745625</t>
  </si>
  <si>
    <t>CINTA TESA 50600 ESTÁNDAR</t>
  </si>
  <si>
    <t>CINTA ADHESIVA BOTERO 2 66M-1,5CM</t>
  </si>
  <si>
    <t>CINTA BOTERO</t>
  </si>
  <si>
    <t>W11703394</t>
  </si>
  <si>
    <t>WARRANTY GUIDE ARG, SM</t>
  </si>
  <si>
    <t>CERTIFICADO DE GARANTIA ARG WHR</t>
  </si>
  <si>
    <t>CERT GARANTIA</t>
  </si>
  <si>
    <t>W11524506</t>
  </si>
  <si>
    <t>LINT FILTER BRUSH</t>
  </si>
  <si>
    <t>CEPILLO WHP BL COPA 2.0</t>
  </si>
  <si>
    <t>CEPILLOS_PROVEEDOR</t>
  </si>
  <si>
    <t>W11448282</t>
  </si>
  <si>
    <t>CAPACITOR</t>
  </si>
  <si>
    <t>CAPACITOR 220V</t>
  </si>
  <si>
    <t>W11448283</t>
  </si>
  <si>
    <t>CAPACITOR 45UF 127V</t>
  </si>
  <si>
    <t>W10699981</t>
  </si>
  <si>
    <t>TAPA CONEXIÓN INTERMEDIA WWI13AB/AS</t>
  </si>
  <si>
    <t>CAJA PANDORA</t>
  </si>
  <si>
    <t>W11493046</t>
  </si>
  <si>
    <t>REDE INTERFACE HACEB</t>
  </si>
  <si>
    <t>ARNES HMI PEQ HACEB (ROSADO) COPA 2.0</t>
  </si>
  <si>
    <t>CABLE SUPERIOR</t>
  </si>
  <si>
    <t>W11489407</t>
  </si>
  <si>
    <t>WIRING HARNESS HMI -QUASAR</t>
  </si>
  <si>
    <t>ARNES HMI WHP (ENHEBRADO) LOW COPA 2.0</t>
  </si>
  <si>
    <t>W11489408</t>
  </si>
  <si>
    <t>ARNES HMI WHP (ENHEBRADO) HIGH COPA 2.0</t>
  </si>
  <si>
    <t>W11489406</t>
  </si>
  <si>
    <t>ARNES SUP AGUA CALIENTE (IMAN) COPA 2.0</t>
  </si>
  <si>
    <t>W11489405</t>
  </si>
  <si>
    <t>REDE SUPERIOR AGUA FRIA</t>
  </si>
  <si>
    <t>ARNES SUP AGUA FRIA (IMAN) COPA 2.0</t>
  </si>
  <si>
    <t>W11498561</t>
  </si>
  <si>
    <t>POWER CORD</t>
  </si>
  <si>
    <t>CABLE POTENCIA TIPO E UPB COPA 2.0</t>
  </si>
  <si>
    <t>CABLE DE PODER</t>
  </si>
  <si>
    <t>W11498562</t>
  </si>
  <si>
    <t>LOWER CORD</t>
  </si>
  <si>
    <t>CABLE POTENCIA TIPO I ARG COPA 2.0</t>
  </si>
  <si>
    <t>W11663210</t>
  </si>
  <si>
    <t>CABLE POTENCIA COPA 2.0</t>
  </si>
  <si>
    <t>W11542236</t>
  </si>
  <si>
    <t>POWER CORD, 10A-3P, RAST7</t>
  </si>
  <si>
    <t>CABLE POTENCIA BR COPA 2.0</t>
  </si>
  <si>
    <t>W11345202</t>
  </si>
  <si>
    <t>SC HINGE PIN CIRCULAR</t>
  </si>
  <si>
    <t>BUJE PIN CIRCULAR</t>
  </si>
  <si>
    <t>BUJE PIN</t>
  </si>
  <si>
    <t>W11345203</t>
  </si>
  <si>
    <t>SC HINGE PIN RETANGULAR</t>
  </si>
  <si>
    <t>BUJE PIN RETANGULAR</t>
  </si>
  <si>
    <t>W10644238</t>
  </si>
  <si>
    <t>BUCHA FONDO CESTO</t>
  </si>
  <si>
    <t>BUCHAS_PROVEEDOR</t>
  </si>
  <si>
    <t>W10674850</t>
  </si>
  <si>
    <t>Bucha Impeller/Agipeller</t>
  </si>
  <si>
    <t>BUCHA IMPELLER/AGIPELLER</t>
  </si>
  <si>
    <t>W11401479</t>
  </si>
  <si>
    <t>FRAME SC</t>
  </si>
  <si>
    <t>BISAGRA WHP</t>
  </si>
  <si>
    <t>BISAGRA</t>
  </si>
  <si>
    <t>W11502219</t>
  </si>
  <si>
    <t>LINT FILTER HOUSING</t>
  </si>
  <si>
    <t>BASE FILTRO HCB GRIS COPA 2.0</t>
  </si>
  <si>
    <t>BASE FILTRO</t>
  </si>
  <si>
    <t>W11502215</t>
  </si>
  <si>
    <t>BASE FILTRO WHP GRIS COPA 2.0</t>
  </si>
  <si>
    <t>W11524675</t>
  </si>
  <si>
    <t>Housing Filtro Hcb Verde</t>
  </si>
  <si>
    <t>BASE FILTRO HCB VERDE COPA 2.0</t>
  </si>
  <si>
    <t>W11733727</t>
  </si>
  <si>
    <t>HOUSING HACEB</t>
  </si>
  <si>
    <t>BASE ESPARC HCB COP 2.0 (HOUSING)</t>
  </si>
  <si>
    <t>BASE ESPARCIDOR</t>
  </si>
  <si>
    <t>W11730254</t>
  </si>
  <si>
    <t>HOUSING WHIRLPOOOL</t>
  </si>
  <si>
    <t>BASE ESPARC WHP COP 2.0 (HOUSING)</t>
  </si>
  <si>
    <t>326000208</t>
  </si>
  <si>
    <t>BANDA FRENO LAVADORA/ WWQ22-24</t>
  </si>
  <si>
    <t>BANDA FRENO GOOD-BETTER</t>
  </si>
  <si>
    <t>BANDA FRENO</t>
  </si>
  <si>
    <t>W11369694</t>
  </si>
  <si>
    <t>AGIPELLER UPPER WIRING HARNESS</t>
  </si>
  <si>
    <t>ARNES SUP AGP</t>
  </si>
  <si>
    <t>W11369695</t>
  </si>
  <si>
    <t>AGIPELLER UPPER WIRING HARNESS - UPB</t>
  </si>
  <si>
    <t>ARNES SUP AGP 18 KG UPB</t>
  </si>
  <si>
    <t>W11563288</t>
  </si>
  <si>
    <t>ARNES SUP AGP HCB</t>
  </si>
  <si>
    <t>W11125022</t>
  </si>
  <si>
    <t>UPPER HARNESS IMPELLER II</t>
  </si>
  <si>
    <t>ARNES SUP IMP</t>
  </si>
  <si>
    <t>W11245133</t>
  </si>
  <si>
    <t>COPACABANA HARNESS - 220V - 50HZ - ARG</t>
  </si>
  <si>
    <t>ARNES SUP IMP MAKHA 220V ARG</t>
  </si>
  <si>
    <t>W11026576</t>
  </si>
  <si>
    <t>RED SUPERIOR IMPELLER MAKHAIRA</t>
  </si>
  <si>
    <t>ARNES SUP IMP MAKHAIRA</t>
  </si>
  <si>
    <t>W11522618</t>
  </si>
  <si>
    <t>LOWER HARNESS BEST (Brascabos)</t>
  </si>
  <si>
    <t>ARNES INF BEST (BRASCABOS) WHP/HCB</t>
  </si>
  <si>
    <t>W11416424</t>
  </si>
  <si>
    <t>LOWER HARNESS BEST</t>
  </si>
  <si>
    <t>ARNES INF BEST (ECI)</t>
  </si>
  <si>
    <t>W11416433</t>
  </si>
  <si>
    <t>LOWER HARNESS GOOD/BETTER</t>
  </si>
  <si>
    <t>ARNES INF GOOD/BETTER DOBLE (ECI)</t>
  </si>
  <si>
    <t>W10682572</t>
  </si>
  <si>
    <t>ARMADOR DE FRENO</t>
  </si>
  <si>
    <t>W10847201</t>
  </si>
  <si>
    <t>ARANDELA SUSPENSION</t>
  </si>
  <si>
    <t>326037688</t>
  </si>
  <si>
    <t>SELLO TAPA VÁLVULA</t>
  </si>
  <si>
    <t>ARANDELA SELLO TAPA VALVULA (BOTERO)</t>
  </si>
  <si>
    <t>ARANDELA PLASTICA</t>
  </si>
  <si>
    <t>W11156660</t>
  </si>
  <si>
    <t>ARANDELA ENCODER</t>
  </si>
  <si>
    <t>ARANDELA DE ENCODER</t>
  </si>
  <si>
    <t>ARANDELA AGP</t>
  </si>
  <si>
    <t>W11392678</t>
  </si>
  <si>
    <t>UPPER SUSPENSION BALL</t>
  </si>
  <si>
    <t>APOYO SUSPENSIÓN SUPERIOR</t>
  </si>
  <si>
    <t>APOYO SUSPENSION</t>
  </si>
  <si>
    <t>W11351950</t>
  </si>
  <si>
    <t>BRAKE BAND BRACKET ASSY</t>
  </si>
  <si>
    <t>APOYO BANDA FRENO</t>
  </si>
  <si>
    <t>W11552073</t>
  </si>
  <si>
    <t>Anillo Deslizante</t>
  </si>
  <si>
    <t>ANILLO DESLIZANTE</t>
  </si>
  <si>
    <t>ANILLOS DESLIZANTE</t>
  </si>
  <si>
    <t>W11433905</t>
  </si>
  <si>
    <t>ANEL DO TANQUE</t>
  </si>
  <si>
    <t>ANILLO TANQUE HCB 33 GRIS</t>
  </si>
  <si>
    <t>W11477318</t>
  </si>
  <si>
    <t>TUB RING HCB 33</t>
  </si>
  <si>
    <t>ANILLO TANQUE HCB BEST GRIS COPA 2.0</t>
  </si>
  <si>
    <t>W11477319</t>
  </si>
  <si>
    <t>TUB RING HCB 25</t>
  </si>
  <si>
    <t>ANILLO TANQUE HCB GOOD GRIS COPA 2.0</t>
  </si>
  <si>
    <t>W10706398</t>
  </si>
  <si>
    <t>ANEL DO TANQUE CINZA</t>
  </si>
  <si>
    <t>ANILLO TANQUE WHP 28-30 GRIS</t>
  </si>
  <si>
    <t>W10716069</t>
  </si>
  <si>
    <t>ANILLO TANQUE GRIS BEST</t>
  </si>
  <si>
    <t>ANILLO TANQUE WHP 33 GRIS</t>
  </si>
  <si>
    <t>W11503274</t>
  </si>
  <si>
    <t>TUB RING WHP 33</t>
  </si>
  <si>
    <t>ANILLO TANQUE WHP BEST GRIS COPA 2.0</t>
  </si>
  <si>
    <t>W11503273</t>
  </si>
  <si>
    <t>TUB RING WHP 25</t>
  </si>
  <si>
    <t>ANILLO TANQUE WHP GOOD GRIS COPA 2.0</t>
  </si>
  <si>
    <t>000390510</t>
  </si>
  <si>
    <t>ANILLO RETENSOR AWR680/CWR600 &amp;</t>
  </si>
  <si>
    <t>ANILLO RETENEDOR</t>
  </si>
  <si>
    <t>W11475770</t>
  </si>
  <si>
    <t>LOWER BALANCE RING 2</t>
  </si>
  <si>
    <t>ANEL HIDRO INFERIOR COPA 2.0</t>
  </si>
  <si>
    <t>ANEL HIDRO</t>
  </si>
  <si>
    <t>W10686587</t>
  </si>
  <si>
    <t>ANEL HIDRO INF BLANCO HCB</t>
  </si>
  <si>
    <t>ANEL HIDRO INFERIOR HCB (BLANCO)</t>
  </si>
  <si>
    <t>W10716679</t>
  </si>
  <si>
    <t>ANEL HIDRO INF GRIS GR CHAGALL WHP</t>
  </si>
  <si>
    <t>ANEL HIDRO INFERIOR WHP (GRIS)</t>
  </si>
  <si>
    <t>W11475769</t>
  </si>
  <si>
    <t>UPPER BALANCE RING 2</t>
  </si>
  <si>
    <t>ANEL HIDRO SUPERIOR COPA 2.0</t>
  </si>
  <si>
    <t>W10686585</t>
  </si>
  <si>
    <t>ANEL HIDRO SUPERIOR</t>
  </si>
  <si>
    <t>ANEL HIDRO SUPERIOR HCB (BLANCO)</t>
  </si>
  <si>
    <t>W10716681</t>
  </si>
  <si>
    <t>ANEL HIDRO SUP GRIS GR CHAGALL WHP</t>
  </si>
  <si>
    <t>ANEL HIDRO SUPERIOR WHP (GRIS)</t>
  </si>
  <si>
    <t>W11575228</t>
  </si>
  <si>
    <t>Bumper Gray Haceb</t>
  </si>
  <si>
    <t>AMORTIGUADOR HCB COPA 2.0</t>
  </si>
  <si>
    <t>AMORTIGUADOR TAPA</t>
  </si>
  <si>
    <t>W11491995</t>
  </si>
  <si>
    <t>BUMPER GRAY</t>
  </si>
  <si>
    <t>AMORTIGUADOR WHP COPA 2.0</t>
  </si>
  <si>
    <t>W10817342</t>
  </si>
  <si>
    <t>AGIPELLER HCB</t>
  </si>
  <si>
    <t>AGIPELLER HCB BLANCO</t>
  </si>
  <si>
    <t>W11535808</t>
  </si>
  <si>
    <t>CAP ASSY AGITATOR</t>
  </si>
  <si>
    <t>FILTRO BOTERO 2</t>
  </si>
  <si>
    <t>W11428263</t>
  </si>
  <si>
    <t>BRAKE ACTUATOR 127V</t>
  </si>
  <si>
    <t>ACTUADOR DE FRENO 127V/60HZ</t>
  </si>
  <si>
    <t>ACTUADOR DE FRENO</t>
  </si>
  <si>
    <t>W11428264</t>
  </si>
  <si>
    <t>BRAKE ACTUATOR 220V</t>
  </si>
  <si>
    <t>ACTUADOR DE FRENO 220V</t>
  </si>
  <si>
    <t>3357397</t>
  </si>
  <si>
    <t>NO VALUE ENTERED</t>
  </si>
  <si>
    <t>ACOPLE VALVULA COPA 2.0 (BOTERO)</t>
  </si>
  <si>
    <t>ACOPLE (BOTERO)</t>
  </si>
  <si>
    <t>W11034433</t>
  </si>
  <si>
    <t>ABRAZADERA LAVADORA-COLOMBIA</t>
  </si>
  <si>
    <t>ABRAZADERA PLASTICA</t>
  </si>
  <si>
    <t>ABRAZADERA PLAST</t>
  </si>
  <si>
    <t>326031815</t>
  </si>
  <si>
    <t>ABRAZADERA</t>
  </si>
  <si>
    <t>ABRAZADERA DE ELECTROBOMBA</t>
  </si>
  <si>
    <t>ABRAZADERA ELECTROB</t>
  </si>
  <si>
    <t>W10777926</t>
  </si>
  <si>
    <t>ABRAZADERA DE CAPACITOR</t>
  </si>
  <si>
    <t>ABRAZADERA CAPACIT</t>
  </si>
  <si>
    <t>W11401376</t>
  </si>
  <si>
    <t>TOP LID GLOBALWHITE</t>
  </si>
  <si>
    <t>TAPA FIJA IMP WHP BLANCA</t>
  </si>
  <si>
    <t>W11657121</t>
  </si>
  <si>
    <t>COVER RIGHT BLACK</t>
  </si>
  <si>
    <t>CUBIERTA  FRAME DERECHO BOTERO 2</t>
  </si>
  <si>
    <t>CUBIERTA FRAME</t>
  </si>
  <si>
    <t>W11657125</t>
  </si>
  <si>
    <t>COVER LEFT BLACK</t>
  </si>
  <si>
    <t>CUBIERTA  FRAME IZQUIERDO BOTERO 2</t>
  </si>
  <si>
    <t>W11723528</t>
  </si>
  <si>
    <t>CONSOLE BLACK 9 KEYS</t>
  </si>
  <si>
    <t>CONSOLA   NEGRA BOTERO</t>
  </si>
  <si>
    <t>W11727213</t>
  </si>
  <si>
    <t>OVERLAY REDUZIDO BOTERO</t>
  </si>
  <si>
    <t>PANEL DECORARIVO BOTERO</t>
  </si>
  <si>
    <t>W11733713</t>
  </si>
  <si>
    <t>UPPER HARNESS COLD REED BOTERO 2.0</t>
  </si>
  <si>
    <t>ARNES SUP RED IMAN BOTERO</t>
  </si>
  <si>
    <t>W11762939</t>
  </si>
  <si>
    <t>VA SUSPENSION SIN GRASA BEST 2.0</t>
  </si>
  <si>
    <t>CJ VARILLA SUSPENSION SIN GRASA BEST 2.0</t>
  </si>
  <si>
    <t>CJ VARILLA SUSP</t>
  </si>
  <si>
    <t>W11707207</t>
  </si>
  <si>
    <t>PAINEL DECORATIVO HCB 18 KG</t>
  </si>
  <si>
    <t>W11707210</t>
  </si>
  <si>
    <t>PAINEL DECORATIVO AGP HCB 18 KG</t>
  </si>
  <si>
    <t>W11749274</t>
  </si>
  <si>
    <t>3-1.4 X 6 PN LR TORNILLO</t>
  </si>
  <si>
    <t>TORNILLO NUEVO TARJETA</t>
  </si>
  <si>
    <t>W11763200</t>
  </si>
  <si>
    <t>TOP, BLACK</t>
  </si>
  <si>
    <t>TAPA FIJA WHP NEGRA</t>
  </si>
  <si>
    <t>W11772768</t>
  </si>
  <si>
    <t>ENERGY EFFICIENCY WHP COL 20 KG AGI</t>
  </si>
  <si>
    <t>ETIQUETA ENERGIA (WW20ZBAHLA) 200</t>
  </si>
  <si>
    <t>W11772841</t>
  </si>
  <si>
    <t>ETIQUETA ENERGIA (WW20LSAHLA) 220</t>
  </si>
  <si>
    <t>W11772969</t>
  </si>
  <si>
    <t>ENERGY EFFICIENCY EQ 20 KG COPA EDGE AGI</t>
  </si>
  <si>
    <t>ETIQUETA EFIC WW20ZBAHLA</t>
  </si>
  <si>
    <t>W11361021</t>
  </si>
  <si>
    <t>FRAME PLATA HACEB</t>
  </si>
  <si>
    <t>TAPA MOVIL HCB (METALIZADA)</t>
  </si>
  <si>
    <t>W11733714</t>
  </si>
  <si>
    <t>HMI HARNESS MEGA</t>
  </si>
  <si>
    <t>ARNES HMI-MEGA BOTERO 2</t>
  </si>
  <si>
    <t>Denominación almacén</t>
  </si>
  <si>
    <t>Tipo de material</t>
  </si>
  <si>
    <t>Unidad medida base</t>
  </si>
  <si>
    <t>Libre utilización</t>
  </si>
  <si>
    <t>Valor libre util.</t>
  </si>
  <si>
    <t>Bloqueado</t>
  </si>
  <si>
    <t>Valor stock bloq.</t>
  </si>
  <si>
    <t>En control calidad</t>
  </si>
  <si>
    <t>Stock en tránsito</t>
  </si>
  <si>
    <t>En traslado (Centro)</t>
  </si>
  <si>
    <t>Devoluciones</t>
  </si>
  <si>
    <t>Valor en insp.cal.</t>
  </si>
  <si>
    <t>Valor tránsito</t>
  </si>
  <si>
    <t>Valor en traslado</t>
  </si>
  <si>
    <t>0006</t>
  </si>
  <si>
    <t>Material Proceso</t>
  </si>
  <si>
    <t>MP</t>
  </si>
  <si>
    <t>EXT4</t>
  </si>
  <si>
    <t>Electrocontrol</t>
  </si>
  <si>
    <t>WM Almoxarifado</t>
  </si>
  <si>
    <t>0010</t>
  </si>
  <si>
    <t>Inventario</t>
  </si>
  <si>
    <t>EXT1</t>
  </si>
  <si>
    <t>Empaques y soluc</t>
  </si>
  <si>
    <t>Duración</t>
  </si>
  <si>
    <t>Peso máximo</t>
  </si>
  <si>
    <t>Bloqueo de entradas</t>
  </si>
  <si>
    <t>&lt;&lt; vacías &gt;&gt;</t>
  </si>
  <si>
    <t>ALP</t>
  </si>
  <si>
    <t>VDR</t>
  </si>
  <si>
    <t>BL-VD-01</t>
  </si>
  <si>
    <t>VD</t>
  </si>
  <si>
    <t>0</t>
  </si>
  <si>
    <t>901</t>
  </si>
  <si>
    <t>GFI-ZONE</t>
  </si>
  <si>
    <t>WE-ZONE</t>
  </si>
  <si>
    <t>4</t>
  </si>
  <si>
    <t>1</t>
  </si>
  <si>
    <t>3</t>
  </si>
  <si>
    <t>41</t>
  </si>
  <si>
    <t>904</t>
  </si>
  <si>
    <t>DEVOLUCAO</t>
  </si>
  <si>
    <t>910</t>
  </si>
  <si>
    <t>WA-ZONE</t>
  </si>
  <si>
    <t>917</t>
  </si>
  <si>
    <t>QUALITAET</t>
  </si>
  <si>
    <t>921</t>
  </si>
  <si>
    <t>UML-ZONE</t>
  </si>
  <si>
    <t>7</t>
  </si>
  <si>
    <t>922</t>
  </si>
  <si>
    <t>U-ZONE</t>
  </si>
  <si>
    <t>998</t>
  </si>
  <si>
    <t>AUFNAHME</t>
  </si>
  <si>
    <t>999</t>
  </si>
  <si>
    <t>INICIAL</t>
  </si>
  <si>
    <t>SCHROTT</t>
  </si>
  <si>
    <t>WE-DIFER</t>
  </si>
  <si>
    <t>SPT</t>
  </si>
  <si>
    <t>BL-ST-01</t>
  </si>
  <si>
    <t>ST</t>
  </si>
  <si>
    <t>BL-ST-02</t>
  </si>
  <si>
    <t>BL-VD-02</t>
  </si>
  <si>
    <t>3000175812</t>
  </si>
  <si>
    <t>VID</t>
  </si>
  <si>
    <t>3000175813</t>
  </si>
  <si>
    <t>3000170601</t>
  </si>
  <si>
    <t>42</t>
  </si>
  <si>
    <t>BL-VD-03</t>
  </si>
  <si>
    <t>3000170402</t>
  </si>
  <si>
    <t>3000170403</t>
  </si>
  <si>
    <t>BL-VD-04</t>
  </si>
  <si>
    <t>3000175807</t>
  </si>
  <si>
    <t>3000175805</t>
  </si>
  <si>
    <t>BL-VD-05</t>
  </si>
  <si>
    <t>3000175608</t>
  </si>
  <si>
    <t>6</t>
  </si>
  <si>
    <t>3000175606</t>
  </si>
  <si>
    <t>3000175603</t>
  </si>
  <si>
    <t>3000175605</t>
  </si>
  <si>
    <t>BL-VD-06</t>
  </si>
  <si>
    <t>3000176236</t>
  </si>
  <si>
    <t>BL-VD-07</t>
  </si>
  <si>
    <t>3000176232</t>
  </si>
  <si>
    <t>3000176231</t>
  </si>
  <si>
    <t>BL-VD-08</t>
  </si>
  <si>
    <t>3000175602</t>
  </si>
  <si>
    <t>3000176233</t>
  </si>
  <si>
    <t>3000174258</t>
  </si>
  <si>
    <t>21</t>
  </si>
  <si>
    <t>3000173972</t>
  </si>
  <si>
    <t>BL-VD-09</t>
  </si>
  <si>
    <t>3000173965</t>
  </si>
  <si>
    <t>24</t>
  </si>
  <si>
    <t>3000175092</t>
  </si>
  <si>
    <t>14</t>
  </si>
  <si>
    <t>3000175095</t>
  </si>
  <si>
    <t>3000174623</t>
  </si>
  <si>
    <t>11</t>
  </si>
  <si>
    <t>3000174622</t>
  </si>
  <si>
    <t>3000174626</t>
  </si>
  <si>
    <t>3000174625</t>
  </si>
  <si>
    <t>BL-VD-10</t>
  </si>
  <si>
    <t>3000172333</t>
  </si>
  <si>
    <t>33</t>
  </si>
  <si>
    <t>3000175809</t>
  </si>
  <si>
    <t>3000172336</t>
  </si>
  <si>
    <t>3000176235</t>
  </si>
  <si>
    <t>COL</t>
  </si>
  <si>
    <t>J-1-3-1</t>
  </si>
  <si>
    <t>3000176445</t>
  </si>
  <si>
    <t>3000176446</t>
  </si>
  <si>
    <t>J-1-3-2</t>
  </si>
  <si>
    <t>3000176423</t>
  </si>
  <si>
    <t>2</t>
  </si>
  <si>
    <t>3000176422</t>
  </si>
  <si>
    <t>J-1-4-1</t>
  </si>
  <si>
    <t>3000174777</t>
  </si>
  <si>
    <t>13</t>
  </si>
  <si>
    <t>J-1-4-2</t>
  </si>
  <si>
    <t>3000175765</t>
  </si>
  <si>
    <t>3000175764</t>
  </si>
  <si>
    <t>J-1-5-1</t>
  </si>
  <si>
    <t>3000176403</t>
  </si>
  <si>
    <t>3000176405</t>
  </si>
  <si>
    <t>J-1-5-2</t>
  </si>
  <si>
    <t>3000175842</t>
  </si>
  <si>
    <t>5</t>
  </si>
  <si>
    <t>X</t>
  </si>
  <si>
    <t>3000175841</t>
  </si>
  <si>
    <t>J-1-6-1</t>
  </si>
  <si>
    <t>3000175840</t>
  </si>
  <si>
    <t>3000175839</t>
  </si>
  <si>
    <t>J-1-6-2</t>
  </si>
  <si>
    <t>3000175766</t>
  </si>
  <si>
    <t>3000175768</t>
  </si>
  <si>
    <t>J-1-7-1</t>
  </si>
  <si>
    <t>J-1-7-2</t>
  </si>
  <si>
    <t>3000176424</t>
  </si>
  <si>
    <t>3000176426</t>
  </si>
  <si>
    <t>J-1-8-1</t>
  </si>
  <si>
    <t>3000175347</t>
  </si>
  <si>
    <t>3000173135</t>
  </si>
  <si>
    <t>J-1-8-2</t>
  </si>
  <si>
    <t>3000175337</t>
  </si>
  <si>
    <t>3000175340</t>
  </si>
  <si>
    <t>J-1-9-1</t>
  </si>
  <si>
    <t>J-1-9-2</t>
  </si>
  <si>
    <t>J-10-3-1</t>
  </si>
  <si>
    <t>J-10-3-2</t>
  </si>
  <si>
    <t>J-10-4-1</t>
  </si>
  <si>
    <t>J-10-4-2</t>
  </si>
  <si>
    <t>J-10-5-1</t>
  </si>
  <si>
    <t>J-10-5-2</t>
  </si>
  <si>
    <t>J-10-6-1</t>
  </si>
  <si>
    <t>J-10-6-2</t>
  </si>
  <si>
    <t>J-10-7-1</t>
  </si>
  <si>
    <t>J-10-7-2</t>
  </si>
  <si>
    <t>J-10-8-1</t>
  </si>
  <si>
    <t>J-10-8-2</t>
  </si>
  <si>
    <t>J-10-9-1</t>
  </si>
  <si>
    <t>J-10-9-2</t>
  </si>
  <si>
    <t>J-11-1-1</t>
  </si>
  <si>
    <t>J-2-3-1</t>
  </si>
  <si>
    <t>3000176404</t>
  </si>
  <si>
    <t>J-2-3-2</t>
  </si>
  <si>
    <t>3000175767</t>
  </si>
  <si>
    <t>3000175763</t>
  </si>
  <si>
    <t>J-2-4-1</t>
  </si>
  <si>
    <t>3000176222</t>
  </si>
  <si>
    <t>3000176221</t>
  </si>
  <si>
    <t>J-2-4-2</t>
  </si>
  <si>
    <t>3000175838</t>
  </si>
  <si>
    <t>J-2-5-1</t>
  </si>
  <si>
    <t>3000175335</t>
  </si>
  <si>
    <t>3000175338</t>
  </si>
  <si>
    <t>J-2-5-2</t>
  </si>
  <si>
    <t>3000176401</t>
  </si>
  <si>
    <t>3000176399</t>
  </si>
  <si>
    <t>J-2-6-1</t>
  </si>
  <si>
    <t>3000176456</t>
  </si>
  <si>
    <t>3000176455</t>
  </si>
  <si>
    <t>J-2-6-2</t>
  </si>
  <si>
    <t>3000176464</t>
  </si>
  <si>
    <t>3000176463</t>
  </si>
  <si>
    <t>J-2-7-1</t>
  </si>
  <si>
    <t>3000176400</t>
  </si>
  <si>
    <t>3000173023</t>
  </si>
  <si>
    <t>J-2-7-2</t>
  </si>
  <si>
    <t>3000176450</t>
  </si>
  <si>
    <t>3000176449</t>
  </si>
  <si>
    <t>J-2-8-1</t>
  </si>
  <si>
    <t>J-2-8-2</t>
  </si>
  <si>
    <t>3000175344</t>
  </si>
  <si>
    <t>3000175341</t>
  </si>
  <si>
    <t>J-2-9-1</t>
  </si>
  <si>
    <t>J-2-9-2</t>
  </si>
  <si>
    <t>J-3-3-1</t>
  </si>
  <si>
    <t>3000175314</t>
  </si>
  <si>
    <t>3000175311</t>
  </si>
  <si>
    <t>J-3-3-2</t>
  </si>
  <si>
    <t>3000176433</t>
  </si>
  <si>
    <t>3000176434</t>
  </si>
  <si>
    <t>J-3-4-1</t>
  </si>
  <si>
    <t>3000170562</t>
  </si>
  <si>
    <t>3000176223</t>
  </si>
  <si>
    <t>J-3-4-2</t>
  </si>
  <si>
    <t>3000176425</t>
  </si>
  <si>
    <t>3000176427</t>
  </si>
  <si>
    <t>J-3-5-1</t>
  </si>
  <si>
    <t>3000175352</t>
  </si>
  <si>
    <t>3000175351</t>
  </si>
  <si>
    <t>J-3-5-2</t>
  </si>
  <si>
    <t>3000175456</t>
  </si>
  <si>
    <t>3000175455</t>
  </si>
  <si>
    <t>J-3-6-1</t>
  </si>
  <si>
    <t>3000175349</t>
  </si>
  <si>
    <t>3000175350</t>
  </si>
  <si>
    <t>J-3-6-2</t>
  </si>
  <si>
    <t>3000175459</t>
  </si>
  <si>
    <t>3000175460</t>
  </si>
  <si>
    <t>J-3-7-1</t>
  </si>
  <si>
    <t>3000176369</t>
  </si>
  <si>
    <t>3000175353</t>
  </si>
  <si>
    <t>J-3-7-2</t>
  </si>
  <si>
    <t>3000175448</t>
  </si>
  <si>
    <t>3000175447</t>
  </si>
  <si>
    <t>J-3-8-1</t>
  </si>
  <si>
    <t>3000175307</t>
  </si>
  <si>
    <t>3000175310</t>
  </si>
  <si>
    <t>J-3-8-2</t>
  </si>
  <si>
    <t>3000175312</t>
  </si>
  <si>
    <t>3000175309</t>
  </si>
  <si>
    <t>J-3-9-1</t>
  </si>
  <si>
    <t>J-3-9-2</t>
  </si>
  <si>
    <t>J-4-3-1</t>
  </si>
  <si>
    <t>3000164579</t>
  </si>
  <si>
    <t>3000174839</t>
  </si>
  <si>
    <t>J-4-3-2</t>
  </si>
  <si>
    <t>3000175336</t>
  </si>
  <si>
    <t>3000175333</t>
  </si>
  <si>
    <t>J-4-4-1</t>
  </si>
  <si>
    <t>3000176213</t>
  </si>
  <si>
    <t>3000176211</t>
  </si>
  <si>
    <t>J-4-4-2</t>
  </si>
  <si>
    <t>3000176212</t>
  </si>
  <si>
    <t>3000176214</t>
  </si>
  <si>
    <t>J-4-5-1</t>
  </si>
  <si>
    <t>3000175513</t>
  </si>
  <si>
    <t>3000175515</t>
  </si>
  <si>
    <t>J-4-5-2</t>
  </si>
  <si>
    <t>3000176217</t>
  </si>
  <si>
    <t>3000176218</t>
  </si>
  <si>
    <t>J-4-6-1</t>
  </si>
  <si>
    <t>3000174710</t>
  </si>
  <si>
    <t>3000155727</t>
  </si>
  <si>
    <t>J-4-6-2</t>
  </si>
  <si>
    <t>J-4-7-1</t>
  </si>
  <si>
    <t>3000176224</t>
  </si>
  <si>
    <t>J-4-7-2</t>
  </si>
  <si>
    <t>3000175339</t>
  </si>
  <si>
    <t>3000175342</t>
  </si>
  <si>
    <t>J-4-8-1</t>
  </si>
  <si>
    <t>3000168472</t>
  </si>
  <si>
    <t>J-4-8-2</t>
  </si>
  <si>
    <t>3000173212</t>
  </si>
  <si>
    <t>J-4-9-1</t>
  </si>
  <si>
    <t>J-4-9-2</t>
  </si>
  <si>
    <t>J-5-3-1</t>
  </si>
  <si>
    <t>3000176273</t>
  </si>
  <si>
    <t>J-5-3-2</t>
  </si>
  <si>
    <t>3000175759</t>
  </si>
  <si>
    <t>3000175758</t>
  </si>
  <si>
    <t>J-5-4-1</t>
  </si>
  <si>
    <t>3000175332</t>
  </si>
  <si>
    <t>3000175334</t>
  </si>
  <si>
    <t>J-5-4-2</t>
  </si>
  <si>
    <t>3000175705</t>
  </si>
  <si>
    <t>3000175704</t>
  </si>
  <si>
    <t>J-5-5-1</t>
  </si>
  <si>
    <t>3000175868</t>
  </si>
  <si>
    <t>3000175869</t>
  </si>
  <si>
    <t>J-5-5-2</t>
  </si>
  <si>
    <t>3000175852</t>
  </si>
  <si>
    <t>3000175851</t>
  </si>
  <si>
    <t>J-5-6-1</t>
  </si>
  <si>
    <t>3000175845</t>
  </si>
  <si>
    <t>3000175846</t>
  </si>
  <si>
    <t>J-5-6-2</t>
  </si>
  <si>
    <t>3000164666</t>
  </si>
  <si>
    <t>87</t>
  </si>
  <si>
    <t>3000165728</t>
  </si>
  <si>
    <t>J-5-7-1</t>
  </si>
  <si>
    <t>3000175701</t>
  </si>
  <si>
    <t>3000175070</t>
  </si>
  <si>
    <t>J-5-7-2</t>
  </si>
  <si>
    <t>J-5-8-1</t>
  </si>
  <si>
    <t>3000175703</t>
  </si>
  <si>
    <t>3000175702</t>
  </si>
  <si>
    <t>J-5-8-2</t>
  </si>
  <si>
    <t>J-5-9-1</t>
  </si>
  <si>
    <t>J-5-9-2</t>
  </si>
  <si>
    <t>J-6-3-1</t>
  </si>
  <si>
    <t>3000175491</t>
  </si>
  <si>
    <t>3000175492</t>
  </si>
  <si>
    <t>J-6-3-2</t>
  </si>
  <si>
    <t>3000175697</t>
  </si>
  <si>
    <t>3000175700</t>
  </si>
  <si>
    <t>J-6-4-1</t>
  </si>
  <si>
    <t>3000175466</t>
  </si>
  <si>
    <t>3000175463</t>
  </si>
  <si>
    <t>J-6-4-2</t>
  </si>
  <si>
    <t>3000164658</t>
  </si>
  <si>
    <t>3000164659</t>
  </si>
  <si>
    <t>J-6-5-1</t>
  </si>
  <si>
    <t>3000176435</t>
  </si>
  <si>
    <t>J-6-5-2</t>
  </si>
  <si>
    <t>3000175712</t>
  </si>
  <si>
    <t>3000175711</t>
  </si>
  <si>
    <t>J-6-6-1</t>
  </si>
  <si>
    <t>3000162884</t>
  </si>
  <si>
    <t>116</t>
  </si>
  <si>
    <t>J-6-6-2</t>
  </si>
  <si>
    <t>3000173728</t>
  </si>
  <si>
    <t>J-6-7-1</t>
  </si>
  <si>
    <t>3000173549</t>
  </si>
  <si>
    <t>3000172161</t>
  </si>
  <si>
    <t>J-6-7-2</t>
  </si>
  <si>
    <t>3000170764</t>
  </si>
  <si>
    <t>3000175373</t>
  </si>
  <si>
    <t>J-6-8-1</t>
  </si>
  <si>
    <t>3000173552</t>
  </si>
  <si>
    <t>3000173551</t>
  </si>
  <si>
    <t>J-6-8-2</t>
  </si>
  <si>
    <t>3000175516</t>
  </si>
  <si>
    <t>J-6-9-1</t>
  </si>
  <si>
    <t>J-6-9-2</t>
  </si>
  <si>
    <t>J-7-3-1</t>
  </si>
  <si>
    <t>3000175529</t>
  </si>
  <si>
    <t>3000175530</t>
  </si>
  <si>
    <t>J-7-3-2</t>
  </si>
  <si>
    <t>3000171140</t>
  </si>
  <si>
    <t>3000175756</t>
  </si>
  <si>
    <t>J-7-4-1</t>
  </si>
  <si>
    <t>3000175527</t>
  </si>
  <si>
    <t>3000175528</t>
  </si>
  <si>
    <t>J-7-4-2</t>
  </si>
  <si>
    <t>3000175708</t>
  </si>
  <si>
    <t>3000175706</t>
  </si>
  <si>
    <t>J-7-5-1</t>
  </si>
  <si>
    <t>3000175694</t>
  </si>
  <si>
    <t>3000175693</t>
  </si>
  <si>
    <t>J-7-5-2</t>
  </si>
  <si>
    <t>3000175535</t>
  </si>
  <si>
    <t>3000175533</t>
  </si>
  <si>
    <t>J-7-6-1</t>
  </si>
  <si>
    <t>3000174695</t>
  </si>
  <si>
    <t>12</t>
  </si>
  <si>
    <t>3000174696</t>
  </si>
  <si>
    <t>J-7-6-2</t>
  </si>
  <si>
    <t>3000173705</t>
  </si>
  <si>
    <t>3000173706</t>
  </si>
  <si>
    <t>J-7-7-1</t>
  </si>
  <si>
    <t>3000173556</t>
  </si>
  <si>
    <t>3000175328</t>
  </si>
  <si>
    <t>J-7-7-2</t>
  </si>
  <si>
    <t>3000175313</t>
  </si>
  <si>
    <t>3000175316</t>
  </si>
  <si>
    <t>J-7-8-1</t>
  </si>
  <si>
    <t>3000175320</t>
  </si>
  <si>
    <t>3000175317</t>
  </si>
  <si>
    <t>J-7-8-2</t>
  </si>
  <si>
    <t>3000175343</t>
  </si>
  <si>
    <t>3000175346</t>
  </si>
  <si>
    <t>J-7-9-1</t>
  </si>
  <si>
    <t>J-7-9-2</t>
  </si>
  <si>
    <t>J-8-3-1</t>
  </si>
  <si>
    <t>3000173554</t>
  </si>
  <si>
    <t>3000173553</t>
  </si>
  <si>
    <t>J-8-3-2</t>
  </si>
  <si>
    <t>3000175695</t>
  </si>
  <si>
    <t>3000175696</t>
  </si>
  <si>
    <t>J-8-4-1</t>
  </si>
  <si>
    <t>3000176452</t>
  </si>
  <si>
    <t>3000176451</t>
  </si>
  <si>
    <t>J-8-4-2</t>
  </si>
  <si>
    <t>3000174188</t>
  </si>
  <si>
    <t>18</t>
  </si>
  <si>
    <t>J-8-5-1</t>
  </si>
  <si>
    <t>3000175889</t>
  </si>
  <si>
    <t>3000175890</t>
  </si>
  <si>
    <t>J-8-5-2</t>
  </si>
  <si>
    <t>3000148607</t>
  </si>
  <si>
    <t>113</t>
  </si>
  <si>
    <t>J-8-6-1</t>
  </si>
  <si>
    <t>J-8-6-2</t>
  </si>
  <si>
    <t>3000176459</t>
  </si>
  <si>
    <t>J-8-7-1</t>
  </si>
  <si>
    <t>3000174771</t>
  </si>
  <si>
    <t>J-8-7-2</t>
  </si>
  <si>
    <t>3000176457</t>
  </si>
  <si>
    <t>3000176458</t>
  </si>
  <si>
    <t>J-8-8-1</t>
  </si>
  <si>
    <t>3000175848</t>
  </si>
  <si>
    <t>3000175847</t>
  </si>
  <si>
    <t>J-8-8-2</t>
  </si>
  <si>
    <t>3000175843</t>
  </si>
  <si>
    <t>3000175844</t>
  </si>
  <si>
    <t>J-8-9-1</t>
  </si>
  <si>
    <t>J-8-9-2</t>
  </si>
  <si>
    <t>J-9-3-1</t>
  </si>
  <si>
    <t>J-9-3-2</t>
  </si>
  <si>
    <t>3000173550</t>
  </si>
  <si>
    <t>3000164127</t>
  </si>
  <si>
    <t>J-9-4-1</t>
  </si>
  <si>
    <t>J-9-4-2</t>
  </si>
  <si>
    <t>3000175880</t>
  </si>
  <si>
    <t>3000175879</t>
  </si>
  <si>
    <t>J-9-5-1</t>
  </si>
  <si>
    <t>3000176229</t>
  </si>
  <si>
    <t>3000176230</t>
  </si>
  <si>
    <t>J-9-5-2</t>
  </si>
  <si>
    <t>3000175892</t>
  </si>
  <si>
    <t>3000175891</t>
  </si>
  <si>
    <t>J-9-6-1</t>
  </si>
  <si>
    <t>3000175872</t>
  </si>
  <si>
    <t>3000175870</t>
  </si>
  <si>
    <t>J-9-6-2</t>
  </si>
  <si>
    <t>3000175849</t>
  </si>
  <si>
    <t>3000175850</t>
  </si>
  <si>
    <t>J-9-7-1</t>
  </si>
  <si>
    <t>3000175881</t>
  </si>
  <si>
    <t>3000175882</t>
  </si>
  <si>
    <t>J-9-7-2</t>
  </si>
  <si>
    <t>3000175888</t>
  </si>
  <si>
    <t>3000175887</t>
  </si>
  <si>
    <t>J-9-8-1</t>
  </si>
  <si>
    <t>J-9-8-2</t>
  </si>
  <si>
    <t>J-9-9-1</t>
  </si>
  <si>
    <t>J-9-9-2</t>
  </si>
  <si>
    <t>A-10-5-1</t>
  </si>
  <si>
    <t>3000172519</t>
  </si>
  <si>
    <t>28</t>
  </si>
  <si>
    <t>A-10-5-2</t>
  </si>
  <si>
    <t>3000170215</t>
  </si>
  <si>
    <t>3000175916</t>
  </si>
  <si>
    <t>8</t>
  </si>
  <si>
    <t>A-10-6-1</t>
  </si>
  <si>
    <t>3000175727</t>
  </si>
  <si>
    <t>3000174576</t>
  </si>
  <si>
    <t>A-10-6-2</t>
  </si>
  <si>
    <t>3000145564</t>
  </si>
  <si>
    <t>262</t>
  </si>
  <si>
    <t>3000141685</t>
  </si>
  <si>
    <t>270</t>
  </si>
  <si>
    <t>A-10-7-1</t>
  </si>
  <si>
    <t>3000174348</t>
  </si>
  <si>
    <t>10</t>
  </si>
  <si>
    <t>A-10-7-2</t>
  </si>
  <si>
    <t>3000175426</t>
  </si>
  <si>
    <t>3000175425</t>
  </si>
  <si>
    <t>A-10-8-1</t>
  </si>
  <si>
    <t>3000170446</t>
  </si>
  <si>
    <t>3000175379</t>
  </si>
  <si>
    <t>A-10-8-2</t>
  </si>
  <si>
    <t>3000174524</t>
  </si>
  <si>
    <t>A-2-5-1</t>
  </si>
  <si>
    <t>3000170213</t>
  </si>
  <si>
    <t>36</t>
  </si>
  <si>
    <t>3000167167</t>
  </si>
  <si>
    <t>A-2-5-2</t>
  </si>
  <si>
    <t>3000175774</t>
  </si>
  <si>
    <t>3000175773</t>
  </si>
  <si>
    <t>A-2-6-1</t>
  </si>
  <si>
    <t>3000173541</t>
  </si>
  <si>
    <t>A-2-6-2</t>
  </si>
  <si>
    <t>3000175214</t>
  </si>
  <si>
    <t>3000175111</t>
  </si>
  <si>
    <t>15</t>
  </si>
  <si>
    <t>A-2-7-1</t>
  </si>
  <si>
    <t>3000173691</t>
  </si>
  <si>
    <t>3000173690</t>
  </si>
  <si>
    <t>A-2-7-2</t>
  </si>
  <si>
    <t>3000175642</t>
  </si>
  <si>
    <t>3000175586</t>
  </si>
  <si>
    <t>A-2-8-1</t>
  </si>
  <si>
    <t>3000159054</t>
  </si>
  <si>
    <t>3000176440</t>
  </si>
  <si>
    <t>A-2-8-2</t>
  </si>
  <si>
    <t>3000170214</t>
  </si>
  <si>
    <t>A-3-5-1</t>
  </si>
  <si>
    <t>3000174673</t>
  </si>
  <si>
    <t>3000174675</t>
  </si>
  <si>
    <t>A-3-5-2</t>
  </si>
  <si>
    <t>3000155972</t>
  </si>
  <si>
    <t>174</t>
  </si>
  <si>
    <t>3000155973</t>
  </si>
  <si>
    <t>A-3-6-1</t>
  </si>
  <si>
    <t>3000164661</t>
  </si>
  <si>
    <t>90</t>
  </si>
  <si>
    <t>3000152671</t>
  </si>
  <si>
    <t>A-3-6-2</t>
  </si>
  <si>
    <t>3000176283</t>
  </si>
  <si>
    <t>A-3-7-1</t>
  </si>
  <si>
    <t>3000173275</t>
  </si>
  <si>
    <t>A-3-7-2</t>
  </si>
  <si>
    <t>3000156133</t>
  </si>
  <si>
    <t>3000156132</t>
  </si>
  <si>
    <t>A-3-8-1</t>
  </si>
  <si>
    <t>3000171600</t>
  </si>
  <si>
    <t>A-3-8-2</t>
  </si>
  <si>
    <t>3000175550</t>
  </si>
  <si>
    <t>3000173342</t>
  </si>
  <si>
    <t>27</t>
  </si>
  <si>
    <t>A-4-5-1</t>
  </si>
  <si>
    <t>3000172521</t>
  </si>
  <si>
    <t>3000172520</t>
  </si>
  <si>
    <t>A-4-5-2</t>
  </si>
  <si>
    <t>3000175381</t>
  </si>
  <si>
    <t>3000174023</t>
  </si>
  <si>
    <t>A-4-6-1</t>
  </si>
  <si>
    <t>3000163210</t>
  </si>
  <si>
    <t>49</t>
  </si>
  <si>
    <t>3000172015</t>
  </si>
  <si>
    <t>9</t>
  </si>
  <si>
    <t>A-4-6-2</t>
  </si>
  <si>
    <t>3000175651</t>
  </si>
  <si>
    <t>A-4-7-1</t>
  </si>
  <si>
    <t>3000175600</t>
  </si>
  <si>
    <t>3000175599</t>
  </si>
  <si>
    <t>A-4-7-2</t>
  </si>
  <si>
    <t>3000173689</t>
  </si>
  <si>
    <t>3000175984</t>
  </si>
  <si>
    <t>A-4-8-1</t>
  </si>
  <si>
    <t>3000170207</t>
  </si>
  <si>
    <t>3000170210</t>
  </si>
  <si>
    <t>A-4-8-2</t>
  </si>
  <si>
    <t>A-5-5-1</t>
  </si>
  <si>
    <t>3000176255</t>
  </si>
  <si>
    <t>A-5-5-2</t>
  </si>
  <si>
    <t>3000172046</t>
  </si>
  <si>
    <t>A-5-6-1</t>
  </si>
  <si>
    <t>3000173933</t>
  </si>
  <si>
    <t>20</t>
  </si>
  <si>
    <t>3000173935</t>
  </si>
  <si>
    <t>A-5-6-2</t>
  </si>
  <si>
    <t>3000173336</t>
  </si>
  <si>
    <t>A-5-7-1</t>
  </si>
  <si>
    <t>3000135860</t>
  </si>
  <si>
    <t>3000175376</t>
  </si>
  <si>
    <t>A-5-7-2</t>
  </si>
  <si>
    <t>3000166433</t>
  </si>
  <si>
    <t>81</t>
  </si>
  <si>
    <t>3000166299</t>
  </si>
  <si>
    <t>92</t>
  </si>
  <si>
    <t>A-5-8-1</t>
  </si>
  <si>
    <t>3000167753</t>
  </si>
  <si>
    <t>75</t>
  </si>
  <si>
    <t>3000165549</t>
  </si>
  <si>
    <t>73</t>
  </si>
  <si>
    <t>17</t>
  </si>
  <si>
    <t>A-6-5-1</t>
  </si>
  <si>
    <t>3000168172</t>
  </si>
  <si>
    <t>3000168371</t>
  </si>
  <si>
    <t>A-6-5-2</t>
  </si>
  <si>
    <t>3000175662</t>
  </si>
  <si>
    <t>3000175383</t>
  </si>
  <si>
    <t>A-6-6-1</t>
  </si>
  <si>
    <t>3000175249</t>
  </si>
  <si>
    <t>16</t>
  </si>
  <si>
    <t>3000175248</t>
  </si>
  <si>
    <t>A-6-6-2</t>
  </si>
  <si>
    <t>3000176258</t>
  </si>
  <si>
    <t>A-6-7-1</t>
  </si>
  <si>
    <t>3000175037</t>
  </si>
  <si>
    <t>A-6-7-2</t>
  </si>
  <si>
    <t>3000174658</t>
  </si>
  <si>
    <t>A-6-8-1</t>
  </si>
  <si>
    <t>3000175424</t>
  </si>
  <si>
    <t>A-6-8-2</t>
  </si>
  <si>
    <t>3000164660</t>
  </si>
  <si>
    <t>3000164655</t>
  </si>
  <si>
    <t>A-7-5-1</t>
  </si>
  <si>
    <t>3000175511</t>
  </si>
  <si>
    <t>A-7-5-2</t>
  </si>
  <si>
    <t>3000169867</t>
  </si>
  <si>
    <t>A-7-6-1</t>
  </si>
  <si>
    <t>3000173990</t>
  </si>
  <si>
    <t>3000172013</t>
  </si>
  <si>
    <t>A-7-6-2</t>
  </si>
  <si>
    <t>3000171431</t>
  </si>
  <si>
    <t>3000166970</t>
  </si>
  <si>
    <t>A-7-7-1</t>
  </si>
  <si>
    <t>3000173297</t>
  </si>
  <si>
    <t>26</t>
  </si>
  <si>
    <t>3000173296</t>
  </si>
  <si>
    <t>A-7-7-2</t>
  </si>
  <si>
    <t>3000172906</t>
  </si>
  <si>
    <t>3000175329</t>
  </si>
  <si>
    <t>A-7-8-1</t>
  </si>
  <si>
    <t>3000174584</t>
  </si>
  <si>
    <t>3000174583</t>
  </si>
  <si>
    <t>A-7-8-2</t>
  </si>
  <si>
    <t>3000175598</t>
  </si>
  <si>
    <t>3000175597</t>
  </si>
  <si>
    <t>A-8-5-1</t>
  </si>
  <si>
    <t>3000176246</t>
  </si>
  <si>
    <t>A-8-5-2</t>
  </si>
  <si>
    <t>3000171241</t>
  </si>
  <si>
    <t>A-8-6-1</t>
  </si>
  <si>
    <t>3000176215</t>
  </si>
  <si>
    <t>A-8-6-2</t>
  </si>
  <si>
    <t>3000173688</t>
  </si>
  <si>
    <t>3000173687</t>
  </si>
  <si>
    <t>A-8-7-1</t>
  </si>
  <si>
    <t>3000175964</t>
  </si>
  <si>
    <t>3000175962</t>
  </si>
  <si>
    <t>A-8-7-2</t>
  </si>
  <si>
    <t>3000175595</t>
  </si>
  <si>
    <t>3000175596</t>
  </si>
  <si>
    <t>A-8-8-1</t>
  </si>
  <si>
    <t>3000175411</t>
  </si>
  <si>
    <t>3000175414</t>
  </si>
  <si>
    <t>A-8-8-2</t>
  </si>
  <si>
    <t>3000172717</t>
  </si>
  <si>
    <t>3000174000</t>
  </si>
  <si>
    <t>A-9-5-1</t>
  </si>
  <si>
    <t>3000176460</t>
  </si>
  <si>
    <t>A-9-6-1</t>
  </si>
  <si>
    <t>3000173347</t>
  </si>
  <si>
    <t>3000163193</t>
  </si>
  <si>
    <t>A-9-6-2</t>
  </si>
  <si>
    <t>3000174040</t>
  </si>
  <si>
    <t>3000175201</t>
  </si>
  <si>
    <t>A-9-7-1</t>
  </si>
  <si>
    <t>3000122403</t>
  </si>
  <si>
    <t>3000175866</t>
  </si>
  <si>
    <t>A-9-7-2</t>
  </si>
  <si>
    <t>3000172691</t>
  </si>
  <si>
    <t>3000174335</t>
  </si>
  <si>
    <t>A-9-8-1</t>
  </si>
  <si>
    <t>3000175354</t>
  </si>
  <si>
    <t>3000175356</t>
  </si>
  <si>
    <t>A-9-8-2</t>
  </si>
  <si>
    <t>3000174662</t>
  </si>
  <si>
    <t>3000174661</t>
  </si>
  <si>
    <t>C-1-1-1</t>
  </si>
  <si>
    <t>3000175803</t>
  </si>
  <si>
    <t>3000175920</t>
  </si>
  <si>
    <t>C-1-1-2</t>
  </si>
  <si>
    <t>3000163207</t>
  </si>
  <si>
    <t>3000175951</t>
  </si>
  <si>
    <t>C-1-2-1</t>
  </si>
  <si>
    <t>3000175899</t>
  </si>
  <si>
    <t>3000176295</t>
  </si>
  <si>
    <t>C-1-2-2</t>
  </si>
  <si>
    <t>3000172530</t>
  </si>
  <si>
    <t>C-1-3-1</t>
  </si>
  <si>
    <t>3000162390</t>
  </si>
  <si>
    <t>84</t>
  </si>
  <si>
    <t>C-1-3-2</t>
  </si>
  <si>
    <t>3000175261</t>
  </si>
  <si>
    <t>3000175957</t>
  </si>
  <si>
    <t>C-1-4-1</t>
  </si>
  <si>
    <t>3000175594</t>
  </si>
  <si>
    <t>3000175399</t>
  </si>
  <si>
    <t>C-1-4-2</t>
  </si>
  <si>
    <t>3000128240</t>
  </si>
  <si>
    <t>393</t>
  </si>
  <si>
    <t>C-1-5-1</t>
  </si>
  <si>
    <t>3000170650</t>
  </si>
  <si>
    <t>43</t>
  </si>
  <si>
    <t>C-1-5-2</t>
  </si>
  <si>
    <t>3000155852</t>
  </si>
  <si>
    <t>3000176441</t>
  </si>
  <si>
    <t>C-1-6-1</t>
  </si>
  <si>
    <t>3000175825</t>
  </si>
  <si>
    <t>3000175826</t>
  </si>
  <si>
    <t>C-1-6-2</t>
  </si>
  <si>
    <t>3000174913</t>
  </si>
  <si>
    <t>3000175384</t>
  </si>
  <si>
    <t>C-1-7-1</t>
  </si>
  <si>
    <t>3000174002</t>
  </si>
  <si>
    <t>C-1-7-2</t>
  </si>
  <si>
    <t>3000175205</t>
  </si>
  <si>
    <t>3000175207</t>
  </si>
  <si>
    <t>C-1-8-1</t>
  </si>
  <si>
    <t>3000173345</t>
  </si>
  <si>
    <t>C-1-8-2</t>
  </si>
  <si>
    <t>3000170573</t>
  </si>
  <si>
    <t>3000170557</t>
  </si>
  <si>
    <t>C-10-1-1</t>
  </si>
  <si>
    <t>3000176398</t>
  </si>
  <si>
    <t>3000176397</t>
  </si>
  <si>
    <t>C-10-1-2</t>
  </si>
  <si>
    <t>3000158978</t>
  </si>
  <si>
    <t>C-10-2-1</t>
  </si>
  <si>
    <t>3000167676</t>
  </si>
  <si>
    <t>3000167643</t>
  </si>
  <si>
    <t>74</t>
  </si>
  <si>
    <t>C-10-3-1</t>
  </si>
  <si>
    <t>3000175296</t>
  </si>
  <si>
    <t>3000175295</t>
  </si>
  <si>
    <t>C-10-3-2</t>
  </si>
  <si>
    <t>3000173062</t>
  </si>
  <si>
    <t>25</t>
  </si>
  <si>
    <t>3000173059</t>
  </si>
  <si>
    <t>C-10-4-1</t>
  </si>
  <si>
    <t>3000174333</t>
  </si>
  <si>
    <t>3000173934</t>
  </si>
  <si>
    <t>C-10-4-2</t>
  </si>
  <si>
    <t>3000174915</t>
  </si>
  <si>
    <t>3000173617</t>
  </si>
  <si>
    <t>C-10-5-1</t>
  </si>
  <si>
    <t>3000175260</t>
  </si>
  <si>
    <t>3000175266</t>
  </si>
  <si>
    <t>C-10-5-2</t>
  </si>
  <si>
    <t>3000165219</t>
  </si>
  <si>
    <t>3000175435</t>
  </si>
  <si>
    <t>C-10-6-1</t>
  </si>
  <si>
    <t>3000176216</t>
  </si>
  <si>
    <t>C-10-6-2</t>
  </si>
  <si>
    <t>3000175208</t>
  </si>
  <si>
    <t>3000162970</t>
  </si>
  <si>
    <t>C-10-7-1</t>
  </si>
  <si>
    <t>3000176206</t>
  </si>
  <si>
    <t>3000176205</t>
  </si>
  <si>
    <t>C-10-7-2</t>
  </si>
  <si>
    <t>3000175968</t>
  </si>
  <si>
    <t>3000175969</t>
  </si>
  <si>
    <t>C-10-8-1</t>
  </si>
  <si>
    <t>3000175436</t>
  </si>
  <si>
    <t>C-10-8-2</t>
  </si>
  <si>
    <t>3000175441</t>
  </si>
  <si>
    <t>3000175400</t>
  </si>
  <si>
    <t>C-2-1-1</t>
  </si>
  <si>
    <t>3000172322</t>
  </si>
  <si>
    <t>C-2-1-2</t>
  </si>
  <si>
    <t>3000173939</t>
  </si>
  <si>
    <t>3000173897</t>
  </si>
  <si>
    <t>C-2-2-1</t>
  </si>
  <si>
    <t>3000168936</t>
  </si>
  <si>
    <t>57</t>
  </si>
  <si>
    <t>C-2-2-2</t>
  </si>
  <si>
    <t>3000173945</t>
  </si>
  <si>
    <t>3000173948</t>
  </si>
  <si>
    <t>C-2-3-1</t>
  </si>
  <si>
    <t>3000129273</t>
  </si>
  <si>
    <t>353</t>
  </si>
  <si>
    <t>C-2-3-2</t>
  </si>
  <si>
    <t>3000172356</t>
  </si>
  <si>
    <t>3000175676</t>
  </si>
  <si>
    <t>C-2-4-1</t>
  </si>
  <si>
    <t>3000153045</t>
  </si>
  <si>
    <t>190</t>
  </si>
  <si>
    <t>3000166434</t>
  </si>
  <si>
    <t>C-2-4-2</t>
  </si>
  <si>
    <t>3000175593</t>
  </si>
  <si>
    <t>C-2-5-1</t>
  </si>
  <si>
    <t>3000156129</t>
  </si>
  <si>
    <t>3000156131</t>
  </si>
  <si>
    <t>C-2-5-2</t>
  </si>
  <si>
    <t>3000176219</t>
  </si>
  <si>
    <t>C-2-6-1</t>
  </si>
  <si>
    <t>3000173293</t>
  </si>
  <si>
    <t>3000173295</t>
  </si>
  <si>
    <t>C-2-6-2</t>
  </si>
  <si>
    <t>C-2-7-1</t>
  </si>
  <si>
    <t>3000161749</t>
  </si>
  <si>
    <t>119</t>
  </si>
  <si>
    <t>C-2-7-2</t>
  </si>
  <si>
    <t>3000174677</t>
  </si>
  <si>
    <t>3000174676</t>
  </si>
  <si>
    <t>C-2-8-1</t>
  </si>
  <si>
    <t>3000174073</t>
  </si>
  <si>
    <t>3000174071</t>
  </si>
  <si>
    <t>C-2-8-2</t>
  </si>
  <si>
    <t>3000170003</t>
  </si>
  <si>
    <t>C-3-1-1</t>
  </si>
  <si>
    <t>3000175581</t>
  </si>
  <si>
    <t>3000175579</t>
  </si>
  <si>
    <t>C-3-1-2</t>
  </si>
  <si>
    <t>3000168758</t>
  </si>
  <si>
    <t>3000175660</t>
  </si>
  <si>
    <t>C-3-2-1</t>
  </si>
  <si>
    <t>3000176281</t>
  </si>
  <si>
    <t>3000173954</t>
  </si>
  <si>
    <t>C-3-2-2</t>
  </si>
  <si>
    <t>3000175885</t>
  </si>
  <si>
    <t>3000175898</t>
  </si>
  <si>
    <t>C-3-3-1</t>
  </si>
  <si>
    <t>3000173053</t>
  </si>
  <si>
    <t>3000173056</t>
  </si>
  <si>
    <t>C-3-3-2</t>
  </si>
  <si>
    <t>3000175363</t>
  </si>
  <si>
    <t>C-3-4-1</t>
  </si>
  <si>
    <t>3000175905</t>
  </si>
  <si>
    <t>3000175691</t>
  </si>
  <si>
    <t>C-3-4-2</t>
  </si>
  <si>
    <t>3000155967</t>
  </si>
  <si>
    <t>3000155968</t>
  </si>
  <si>
    <t>C-3-5-1</t>
  </si>
  <si>
    <t>3000175386</t>
  </si>
  <si>
    <t>C-3-5-2</t>
  </si>
  <si>
    <t>3000173947</t>
  </si>
  <si>
    <t>3000174047</t>
  </si>
  <si>
    <t>C-3-6-1</t>
  </si>
  <si>
    <t>3000174711</t>
  </si>
  <si>
    <t>3000174714</t>
  </si>
  <si>
    <t>C-3-6-2</t>
  </si>
  <si>
    <t>3000176387</t>
  </si>
  <si>
    <t>C-3-7-1</t>
  </si>
  <si>
    <t>3000175431</t>
  </si>
  <si>
    <t>3000175434</t>
  </si>
  <si>
    <t>C-3-7-2</t>
  </si>
  <si>
    <t>3000172492</t>
  </si>
  <si>
    <t>C-3-8-1</t>
  </si>
  <si>
    <t>3000175433</t>
  </si>
  <si>
    <t>C-3-8-2</t>
  </si>
  <si>
    <t>3000172494</t>
  </si>
  <si>
    <t>3000172491</t>
  </si>
  <si>
    <t>C-4-1-1</t>
  </si>
  <si>
    <t>3000173585</t>
  </si>
  <si>
    <t>3000149544</t>
  </si>
  <si>
    <t>C-4-1-2</t>
  </si>
  <si>
    <t>3000173584</t>
  </si>
  <si>
    <t>3000173583</t>
  </si>
  <si>
    <t>C-4-2-1</t>
  </si>
  <si>
    <t>C-4-2-2</t>
  </si>
  <si>
    <t>3000173054</t>
  </si>
  <si>
    <t>3000173051</t>
  </si>
  <si>
    <t>C-4-3-1</t>
  </si>
  <si>
    <t>3000175375</t>
  </si>
  <si>
    <t>3000173807</t>
  </si>
  <si>
    <t>C-4-3-2</t>
  </si>
  <si>
    <t>3000129282</t>
  </si>
  <si>
    <t>354</t>
  </si>
  <si>
    <t>C-4-4-1</t>
  </si>
  <si>
    <t>3000154880</t>
  </si>
  <si>
    <t>46</t>
  </si>
  <si>
    <t>3000173586</t>
  </si>
  <si>
    <t>C-4-4-2</t>
  </si>
  <si>
    <t>3000175254</t>
  </si>
  <si>
    <t>3000175253</t>
  </si>
  <si>
    <t>C-4-5-1</t>
  </si>
  <si>
    <t>3000175587</t>
  </si>
  <si>
    <t>3000175590</t>
  </si>
  <si>
    <t>C-4-5-2</t>
  </si>
  <si>
    <t>3000176448</t>
  </si>
  <si>
    <t>C-4-6-1</t>
  </si>
  <si>
    <t>3000172872</t>
  </si>
  <si>
    <t>3000172868</t>
  </si>
  <si>
    <t>C-4-6-2</t>
  </si>
  <si>
    <t>3000163057</t>
  </si>
  <si>
    <t>C-4-7-1</t>
  </si>
  <si>
    <t>3000174659</t>
  </si>
  <si>
    <t>3000174660</t>
  </si>
  <si>
    <t>C-4-7-2</t>
  </si>
  <si>
    <t>3000173068</t>
  </si>
  <si>
    <t>3000173066</t>
  </si>
  <si>
    <t>C-4-8-1</t>
  </si>
  <si>
    <t>3000166467</t>
  </si>
  <si>
    <t>C-4-8-2</t>
  </si>
  <si>
    <t>3000175831</t>
  </si>
  <si>
    <t>3000175832</t>
  </si>
  <si>
    <t>C-5-1-1</t>
  </si>
  <si>
    <t>3000173052</t>
  </si>
  <si>
    <t>3000173049</t>
  </si>
  <si>
    <t>C-5-1-2</t>
  </si>
  <si>
    <t>3000176370</t>
  </si>
  <si>
    <t>C-5-2-1</t>
  </si>
  <si>
    <t>3000175226</t>
  </si>
  <si>
    <t>C-5-2-2</t>
  </si>
  <si>
    <t>3000175958</t>
  </si>
  <si>
    <t>3000173886</t>
  </si>
  <si>
    <t>C-5-3-1</t>
  </si>
  <si>
    <t>3000172419</t>
  </si>
  <si>
    <t>C-5-4-1</t>
  </si>
  <si>
    <t>3000175405</t>
  </si>
  <si>
    <t>3000175408</t>
  </si>
  <si>
    <t>C-5-4-2</t>
  </si>
  <si>
    <t>3000172181</t>
  </si>
  <si>
    <t>35</t>
  </si>
  <si>
    <t>3000172183</t>
  </si>
  <si>
    <t>C-5-5-1</t>
  </si>
  <si>
    <t>3000175518</t>
  </si>
  <si>
    <t>3000175522</t>
  </si>
  <si>
    <t>C-5-5-2</t>
  </si>
  <si>
    <t>3000175980</t>
  </si>
  <si>
    <t>3000175981</t>
  </si>
  <si>
    <t>C-5-6-1</t>
  </si>
  <si>
    <t>3000176442</t>
  </si>
  <si>
    <t>C-5-6-2</t>
  </si>
  <si>
    <t>3000140150</t>
  </si>
  <si>
    <t>C-5-7-1</t>
  </si>
  <si>
    <t>3000170300</t>
  </si>
  <si>
    <t>3000170937</t>
  </si>
  <si>
    <t>C-5-7-2</t>
  </si>
  <si>
    <t>3000170264</t>
  </si>
  <si>
    <t>38</t>
  </si>
  <si>
    <t>3000170266</t>
  </si>
  <si>
    <t>C-5-8-1</t>
  </si>
  <si>
    <t>3000172888</t>
  </si>
  <si>
    <t>C-5-8-2</t>
  </si>
  <si>
    <t>3000174396</t>
  </si>
  <si>
    <t>C-6-1-1</t>
  </si>
  <si>
    <t>3000137403</t>
  </si>
  <si>
    <t>C-6-1-2</t>
  </si>
  <si>
    <t>3000175901</t>
  </si>
  <si>
    <t>3000159228</t>
  </si>
  <si>
    <t>C-6-2-1</t>
  </si>
  <si>
    <t>3000167587</t>
  </si>
  <si>
    <t>3000167673</t>
  </si>
  <si>
    <t>C-6-2-2</t>
  </si>
  <si>
    <t>3000173324</t>
  </si>
  <si>
    <t>C-6-3-1</t>
  </si>
  <si>
    <t>3000173959</t>
  </si>
  <si>
    <t>3000173960</t>
  </si>
  <si>
    <t>C-6-3-2</t>
  </si>
  <si>
    <t>3000168926</t>
  </si>
  <si>
    <t>3000163993</t>
  </si>
  <si>
    <t>101</t>
  </si>
  <si>
    <t>C-6-4-1</t>
  </si>
  <si>
    <t>3000154957</t>
  </si>
  <si>
    <t>133</t>
  </si>
  <si>
    <t>3000153449</t>
  </si>
  <si>
    <t>165</t>
  </si>
  <si>
    <t>C-6-4-2</t>
  </si>
  <si>
    <t>3000174036</t>
  </si>
  <si>
    <t>19</t>
  </si>
  <si>
    <t>C-6-5-1</t>
  </si>
  <si>
    <t>3000174055</t>
  </si>
  <si>
    <t>3000174067</t>
  </si>
  <si>
    <t>C-6-5-2</t>
  </si>
  <si>
    <t>3000176220</t>
  </si>
  <si>
    <t>C-6-6-1</t>
  </si>
  <si>
    <t>3000171292</t>
  </si>
  <si>
    <t>3000175517</t>
  </si>
  <si>
    <t>C-6-6-2</t>
  </si>
  <si>
    <t>3000173949</t>
  </si>
  <si>
    <t>3000174052</t>
  </si>
  <si>
    <t>C-6-7-1</t>
  </si>
  <si>
    <t>3000173623</t>
  </si>
  <si>
    <t>3000175546</t>
  </si>
  <si>
    <t>C-6-7-2</t>
  </si>
  <si>
    <t>3000167782</t>
  </si>
  <si>
    <t>C-6-8-1</t>
  </si>
  <si>
    <t>3000175439</t>
  </si>
  <si>
    <t>3000175639</t>
  </si>
  <si>
    <t>C-6-8-2</t>
  </si>
  <si>
    <t>3000173697</t>
  </si>
  <si>
    <t>3000175186</t>
  </si>
  <si>
    <t>C-7-1-1</t>
  </si>
  <si>
    <t>3000174305</t>
  </si>
  <si>
    <t>3000175874</t>
  </si>
  <si>
    <t>C-7-1-2</t>
  </si>
  <si>
    <t>3000175251</t>
  </si>
  <si>
    <t>3000175252</t>
  </si>
  <si>
    <t>C-7-2-1</t>
  </si>
  <si>
    <t>3000171022</t>
  </si>
  <si>
    <t>54</t>
  </si>
  <si>
    <t>3000169362</t>
  </si>
  <si>
    <t>C-7-2-2</t>
  </si>
  <si>
    <t>3000175245</t>
  </si>
  <si>
    <t>3000175244</t>
  </si>
  <si>
    <t>C-7-3-1</t>
  </si>
  <si>
    <t>3000173603</t>
  </si>
  <si>
    <t>3000175952</t>
  </si>
  <si>
    <t>C-7-3-2</t>
  </si>
  <si>
    <t>3000176385</t>
  </si>
  <si>
    <t>3000170211</t>
  </si>
  <si>
    <t>C-7-4-1</t>
  </si>
  <si>
    <t>3000175432</t>
  </si>
  <si>
    <t>C-7-4-2</t>
  </si>
  <si>
    <t>3000165414</t>
  </si>
  <si>
    <t>40</t>
  </si>
  <si>
    <t>3000171264</t>
  </si>
  <si>
    <t>C-7-5-1</t>
  </si>
  <si>
    <t>3000172871</t>
  </si>
  <si>
    <t>3000172873</t>
  </si>
  <si>
    <t>C-7-5-2</t>
  </si>
  <si>
    <t>3000174911</t>
  </si>
  <si>
    <t>3000168695</t>
  </si>
  <si>
    <t>C-7-6-1</t>
  </si>
  <si>
    <t>3000176372</t>
  </si>
  <si>
    <t>3000176371</t>
  </si>
  <si>
    <t>C-7-6-2</t>
  </si>
  <si>
    <t>3000175822</t>
  </si>
  <si>
    <t>C-7-7-1</t>
  </si>
  <si>
    <t>3000173294</t>
  </si>
  <si>
    <t>3000175258</t>
  </si>
  <si>
    <t>C-7-7-2</t>
  </si>
  <si>
    <t>3000175056</t>
  </si>
  <si>
    <t>3000175055</t>
  </si>
  <si>
    <t>C-7-8-1</t>
  </si>
  <si>
    <t>3000175430</t>
  </si>
  <si>
    <t>3000172534</t>
  </si>
  <si>
    <t>C-7-8-2</t>
  </si>
  <si>
    <t>3000174337</t>
  </si>
  <si>
    <t>3000174338</t>
  </si>
  <si>
    <t>C-8-1-1</t>
  </si>
  <si>
    <t>3000175534</t>
  </si>
  <si>
    <t>C-8-2-1</t>
  </si>
  <si>
    <t>3000173951</t>
  </si>
  <si>
    <t>3000173957</t>
  </si>
  <si>
    <t>C-8-2-2</t>
  </si>
  <si>
    <t>3000067761</t>
  </si>
  <si>
    <t>157</t>
  </si>
  <si>
    <t>3000135833</t>
  </si>
  <si>
    <t>C-8-3-1</t>
  </si>
  <si>
    <t>3000171020</t>
  </si>
  <si>
    <t>3000171019</t>
  </si>
  <si>
    <t>C-8-3-2</t>
  </si>
  <si>
    <t>3000176245</t>
  </si>
  <si>
    <t>C-8-4-1</t>
  </si>
  <si>
    <t>3000175929</t>
  </si>
  <si>
    <t>3000175291</t>
  </si>
  <si>
    <t>C-8-4-2</t>
  </si>
  <si>
    <t>3000172672</t>
  </si>
  <si>
    <t>31</t>
  </si>
  <si>
    <t>C-8-5-1</t>
  </si>
  <si>
    <t>3000173902</t>
  </si>
  <si>
    <t>C-8-5-2</t>
  </si>
  <si>
    <t>3000175189</t>
  </si>
  <si>
    <t>C-8-6-1</t>
  </si>
  <si>
    <t>3000175659</t>
  </si>
  <si>
    <t>3000175917</t>
  </si>
  <si>
    <t>C-8-6-2</t>
  </si>
  <si>
    <t>3000169356</t>
  </si>
  <si>
    <t>58</t>
  </si>
  <si>
    <t>3000169341</t>
  </si>
  <si>
    <t>C-8-7-1</t>
  </si>
  <si>
    <t>C-8-7-2</t>
  </si>
  <si>
    <t>3000174051</t>
  </si>
  <si>
    <t>3000175206</t>
  </si>
  <si>
    <t>C-8-8-1</t>
  </si>
  <si>
    <t>C-8-8-2</t>
  </si>
  <si>
    <t>3000176248</t>
  </si>
  <si>
    <t>C-9-1-1</t>
  </si>
  <si>
    <t>3000173581</t>
  </si>
  <si>
    <t>3000173582</t>
  </si>
  <si>
    <t>C-9-1-2</t>
  </si>
  <si>
    <t>3000169649</t>
  </si>
  <si>
    <t>3000171017</t>
  </si>
  <si>
    <t>C-9-2-1</t>
  </si>
  <si>
    <t>3000167006</t>
  </si>
  <si>
    <t>3000168156</t>
  </si>
  <si>
    <t>C-9-2-2</t>
  </si>
  <si>
    <t>3000175956</t>
  </si>
  <si>
    <t>3000162997</t>
  </si>
  <si>
    <t>C-9-3-1</t>
  </si>
  <si>
    <t>3000173047</t>
  </si>
  <si>
    <t>3000173050</t>
  </si>
  <si>
    <t>C-9-3-2</t>
  </si>
  <si>
    <t>3000176227</t>
  </si>
  <si>
    <t>3000176228</t>
  </si>
  <si>
    <t>C-9-4-1</t>
  </si>
  <si>
    <t>3000171013</t>
  </si>
  <si>
    <t>3000167742</t>
  </si>
  <si>
    <t>C-9-4-2</t>
  </si>
  <si>
    <t>3000155969</t>
  </si>
  <si>
    <t>3000155971</t>
  </si>
  <si>
    <t>C-9-5-1</t>
  </si>
  <si>
    <t>3000174828</t>
  </si>
  <si>
    <t>C-9-5-2</t>
  </si>
  <si>
    <t>3000175926</t>
  </si>
  <si>
    <t>3000175925</t>
  </si>
  <si>
    <t>C-9-6-1</t>
  </si>
  <si>
    <t>3000174909</t>
  </si>
  <si>
    <t>3000175429</t>
  </si>
  <si>
    <t>C-9-6-2</t>
  </si>
  <si>
    <t>3000175547</t>
  </si>
  <si>
    <t>3000175209</t>
  </si>
  <si>
    <t>C-9-7-1</t>
  </si>
  <si>
    <t>3000173360</t>
  </si>
  <si>
    <t>C-9-7-2</t>
  </si>
  <si>
    <t>3000175949</t>
  </si>
  <si>
    <t>3000175948</t>
  </si>
  <si>
    <t>C-9-8-1</t>
  </si>
  <si>
    <t>3000163010</t>
  </si>
  <si>
    <t>110</t>
  </si>
  <si>
    <t>C-9-8-2</t>
  </si>
  <si>
    <t>3000167762</t>
  </si>
  <si>
    <t>3000167780</t>
  </si>
  <si>
    <t>E-1-5-1</t>
  </si>
  <si>
    <t>3000166289</t>
  </si>
  <si>
    <t>3000166292</t>
  </si>
  <si>
    <t>E-1-5-2</t>
  </si>
  <si>
    <t>3000174633</t>
  </si>
  <si>
    <t>E-1-6-1</t>
  </si>
  <si>
    <t>3000175175</t>
  </si>
  <si>
    <t>E-1-6-2</t>
  </si>
  <si>
    <t>3000175919</t>
  </si>
  <si>
    <t>3000175915</t>
  </si>
  <si>
    <t>E-1-7-1</t>
  </si>
  <si>
    <t>3000173989</t>
  </si>
  <si>
    <t>3000173992</t>
  </si>
  <si>
    <t>E-1-7-2</t>
  </si>
  <si>
    <t>3000172493</t>
  </si>
  <si>
    <t>3000172495</t>
  </si>
  <si>
    <t>E-1-8-1</t>
  </si>
  <si>
    <t>E-1-8-2</t>
  </si>
  <si>
    <t>3000166737</t>
  </si>
  <si>
    <t>E-2-5-1</t>
  </si>
  <si>
    <t>3000171099</t>
  </si>
  <si>
    <t>52</t>
  </si>
  <si>
    <t>3000127095</t>
  </si>
  <si>
    <t>E-2-5-2</t>
  </si>
  <si>
    <t>3000174663</t>
  </si>
  <si>
    <t>3000174664</t>
  </si>
  <si>
    <t>E-2-6-1</t>
  </si>
  <si>
    <t>3000175247</t>
  </si>
  <si>
    <t>3000175246</t>
  </si>
  <si>
    <t>E-2-6-2</t>
  </si>
  <si>
    <t>3000174512</t>
  </si>
  <si>
    <t>3000174511</t>
  </si>
  <si>
    <t>E-2-7-1</t>
  </si>
  <si>
    <t>3000175829</t>
  </si>
  <si>
    <t>3000175830</t>
  </si>
  <si>
    <t>E-2-7-2</t>
  </si>
  <si>
    <t>3000173840</t>
  </si>
  <si>
    <t>E-2-8-1</t>
  </si>
  <si>
    <t>3000175121</t>
  </si>
  <si>
    <t>3000175428</t>
  </si>
  <si>
    <t>E-2-8-2</t>
  </si>
  <si>
    <t>3000175947</t>
  </si>
  <si>
    <t>E-3-5-1</t>
  </si>
  <si>
    <t>3000174831</t>
  </si>
  <si>
    <t>E-3-5-2</t>
  </si>
  <si>
    <t>3000152781</t>
  </si>
  <si>
    <t>187</t>
  </si>
  <si>
    <t>E-3-6-1</t>
  </si>
  <si>
    <t>3000175649</t>
  </si>
  <si>
    <t>3000175650</t>
  </si>
  <si>
    <t>E-3-6-2</t>
  </si>
  <si>
    <t>3000169711</t>
  </si>
  <si>
    <t>3000174430</t>
  </si>
  <si>
    <t>E-3-7-1</t>
  </si>
  <si>
    <t>3000170253</t>
  </si>
  <si>
    <t>3000170256</t>
  </si>
  <si>
    <t>E-3-7-2</t>
  </si>
  <si>
    <t>3000175202</t>
  </si>
  <si>
    <t>E-3-8-1</t>
  </si>
  <si>
    <t>3000166023</t>
  </si>
  <si>
    <t>3000155764</t>
  </si>
  <si>
    <t>112</t>
  </si>
  <si>
    <t>E-3-8-2</t>
  </si>
  <si>
    <t>3000175222</t>
  </si>
  <si>
    <t>3000175221</t>
  </si>
  <si>
    <t>E-4-5-1</t>
  </si>
  <si>
    <t>3000174434</t>
  </si>
  <si>
    <t>3000124670</t>
  </si>
  <si>
    <t>E-4-6-1</t>
  </si>
  <si>
    <t>3000169378</t>
  </si>
  <si>
    <t>55</t>
  </si>
  <si>
    <t>E-4-6-2</t>
  </si>
  <si>
    <t>3000155965</t>
  </si>
  <si>
    <t>3000155966</t>
  </si>
  <si>
    <t>E-4-7-1</t>
  </si>
  <si>
    <t>3000171091</t>
  </si>
  <si>
    <t>50</t>
  </si>
  <si>
    <t>3000171092</t>
  </si>
  <si>
    <t>E-4-7-2</t>
  </si>
  <si>
    <t>3000174332</t>
  </si>
  <si>
    <t>3000172406</t>
  </si>
  <si>
    <t>E-4-8-1</t>
  </si>
  <si>
    <t>3000175588</t>
  </si>
  <si>
    <t>3000175403</t>
  </si>
  <si>
    <t>E-4-8-2</t>
  </si>
  <si>
    <t>3000172808</t>
  </si>
  <si>
    <t>3000146611</t>
  </si>
  <si>
    <t>182</t>
  </si>
  <si>
    <t>E-5-5-1</t>
  </si>
  <si>
    <t>3000175835</t>
  </si>
  <si>
    <t>3000174347</t>
  </si>
  <si>
    <t>E-5-5-2</t>
  </si>
  <si>
    <t>3000173073</t>
  </si>
  <si>
    <t>E-5-6-1</t>
  </si>
  <si>
    <t>3000174916</t>
  </si>
  <si>
    <t>3000170384</t>
  </si>
  <si>
    <t>E-5-6-2</t>
  </si>
  <si>
    <t>3000167775</t>
  </si>
  <si>
    <t>3000170208</t>
  </si>
  <si>
    <t>E-5-7-1</t>
  </si>
  <si>
    <t>3000170268</t>
  </si>
  <si>
    <t>3000170265</t>
  </si>
  <si>
    <t>E-5-8-2</t>
  </si>
  <si>
    <t>3000174912</t>
  </si>
  <si>
    <t>3000175219</t>
  </si>
  <si>
    <t>E-6-5-1</t>
  </si>
  <si>
    <t>3000174432</t>
  </si>
  <si>
    <t>3000174433</t>
  </si>
  <si>
    <t>E-6-5-2</t>
  </si>
  <si>
    <t>3000157852</t>
  </si>
  <si>
    <t>3000176384</t>
  </si>
  <si>
    <t>E-6-6-1</t>
  </si>
  <si>
    <t>3000171984</t>
  </si>
  <si>
    <t>3000175197</t>
  </si>
  <si>
    <t>E-6-6-2</t>
  </si>
  <si>
    <t>3000176267</t>
  </si>
  <si>
    <t>3000176268</t>
  </si>
  <si>
    <t>E-6-7-1</t>
  </si>
  <si>
    <t>3000170254</t>
  </si>
  <si>
    <t>3000170251</t>
  </si>
  <si>
    <t>E-6-7-2</t>
  </si>
  <si>
    <t>3000175304</t>
  </si>
  <si>
    <t>3000171029</t>
  </si>
  <si>
    <t>E-6-8-1</t>
  </si>
  <si>
    <t>3000163242</t>
  </si>
  <si>
    <t>108</t>
  </si>
  <si>
    <t>3000161954</t>
  </si>
  <si>
    <t>117</t>
  </si>
  <si>
    <t>E-6-8-2</t>
  </si>
  <si>
    <t>3000171402</t>
  </si>
  <si>
    <t>3000170398</t>
  </si>
  <si>
    <t>E-7-5-1</t>
  </si>
  <si>
    <t>3000176265</t>
  </si>
  <si>
    <t>3000176266</t>
  </si>
  <si>
    <t>E-7-5-2</t>
  </si>
  <si>
    <t>3000175385</t>
  </si>
  <si>
    <t>E-7-7-1</t>
  </si>
  <si>
    <t>3000172657</t>
  </si>
  <si>
    <t>3000169175</t>
  </si>
  <si>
    <t>E-7-7-2</t>
  </si>
  <si>
    <t>3000172488</t>
  </si>
  <si>
    <t>3000172496</t>
  </si>
  <si>
    <t>E-7-8-1</t>
  </si>
  <si>
    <t>3000174471</t>
  </si>
  <si>
    <t>3000174470</t>
  </si>
  <si>
    <t>E-7-8-2</t>
  </si>
  <si>
    <t>3000166513</t>
  </si>
  <si>
    <t>3000171421</t>
  </si>
  <si>
    <t>E-8-5-2</t>
  </si>
  <si>
    <t>3000175062</t>
  </si>
  <si>
    <t>3000175061</t>
  </si>
  <si>
    <t>E-8-6-1</t>
  </si>
  <si>
    <t>3000175315</t>
  </si>
  <si>
    <t>3000175318</t>
  </si>
  <si>
    <t>E-8-6-2</t>
  </si>
  <si>
    <t>E-8-7-1</t>
  </si>
  <si>
    <t>3000175358</t>
  </si>
  <si>
    <t>E-8-7-2</t>
  </si>
  <si>
    <t>3000173546</t>
  </si>
  <si>
    <t>3000173548</t>
  </si>
  <si>
    <t>E-8-8-1</t>
  </si>
  <si>
    <t>3000173632</t>
  </si>
  <si>
    <t>3000173633</t>
  </si>
  <si>
    <t>E-9-5-1</t>
  </si>
  <si>
    <t>3000175927</t>
  </si>
  <si>
    <t>E-9-5-2</t>
  </si>
  <si>
    <t>3000169639</t>
  </si>
  <si>
    <t>E-9-6-1</t>
  </si>
  <si>
    <t>3000174429</t>
  </si>
  <si>
    <t>3000163979</t>
  </si>
  <si>
    <t>E-9-7-1</t>
  </si>
  <si>
    <t>3000175255</t>
  </si>
  <si>
    <t>3000175256</t>
  </si>
  <si>
    <t>E-9-7-2</t>
  </si>
  <si>
    <t>3000168429</t>
  </si>
  <si>
    <t>53</t>
  </si>
  <si>
    <t>E-9-8-2</t>
  </si>
  <si>
    <t>3000167429</t>
  </si>
  <si>
    <t>69</t>
  </si>
  <si>
    <t>3000167432</t>
  </si>
  <si>
    <t>G-1-1-1</t>
  </si>
  <si>
    <t>3000176294</t>
  </si>
  <si>
    <t>3000176293</t>
  </si>
  <si>
    <t>G-1-1-2</t>
  </si>
  <si>
    <t>3000174837</t>
  </si>
  <si>
    <t>3000174840</t>
  </si>
  <si>
    <t>G-1-2-1</t>
  </si>
  <si>
    <t>3000175302</t>
  </si>
  <si>
    <t>3000146594</t>
  </si>
  <si>
    <t>G-1-2-2</t>
  </si>
  <si>
    <t>3000172644</t>
  </si>
  <si>
    <t>3000172643</t>
  </si>
  <si>
    <t>G-1-3-1</t>
  </si>
  <si>
    <t>3000176367</t>
  </si>
  <si>
    <t>G-1-3-2</t>
  </si>
  <si>
    <t>3000174573</t>
  </si>
  <si>
    <t>3000174572</t>
  </si>
  <si>
    <t>G-1-4-1</t>
  </si>
  <si>
    <t>3000163150</t>
  </si>
  <si>
    <t>3000168792</t>
  </si>
  <si>
    <t>G-1-4-2</t>
  </si>
  <si>
    <t>3000157957</t>
  </si>
  <si>
    <t>3000173616</t>
  </si>
  <si>
    <t>G-1-5-1</t>
  </si>
  <si>
    <t>3000169158</t>
  </si>
  <si>
    <t>3000169157</t>
  </si>
  <si>
    <t>G-1-5-2</t>
  </si>
  <si>
    <t>3000174671</t>
  </si>
  <si>
    <t>3000174674</t>
  </si>
  <si>
    <t>G-1-7-1</t>
  </si>
  <si>
    <t>3000174341</t>
  </si>
  <si>
    <t>3000173613</t>
  </si>
  <si>
    <t>G-1-7-2</t>
  </si>
  <si>
    <t>3000170263</t>
  </si>
  <si>
    <t>3000170262</t>
  </si>
  <si>
    <t>G-1-8-1</t>
  </si>
  <si>
    <t>3000173630</t>
  </si>
  <si>
    <t>3000173631</t>
  </si>
  <si>
    <t>G-1-8-2</t>
  </si>
  <si>
    <t>3000175578</t>
  </si>
  <si>
    <t>3000175577</t>
  </si>
  <si>
    <t>G-10-1-1</t>
  </si>
  <si>
    <t>3000164743</t>
  </si>
  <si>
    <t>56</t>
  </si>
  <si>
    <t>3000168910</t>
  </si>
  <si>
    <t>G-10-1-2</t>
  </si>
  <si>
    <t>3000176443</t>
  </si>
  <si>
    <t>G-10-2-1</t>
  </si>
  <si>
    <t>3000175488</t>
  </si>
  <si>
    <t>G-10-2-2</t>
  </si>
  <si>
    <t>3000175374</t>
  </si>
  <si>
    <t>G-10-3-1</t>
  </si>
  <si>
    <t>3000171014</t>
  </si>
  <si>
    <t>3000171011</t>
  </si>
  <si>
    <t>G-10-3-2</t>
  </si>
  <si>
    <t>3000173048</t>
  </si>
  <si>
    <t>3000173045</t>
  </si>
  <si>
    <t>G-10-4-1</t>
  </si>
  <si>
    <t>3000158701</t>
  </si>
  <si>
    <t>3000173329</t>
  </si>
  <si>
    <t>G-10-4-2</t>
  </si>
  <si>
    <t>3000174591</t>
  </si>
  <si>
    <t>3000174634</t>
  </si>
  <si>
    <t>G-10-5-1</t>
  </si>
  <si>
    <t>G-10-6-2</t>
  </si>
  <si>
    <t>3000155964</t>
  </si>
  <si>
    <t>3000155963</t>
  </si>
  <si>
    <t>G-10-7-1</t>
  </si>
  <si>
    <t>3000173618</t>
  </si>
  <si>
    <t>G-10-7-2</t>
  </si>
  <si>
    <t>3000171088</t>
  </si>
  <si>
    <t>G-10-8-1</t>
  </si>
  <si>
    <t>3000153460</t>
  </si>
  <si>
    <t>194</t>
  </si>
  <si>
    <t>3000153452</t>
  </si>
  <si>
    <t>G-10-8-2</t>
  </si>
  <si>
    <t>3000173628</t>
  </si>
  <si>
    <t>3000173629</t>
  </si>
  <si>
    <t>G-2-1-1</t>
  </si>
  <si>
    <t>3000176447</t>
  </si>
  <si>
    <t>G-2-1-2</t>
  </si>
  <si>
    <t>3000175451</t>
  </si>
  <si>
    <t>3000175452</t>
  </si>
  <si>
    <t>G-2-2-1</t>
  </si>
  <si>
    <t>3000171009</t>
  </si>
  <si>
    <t>3000171010</t>
  </si>
  <si>
    <t>G-2-2-2</t>
  </si>
  <si>
    <t>3000176292</t>
  </si>
  <si>
    <t>3000176291</t>
  </si>
  <si>
    <t>G-2-3-1</t>
  </si>
  <si>
    <t>3000159758</t>
  </si>
  <si>
    <t>3000141542</t>
  </si>
  <si>
    <t>G-2-3-2</t>
  </si>
  <si>
    <t>3000171008</t>
  </si>
  <si>
    <t>3000171007</t>
  </si>
  <si>
    <t>G-2-4-1</t>
  </si>
  <si>
    <t>3000170233</t>
  </si>
  <si>
    <t>3000170234</t>
  </si>
  <si>
    <t>G-2-5-1</t>
  </si>
  <si>
    <t>3000175453</t>
  </si>
  <si>
    <t>3000175454</t>
  </si>
  <si>
    <t>G-2-5-2</t>
  </si>
  <si>
    <t>3000167551</t>
  </si>
  <si>
    <t>3000175582</t>
  </si>
  <si>
    <t>G-2-6-1</t>
  </si>
  <si>
    <t>3000175911</t>
  </si>
  <si>
    <t>3000175912</t>
  </si>
  <si>
    <t>G-2-6-2</t>
  </si>
  <si>
    <t>3000175977</t>
  </si>
  <si>
    <t>3000171390</t>
  </si>
  <si>
    <t>G-2-7-1</t>
  </si>
  <si>
    <t>3000174065</t>
  </si>
  <si>
    <t>G-2-7-2</t>
  </si>
  <si>
    <t>3000175377</t>
  </si>
  <si>
    <t>3000172554</t>
  </si>
  <si>
    <t>G-2-8-1</t>
  </si>
  <si>
    <t>3000175398</t>
  </si>
  <si>
    <t>G-2-8-2</t>
  </si>
  <si>
    <t>3000172486</t>
  </si>
  <si>
    <t>3000172487</t>
  </si>
  <si>
    <t>G-3-1-1</t>
  </si>
  <si>
    <t>3000171928</t>
  </si>
  <si>
    <t>G-3-1-2</t>
  </si>
  <si>
    <t>3000168503</t>
  </si>
  <si>
    <t>77</t>
  </si>
  <si>
    <t>G-3-2-1</t>
  </si>
  <si>
    <t>3000171005</t>
  </si>
  <si>
    <t>3000171006</t>
  </si>
  <si>
    <t>G-3-2-2</t>
  </si>
  <si>
    <t>3000168687</t>
  </si>
  <si>
    <t>3000168692</t>
  </si>
  <si>
    <t>G-3-3-1</t>
  </si>
  <si>
    <t>3000162264</t>
  </si>
  <si>
    <t>118</t>
  </si>
  <si>
    <t>3000164656</t>
  </si>
  <si>
    <t>G-3-3-2</t>
  </si>
  <si>
    <t>3000173958</t>
  </si>
  <si>
    <t>3000153774</t>
  </si>
  <si>
    <t>G-3-4-1</t>
  </si>
  <si>
    <t>3000169375</t>
  </si>
  <si>
    <t>3000169155</t>
  </si>
  <si>
    <t>G-3-4-2</t>
  </si>
  <si>
    <t>3000172398</t>
  </si>
  <si>
    <t>3000175497</t>
  </si>
  <si>
    <t>G-3-5-1</t>
  </si>
  <si>
    <t>3000162754</t>
  </si>
  <si>
    <t>3000175519</t>
  </si>
  <si>
    <t>G-3-5-2</t>
  </si>
  <si>
    <t>3000174074</t>
  </si>
  <si>
    <t>3000174431</t>
  </si>
  <si>
    <t>G-3-6-1</t>
  </si>
  <si>
    <t>3000175404</t>
  </si>
  <si>
    <t>3000175401</t>
  </si>
  <si>
    <t>G-3-6-2</t>
  </si>
  <si>
    <t>3000175060</t>
  </si>
  <si>
    <t>3000175059</t>
  </si>
  <si>
    <t>G-3-7-1</t>
  </si>
  <si>
    <t>3000164735</t>
  </si>
  <si>
    <t>G-3-7-2</t>
  </si>
  <si>
    <t>3000174589</t>
  </si>
  <si>
    <t>G-3-8-1</t>
  </si>
  <si>
    <t>3000166256</t>
  </si>
  <si>
    <t>47</t>
  </si>
  <si>
    <t>G-3-8-2</t>
  </si>
  <si>
    <t>3000169163</t>
  </si>
  <si>
    <t>3000169164</t>
  </si>
  <si>
    <t>G-4-1-1</t>
  </si>
  <si>
    <t>3000175884</t>
  </si>
  <si>
    <t>G-4-1-2</t>
  </si>
  <si>
    <t>3000171003</t>
  </si>
  <si>
    <t>3000171004</t>
  </si>
  <si>
    <t>G-4-2-1</t>
  </si>
  <si>
    <t>3000153091</t>
  </si>
  <si>
    <t>3000155520</t>
  </si>
  <si>
    <t>168</t>
  </si>
  <si>
    <t>G-4-2-2</t>
  </si>
  <si>
    <t>3000171001</t>
  </si>
  <si>
    <t>3000173961</t>
  </si>
  <si>
    <t>G-4-3-1</t>
  </si>
  <si>
    <t>G-4-3-2</t>
  </si>
  <si>
    <t>3000176290</t>
  </si>
  <si>
    <t>3000176289</t>
  </si>
  <si>
    <t>G-4-4-2</t>
  </si>
  <si>
    <t>3000174672</t>
  </si>
  <si>
    <t>3000174669</t>
  </si>
  <si>
    <t>G-4-5-2</t>
  </si>
  <si>
    <t>3000174394</t>
  </si>
  <si>
    <t>G-4-6-1</t>
  </si>
  <si>
    <t>3000176264</t>
  </si>
  <si>
    <t>3000176249</t>
  </si>
  <si>
    <t>G-4-6-2</t>
  </si>
  <si>
    <t>3000175058</t>
  </si>
  <si>
    <t>3000175057</t>
  </si>
  <si>
    <t>G-4-7-1</t>
  </si>
  <si>
    <t>3000175178</t>
  </si>
  <si>
    <t>3000175176</t>
  </si>
  <si>
    <t>G-4-7-2</t>
  </si>
  <si>
    <t>3000155915</t>
  </si>
  <si>
    <t>3000156137</t>
  </si>
  <si>
    <t>G-4-8-1</t>
  </si>
  <si>
    <t>3000172485</t>
  </si>
  <si>
    <t>3000172483</t>
  </si>
  <si>
    <t>G-4-8-2</t>
  </si>
  <si>
    <t>3000175036</t>
  </si>
  <si>
    <t>G-5-1-1</t>
  </si>
  <si>
    <t>3000176287</t>
  </si>
  <si>
    <t>3000175364</t>
  </si>
  <si>
    <t>G-5-1-2</t>
  </si>
  <si>
    <t>3000176288</t>
  </si>
  <si>
    <t>3000175367</t>
  </si>
  <si>
    <t>G-5-2-1</t>
  </si>
  <si>
    <t>3000175573</t>
  </si>
  <si>
    <t>3000175574</t>
  </si>
  <si>
    <t>G-5-2-2</t>
  </si>
  <si>
    <t>3000173043</t>
  </si>
  <si>
    <t>3000173046</t>
  </si>
  <si>
    <t>G-5-3-1</t>
  </si>
  <si>
    <t>3000173151</t>
  </si>
  <si>
    <t>G-5-3-2</t>
  </si>
  <si>
    <t>3000174851</t>
  </si>
  <si>
    <t>G-5-4-1</t>
  </si>
  <si>
    <t>3000175117</t>
  </si>
  <si>
    <t>3000168807</t>
  </si>
  <si>
    <t>G-5-4-2</t>
  </si>
  <si>
    <t>3000160764</t>
  </si>
  <si>
    <t>3000160766</t>
  </si>
  <si>
    <t>G-5-5-1</t>
  </si>
  <si>
    <t>3000175395</t>
  </si>
  <si>
    <t>3000173987</t>
  </si>
  <si>
    <t>G-5-5-2</t>
  </si>
  <si>
    <t>3000159521</t>
  </si>
  <si>
    <t>3000175396</t>
  </si>
  <si>
    <t>G-5-6-1</t>
  </si>
  <si>
    <t>3000172869</t>
  </si>
  <si>
    <t>3000172867</t>
  </si>
  <si>
    <t>G-5-6-2</t>
  </si>
  <si>
    <t>3000175393</t>
  </si>
  <si>
    <t>G-5-7-1</t>
  </si>
  <si>
    <t>3000174342</t>
  </si>
  <si>
    <t>3000172689</t>
  </si>
  <si>
    <t>G-5-8-1</t>
  </si>
  <si>
    <t>3000175458</t>
  </si>
  <si>
    <t>3000175457</t>
  </si>
  <si>
    <t>G-5-8-2</t>
  </si>
  <si>
    <t>3000168912</t>
  </si>
  <si>
    <t>3000168907</t>
  </si>
  <si>
    <t>G-6-1-1</t>
  </si>
  <si>
    <t>3000171625</t>
  </si>
  <si>
    <t>G-6-1-2</t>
  </si>
  <si>
    <t>3000173044</t>
  </si>
  <si>
    <t>G-6-2-1</t>
  </si>
  <si>
    <t>3000174705</t>
  </si>
  <si>
    <t>3000174706</t>
  </si>
  <si>
    <t>G-6-3-1</t>
  </si>
  <si>
    <t>3000171046</t>
  </si>
  <si>
    <t>32</t>
  </si>
  <si>
    <t>G-6-3-2</t>
  </si>
  <si>
    <t>3000173042</t>
  </si>
  <si>
    <t>3000173039</t>
  </si>
  <si>
    <t>G-6-4-1</t>
  </si>
  <si>
    <t>3000172870</t>
  </si>
  <si>
    <t>3000173304</t>
  </si>
  <si>
    <t>G-6-4-2</t>
  </si>
  <si>
    <t>3000173643</t>
  </si>
  <si>
    <t>G-6-5-1</t>
  </si>
  <si>
    <t>3000173560</t>
  </si>
  <si>
    <t>3000175464</t>
  </si>
  <si>
    <t>G-6-5-2</t>
  </si>
  <si>
    <t>3000176251</t>
  </si>
  <si>
    <t>3000176263</t>
  </si>
  <si>
    <t>G-6-6-1</t>
  </si>
  <si>
    <t>3000175446</t>
  </si>
  <si>
    <t>G-6-6-2</t>
  </si>
  <si>
    <t>3000176250</t>
  </si>
  <si>
    <t>G-6-7-1</t>
  </si>
  <si>
    <t>3000171087</t>
  </si>
  <si>
    <t>3000171089</t>
  </si>
  <si>
    <t>G-6-7-2</t>
  </si>
  <si>
    <t>3000173930</t>
  </si>
  <si>
    <t>3000174340</t>
  </si>
  <si>
    <t>G-6-8-1</t>
  </si>
  <si>
    <t>3000175668</t>
  </si>
  <si>
    <t>3000165529</t>
  </si>
  <si>
    <t>G-6-8-2</t>
  </si>
  <si>
    <t>3000176262</t>
  </si>
  <si>
    <t>3000176261</t>
  </si>
  <si>
    <t>G-7-1-1</t>
  </si>
  <si>
    <t>3000173898</t>
  </si>
  <si>
    <t>3000161603</t>
  </si>
  <si>
    <t>G-7-1-2</t>
  </si>
  <si>
    <t>3000173767</t>
  </si>
  <si>
    <t>3000169086</t>
  </si>
  <si>
    <t>G-7-2-1</t>
  </si>
  <si>
    <t>3000175467</t>
  </si>
  <si>
    <t>G-7-2-2</t>
  </si>
  <si>
    <t>3000175610</t>
  </si>
  <si>
    <t>G-7-3-1</t>
  </si>
  <si>
    <t>G-7-3-2</t>
  </si>
  <si>
    <t>3000167646</t>
  </si>
  <si>
    <t>3000168234</t>
  </si>
  <si>
    <t>71</t>
  </si>
  <si>
    <t>G-7-4-1</t>
  </si>
  <si>
    <t>3000175462</t>
  </si>
  <si>
    <t>3000175461</t>
  </si>
  <si>
    <t>G-7-4-2</t>
  </si>
  <si>
    <t>3000165413</t>
  </si>
  <si>
    <t>3000174070</t>
  </si>
  <si>
    <t>G-7-5-1</t>
  </si>
  <si>
    <t>3000169160</t>
  </si>
  <si>
    <t>3000169159</t>
  </si>
  <si>
    <t>G-7-5-2</t>
  </si>
  <si>
    <t>3000173675</t>
  </si>
  <si>
    <t>3000148809</t>
  </si>
  <si>
    <t>G-7-6-1</t>
  </si>
  <si>
    <t>G-7-6-2</t>
  </si>
  <si>
    <t>3000169177</t>
  </si>
  <si>
    <t>3000169178</t>
  </si>
  <si>
    <t>G-7-7-1</t>
  </si>
  <si>
    <t>3000175106</t>
  </si>
  <si>
    <t>3000175105</t>
  </si>
  <si>
    <t>G-7-7-2</t>
  </si>
  <si>
    <t>3000168905</t>
  </si>
  <si>
    <t>G-7-8-1</t>
  </si>
  <si>
    <t>3000169173</t>
  </si>
  <si>
    <t>3000169174</t>
  </si>
  <si>
    <t>G-7-8-2</t>
  </si>
  <si>
    <t>3000175982</t>
  </si>
  <si>
    <t>G-8-1-1</t>
  </si>
  <si>
    <t>3000164756</t>
  </si>
  <si>
    <t>G-8-1-2</t>
  </si>
  <si>
    <t>3000175298</t>
  </si>
  <si>
    <t>3000176408</t>
  </si>
  <si>
    <t>G-8-2-1</t>
  </si>
  <si>
    <t>3000170203</t>
  </si>
  <si>
    <t>3000173159</t>
  </si>
  <si>
    <t>G-8-2-2</t>
  </si>
  <si>
    <t>3000175450</t>
  </si>
  <si>
    <t>3000175449</t>
  </si>
  <si>
    <t>G-8-3-1</t>
  </si>
  <si>
    <t>3000175572</t>
  </si>
  <si>
    <t>3000175571</t>
  </si>
  <si>
    <t>G-8-3-2</t>
  </si>
  <si>
    <t>3000175362</t>
  </si>
  <si>
    <t>3000175361</t>
  </si>
  <si>
    <t>G-8-4-1</t>
  </si>
  <si>
    <t>3000166852</t>
  </si>
  <si>
    <t>3000167756</t>
  </si>
  <si>
    <t>G-8-4-2</t>
  </si>
  <si>
    <t>G-8-5-1</t>
  </si>
  <si>
    <t>3000163020</t>
  </si>
  <si>
    <t>3000167760</t>
  </si>
  <si>
    <t>G-8-5-2</t>
  </si>
  <si>
    <t>3000164748</t>
  </si>
  <si>
    <t>3000163204</t>
  </si>
  <si>
    <t>G-8-7-1</t>
  </si>
  <si>
    <t>3000174665</t>
  </si>
  <si>
    <t>3000174666</t>
  </si>
  <si>
    <t>G-8-7-2</t>
  </si>
  <si>
    <t>3000173302</t>
  </si>
  <si>
    <t>3000175257</t>
  </si>
  <si>
    <t>G-8-8-1</t>
  </si>
  <si>
    <t>3000175423</t>
  </si>
  <si>
    <t>3000176373</t>
  </si>
  <si>
    <t>G-8-8-2</t>
  </si>
  <si>
    <t>3000170261</t>
  </si>
  <si>
    <t>3000170258</t>
  </si>
  <si>
    <t>G-9-1-1</t>
  </si>
  <si>
    <t>3000173065</t>
  </si>
  <si>
    <t>3000173063</t>
  </si>
  <si>
    <t>G-9-1-2</t>
  </si>
  <si>
    <t>3000173061</t>
  </si>
  <si>
    <t>3000173064</t>
  </si>
  <si>
    <t>G-9-2-1</t>
  </si>
  <si>
    <t>3000175955</t>
  </si>
  <si>
    <t>3000173606</t>
  </si>
  <si>
    <t>G-9-2-2</t>
  </si>
  <si>
    <t>3000164597</t>
  </si>
  <si>
    <t>G-9-3-1</t>
  </si>
  <si>
    <t>3000173981</t>
  </si>
  <si>
    <t>3000173979</t>
  </si>
  <si>
    <t>G-9-3-2</t>
  </si>
  <si>
    <t>3000175085</t>
  </si>
  <si>
    <t>3000175083</t>
  </si>
  <si>
    <t>G-9-4-1</t>
  </si>
  <si>
    <t>G-9-4-2</t>
  </si>
  <si>
    <t>3000174499</t>
  </si>
  <si>
    <t>G-9-5-2</t>
  </si>
  <si>
    <t>3000174683</t>
  </si>
  <si>
    <t>3000174682</t>
  </si>
  <si>
    <t>G-9-6-1</t>
  </si>
  <si>
    <t>3000175322</t>
  </si>
  <si>
    <t>3000175319</t>
  </si>
  <si>
    <t>G-9-6-2</t>
  </si>
  <si>
    <t>3000152779</t>
  </si>
  <si>
    <t>3000152780</t>
  </si>
  <si>
    <t>G-9-7-1</t>
  </si>
  <si>
    <t>3000170260</t>
  </si>
  <si>
    <t>3000170259</t>
  </si>
  <si>
    <t>G-9-7-2</t>
  </si>
  <si>
    <t>3000166896</t>
  </si>
  <si>
    <t>66</t>
  </si>
  <si>
    <t>G-9-8-1</t>
  </si>
  <si>
    <t>3000172874</t>
  </si>
  <si>
    <t>3000172875</t>
  </si>
  <si>
    <t>I-1-2-1</t>
  </si>
  <si>
    <t>3000175289</t>
  </si>
  <si>
    <t>3000175292</t>
  </si>
  <si>
    <t>I-1-2-2</t>
  </si>
  <si>
    <t>3000174612</t>
  </si>
  <si>
    <t>3000174609</t>
  </si>
  <si>
    <t>I-1-3-1</t>
  </si>
  <si>
    <t>3000176394</t>
  </si>
  <si>
    <t>I-1-3-2</t>
  </si>
  <si>
    <t>3000175290</t>
  </si>
  <si>
    <t>3000175288</t>
  </si>
  <si>
    <t>I-1-4-1</t>
  </si>
  <si>
    <t>3000173709</t>
  </si>
  <si>
    <t>3000176432</t>
  </si>
  <si>
    <t>I-1-4-2</t>
  </si>
  <si>
    <t>3000173636</t>
  </si>
  <si>
    <t>3000173637</t>
  </si>
  <si>
    <t>I-1-5-2</t>
  </si>
  <si>
    <t>3000171100</t>
  </si>
  <si>
    <t>3000166850</t>
  </si>
  <si>
    <t>I-1-6-1</t>
  </si>
  <si>
    <t>3000174103</t>
  </si>
  <si>
    <t>3000174102</t>
  </si>
  <si>
    <t>I-1-6-2</t>
  </si>
  <si>
    <t>3000171098</t>
  </si>
  <si>
    <t>I-1-7-1</t>
  </si>
  <si>
    <t>3000175924</t>
  </si>
  <si>
    <t>3000175427</t>
  </si>
  <si>
    <t>I-1-8-1</t>
  </si>
  <si>
    <t>3000174112</t>
  </si>
  <si>
    <t>3000174111</t>
  </si>
  <si>
    <t>I-1-8-2</t>
  </si>
  <si>
    <t>3000170997</t>
  </si>
  <si>
    <t>I-10-2-1</t>
  </si>
  <si>
    <t>3000173158</t>
  </si>
  <si>
    <t>3000173163</t>
  </si>
  <si>
    <t>I-10-2-2</t>
  </si>
  <si>
    <t>3000174514</t>
  </si>
  <si>
    <t>3000174513</t>
  </si>
  <si>
    <t>I-10-3-1</t>
  </si>
  <si>
    <t>3000175360</t>
  </si>
  <si>
    <t>I-10-3-2</t>
  </si>
  <si>
    <t>3000173708</t>
  </si>
  <si>
    <t>3000173707</t>
  </si>
  <si>
    <t>I-10-4-1</t>
  </si>
  <si>
    <t>3000175053</t>
  </si>
  <si>
    <t>3000172893</t>
  </si>
  <si>
    <t>I-10-5-1</t>
  </si>
  <si>
    <t>3000169357</t>
  </si>
  <si>
    <t>3000169359</t>
  </si>
  <si>
    <t>I-10-7-1</t>
  </si>
  <si>
    <t>3000175355</t>
  </si>
  <si>
    <t>I-10-7-2</t>
  </si>
  <si>
    <t>3000172481</t>
  </si>
  <si>
    <t>3000172484</t>
  </si>
  <si>
    <t>I-10-8-1</t>
  </si>
  <si>
    <t>3000176259</t>
  </si>
  <si>
    <t>3000176260</t>
  </si>
  <si>
    <t>I-2-2-1</t>
  </si>
  <si>
    <t>3000168754</t>
  </si>
  <si>
    <t>3000168739</t>
  </si>
  <si>
    <t>78</t>
  </si>
  <si>
    <t>I-2-2-2</t>
  </si>
  <si>
    <t>3000173842</t>
  </si>
  <si>
    <t>I-2-3-1</t>
  </si>
  <si>
    <t>3000175365</t>
  </si>
  <si>
    <t>3000175366</t>
  </si>
  <si>
    <t>I-2-3-2</t>
  </si>
  <si>
    <t>3000153053</t>
  </si>
  <si>
    <t>3000153041</t>
  </si>
  <si>
    <t>I-2-4-1</t>
  </si>
  <si>
    <t>3000175372</t>
  </si>
  <si>
    <t>3000175370</t>
  </si>
  <si>
    <t>I-2-4-2</t>
  </si>
  <si>
    <t>3000162665</t>
  </si>
  <si>
    <t>I-2-5-1</t>
  </si>
  <si>
    <t>3000175760</t>
  </si>
  <si>
    <t>3000170023</t>
  </si>
  <si>
    <t>I-2-5-2</t>
  </si>
  <si>
    <t>3000175216</t>
  </si>
  <si>
    <t>3000175215</t>
  </si>
  <si>
    <t>I-2-6-1</t>
  </si>
  <si>
    <t>3000175217</t>
  </si>
  <si>
    <t>3000175218</t>
  </si>
  <si>
    <t>I-2-6-2</t>
  </si>
  <si>
    <t>3000168135</t>
  </si>
  <si>
    <t>I-2-7-1</t>
  </si>
  <si>
    <t>3000173301</t>
  </si>
  <si>
    <t>3000173300</t>
  </si>
  <si>
    <t>I-2-7-2</t>
  </si>
  <si>
    <t>3000171129</t>
  </si>
  <si>
    <t>I-2-8-1</t>
  </si>
  <si>
    <t>3000171085</t>
  </si>
  <si>
    <t>29</t>
  </si>
  <si>
    <t>3000174399</t>
  </si>
  <si>
    <t>I-2-8-2</t>
  </si>
  <si>
    <t>3000169181</t>
  </si>
  <si>
    <t>3000169182</t>
  </si>
  <si>
    <t>I-3-2-1</t>
  </si>
  <si>
    <t>3000175918</t>
  </si>
  <si>
    <t>3000175555</t>
  </si>
  <si>
    <t>I-3-2-2</t>
  </si>
  <si>
    <t>3000173950</t>
  </si>
  <si>
    <t>3000173952</t>
  </si>
  <si>
    <t>I-3-3-1</t>
  </si>
  <si>
    <t>3000175552</t>
  </si>
  <si>
    <t>3000170946</t>
  </si>
  <si>
    <t>I-3-3-2</t>
  </si>
  <si>
    <t>3000175553</t>
  </si>
  <si>
    <t>3000175556</t>
  </si>
  <si>
    <t>I-3-4-2</t>
  </si>
  <si>
    <t>3000174670</t>
  </si>
  <si>
    <t>3000174668</t>
  </si>
  <si>
    <t>I-3-5-1</t>
  </si>
  <si>
    <t>3000175640</t>
  </si>
  <si>
    <t>3000171602</t>
  </si>
  <si>
    <t>I-3-5-2</t>
  </si>
  <si>
    <t>3000170232</t>
  </si>
  <si>
    <t>3000170231</t>
  </si>
  <si>
    <t>I-3-6-1</t>
  </si>
  <si>
    <t>I-3-6-2</t>
  </si>
  <si>
    <t>3000174667</t>
  </si>
  <si>
    <t>I-3-7-1</t>
  </si>
  <si>
    <t>3000171083</t>
  </si>
  <si>
    <t>3000171086</t>
  </si>
  <si>
    <t>I-3-7-2</t>
  </si>
  <si>
    <t>3000153744</t>
  </si>
  <si>
    <t>34</t>
  </si>
  <si>
    <t>3000170615</t>
  </si>
  <si>
    <t>I-3-8-1</t>
  </si>
  <si>
    <t>3000166844</t>
  </si>
  <si>
    <t>3000175303</t>
  </si>
  <si>
    <t>I-3-8-2</t>
  </si>
  <si>
    <t>3000170252</t>
  </si>
  <si>
    <t>3000170249</t>
  </si>
  <si>
    <t>I-4-2-1</t>
  </si>
  <si>
    <t>I-4-2-2</t>
  </si>
  <si>
    <t>3000173037</t>
  </si>
  <si>
    <t>3000173040</t>
  </si>
  <si>
    <t>I-4-3-1</t>
  </si>
  <si>
    <t>3000173038</t>
  </si>
  <si>
    <t>3000173036</t>
  </si>
  <si>
    <t>I-4-3-2</t>
  </si>
  <si>
    <t>3000175909</t>
  </si>
  <si>
    <t>3000175641</t>
  </si>
  <si>
    <t>I-4-4-1</t>
  </si>
  <si>
    <t>3000172566</t>
  </si>
  <si>
    <t>3000173076</t>
  </si>
  <si>
    <t>I-4-4-2</t>
  </si>
  <si>
    <t>3000155961</t>
  </si>
  <si>
    <t>3000155962</t>
  </si>
  <si>
    <t>I-4-5-2</t>
  </si>
  <si>
    <t>3000155960</t>
  </si>
  <si>
    <t>3000155959</t>
  </si>
  <si>
    <t>I-4-6-2</t>
  </si>
  <si>
    <t>I-4-7-1</t>
  </si>
  <si>
    <t>3000166293</t>
  </si>
  <si>
    <t>3000166298</t>
  </si>
  <si>
    <t>I-4-7-2</t>
  </si>
  <si>
    <t>3000174109</t>
  </si>
  <si>
    <t>3000174110</t>
  </si>
  <si>
    <t>I-4-8-1</t>
  </si>
  <si>
    <t>3000169165</t>
  </si>
  <si>
    <t>3000169166</t>
  </si>
  <si>
    <t>I-4-8-2</t>
  </si>
  <si>
    <t>3000175794</t>
  </si>
  <si>
    <t>3000176252</t>
  </si>
  <si>
    <t>I-5-2-1</t>
  </si>
  <si>
    <t>3000176421</t>
  </si>
  <si>
    <t>3000176419</t>
  </si>
  <si>
    <t>I-5-2-2</t>
  </si>
  <si>
    <t>3000173844</t>
  </si>
  <si>
    <t>3000173034</t>
  </si>
  <si>
    <t>I-5-3-1</t>
  </si>
  <si>
    <t>3000173033</t>
  </si>
  <si>
    <t>3000173032</t>
  </si>
  <si>
    <t>I-5-3-2</t>
  </si>
  <si>
    <t>3000168737</t>
  </si>
  <si>
    <t>3000168740</t>
  </si>
  <si>
    <t>I-5-4-1</t>
  </si>
  <si>
    <t>3000176257</t>
  </si>
  <si>
    <t>I-5-4-2</t>
  </si>
  <si>
    <t>3000173953</t>
  </si>
  <si>
    <t>3000176298</t>
  </si>
  <si>
    <t>I-5-5-1</t>
  </si>
  <si>
    <t>3000175324</t>
  </si>
  <si>
    <t>I-5-5-2</t>
  </si>
  <si>
    <t>3000175751</t>
  </si>
  <si>
    <t>3000173269</t>
  </si>
  <si>
    <t>I-5-6-2</t>
  </si>
  <si>
    <t>3000175220</t>
  </si>
  <si>
    <t>3000174019</t>
  </si>
  <si>
    <t>I-5-7-1</t>
  </si>
  <si>
    <t>3000169186</t>
  </si>
  <si>
    <t>3000169185</t>
  </si>
  <si>
    <t>I-5-8-1</t>
  </si>
  <si>
    <t>I-5-8-2</t>
  </si>
  <si>
    <t>3000156135</t>
  </si>
  <si>
    <t>3000155916</t>
  </si>
  <si>
    <t>I-6-2-1</t>
  </si>
  <si>
    <t>3000174516</t>
  </si>
  <si>
    <t>3000173221</t>
  </si>
  <si>
    <t>I-6-3-1</t>
  </si>
  <si>
    <t>3000167065</t>
  </si>
  <si>
    <t>48</t>
  </si>
  <si>
    <t>I-6-4-1</t>
  </si>
  <si>
    <t>3000175323</t>
  </si>
  <si>
    <t>I-6-4-2</t>
  </si>
  <si>
    <t>3000155958</t>
  </si>
  <si>
    <t>3000155957</t>
  </si>
  <si>
    <t>I-6-5-2</t>
  </si>
  <si>
    <t>I-6-6-1</t>
  </si>
  <si>
    <t>3000174098</t>
  </si>
  <si>
    <t>3000174097</t>
  </si>
  <si>
    <t>I-6-6-2</t>
  </si>
  <si>
    <t>3000174099</t>
  </si>
  <si>
    <t>3000167774</t>
  </si>
  <si>
    <t>I-6-7-1</t>
  </si>
  <si>
    <t>3000176253</t>
  </si>
  <si>
    <t>3000176254</t>
  </si>
  <si>
    <t>I-6-7-2</t>
  </si>
  <si>
    <t>3000164476</t>
  </si>
  <si>
    <t>103</t>
  </si>
  <si>
    <t>3000164433</t>
  </si>
  <si>
    <t>I-6-8-1</t>
  </si>
  <si>
    <t>3000174107</t>
  </si>
  <si>
    <t>3000174108</t>
  </si>
  <si>
    <t>I-7-2-1</t>
  </si>
  <si>
    <t>I-7-3-1</t>
  </si>
  <si>
    <t>3000174564</t>
  </si>
  <si>
    <t>3000174563</t>
  </si>
  <si>
    <t>I-7-3-2</t>
  </si>
  <si>
    <t>3000171266</t>
  </si>
  <si>
    <t>3000171263</t>
  </si>
  <si>
    <t>I-7-4-1</t>
  </si>
  <si>
    <t>3000175987</t>
  </si>
  <si>
    <t>I-7-4-2</t>
  </si>
  <si>
    <t>3000176243</t>
  </si>
  <si>
    <t>I-7-5-1</t>
  </si>
  <si>
    <t>3000172673</t>
  </si>
  <si>
    <t>3000175946</t>
  </si>
  <si>
    <t>I-7-5-2</t>
  </si>
  <si>
    <t>3000175054</t>
  </si>
  <si>
    <t>3000169934</t>
  </si>
  <si>
    <t>I-7-6-1</t>
  </si>
  <si>
    <t>3000174585</t>
  </si>
  <si>
    <t>3000174586</t>
  </si>
  <si>
    <t>I-7-6-2</t>
  </si>
  <si>
    <t>3000175371</t>
  </si>
  <si>
    <t>I-7-7-1</t>
  </si>
  <si>
    <t>3000170247</t>
  </si>
  <si>
    <t>3000170250</t>
  </si>
  <si>
    <t>I-7-7-2</t>
  </si>
  <si>
    <t>3000172243</t>
  </si>
  <si>
    <t>3000172079</t>
  </si>
  <si>
    <t>I-7-8-1</t>
  </si>
  <si>
    <t>3000175941</t>
  </si>
  <si>
    <t>I-7-8-2</t>
  </si>
  <si>
    <t>3000172482</t>
  </si>
  <si>
    <t>3000172480</t>
  </si>
  <si>
    <t>I-8-2-1</t>
  </si>
  <si>
    <t>3000176420</t>
  </si>
  <si>
    <t>3000176417</t>
  </si>
  <si>
    <t>I-8-2-2</t>
  </si>
  <si>
    <t>3000173162</t>
  </si>
  <si>
    <t>3000173161</t>
  </si>
  <si>
    <t>I-8-3-1</t>
  </si>
  <si>
    <t>3000175243</t>
  </si>
  <si>
    <t>3000175242</t>
  </si>
  <si>
    <t>I-8-3-2</t>
  </si>
  <si>
    <t>3000176415</t>
  </si>
  <si>
    <t>3000176418</t>
  </si>
  <si>
    <t>I-8-4-1</t>
  </si>
  <si>
    <t>I-8-4-2</t>
  </si>
  <si>
    <t>I-8-5-1</t>
  </si>
  <si>
    <t>3000173115</t>
  </si>
  <si>
    <t>3000134199</t>
  </si>
  <si>
    <t>I-8-5-2</t>
  </si>
  <si>
    <t>3000175325</t>
  </si>
  <si>
    <t>I-8-6-1</t>
  </si>
  <si>
    <t>3000173057</t>
  </si>
  <si>
    <t>3000173060</t>
  </si>
  <si>
    <t>I-8-6-2</t>
  </si>
  <si>
    <t>3000175576</t>
  </si>
  <si>
    <t>3000175575</t>
  </si>
  <si>
    <t>I-8-7-1</t>
  </si>
  <si>
    <t>3000149242</t>
  </si>
  <si>
    <t>216</t>
  </si>
  <si>
    <t>I-8-8-1</t>
  </si>
  <si>
    <t>3000172688</t>
  </si>
  <si>
    <t>3000172078</t>
  </si>
  <si>
    <t>I-8-8-2</t>
  </si>
  <si>
    <t>3000173289</t>
  </si>
  <si>
    <t>3000173292</t>
  </si>
  <si>
    <t>I-9-2-2</t>
  </si>
  <si>
    <t>3000168742</t>
  </si>
  <si>
    <t>3000164784</t>
  </si>
  <si>
    <t>I-9-4-1</t>
  </si>
  <si>
    <t>3000174629</t>
  </si>
  <si>
    <t>3000175440</t>
  </si>
  <si>
    <t>I-9-4-2</t>
  </si>
  <si>
    <t>3000146040</t>
  </si>
  <si>
    <t>200</t>
  </si>
  <si>
    <t>3000148681</t>
  </si>
  <si>
    <t>I-9-5-1</t>
  </si>
  <si>
    <t>3000173587</t>
  </si>
  <si>
    <t>3000173588</t>
  </si>
  <si>
    <t>I-9-5-2</t>
  </si>
  <si>
    <t>3000174582</t>
  </si>
  <si>
    <t>I-9-7-1</t>
  </si>
  <si>
    <t>3000170245</t>
  </si>
  <si>
    <t>3000170248</t>
  </si>
  <si>
    <t>I-9-7-2</t>
  </si>
  <si>
    <t>3000173298</t>
  </si>
  <si>
    <t>3000173299</t>
  </si>
  <si>
    <t>I-9-8-1</t>
  </si>
  <si>
    <t>3000175294</t>
  </si>
  <si>
    <t>3000175293</t>
  </si>
  <si>
    <t>I-9-8-2</t>
  </si>
  <si>
    <t>3000174329</t>
  </si>
  <si>
    <t>3000114885</t>
  </si>
  <si>
    <t>A-1-5-1</t>
  </si>
  <si>
    <t>3000124504</t>
  </si>
  <si>
    <t>263</t>
  </si>
  <si>
    <t>A-1-5-2</t>
  </si>
  <si>
    <t>3000108535</t>
  </si>
  <si>
    <t>291</t>
  </si>
  <si>
    <t>A-1-6-1</t>
  </si>
  <si>
    <t>3000176383</t>
  </si>
  <si>
    <t>A-1-6-2</t>
  </si>
  <si>
    <t>3000147079</t>
  </si>
  <si>
    <t>A-1-7-1</t>
  </si>
  <si>
    <t>A-1-7-2</t>
  </si>
  <si>
    <t>3000136764</t>
  </si>
  <si>
    <t>302</t>
  </si>
  <si>
    <t>A-1-8-1</t>
  </si>
  <si>
    <t>3000170851</t>
  </si>
  <si>
    <t>39</t>
  </si>
  <si>
    <t>A-1-8-2</t>
  </si>
  <si>
    <t>3000169724</t>
  </si>
  <si>
    <t>B-1-1-1</t>
  </si>
  <si>
    <t>3000162243</t>
  </si>
  <si>
    <t>B-1-2-1</t>
  </si>
  <si>
    <t>3000171524</t>
  </si>
  <si>
    <t>B-1-2-2</t>
  </si>
  <si>
    <t>3000173305</t>
  </si>
  <si>
    <t>TOR</t>
  </si>
  <si>
    <t>B-1-3-1</t>
  </si>
  <si>
    <t>3000174587</t>
  </si>
  <si>
    <t>B-1-3-2</t>
  </si>
  <si>
    <t>3000175746</t>
  </si>
  <si>
    <t>B-1-4-1</t>
  </si>
  <si>
    <t>3000170105</t>
  </si>
  <si>
    <t>B-1-4-2</t>
  </si>
  <si>
    <t>3000166079</t>
  </si>
  <si>
    <t>B-1-5-1</t>
  </si>
  <si>
    <t>B-1-5-2</t>
  </si>
  <si>
    <t>3000174248</t>
  </si>
  <si>
    <t>B-1-6-1</t>
  </si>
  <si>
    <t>3000164256</t>
  </si>
  <si>
    <t>B-1-6-2</t>
  </si>
  <si>
    <t>3000175402</t>
  </si>
  <si>
    <t>B-1-7-1</t>
  </si>
  <si>
    <t>3000079264</t>
  </si>
  <si>
    <t>980</t>
  </si>
  <si>
    <t>B-1-7-2</t>
  </si>
  <si>
    <t>3000167430</t>
  </si>
  <si>
    <t>B-1-8-1</t>
  </si>
  <si>
    <t>3000169750</t>
  </si>
  <si>
    <t>B-1-8-2</t>
  </si>
  <si>
    <t>3000175678</t>
  </si>
  <si>
    <t>B-10-2-1</t>
  </si>
  <si>
    <t>3000171542</t>
  </si>
  <si>
    <t>B-10-2-2</t>
  </si>
  <si>
    <t>3000154866</t>
  </si>
  <si>
    <t>102</t>
  </si>
  <si>
    <t>B-10-3-1</t>
  </si>
  <si>
    <t>3000166251</t>
  </si>
  <si>
    <t>B-10-3-2</t>
  </si>
  <si>
    <t>3000176285</t>
  </si>
  <si>
    <t>B-10-4-1</t>
  </si>
  <si>
    <t>3000108413</t>
  </si>
  <si>
    <t>577</t>
  </si>
  <si>
    <t>B-10-4-2</t>
  </si>
  <si>
    <t>3000099503</t>
  </si>
  <si>
    <t>748</t>
  </si>
  <si>
    <t>B-10-5-1</t>
  </si>
  <si>
    <t>3000174386</t>
  </si>
  <si>
    <t>B-10-5-2</t>
  </si>
  <si>
    <t>3000175380</t>
  </si>
  <si>
    <t>B-10-6-1</t>
  </si>
  <si>
    <t>3000174518</t>
  </si>
  <si>
    <t>B-10-6-2</t>
  </si>
  <si>
    <t>3000175967</t>
  </si>
  <si>
    <t>B-10-7-1</t>
  </si>
  <si>
    <t>B-10-7-2</t>
  </si>
  <si>
    <t>3000174643</t>
  </si>
  <si>
    <t>B-10-8-1</t>
  </si>
  <si>
    <t>3000161467</t>
  </si>
  <si>
    <t>127</t>
  </si>
  <si>
    <t>B-10-8-2</t>
  </si>
  <si>
    <t>3000173255</t>
  </si>
  <si>
    <t>B-2-1-1</t>
  </si>
  <si>
    <t>3000160061</t>
  </si>
  <si>
    <t>132</t>
  </si>
  <si>
    <t>B-2-1-2</t>
  </si>
  <si>
    <t>3000171412</t>
  </si>
  <si>
    <t>B-2-2-1</t>
  </si>
  <si>
    <t>3000175689</t>
  </si>
  <si>
    <t>B-2-2-2</t>
  </si>
  <si>
    <t>3000175966</t>
  </si>
  <si>
    <t>B-2-3-1</t>
  </si>
  <si>
    <t>B-2-3-2</t>
  </si>
  <si>
    <t>3000173086</t>
  </si>
  <si>
    <t>B-2-4-1</t>
  </si>
  <si>
    <t>3000174887</t>
  </si>
  <si>
    <t>B-2-4-2</t>
  </si>
  <si>
    <t>3000173164</t>
  </si>
  <si>
    <t>B-2-5-1</t>
  </si>
  <si>
    <t>3000176375</t>
  </si>
  <si>
    <t>B-2-5-2</t>
  </si>
  <si>
    <t>3000172086</t>
  </si>
  <si>
    <t>B-2-6-1</t>
  </si>
  <si>
    <t>3000169319</t>
  </si>
  <si>
    <t>62</t>
  </si>
  <si>
    <t>B-2-6-2</t>
  </si>
  <si>
    <t>3000174694</t>
  </si>
  <si>
    <t>B-2-7-1</t>
  </si>
  <si>
    <t>3000173924</t>
  </si>
  <si>
    <t>B-2-7-2</t>
  </si>
  <si>
    <t>3000175580</t>
  </si>
  <si>
    <t>B-2-8-1</t>
  </si>
  <si>
    <t>3000175677</t>
  </si>
  <si>
    <t>B-2-8-2</t>
  </si>
  <si>
    <t>3000175378</t>
  </si>
  <si>
    <t>B-3-1-1</t>
  </si>
  <si>
    <t>3000157982</t>
  </si>
  <si>
    <t>144</t>
  </si>
  <si>
    <t>B-3-1-2</t>
  </si>
  <si>
    <t>3000165540</t>
  </si>
  <si>
    <t>88</t>
  </si>
  <si>
    <t>B-3-2-1</t>
  </si>
  <si>
    <t>3000127381</t>
  </si>
  <si>
    <t>369</t>
  </si>
  <si>
    <t>B-3-2-2</t>
  </si>
  <si>
    <t>3000161520</t>
  </si>
  <si>
    <t>B-3-3-1</t>
  </si>
  <si>
    <t>3000173845</t>
  </si>
  <si>
    <t>B-3-3-2</t>
  </si>
  <si>
    <t>3000175238</t>
  </si>
  <si>
    <t>B-3-4-1</t>
  </si>
  <si>
    <t>3000172182</t>
  </si>
  <si>
    <t>B-3-4-2</t>
  </si>
  <si>
    <t>B-3-5-1</t>
  </si>
  <si>
    <t>3000175638</t>
  </si>
  <si>
    <t>B-3-5-2</t>
  </si>
  <si>
    <t>3000175038</t>
  </si>
  <si>
    <t>B-3-6-2</t>
  </si>
  <si>
    <t>B-3-7-1</t>
  </si>
  <si>
    <t>B-3-7-2</t>
  </si>
  <si>
    <t>3000174449</t>
  </si>
  <si>
    <t>B-3-8-1</t>
  </si>
  <si>
    <t>3000174101</t>
  </si>
  <si>
    <t>B-3-8-2</t>
  </si>
  <si>
    <t>B-4-1-1</t>
  </si>
  <si>
    <t>3000160306</t>
  </si>
  <si>
    <t>B-4-1-2</t>
  </si>
  <si>
    <t>3000170451</t>
  </si>
  <si>
    <t>B-4-2-1</t>
  </si>
  <si>
    <t>3000175397</t>
  </si>
  <si>
    <t>B-4-2-2</t>
  </si>
  <si>
    <t>3000175237</t>
  </si>
  <si>
    <t>B-4-3-1</t>
  </si>
  <si>
    <t>3000175724</t>
  </si>
  <si>
    <t>B-4-3-2</t>
  </si>
  <si>
    <t>3000170653</t>
  </si>
  <si>
    <t>B-4-4-1</t>
  </si>
  <si>
    <t>3000174442</t>
  </si>
  <si>
    <t>B-4-4-2</t>
  </si>
  <si>
    <t>3000173752</t>
  </si>
  <si>
    <t>B-4-5-1</t>
  </si>
  <si>
    <t>3000164390</t>
  </si>
  <si>
    <t>B-4-5-2</t>
  </si>
  <si>
    <t>3000173505</t>
  </si>
  <si>
    <t>B-4-6-1</t>
  </si>
  <si>
    <t>3000153605</t>
  </si>
  <si>
    <t>178</t>
  </si>
  <si>
    <t>B-4-6-2</t>
  </si>
  <si>
    <t>3000175658</t>
  </si>
  <si>
    <t>B-4-7-1</t>
  </si>
  <si>
    <t>3000158835</t>
  </si>
  <si>
    <t>148</t>
  </si>
  <si>
    <t>B-4-7-2</t>
  </si>
  <si>
    <t>3000172408</t>
  </si>
  <si>
    <t>B-4-8-1</t>
  </si>
  <si>
    <t>3000176413</t>
  </si>
  <si>
    <t>B-4-8-2</t>
  </si>
  <si>
    <t>3000167027</t>
  </si>
  <si>
    <t>B-5-1-1</t>
  </si>
  <si>
    <t>3000176396</t>
  </si>
  <si>
    <t>B-5-1-2</t>
  </si>
  <si>
    <t>3000175259</t>
  </si>
  <si>
    <t>B-5-2-1</t>
  </si>
  <si>
    <t>3000175468</t>
  </si>
  <si>
    <t>B-5-2-2</t>
  </si>
  <si>
    <t>3000161083</t>
  </si>
  <si>
    <t>123</t>
  </si>
  <si>
    <t>B-5-3-1</t>
  </si>
  <si>
    <t>3000128023</t>
  </si>
  <si>
    <t>406</t>
  </si>
  <si>
    <t>B-5-3-2</t>
  </si>
  <si>
    <t>3000172368</t>
  </si>
  <si>
    <t>B-5-4-1</t>
  </si>
  <si>
    <t>3000175545</t>
  </si>
  <si>
    <t>B-5-4-2</t>
  </si>
  <si>
    <t>3000175391</t>
  </si>
  <si>
    <t>B-5-5-1</t>
  </si>
  <si>
    <t>3000137067</t>
  </si>
  <si>
    <t>295</t>
  </si>
  <si>
    <t>B-5-5-2</t>
  </si>
  <si>
    <t>B-5-6-1</t>
  </si>
  <si>
    <t>3000173878</t>
  </si>
  <si>
    <t>B-5-6-2</t>
  </si>
  <si>
    <t>3000170574</t>
  </si>
  <si>
    <t>B-5-7-1</t>
  </si>
  <si>
    <t>3000175631</t>
  </si>
  <si>
    <t>B-5-7-2</t>
  </si>
  <si>
    <t>3000170090</t>
  </si>
  <si>
    <t>B-5-8-1</t>
  </si>
  <si>
    <t>3000174304</t>
  </si>
  <si>
    <t>B-5-8-2</t>
  </si>
  <si>
    <t>3000174447</t>
  </si>
  <si>
    <t>B-6-1-1</t>
  </si>
  <si>
    <t>3000170108</t>
  </si>
  <si>
    <t>B-6-1-2</t>
  </si>
  <si>
    <t>3000175465</t>
  </si>
  <si>
    <t>B-6-2-1</t>
  </si>
  <si>
    <t>3000175860</t>
  </si>
  <si>
    <t>B-6-2-2</t>
  </si>
  <si>
    <t>3000174336</t>
  </si>
  <si>
    <t>B-6-3-1</t>
  </si>
  <si>
    <t>3000174122</t>
  </si>
  <si>
    <t>B-6-3-2</t>
  </si>
  <si>
    <t>3000149512</t>
  </si>
  <si>
    <t>B-6-4-1</t>
  </si>
  <si>
    <t>3000176284</t>
  </si>
  <si>
    <t>B-6-4-2</t>
  </si>
  <si>
    <t>3000173876</t>
  </si>
  <si>
    <t>B-6-5-1</t>
  </si>
  <si>
    <t>3000175978</t>
  </si>
  <si>
    <t>B-6-5-2</t>
  </si>
  <si>
    <t>3000161771</t>
  </si>
  <si>
    <t>B-6-6-1</t>
  </si>
  <si>
    <t>3000173753</t>
  </si>
  <si>
    <t>B-6-6-2</t>
  </si>
  <si>
    <t>3000166132</t>
  </si>
  <si>
    <t>B-6-7-1</t>
  </si>
  <si>
    <t>3000166996</t>
  </si>
  <si>
    <t>67</t>
  </si>
  <si>
    <t>B-6-7-2</t>
  </si>
  <si>
    <t>3000173808</t>
  </si>
  <si>
    <t>B-6-8-1</t>
  </si>
  <si>
    <t>3000171999</t>
  </si>
  <si>
    <t>B-6-8-2</t>
  </si>
  <si>
    <t>3000172716</t>
  </si>
  <si>
    <t>B-7-1-1</t>
  </si>
  <si>
    <t>3000170654</t>
  </si>
  <si>
    <t>B-7-1-2</t>
  </si>
  <si>
    <t>3000160911</t>
  </si>
  <si>
    <t>B-7-2-1</t>
  </si>
  <si>
    <t>3000175044</t>
  </si>
  <si>
    <t>B-7-2-2</t>
  </si>
  <si>
    <t>3000148927</t>
  </si>
  <si>
    <t>86</t>
  </si>
  <si>
    <t>B-7-3-1</t>
  </si>
  <si>
    <t>3000170449</t>
  </si>
  <si>
    <t>B-7-3-2</t>
  </si>
  <si>
    <t>3000175438</t>
  </si>
  <si>
    <t>B-7-4-2</t>
  </si>
  <si>
    <t>3000173150</t>
  </si>
  <si>
    <t>B-7-5-1</t>
  </si>
  <si>
    <t>3000172714</t>
  </si>
  <si>
    <t>B-7-5-2</t>
  </si>
  <si>
    <t>3000174888</t>
  </si>
  <si>
    <t>B-7-6-1</t>
  </si>
  <si>
    <t>3000145561</t>
  </si>
  <si>
    <t>B-7-6-2</t>
  </si>
  <si>
    <t>3000112503</t>
  </si>
  <si>
    <t>557</t>
  </si>
  <si>
    <t>B-7-7-1</t>
  </si>
  <si>
    <t>3000168744</t>
  </si>
  <si>
    <t>B-7-7-2</t>
  </si>
  <si>
    <t>3000134022</t>
  </si>
  <si>
    <t>B-7-8-1</t>
  </si>
  <si>
    <t>3000176381</t>
  </si>
  <si>
    <t>B-7-8-2</t>
  </si>
  <si>
    <t>3000170406</t>
  </si>
  <si>
    <t>B-8-2-1</t>
  </si>
  <si>
    <t>3000157955</t>
  </si>
  <si>
    <t>B-8-2-2</t>
  </si>
  <si>
    <t>3000136932</t>
  </si>
  <si>
    <t>B-8-3-1</t>
  </si>
  <si>
    <t>3000175305</t>
  </si>
  <si>
    <t>B-8-3-2</t>
  </si>
  <si>
    <t>3000175308</t>
  </si>
  <si>
    <t>B-8-4-1</t>
  </si>
  <si>
    <t>3000175203</t>
  </si>
  <si>
    <t>B-8-5-1</t>
  </si>
  <si>
    <t>3000176382</t>
  </si>
  <si>
    <t>B-8-5-2</t>
  </si>
  <si>
    <t>3000175965</t>
  </si>
  <si>
    <t>B-8-6-1</t>
  </si>
  <si>
    <t>3000175297</t>
  </si>
  <si>
    <t>B-8-6-2</t>
  </si>
  <si>
    <t>3000175299</t>
  </si>
  <si>
    <t>B-8-7-1</t>
  </si>
  <si>
    <t>3000161518</t>
  </si>
  <si>
    <t>B-8-7-2</t>
  </si>
  <si>
    <t>3000175301</t>
  </si>
  <si>
    <t>B-8-8-1</t>
  </si>
  <si>
    <t>3000175392</t>
  </si>
  <si>
    <t>B-8-8-2</t>
  </si>
  <si>
    <t>3000174859</t>
  </si>
  <si>
    <t>B-9-2-1</t>
  </si>
  <si>
    <t>3000173522</t>
  </si>
  <si>
    <t>B-9-2-2</t>
  </si>
  <si>
    <t>3000175278</t>
  </si>
  <si>
    <t>B-9-3-1</t>
  </si>
  <si>
    <t>3000174678</t>
  </si>
  <si>
    <t>B-9-3-2</t>
  </si>
  <si>
    <t>3000175592</t>
  </si>
  <si>
    <t>B-9-4-1</t>
  </si>
  <si>
    <t>3000169369</t>
  </si>
  <si>
    <t>B-9-4-2</t>
  </si>
  <si>
    <t>3000175939</t>
  </si>
  <si>
    <t>B-9-5-1</t>
  </si>
  <si>
    <t>3000141745</t>
  </si>
  <si>
    <t>B-9-5-2</t>
  </si>
  <si>
    <t>3000172719</t>
  </si>
  <si>
    <t>B-9-6-1</t>
  </si>
  <si>
    <t>3000168438</t>
  </si>
  <si>
    <t>B-9-6-2</t>
  </si>
  <si>
    <t>3000176386</t>
  </si>
  <si>
    <t>B-9-7-1</t>
  </si>
  <si>
    <t>3000173520</t>
  </si>
  <si>
    <t>B-9-7-2</t>
  </si>
  <si>
    <t>3000175673</t>
  </si>
  <si>
    <t>B-9-8-1</t>
  </si>
  <si>
    <t>3000175960</t>
  </si>
  <si>
    <t>B-9-8-2</t>
  </si>
  <si>
    <t>3000158709</t>
  </si>
  <si>
    <t>99</t>
  </si>
  <si>
    <t>D-1-5-1</t>
  </si>
  <si>
    <t>3000174520</t>
  </si>
  <si>
    <t>D-1-5-2</t>
  </si>
  <si>
    <t>3000176380</t>
  </si>
  <si>
    <t>D-1-6-1</t>
  </si>
  <si>
    <t>3000175544</t>
  </si>
  <si>
    <t>D-1-6-2</t>
  </si>
  <si>
    <t>3000170552</t>
  </si>
  <si>
    <t>D-1-7-1</t>
  </si>
  <si>
    <t>3000175906</t>
  </si>
  <si>
    <t>D-1-7-2</t>
  </si>
  <si>
    <t>3000162734</t>
  </si>
  <si>
    <t>D-1-8-1</t>
  </si>
  <si>
    <t>3000163962</t>
  </si>
  <si>
    <t>D-1-8-2</t>
  </si>
  <si>
    <t>D-2-5-1</t>
  </si>
  <si>
    <t>3000172712</t>
  </si>
  <si>
    <t>D-2-5-2</t>
  </si>
  <si>
    <t>3000100472</t>
  </si>
  <si>
    <t>717</t>
  </si>
  <si>
    <t>D-2-6-1</t>
  </si>
  <si>
    <t>3000164749</t>
  </si>
  <si>
    <t>D-2-6-2</t>
  </si>
  <si>
    <t>3000174343</t>
  </si>
  <si>
    <t>D-2-7-1</t>
  </si>
  <si>
    <t>3000162732</t>
  </si>
  <si>
    <t>D-2-7-2</t>
  </si>
  <si>
    <t>3000175199</t>
  </si>
  <si>
    <t>D-2-8-1</t>
  </si>
  <si>
    <t>3000174596</t>
  </si>
  <si>
    <t>D-2-8-2</t>
  </si>
  <si>
    <t>3000161511</t>
  </si>
  <si>
    <t>D-3-5-1</t>
  </si>
  <si>
    <t>3000175666</t>
  </si>
  <si>
    <t>D-3-5-2</t>
  </si>
  <si>
    <t>3000175200</t>
  </si>
  <si>
    <t>D-3-6-1</t>
  </si>
  <si>
    <t>3000127523</t>
  </si>
  <si>
    <t>405</t>
  </si>
  <si>
    <t>D-3-6-2</t>
  </si>
  <si>
    <t>3000172397</t>
  </si>
  <si>
    <t>D-3-7-1</t>
  </si>
  <si>
    <t>3000173319</t>
  </si>
  <si>
    <t>D-3-7-2</t>
  </si>
  <si>
    <t>3000174644</t>
  </si>
  <si>
    <t>D-3-8-1</t>
  </si>
  <si>
    <t>3000170554</t>
  </si>
  <si>
    <t>D-3-8-2</t>
  </si>
  <si>
    <t>3000175821</t>
  </si>
  <si>
    <t>D-4-5-1</t>
  </si>
  <si>
    <t>3000169494</t>
  </si>
  <si>
    <t>D-4-5-2</t>
  </si>
  <si>
    <t>3000173751</t>
  </si>
  <si>
    <t>D-4-6-1</t>
  </si>
  <si>
    <t>3000093458</t>
  </si>
  <si>
    <t>D-4-6-2</t>
  </si>
  <si>
    <t>3000172658</t>
  </si>
  <si>
    <t>D-4-7-1</t>
  </si>
  <si>
    <t>3000170555</t>
  </si>
  <si>
    <t>D-4-7-2</t>
  </si>
  <si>
    <t>3000175204</t>
  </si>
  <si>
    <t>D-4-8-1</t>
  </si>
  <si>
    <t>3000173353</t>
  </si>
  <si>
    <t>D-4-8-2</t>
  </si>
  <si>
    <t>D-5-5-1</t>
  </si>
  <si>
    <t>3000170337</t>
  </si>
  <si>
    <t>D-5-5-2</t>
  </si>
  <si>
    <t>3000164187</t>
  </si>
  <si>
    <t>D-5-6-1</t>
  </si>
  <si>
    <t>3000172654</t>
  </si>
  <si>
    <t>D-5-6-2</t>
  </si>
  <si>
    <t>D-5-7-1</t>
  </si>
  <si>
    <t>3000175664</t>
  </si>
  <si>
    <t>D-5-7-2</t>
  </si>
  <si>
    <t>3000170553</t>
  </si>
  <si>
    <t>D-5-8-1</t>
  </si>
  <si>
    <t>3000174265</t>
  </si>
  <si>
    <t>D-5-8-2</t>
  </si>
  <si>
    <t>D-6-5-1</t>
  </si>
  <si>
    <t>3000174397</t>
  </si>
  <si>
    <t>D-6-5-2</t>
  </si>
  <si>
    <t>3000175210</t>
  </si>
  <si>
    <t>D-6-6-1</t>
  </si>
  <si>
    <t>D-6-6-2</t>
  </si>
  <si>
    <t>3000060205</t>
  </si>
  <si>
    <t>1205</t>
  </si>
  <si>
    <t>D-6-7-1</t>
  </si>
  <si>
    <t>3000175607</t>
  </si>
  <si>
    <t>D-6-7-2</t>
  </si>
  <si>
    <t>3000163199</t>
  </si>
  <si>
    <t>D-6-8-1</t>
  </si>
  <si>
    <t>3000157896</t>
  </si>
  <si>
    <t>61</t>
  </si>
  <si>
    <t>D-6-8-2</t>
  </si>
  <si>
    <t>3000172653</t>
  </si>
  <si>
    <t>D-7-5-1</t>
  </si>
  <si>
    <t>3000168786</t>
  </si>
  <si>
    <t>D-7-5-2</t>
  </si>
  <si>
    <t>3000170316</t>
  </si>
  <si>
    <t>D-7-6-1</t>
  </si>
  <si>
    <t>D-7-6-2</t>
  </si>
  <si>
    <t>3000174448</t>
  </si>
  <si>
    <t>D-7-7-1</t>
  </si>
  <si>
    <t>3000172655</t>
  </si>
  <si>
    <t>D-7-7-2</t>
  </si>
  <si>
    <t>3000172656</t>
  </si>
  <si>
    <t>D-7-8-1</t>
  </si>
  <si>
    <t>3000172518</t>
  </si>
  <si>
    <t>D-7-8-2</t>
  </si>
  <si>
    <t>3000137745</t>
  </si>
  <si>
    <t>204</t>
  </si>
  <si>
    <t>D-8-5-1</t>
  </si>
  <si>
    <t>3000175368</t>
  </si>
  <si>
    <t>D-8-5-2</t>
  </si>
  <si>
    <t>3000168943</t>
  </si>
  <si>
    <t>D-8-6-1</t>
  </si>
  <si>
    <t>3000136577</t>
  </si>
  <si>
    <t>D-8-6-2</t>
  </si>
  <si>
    <t>3000161218</t>
  </si>
  <si>
    <t>D-8-7-1</t>
  </si>
  <si>
    <t>3000164339</t>
  </si>
  <si>
    <t>D-8-7-2</t>
  </si>
  <si>
    <t>3000172650</t>
  </si>
  <si>
    <t>D-8-8-1</t>
  </si>
  <si>
    <t>3000169529</t>
  </si>
  <si>
    <t>D-8-8-2</t>
  </si>
  <si>
    <t>3000169530</t>
  </si>
  <si>
    <t>D-9-5-1</t>
  </si>
  <si>
    <t>3000175761</t>
  </si>
  <si>
    <t>D-9-5-2</t>
  </si>
  <si>
    <t>3000176388</t>
  </si>
  <si>
    <t>D-9-6-1</t>
  </si>
  <si>
    <t>3000166872</t>
  </si>
  <si>
    <t>D-9-6-2</t>
  </si>
  <si>
    <t>3000158964</t>
  </si>
  <si>
    <t>D-9-7-1</t>
  </si>
  <si>
    <t>3000169533</t>
  </si>
  <si>
    <t>D-9-7-2</t>
  </si>
  <si>
    <t>3000172649</t>
  </si>
  <si>
    <t>D-9-8-1</t>
  </si>
  <si>
    <t>D-9-8-2</t>
  </si>
  <si>
    <t>3000172648</t>
  </si>
  <si>
    <t>F-1-1-1</t>
  </si>
  <si>
    <t>3000165556</t>
  </si>
  <si>
    <t>F-1-1-2</t>
  </si>
  <si>
    <t>3000175793</t>
  </si>
  <si>
    <t>F-1-2-1</t>
  </si>
  <si>
    <t>3000176390</t>
  </si>
  <si>
    <t>F-1-2-2</t>
  </si>
  <si>
    <t>3000172410</t>
  </si>
  <si>
    <t>F-1-3-1</t>
  </si>
  <si>
    <t>3000174914</t>
  </si>
  <si>
    <t>F-1-3-2</t>
  </si>
  <si>
    <t>3000112317</t>
  </si>
  <si>
    <t>582</t>
  </si>
  <si>
    <t>F-1-4-1</t>
  </si>
  <si>
    <t>3000173346</t>
  </si>
  <si>
    <t>F-1-4-2</t>
  </si>
  <si>
    <t>3000175445</t>
  </si>
  <si>
    <t>F-1-5-1</t>
  </si>
  <si>
    <t>3000163109</t>
  </si>
  <si>
    <t>106</t>
  </si>
  <si>
    <t>F-1-5-2</t>
  </si>
  <si>
    <t>3000174204</t>
  </si>
  <si>
    <t>F-1-6-1</t>
  </si>
  <si>
    <t>F-1-6-2</t>
  </si>
  <si>
    <t>3000175192</t>
  </si>
  <si>
    <t>F-1-7-1</t>
  </si>
  <si>
    <t>3000174860</t>
  </si>
  <si>
    <t>F-1-7-2</t>
  </si>
  <si>
    <t>3000153804</t>
  </si>
  <si>
    <t>F-1-8-1</t>
  </si>
  <si>
    <t>3000173578</t>
  </si>
  <si>
    <t>F-1-8-2</t>
  </si>
  <si>
    <t>3000171496</t>
  </si>
  <si>
    <t>F-10-2-1</t>
  </si>
  <si>
    <t>3000172541</t>
  </si>
  <si>
    <t>F-10-2-2</t>
  </si>
  <si>
    <t>3000176377</t>
  </si>
  <si>
    <t>F-10-3-1</t>
  </si>
  <si>
    <t>3000176374</t>
  </si>
  <si>
    <t>F-10-3-2</t>
  </si>
  <si>
    <t>3000174339</t>
  </si>
  <si>
    <t>F-10-4-1</t>
  </si>
  <si>
    <t>3000161043</t>
  </si>
  <si>
    <t>F-10-4-2</t>
  </si>
  <si>
    <t>F-10-5-2</t>
  </si>
  <si>
    <t>3000175674</t>
  </si>
  <si>
    <t>F-10-6-2</t>
  </si>
  <si>
    <t>3000175632</t>
  </si>
  <si>
    <t>F-10-7-2</t>
  </si>
  <si>
    <t>3000175692</t>
  </si>
  <si>
    <t>F-10-8-1</t>
  </si>
  <si>
    <t>3000175663</t>
  </si>
  <si>
    <t>F-10-8-2</t>
  </si>
  <si>
    <t>3000172647</t>
  </si>
  <si>
    <t>F-2-1-1</t>
  </si>
  <si>
    <t>3000131637</t>
  </si>
  <si>
    <t>360</t>
  </si>
  <si>
    <t>F-2-1-2</t>
  </si>
  <si>
    <t>3000169374</t>
  </si>
  <si>
    <t>59</t>
  </si>
  <si>
    <t>F-2-2-1</t>
  </si>
  <si>
    <t>3000174614</t>
  </si>
  <si>
    <t>F-2-2-2</t>
  </si>
  <si>
    <t>3000082747</t>
  </si>
  <si>
    <t>872</t>
  </si>
  <si>
    <t>F-2-3-1</t>
  </si>
  <si>
    <t>3000163687</t>
  </si>
  <si>
    <t>105</t>
  </si>
  <si>
    <t>F-2-3-2</t>
  </si>
  <si>
    <t>3000169367</t>
  </si>
  <si>
    <t>F-2-4-1</t>
  </si>
  <si>
    <t>3000084602</t>
  </si>
  <si>
    <t>918</t>
  </si>
  <si>
    <t>F-2-4-2</t>
  </si>
  <si>
    <t>F-2-5-1</t>
  </si>
  <si>
    <t>3000172646</t>
  </si>
  <si>
    <t>F-2-5-2</t>
  </si>
  <si>
    <t>3000169560</t>
  </si>
  <si>
    <t>F-2-6-1</t>
  </si>
  <si>
    <t>3000164486</t>
  </si>
  <si>
    <t>104</t>
  </si>
  <si>
    <t>F-2-6-2</t>
  </si>
  <si>
    <t>3000175389</t>
  </si>
  <si>
    <t>F-2-7-1</t>
  </si>
  <si>
    <t>F-2-7-2</t>
  </si>
  <si>
    <t>F-2-8-1</t>
  </si>
  <si>
    <t>3000172645</t>
  </si>
  <si>
    <t>F-2-8-2</t>
  </si>
  <si>
    <t>3000155403</t>
  </si>
  <si>
    <t>F-3-1-1</t>
  </si>
  <si>
    <t>3000166919</t>
  </si>
  <si>
    <t>F-3-1-2</t>
  </si>
  <si>
    <t>3000141682</t>
  </si>
  <si>
    <t>F-3-2-1</t>
  </si>
  <si>
    <t>3000172670</t>
  </si>
  <si>
    <t>F-3-2-2</t>
  </si>
  <si>
    <t>3000175591</t>
  </si>
  <si>
    <t>F-3-3-1</t>
  </si>
  <si>
    <t>3000120438</t>
  </si>
  <si>
    <t>364</t>
  </si>
  <si>
    <t>F-3-3-2</t>
  </si>
  <si>
    <t>3000122457</t>
  </si>
  <si>
    <t>F-3-4-1</t>
  </si>
  <si>
    <t>3000171454</t>
  </si>
  <si>
    <t>F-3-4-2</t>
  </si>
  <si>
    <t>3000172642</t>
  </si>
  <si>
    <t>F-3-5-1</t>
  </si>
  <si>
    <t>3000149070</t>
  </si>
  <si>
    <t>F-3-5-2</t>
  </si>
  <si>
    <t>F-3-6-1</t>
  </si>
  <si>
    <t>3000163959</t>
  </si>
  <si>
    <t>F-3-6-2</t>
  </si>
  <si>
    <t>3000174720</t>
  </si>
  <si>
    <t>F-3-7-1</t>
  </si>
  <si>
    <t>3000176376</t>
  </si>
  <si>
    <t>F-3-7-2</t>
  </si>
  <si>
    <t>3000175933</t>
  </si>
  <si>
    <t>F-3-8-1</t>
  </si>
  <si>
    <t>3000172640</t>
  </si>
  <si>
    <t>F-3-8-2</t>
  </si>
  <si>
    <t>3000170315</t>
  </si>
  <si>
    <t>F-4-1-1</t>
  </si>
  <si>
    <t>3000171627</t>
  </si>
  <si>
    <t>F-4-1-2</t>
  </si>
  <si>
    <t>3000170456</t>
  </si>
  <si>
    <t>F-4-2-1</t>
  </si>
  <si>
    <t>3000164505</t>
  </si>
  <si>
    <t>F-4-2-2</t>
  </si>
  <si>
    <t>3000173149</t>
  </si>
  <si>
    <t>F-4-3-1</t>
  </si>
  <si>
    <t>3000174025</t>
  </si>
  <si>
    <t>F-4-4-1</t>
  </si>
  <si>
    <t>3000175667</t>
  </si>
  <si>
    <t>F-4-4-2</t>
  </si>
  <si>
    <t>3000176412</t>
  </si>
  <si>
    <t>F-4-5-1</t>
  </si>
  <si>
    <t>3000172524</t>
  </si>
  <si>
    <t>30</t>
  </si>
  <si>
    <t>F-4-5-2</t>
  </si>
  <si>
    <t>3000175665</t>
  </si>
  <si>
    <t>F-4-6-1</t>
  </si>
  <si>
    <t>3000172639</t>
  </si>
  <si>
    <t>F-4-6-2</t>
  </si>
  <si>
    <t>3000175540</t>
  </si>
  <si>
    <t>F-4-7-1</t>
  </si>
  <si>
    <t>3000172638</t>
  </si>
  <si>
    <t>F-4-7-2</t>
  </si>
  <si>
    <t>3000172637</t>
  </si>
  <si>
    <t>F-4-8-1</t>
  </si>
  <si>
    <t>3000173577</t>
  </si>
  <si>
    <t>F-4-8-2</t>
  </si>
  <si>
    <t>3000173610</t>
  </si>
  <si>
    <t>F-5-1-1</t>
  </si>
  <si>
    <t>3000169015</t>
  </si>
  <si>
    <t>F-5-1-2</t>
  </si>
  <si>
    <t>3000163615</t>
  </si>
  <si>
    <t>F-5-2-2</t>
  </si>
  <si>
    <t>F-5-3-1</t>
  </si>
  <si>
    <t>3000175047</t>
  </si>
  <si>
    <t>F-5-3-2</t>
  </si>
  <si>
    <t>3000174547</t>
  </si>
  <si>
    <t>F-5-4-1</t>
  </si>
  <si>
    <t>3000172523</t>
  </si>
  <si>
    <t>F-5-4-2</t>
  </si>
  <si>
    <t>3000092708</t>
  </si>
  <si>
    <t>825</t>
  </si>
  <si>
    <t>F-5-5-1</t>
  </si>
  <si>
    <t>3000160664</t>
  </si>
  <si>
    <t>122</t>
  </si>
  <si>
    <t>F-5-5-2</t>
  </si>
  <si>
    <t>F-5-6-1</t>
  </si>
  <si>
    <t>3000172635</t>
  </si>
  <si>
    <t>F-5-6-2</t>
  </si>
  <si>
    <t>3000166191</t>
  </si>
  <si>
    <t>F-5-7-1</t>
  </si>
  <si>
    <t>3000172636</t>
  </si>
  <si>
    <t>F-5-7-2</t>
  </si>
  <si>
    <t>3000174613</t>
  </si>
  <si>
    <t>F-5-8-1</t>
  </si>
  <si>
    <t>3000172634</t>
  </si>
  <si>
    <t>F-5-8-2</t>
  </si>
  <si>
    <t>3000103751</t>
  </si>
  <si>
    <t>697</t>
  </si>
  <si>
    <t>F-6-1-1</t>
  </si>
  <si>
    <t>3000158385</t>
  </si>
  <si>
    <t>F-6-1-2</t>
  </si>
  <si>
    <t>3000173085</t>
  </si>
  <si>
    <t>F-6-2-2</t>
  </si>
  <si>
    <t>3000173984</t>
  </si>
  <si>
    <t>F-6-3-1</t>
  </si>
  <si>
    <t>3000171978</t>
  </si>
  <si>
    <t>F-6-3-2</t>
  </si>
  <si>
    <t>3000176297</t>
  </si>
  <si>
    <t>F-6-4-1</t>
  </si>
  <si>
    <t>3000175443</t>
  </si>
  <si>
    <t>F-6-4-2</t>
  </si>
  <si>
    <t>3000152741</t>
  </si>
  <si>
    <t>F-6-5-1</t>
  </si>
  <si>
    <t>3000173998</t>
  </si>
  <si>
    <t>F-6-5-2</t>
  </si>
  <si>
    <t>3000172632</t>
  </si>
  <si>
    <t>F-6-6-1</t>
  </si>
  <si>
    <t>3000172631</t>
  </si>
  <si>
    <t>F-6-6-2</t>
  </si>
  <si>
    <t>3000175444</t>
  </si>
  <si>
    <t>F-6-7-1</t>
  </si>
  <si>
    <t>3000176411</t>
  </si>
  <si>
    <t>F-6-7-2</t>
  </si>
  <si>
    <t>3000174398</t>
  </si>
  <si>
    <t>F-6-8-1</t>
  </si>
  <si>
    <t>3000172630</t>
  </si>
  <si>
    <t>F-6-8-2</t>
  </si>
  <si>
    <t>3000166268</t>
  </si>
  <si>
    <t>F-7-1-2</t>
  </si>
  <si>
    <t>3000175795</t>
  </si>
  <si>
    <t>F-7-2-1</t>
  </si>
  <si>
    <t>3000163203</t>
  </si>
  <si>
    <t>F-7-2-2</t>
  </si>
  <si>
    <t>3000175661</t>
  </si>
  <si>
    <t>F-7-3-1</t>
  </si>
  <si>
    <t>3000174266</t>
  </si>
  <si>
    <t>F-7-3-2</t>
  </si>
  <si>
    <t>3000175938</t>
  </si>
  <si>
    <t>F-7-4-1</t>
  </si>
  <si>
    <t>3000175934</t>
  </si>
  <si>
    <t>F-7-4-2</t>
  </si>
  <si>
    <t>3000174400</t>
  </si>
  <si>
    <t>F-7-5-1</t>
  </si>
  <si>
    <t>3000172627</t>
  </si>
  <si>
    <t>F-7-5-2</t>
  </si>
  <si>
    <t>3000167617</t>
  </si>
  <si>
    <t>F-7-6-1</t>
  </si>
  <si>
    <t>3000174570</t>
  </si>
  <si>
    <t>F-7-6-2</t>
  </si>
  <si>
    <t>3000172628</t>
  </si>
  <si>
    <t>F-7-7-1</t>
  </si>
  <si>
    <t>3000172625</t>
  </si>
  <si>
    <t>F-7-7-2</t>
  </si>
  <si>
    <t>3000173607</t>
  </si>
  <si>
    <t>F-7-8-1</t>
  </si>
  <si>
    <t>3000172626</t>
  </si>
  <si>
    <t>F-7-8-2</t>
  </si>
  <si>
    <t>3000175971</t>
  </si>
  <si>
    <t>F-8-1-1</t>
  </si>
  <si>
    <t>3000114893</t>
  </si>
  <si>
    <t>166</t>
  </si>
  <si>
    <t>F-8-1-2</t>
  </si>
  <si>
    <t>3000158469</t>
  </si>
  <si>
    <t>152</t>
  </si>
  <si>
    <t>F-8-2-1</t>
  </si>
  <si>
    <t>3000169014</t>
  </si>
  <si>
    <t>F-8-2-2</t>
  </si>
  <si>
    <t>3000083871</t>
  </si>
  <si>
    <t>F-8-3-1</t>
  </si>
  <si>
    <t>F-8-3-2</t>
  </si>
  <si>
    <t>3000174385</t>
  </si>
  <si>
    <t>F-8-4-1</t>
  </si>
  <si>
    <t>3000174384</t>
  </si>
  <si>
    <t>F-8-4-2</t>
  </si>
  <si>
    <t>3000173903</t>
  </si>
  <si>
    <t>F-8-5-1</t>
  </si>
  <si>
    <t>3000163855</t>
  </si>
  <si>
    <t>F-8-5-2</t>
  </si>
  <si>
    <t>3000155124</t>
  </si>
  <si>
    <t>F-8-6-1</t>
  </si>
  <si>
    <t>3000139654</t>
  </si>
  <si>
    <t>278</t>
  </si>
  <si>
    <t>F-8-6-2</t>
  </si>
  <si>
    <t>F-8-7-1</t>
  </si>
  <si>
    <t>3000174599</t>
  </si>
  <si>
    <t>F-8-7-2</t>
  </si>
  <si>
    <t>3000172623</t>
  </si>
  <si>
    <t>F-8-8-1</t>
  </si>
  <si>
    <t>3000172624</t>
  </si>
  <si>
    <t>F-8-8-2</t>
  </si>
  <si>
    <t>3000174595</t>
  </si>
  <si>
    <t>F-9-2-1</t>
  </si>
  <si>
    <t>3000165553</t>
  </si>
  <si>
    <t>F-9-2-2</t>
  </si>
  <si>
    <t>F-9-3-1</t>
  </si>
  <si>
    <t>3000139016</t>
  </si>
  <si>
    <t>F-9-3-2</t>
  </si>
  <si>
    <t>3000160182</t>
  </si>
  <si>
    <t>F-9-4-2</t>
  </si>
  <si>
    <t>3000171288</t>
  </si>
  <si>
    <t>F-9-5-1</t>
  </si>
  <si>
    <t>F-9-5-2</t>
  </si>
  <si>
    <t>F-9-6-1</t>
  </si>
  <si>
    <t>3000172240</t>
  </si>
  <si>
    <t>F-9-6-2</t>
  </si>
  <si>
    <t>3000175264</t>
  </si>
  <si>
    <t>F-9-7-1</t>
  </si>
  <si>
    <t>3000175973</t>
  </si>
  <si>
    <t>F-9-7-2</t>
  </si>
  <si>
    <t>3000166265</t>
  </si>
  <si>
    <t>F-9-8-1</t>
  </si>
  <si>
    <t>F-9-8-2</t>
  </si>
  <si>
    <t>3000175931</t>
  </si>
  <si>
    <t>H-1-1-1</t>
  </si>
  <si>
    <t>3000175818</t>
  </si>
  <si>
    <t>H-1-1-2</t>
  </si>
  <si>
    <t>3000168791</t>
  </si>
  <si>
    <t>H-1-2-1</t>
  </si>
  <si>
    <t>3000175726</t>
  </si>
  <si>
    <t>H-1-2-2</t>
  </si>
  <si>
    <t>3000158488</t>
  </si>
  <si>
    <t>153</t>
  </si>
  <si>
    <t>H-1-3-1</t>
  </si>
  <si>
    <t>3000175589</t>
  </si>
  <si>
    <t>H-1-3-2</t>
  </si>
  <si>
    <t>3000176286</t>
  </si>
  <si>
    <t>H-1-4-1</t>
  </si>
  <si>
    <t>H-1-4-2</t>
  </si>
  <si>
    <t>3000172329</t>
  </si>
  <si>
    <t>H-1-5-1</t>
  </si>
  <si>
    <t>3000166264</t>
  </si>
  <si>
    <t>H-1-5-2</t>
  </si>
  <si>
    <t>3000154104</t>
  </si>
  <si>
    <t>H-1-6-1</t>
  </si>
  <si>
    <t>3000170298</t>
  </si>
  <si>
    <t>H-1-6-2</t>
  </si>
  <si>
    <t>3000175910</t>
  </si>
  <si>
    <t>H-1-7-1</t>
  </si>
  <si>
    <t>3000176409</t>
  </si>
  <si>
    <t>H-1-8-1</t>
  </si>
  <si>
    <t>3000174024</t>
  </si>
  <si>
    <t>H-1-8-2</t>
  </si>
  <si>
    <t>3000176410</t>
  </si>
  <si>
    <t>H-10-2-1</t>
  </si>
  <si>
    <t>3000145465</t>
  </si>
  <si>
    <t>131</t>
  </si>
  <si>
    <t>H-10-2-2</t>
  </si>
  <si>
    <t>3000169531</t>
  </si>
  <si>
    <t>H-10-3-1</t>
  </si>
  <si>
    <t>3000174383</t>
  </si>
  <si>
    <t>H-10-3-2</t>
  </si>
  <si>
    <t>H-10-4-1</t>
  </si>
  <si>
    <t>3000081504</t>
  </si>
  <si>
    <t>952</t>
  </si>
  <si>
    <t>H-10-4-2</t>
  </si>
  <si>
    <t>3000164689</t>
  </si>
  <si>
    <t>H-10-5-1</t>
  </si>
  <si>
    <t>3000175961</t>
  </si>
  <si>
    <t>H-10-5-2</t>
  </si>
  <si>
    <t>3000167516</t>
  </si>
  <si>
    <t>H-10-6-1</t>
  </si>
  <si>
    <t>H-10-6-2</t>
  </si>
  <si>
    <t>3000084265</t>
  </si>
  <si>
    <t>790</t>
  </si>
  <si>
    <t>H-10-7-1</t>
  </si>
  <si>
    <t>3000170773</t>
  </si>
  <si>
    <t>H-10-7-2</t>
  </si>
  <si>
    <t>3000176395</t>
  </si>
  <si>
    <t>H-10-8-1</t>
  </si>
  <si>
    <t>3000176407</t>
  </si>
  <si>
    <t>H-10-8-2</t>
  </si>
  <si>
    <t>3000075243</t>
  </si>
  <si>
    <t>1012</t>
  </si>
  <si>
    <t>H-2-1-1</t>
  </si>
  <si>
    <t>3000174569</t>
  </si>
  <si>
    <t>H-2-1-2</t>
  </si>
  <si>
    <t>3000169302</t>
  </si>
  <si>
    <t>H-2-2-1</t>
  </si>
  <si>
    <t>3000166775</t>
  </si>
  <si>
    <t>H-2-2-2</t>
  </si>
  <si>
    <t>3000173083</t>
  </si>
  <si>
    <t>H-2-3-1</t>
  </si>
  <si>
    <t>3000173350</t>
  </si>
  <si>
    <t>H-2-3-2</t>
  </si>
  <si>
    <t>3000155491</t>
  </si>
  <si>
    <t>H-2-4-1</t>
  </si>
  <si>
    <t>3000174636</t>
  </si>
  <si>
    <t>H-2-4-2</t>
  </si>
  <si>
    <t>3000175394</t>
  </si>
  <si>
    <t>H-2-5-1</t>
  </si>
  <si>
    <t>3000176431</t>
  </si>
  <si>
    <t>H-2-5-2</t>
  </si>
  <si>
    <t>3000172526</t>
  </si>
  <si>
    <t>H-2-6-1</t>
  </si>
  <si>
    <t>3000166261</t>
  </si>
  <si>
    <t>H-2-6-2</t>
  </si>
  <si>
    <t>3000173985</t>
  </si>
  <si>
    <t>H-2-7-2</t>
  </si>
  <si>
    <t>3000072971</t>
  </si>
  <si>
    <t>H-2-8-1</t>
  </si>
  <si>
    <t>3000173927</t>
  </si>
  <si>
    <t>H-2-8-2</t>
  </si>
  <si>
    <t>H-3-1-1</t>
  </si>
  <si>
    <t>3000175725</t>
  </si>
  <si>
    <t>H-3-1-2</t>
  </si>
  <si>
    <t>3000168974</t>
  </si>
  <si>
    <t>H-3-2-1</t>
  </si>
  <si>
    <t>3000087278</t>
  </si>
  <si>
    <t>890</t>
  </si>
  <si>
    <t>H-3-2-2</t>
  </si>
  <si>
    <t>3000155084</t>
  </si>
  <si>
    <t>H-3-3-1</t>
  </si>
  <si>
    <t>H-3-4-1</t>
  </si>
  <si>
    <t>H-3-4-2</t>
  </si>
  <si>
    <t>3000174655</t>
  </si>
  <si>
    <t>H-3-5-1</t>
  </si>
  <si>
    <t>3000176429</t>
  </si>
  <si>
    <t>H-3-5-2</t>
  </si>
  <si>
    <t>3000168686</t>
  </si>
  <si>
    <t>H-3-6-1</t>
  </si>
  <si>
    <t>3000174053</t>
  </si>
  <si>
    <t>H-3-6-2</t>
  </si>
  <si>
    <t>3000175719</t>
  </si>
  <si>
    <t>H-3-7-1</t>
  </si>
  <si>
    <t>3000175873</t>
  </si>
  <si>
    <t>H-3-7-2</t>
  </si>
  <si>
    <t>3000174043</t>
  </si>
  <si>
    <t>H-3-8-1</t>
  </si>
  <si>
    <t>H-3-8-2</t>
  </si>
  <si>
    <t>3000174044</t>
  </si>
  <si>
    <t>H-4-1-1</t>
  </si>
  <si>
    <t>3000163545</t>
  </si>
  <si>
    <t>H-4-1-2</t>
  </si>
  <si>
    <t>3000169373</t>
  </si>
  <si>
    <t>H-4-2-1</t>
  </si>
  <si>
    <t>3000175979</t>
  </si>
  <si>
    <t>H-4-2-2</t>
  </si>
  <si>
    <t>3000166103</t>
  </si>
  <si>
    <t>70</t>
  </si>
  <si>
    <t>H-4-3-1</t>
  </si>
  <si>
    <t>3000167735</t>
  </si>
  <si>
    <t>H-4-4-1</t>
  </si>
  <si>
    <t>3000170178</t>
  </si>
  <si>
    <t>H-4-4-2</t>
  </si>
  <si>
    <t>3000133779</t>
  </si>
  <si>
    <t>H-4-5-1</t>
  </si>
  <si>
    <t>3000174540</t>
  </si>
  <si>
    <t>H-4-5-2</t>
  </si>
  <si>
    <t>3000173058</t>
  </si>
  <si>
    <t>H-4-6-1</t>
  </si>
  <si>
    <t>3000173055</t>
  </si>
  <si>
    <t>H-4-6-2</t>
  </si>
  <si>
    <t>3000174046</t>
  </si>
  <si>
    <t>H-4-7-1</t>
  </si>
  <si>
    <t>3000174045</t>
  </si>
  <si>
    <t>H-4-7-2</t>
  </si>
  <si>
    <t>3000174048</t>
  </si>
  <si>
    <t>H-4-8-1</t>
  </si>
  <si>
    <t>3000171278</t>
  </si>
  <si>
    <t>H-4-8-2</t>
  </si>
  <si>
    <t>3000176379</t>
  </si>
  <si>
    <t>H-5-1-1</t>
  </si>
  <si>
    <t>H-5-1-2</t>
  </si>
  <si>
    <t>3000165538</t>
  </si>
  <si>
    <t>85</t>
  </si>
  <si>
    <t>H-5-2-1</t>
  </si>
  <si>
    <t>3000159280</t>
  </si>
  <si>
    <t>146</t>
  </si>
  <si>
    <t>H-5-2-2</t>
  </si>
  <si>
    <t>3000175669</t>
  </si>
  <si>
    <t>H-5-3-1</t>
  </si>
  <si>
    <t>3000170649</t>
  </si>
  <si>
    <t>H-5-3-2</t>
  </si>
  <si>
    <t>3000175670</t>
  </si>
  <si>
    <t>H-5-4-1</t>
  </si>
  <si>
    <t>3000175871</t>
  </si>
  <si>
    <t>H-5-4-2</t>
  </si>
  <si>
    <t>3000173260</t>
  </si>
  <si>
    <t>H-5-5-1</t>
  </si>
  <si>
    <t>3000174628</t>
  </si>
  <si>
    <t>H-5-5-2</t>
  </si>
  <si>
    <t>3000176430</t>
  </si>
  <si>
    <t>H-5-6-1</t>
  </si>
  <si>
    <t>H-5-6-2</t>
  </si>
  <si>
    <t>3000175720</t>
  </si>
  <si>
    <t>H-5-7-1</t>
  </si>
  <si>
    <t>3000173608</t>
  </si>
  <si>
    <t>H-5-7-2</t>
  </si>
  <si>
    <t>3000173605</t>
  </si>
  <si>
    <t>H-5-8-1</t>
  </si>
  <si>
    <t>3000175211</t>
  </si>
  <si>
    <t>H-5-8-2</t>
  </si>
  <si>
    <t>3000173621</t>
  </si>
  <si>
    <t>H-6-1-1</t>
  </si>
  <si>
    <t>3000171237</t>
  </si>
  <si>
    <t>H-6-1-2</t>
  </si>
  <si>
    <t>3000168787</t>
  </si>
  <si>
    <t>H-6-2-1</t>
  </si>
  <si>
    <t>3000168972</t>
  </si>
  <si>
    <t>H-6-2-2</t>
  </si>
  <si>
    <t>H-6-3-1</t>
  </si>
  <si>
    <t>3000170761</t>
  </si>
  <si>
    <t>H-6-3-2</t>
  </si>
  <si>
    <t>3000157891</t>
  </si>
  <si>
    <t>H-6-4-1</t>
  </si>
  <si>
    <t>3000133777</t>
  </si>
  <si>
    <t>140</t>
  </si>
  <si>
    <t>H-6-4-2</t>
  </si>
  <si>
    <t>3000167139</t>
  </si>
  <si>
    <t>H-6-5-1</t>
  </si>
  <si>
    <t>3000175716</t>
  </si>
  <si>
    <t>H-6-5-2</t>
  </si>
  <si>
    <t>3000173620</t>
  </si>
  <si>
    <t>H-6-6-1</t>
  </si>
  <si>
    <t>3000173615</t>
  </si>
  <si>
    <t>H-6-6-2</t>
  </si>
  <si>
    <t>3000175714</t>
  </si>
  <si>
    <t>H-6-7-1</t>
  </si>
  <si>
    <t>3000155518</t>
  </si>
  <si>
    <t>H-6-7-2</t>
  </si>
  <si>
    <t>3000174069</t>
  </si>
  <si>
    <t>H-6-8-1</t>
  </si>
  <si>
    <t>3000173943</t>
  </si>
  <si>
    <t>H-6-8-2</t>
  </si>
  <si>
    <t>H-7-1-1</t>
  </si>
  <si>
    <t>3000173306</t>
  </si>
  <si>
    <t>H-7-1-2</t>
  </si>
  <si>
    <t>3000165537</t>
  </si>
  <si>
    <t>H-7-2-1</t>
  </si>
  <si>
    <t>3000174205</t>
  </si>
  <si>
    <t>H-7-2-2</t>
  </si>
  <si>
    <t>H-7-3-1</t>
  </si>
  <si>
    <t>3000176436</t>
  </si>
  <si>
    <t>H-7-3-2</t>
  </si>
  <si>
    <t>3000175963</t>
  </si>
  <si>
    <t>H-7-4-1</t>
  </si>
  <si>
    <t>3000173941</t>
  </si>
  <si>
    <t>H-7-4-2</t>
  </si>
  <si>
    <t>3000173699</t>
  </si>
  <si>
    <t>H-7-5-1</t>
  </si>
  <si>
    <t>3000173883</t>
  </si>
  <si>
    <t>H-7-5-2</t>
  </si>
  <si>
    <t>3000134122</t>
  </si>
  <si>
    <t>336</t>
  </si>
  <si>
    <t>H-7-6-1</t>
  </si>
  <si>
    <t>3000173041</t>
  </si>
  <si>
    <t>H-7-6-2</t>
  </si>
  <si>
    <t>3000175976</t>
  </si>
  <si>
    <t>H-7-7-1</t>
  </si>
  <si>
    <t>3000093294</t>
  </si>
  <si>
    <t>810</t>
  </si>
  <si>
    <t>H-7-7-2</t>
  </si>
  <si>
    <t>H-7-8-1</t>
  </si>
  <si>
    <t>3000164484</t>
  </si>
  <si>
    <t>H-7-8-2</t>
  </si>
  <si>
    <t>3000164482</t>
  </si>
  <si>
    <t>H-8-1-1</t>
  </si>
  <si>
    <t>3000176378</t>
  </si>
  <si>
    <t>H-8-1-2</t>
  </si>
  <si>
    <t>3000169301</t>
  </si>
  <si>
    <t>H-8-2-1</t>
  </si>
  <si>
    <t>3000173318</t>
  </si>
  <si>
    <t>H-8-2-2</t>
  </si>
  <si>
    <t>H-8-3-1</t>
  </si>
  <si>
    <t>3000173352</t>
  </si>
  <si>
    <t>H-8-3-2</t>
  </si>
  <si>
    <t>3000172538</t>
  </si>
  <si>
    <t>H-8-4-1</t>
  </si>
  <si>
    <t>H-8-4-2</t>
  </si>
  <si>
    <t>3000126153</t>
  </si>
  <si>
    <t>H-8-5-1</t>
  </si>
  <si>
    <t>H-8-5-2</t>
  </si>
  <si>
    <t>3000172535</t>
  </si>
  <si>
    <t>H-8-6-1</t>
  </si>
  <si>
    <t>3000075242</t>
  </si>
  <si>
    <t>H-8-6-2</t>
  </si>
  <si>
    <t>3000175883</t>
  </si>
  <si>
    <t>H-8-7-1</t>
  </si>
  <si>
    <t>3000173944</t>
  </si>
  <si>
    <t>H-8-7-2</t>
  </si>
  <si>
    <t>3000175930</t>
  </si>
  <si>
    <t>H-8-8-1</t>
  </si>
  <si>
    <t>3000174206</t>
  </si>
  <si>
    <t>H-8-8-2</t>
  </si>
  <si>
    <t>3000164388</t>
  </si>
  <si>
    <t>H-9-1-1</t>
  </si>
  <si>
    <t>3000169304</t>
  </si>
  <si>
    <t>H-9-1-2</t>
  </si>
  <si>
    <t>3000164379</t>
  </si>
  <si>
    <t>H-9-2-1</t>
  </si>
  <si>
    <t>3000172671</t>
  </si>
  <si>
    <t>H-9-2-2</t>
  </si>
  <si>
    <t>H-9-3-1</t>
  </si>
  <si>
    <t>3000174519</t>
  </si>
  <si>
    <t>H-9-3-2</t>
  </si>
  <si>
    <t>3000160314</t>
  </si>
  <si>
    <t>H-9-4-1</t>
  </si>
  <si>
    <t>3000175757</t>
  </si>
  <si>
    <t>H-9-4-2</t>
  </si>
  <si>
    <t>3000175740</t>
  </si>
  <si>
    <t>H-9-5-1</t>
  </si>
  <si>
    <t>3000173218</t>
  </si>
  <si>
    <t>H-9-5-2</t>
  </si>
  <si>
    <t>3000173926</t>
  </si>
  <si>
    <t>H-9-7-1</t>
  </si>
  <si>
    <t>H-9-8-1</t>
  </si>
  <si>
    <t>3000170614</t>
  </si>
  <si>
    <t>H-9-8-2</t>
  </si>
  <si>
    <t>3000175953</t>
  </si>
  <si>
    <t>ETQ</t>
  </si>
  <si>
    <t>MIX</t>
  </si>
  <si>
    <t>D-1-1-1</t>
  </si>
  <si>
    <t>RET</t>
  </si>
  <si>
    <t>EHC</t>
  </si>
  <si>
    <t>ET-A-1-1</t>
  </si>
  <si>
    <t>ET</t>
  </si>
  <si>
    <t>359</t>
  </si>
  <si>
    <t>91</t>
  </si>
  <si>
    <t>ET-A-1-2</t>
  </si>
  <si>
    <t>661</t>
  </si>
  <si>
    <t>ET-A-1-3</t>
  </si>
  <si>
    <t>45</t>
  </si>
  <si>
    <t>ET-A-1-4</t>
  </si>
  <si>
    <t>207</t>
  </si>
  <si>
    <t>ET-A-1-5</t>
  </si>
  <si>
    <t>158</t>
  </si>
  <si>
    <t>ET-A-2-1</t>
  </si>
  <si>
    <t>276</t>
  </si>
  <si>
    <t>ET-A-2-2</t>
  </si>
  <si>
    <t>83</t>
  </si>
  <si>
    <t>ET-A-2-3</t>
  </si>
  <si>
    <t>ET-A-2-4</t>
  </si>
  <si>
    <t>ET-A-2-5</t>
  </si>
  <si>
    <t>ET-A-3-1</t>
  </si>
  <si>
    <t>ET-A-3-2</t>
  </si>
  <si>
    <t>161</t>
  </si>
  <si>
    <t>ET-A-3-3</t>
  </si>
  <si>
    <t>ET-A-3-4</t>
  </si>
  <si>
    <t>ET-A-3-5</t>
  </si>
  <si>
    <t>ET-A-4-1</t>
  </si>
  <si>
    <t>192</t>
  </si>
  <si>
    <t>ET-A-4-2</t>
  </si>
  <si>
    <t>ET-A-4-3</t>
  </si>
  <si>
    <t>ET-A-4-4</t>
  </si>
  <si>
    <t>ET-A-4-5</t>
  </si>
  <si>
    <t>ET-A-5-1</t>
  </si>
  <si>
    <t>ET-A-5-2</t>
  </si>
  <si>
    <t>ET-A-5-3</t>
  </si>
  <si>
    <t>371</t>
  </si>
  <si>
    <t>ET-A-5-4</t>
  </si>
  <si>
    <t>ET-A-5-5</t>
  </si>
  <si>
    <t>ET-A-6-1</t>
  </si>
  <si>
    <t>ET-A-6-2</t>
  </si>
  <si>
    <t>308</t>
  </si>
  <si>
    <t>ET-A-6-3</t>
  </si>
  <si>
    <t>ET-A-6-4</t>
  </si>
  <si>
    <t>ET-A-6-5</t>
  </si>
  <si>
    <t>EWH</t>
  </si>
  <si>
    <t>ET-B-1-1</t>
  </si>
  <si>
    <t>ET-B-1-10</t>
  </si>
  <si>
    <t>ET-B-1-11</t>
  </si>
  <si>
    <t>ET-B-1-12</t>
  </si>
  <si>
    <t>ET-B-1-2</t>
  </si>
  <si>
    <t>ET-B-1-3</t>
  </si>
  <si>
    <t>ET-B-1-4</t>
  </si>
  <si>
    <t>ET-B-1-5</t>
  </si>
  <si>
    <t>ET-B-1-6</t>
  </si>
  <si>
    <t>ET-B-1-7</t>
  </si>
  <si>
    <t>ET-B-1-8</t>
  </si>
  <si>
    <t>ET-B-1-9</t>
  </si>
  <si>
    <t>ET-B-2-1</t>
  </si>
  <si>
    <t>ET-B-2-10</t>
  </si>
  <si>
    <t>ET-B-2-11</t>
  </si>
  <si>
    <t>ET-B-2-12</t>
  </si>
  <si>
    <t>ET-B-2-2</t>
  </si>
  <si>
    <t>ET-B-2-3</t>
  </si>
  <si>
    <t>743</t>
  </si>
  <si>
    <t>ET-B-2-4</t>
  </si>
  <si>
    <t>160</t>
  </si>
  <si>
    <t>ET-B-2-5</t>
  </si>
  <si>
    <t>ET-B-2-6</t>
  </si>
  <si>
    <t>ET-B-2-7</t>
  </si>
  <si>
    <t>ET-B-2-8</t>
  </si>
  <si>
    <t>ET-B-2-9</t>
  </si>
  <si>
    <t>ET-B-3-1</t>
  </si>
  <si>
    <t>1097</t>
  </si>
  <si>
    <t>231</t>
  </si>
  <si>
    <t>ET-B-3-10</t>
  </si>
  <si>
    <t>ET-B-3-11</t>
  </si>
  <si>
    <t>ET-B-3-12</t>
  </si>
  <si>
    <t>ET-B-3-2</t>
  </si>
  <si>
    <t>ET-B-3-3</t>
  </si>
  <si>
    <t>924</t>
  </si>
  <si>
    <t>252</t>
  </si>
  <si>
    <t>ET-B-3-4</t>
  </si>
  <si>
    <t>ET-B-3-5</t>
  </si>
  <si>
    <t>ET-B-3-6</t>
  </si>
  <si>
    <t>ET-B-3-7</t>
  </si>
  <si>
    <t>ET-B-3-8</t>
  </si>
  <si>
    <t>ET-B-3-9</t>
  </si>
  <si>
    <t>ET-B-4-1</t>
  </si>
  <si>
    <t>ET-B-4-10</t>
  </si>
  <si>
    <t>ET-B-4-11</t>
  </si>
  <si>
    <t>ET-B-4-12</t>
  </si>
  <si>
    <t>109</t>
  </si>
  <si>
    <t>ET-B-4-2</t>
  </si>
  <si>
    <t>ET-B-4-3</t>
  </si>
  <si>
    <t>ET-B-4-4</t>
  </si>
  <si>
    <t>ET-B-4-5</t>
  </si>
  <si>
    <t>ET-B-4-6</t>
  </si>
  <si>
    <t>ET-B-4-7</t>
  </si>
  <si>
    <t>ET-B-4-8</t>
  </si>
  <si>
    <t>ET-B-4-9</t>
  </si>
  <si>
    <t>ET-B-5-1</t>
  </si>
  <si>
    <t>ET-B-5-10</t>
  </si>
  <si>
    <t>ET-B-5-11</t>
  </si>
  <si>
    <t>201</t>
  </si>
  <si>
    <t>ET-B-5-12</t>
  </si>
  <si>
    <t>ET-B-5-2</t>
  </si>
  <si>
    <t>ET-B-5-3</t>
  </si>
  <si>
    <t>ET-B-5-4</t>
  </si>
  <si>
    <t>183</t>
  </si>
  <si>
    <t>ET-B-5-5</t>
  </si>
  <si>
    <t>ET-B-5-6</t>
  </si>
  <si>
    <t>ET-B-5-7</t>
  </si>
  <si>
    <t>ET-B-5-8</t>
  </si>
  <si>
    <t>ET-B-5-9</t>
  </si>
  <si>
    <t>172</t>
  </si>
  <si>
    <t>ET-B-6-1</t>
  </si>
  <si>
    <t>ET-B-6-10</t>
  </si>
  <si>
    <t>ET-B-6-11</t>
  </si>
  <si>
    <t>ET-B-6-12</t>
  </si>
  <si>
    <t>ET-B-6-2</t>
  </si>
  <si>
    <t>ET-B-6-3</t>
  </si>
  <si>
    <t>ET-B-6-4</t>
  </si>
  <si>
    <t>ET-B-6-5</t>
  </si>
  <si>
    <t>ET-B-6-6</t>
  </si>
  <si>
    <t>ET-B-6-7</t>
  </si>
  <si>
    <t>ET-B-6-8</t>
  </si>
  <si>
    <t>ET-B-6-9</t>
  </si>
  <si>
    <t>QUI-01</t>
  </si>
  <si>
    <t>410</t>
  </si>
  <si>
    <t>LAM</t>
  </si>
  <si>
    <t>LCB</t>
  </si>
  <si>
    <t>LAM-C-B</t>
  </si>
  <si>
    <t>3000153764</t>
  </si>
  <si>
    <t>CB</t>
  </si>
  <si>
    <t>LAC</t>
  </si>
  <si>
    <t>3000153765</t>
  </si>
  <si>
    <t>3000153767</t>
  </si>
  <si>
    <t>3000153772</t>
  </si>
  <si>
    <t>3000175620</t>
  </si>
  <si>
    <t>3000175621</t>
  </si>
  <si>
    <t>3000175623</t>
  </si>
  <si>
    <t>3000175624</t>
  </si>
  <si>
    <t>3000175626</t>
  </si>
  <si>
    <t>3000175625</t>
  </si>
  <si>
    <t>3000175628</t>
  </si>
  <si>
    <t>3000175629</t>
  </si>
  <si>
    <t>3000175627</t>
  </si>
  <si>
    <t>3000175630</t>
  </si>
  <si>
    <t>LCG</t>
  </si>
  <si>
    <t>LAM-C-G</t>
  </si>
  <si>
    <t>3000167188</t>
  </si>
  <si>
    <t>CG</t>
  </si>
  <si>
    <t>68</t>
  </si>
  <si>
    <t>3000170968</t>
  </si>
  <si>
    <t>3000170965</t>
  </si>
  <si>
    <t>3000170966</t>
  </si>
  <si>
    <t>3000170964</t>
  </si>
  <si>
    <t>3000170961</t>
  </si>
  <si>
    <t>3000170962</t>
  </si>
  <si>
    <t>3000170959</t>
  </si>
  <si>
    <t>3000170960</t>
  </si>
  <si>
    <t>3000170957</t>
  </si>
  <si>
    <t>3000175042</t>
  </si>
  <si>
    <t>3000175040</t>
  </si>
  <si>
    <t>3000170770</t>
  </si>
  <si>
    <t>3000170768</t>
  </si>
  <si>
    <t>3000170767</t>
  </si>
  <si>
    <t>3000175614</t>
  </si>
  <si>
    <t>3000175613</t>
  </si>
  <si>
    <t>A-1-3-1</t>
  </si>
  <si>
    <t>363</t>
  </si>
  <si>
    <t>A-1-3-2</t>
  </si>
  <si>
    <t>A-1-4-1</t>
  </si>
  <si>
    <t>273</t>
  </si>
  <si>
    <t>A-1-4-2</t>
  </si>
  <si>
    <t>A-10-1-1</t>
  </si>
  <si>
    <t>A-10-1-2</t>
  </si>
  <si>
    <t>A-10-2-1</t>
  </si>
  <si>
    <t>A-10-2-2</t>
  </si>
  <si>
    <t>256</t>
  </si>
  <si>
    <t>A-10-3-1</t>
  </si>
  <si>
    <t>A-10-3-2</t>
  </si>
  <si>
    <t>A-10-4-1</t>
  </si>
  <si>
    <t>A-10-4-2</t>
  </si>
  <si>
    <t>A-2-1-1</t>
  </si>
  <si>
    <t>A-2-1-2</t>
  </si>
  <si>
    <t>A-2-2-1</t>
  </si>
  <si>
    <t>A-2-2-2</t>
  </si>
  <si>
    <t>A-2-3-1</t>
  </si>
  <si>
    <t>A-2-3-2</t>
  </si>
  <si>
    <t>A-2-4-1</t>
  </si>
  <si>
    <t>A-2-4-2</t>
  </si>
  <si>
    <t>A-3-1-1</t>
  </si>
  <si>
    <t>A-3-1-2</t>
  </si>
  <si>
    <t>A-3-2-1</t>
  </si>
  <si>
    <t>A-3-2-2</t>
  </si>
  <si>
    <t>A-3-3-1</t>
  </si>
  <si>
    <t>A-3-3-2</t>
  </si>
  <si>
    <t>A-3-4-1</t>
  </si>
  <si>
    <t>A-3-4-2</t>
  </si>
  <si>
    <t>A-4-1-1</t>
  </si>
  <si>
    <t>A-4-1-2</t>
  </si>
  <si>
    <t>A-4-2-1</t>
  </si>
  <si>
    <t>A-4-2-2</t>
  </si>
  <si>
    <t>A-4-3-1</t>
  </si>
  <si>
    <t>A-4-3-2</t>
  </si>
  <si>
    <t>63</t>
  </si>
  <si>
    <t>A-4-4-1</t>
  </si>
  <si>
    <t>A-4-4-2</t>
  </si>
  <si>
    <t>A-5-1-1</t>
  </si>
  <si>
    <t>A-5-1-2</t>
  </si>
  <si>
    <t>A-5-2-1</t>
  </si>
  <si>
    <t>A-5-2-2</t>
  </si>
  <si>
    <t>A-5-3-1</t>
  </si>
  <si>
    <t>A-5-3-2</t>
  </si>
  <si>
    <t>A-5-4-1</t>
  </si>
  <si>
    <t>A-5-4-2</t>
  </si>
  <si>
    <t>937</t>
  </si>
  <si>
    <t>A-6-1-1</t>
  </si>
  <si>
    <t>A-6-1-2</t>
  </si>
  <si>
    <t>A-6-2-1</t>
  </si>
  <si>
    <t>A-6-2-2</t>
  </si>
  <si>
    <t>237</t>
  </si>
  <si>
    <t>A-6-3-1</t>
  </si>
  <si>
    <t>A-6-3-2</t>
  </si>
  <si>
    <t>A-6-4-1</t>
  </si>
  <si>
    <t>A-6-4-2</t>
  </si>
  <si>
    <t>A-7-1-1</t>
  </si>
  <si>
    <t>A-7-1-2</t>
  </si>
  <si>
    <t>A-7-2-1</t>
  </si>
  <si>
    <t>A-7-2-2</t>
  </si>
  <si>
    <t>A-7-3-1</t>
  </si>
  <si>
    <t>A-7-3-2</t>
  </si>
  <si>
    <t>A-7-4-1</t>
  </si>
  <si>
    <t>A-7-4-2</t>
  </si>
  <si>
    <t>A-8-1-1</t>
  </si>
  <si>
    <t>A-8-1-2</t>
  </si>
  <si>
    <t>A-8-2-1</t>
  </si>
  <si>
    <t>A-8-2-2</t>
  </si>
  <si>
    <t>A-8-3-1</t>
  </si>
  <si>
    <t>A-8-3-2</t>
  </si>
  <si>
    <t>A-8-4-1</t>
  </si>
  <si>
    <t>A-8-4-2</t>
  </si>
  <si>
    <t>A-9-1-1</t>
  </si>
  <si>
    <t>A-9-1-2</t>
  </si>
  <si>
    <t>A-9-2-1</t>
  </si>
  <si>
    <t>A-9-2-2</t>
  </si>
  <si>
    <t>A-9-3-1</t>
  </si>
  <si>
    <t>A-9-3-2</t>
  </si>
  <si>
    <t>A-9-4-1</t>
  </si>
  <si>
    <t>A-9-4-2</t>
  </si>
  <si>
    <t>D-1-0-1</t>
  </si>
  <si>
    <t>D-1-0-2</t>
  </si>
  <si>
    <t>D-1-1-2</t>
  </si>
  <si>
    <t>D-1-2-1</t>
  </si>
  <si>
    <t>D-1-2-2</t>
  </si>
  <si>
    <t>D-1-3-1</t>
  </si>
  <si>
    <t>D-1-3-2</t>
  </si>
  <si>
    <t>D-1-4-1</t>
  </si>
  <si>
    <t>D-1-4-2</t>
  </si>
  <si>
    <t>255</t>
  </si>
  <si>
    <t>D-2-0-1</t>
  </si>
  <si>
    <t>D-2-0-2</t>
  </si>
  <si>
    <t>D-2-1-1</t>
  </si>
  <si>
    <t>D-2-1-2</t>
  </si>
  <si>
    <t>D-2-2-1</t>
  </si>
  <si>
    <t>D-2-2-2</t>
  </si>
  <si>
    <t>D-2-3-1</t>
  </si>
  <si>
    <t>D-2-3-2</t>
  </si>
  <si>
    <t>D-2-4-1</t>
  </si>
  <si>
    <t>D-2-4-2</t>
  </si>
  <si>
    <t>D-3-0-1</t>
  </si>
  <si>
    <t>668</t>
  </si>
  <si>
    <t>111</t>
  </si>
  <si>
    <t>D-3-0-2</t>
  </si>
  <si>
    <t>D-3-1-1</t>
  </si>
  <si>
    <t>D-3-1-2</t>
  </si>
  <si>
    <t>D-3-2-1</t>
  </si>
  <si>
    <t>D-3-2-2</t>
  </si>
  <si>
    <t>D-3-3-1</t>
  </si>
  <si>
    <t>D-3-3-2</t>
  </si>
  <si>
    <t>D-3-4-1</t>
  </si>
  <si>
    <t>D-3-4-2</t>
  </si>
  <si>
    <t>D-4-0-1</t>
  </si>
  <si>
    <t>D-4-0-2</t>
  </si>
  <si>
    <t>D-4-1-1</t>
  </si>
  <si>
    <t>D-4-1-2</t>
  </si>
  <si>
    <t>D-4-2-1</t>
  </si>
  <si>
    <t>D-4-2-2</t>
  </si>
  <si>
    <t>D-4-3-1</t>
  </si>
  <si>
    <t>D-4-3-2</t>
  </si>
  <si>
    <t>129</t>
  </si>
  <si>
    <t>D-4-4-1</t>
  </si>
  <si>
    <t>D-4-4-2</t>
  </si>
  <si>
    <t>376</t>
  </si>
  <si>
    <t>D-5-0-1</t>
  </si>
  <si>
    <t>D-5-0-2</t>
  </si>
  <si>
    <t>D-5-1-1</t>
  </si>
  <si>
    <t>D-5-1-2</t>
  </si>
  <si>
    <t>D-5-2-1</t>
  </si>
  <si>
    <t>D-5-2-2</t>
  </si>
  <si>
    <t>D-5-3-1</t>
  </si>
  <si>
    <t>D-5-3-2</t>
  </si>
  <si>
    <t>D-5-4-1</t>
  </si>
  <si>
    <t>D-5-4-2</t>
  </si>
  <si>
    <t>D-6-1-1</t>
  </si>
  <si>
    <t>D-6-2-1</t>
  </si>
  <si>
    <t>D-6-2-2</t>
  </si>
  <si>
    <t>D-6-3-1</t>
  </si>
  <si>
    <t>D-6-3-2</t>
  </si>
  <si>
    <t>D-6-4-1</t>
  </si>
  <si>
    <t>D-6-4-2</t>
  </si>
  <si>
    <t>D-7-1-1</t>
  </si>
  <si>
    <t>D-7-1-2</t>
  </si>
  <si>
    <t>D-7-2-1</t>
  </si>
  <si>
    <t>D-7-2-2</t>
  </si>
  <si>
    <t>D-7-3-1</t>
  </si>
  <si>
    <t>D-7-3-2</t>
  </si>
  <si>
    <t>D-7-4-1</t>
  </si>
  <si>
    <t>D-7-4-2</t>
  </si>
  <si>
    <t>D-8-1-1</t>
  </si>
  <si>
    <t>D-8-1-2</t>
  </si>
  <si>
    <t>D-8-2-1</t>
  </si>
  <si>
    <t>D-8-2-2</t>
  </si>
  <si>
    <t>D-8-3-1</t>
  </si>
  <si>
    <t>D-8-3-2</t>
  </si>
  <si>
    <t>D-8-4-1</t>
  </si>
  <si>
    <t>D-8-4-2</t>
  </si>
  <si>
    <t>936</t>
  </si>
  <si>
    <t>D-9-1-1</t>
  </si>
  <si>
    <t>D-9-1-2</t>
  </si>
  <si>
    <t>D-9-2-1</t>
  </si>
  <si>
    <t>D-9-2-2</t>
  </si>
  <si>
    <t>D-9-3-1</t>
  </si>
  <si>
    <t>D-9-3-2</t>
  </si>
  <si>
    <t>D-9-4-1</t>
  </si>
  <si>
    <t>D-9-4-2</t>
  </si>
  <si>
    <t>E-1-1-1</t>
  </si>
  <si>
    <t>E-1-1-2</t>
  </si>
  <si>
    <t>E-1-2-1</t>
  </si>
  <si>
    <t>E-1-2-2</t>
  </si>
  <si>
    <t>E-1-3-1</t>
  </si>
  <si>
    <t>E-1-3-2</t>
  </si>
  <si>
    <t>E-1-4-1</t>
  </si>
  <si>
    <t>E-1-4-2</t>
  </si>
  <si>
    <t>E-2-1-1</t>
  </si>
  <si>
    <t>E-2-1-2</t>
  </si>
  <si>
    <t>E-2-2-1</t>
  </si>
  <si>
    <t>284</t>
  </si>
  <si>
    <t>E-2-2-2</t>
  </si>
  <si>
    <t>E-2-3-1</t>
  </si>
  <si>
    <t>E-2-3-2</t>
  </si>
  <si>
    <t>E-2-4-1</t>
  </si>
  <si>
    <t>E-2-4-2</t>
  </si>
  <si>
    <t>E-3-1-1</t>
  </si>
  <si>
    <t>E-3-1-2</t>
  </si>
  <si>
    <t>E-3-2-1</t>
  </si>
  <si>
    <t>E-3-2-2</t>
  </si>
  <si>
    <t>E-3-3-1</t>
  </si>
  <si>
    <t>E-3-3-2</t>
  </si>
  <si>
    <t>E-3-4-1</t>
  </si>
  <si>
    <t>E-3-4-2</t>
  </si>
  <si>
    <t>E-4-1-1</t>
  </si>
  <si>
    <t>E-4-1-2</t>
  </si>
  <si>
    <t>E-4-2-1</t>
  </si>
  <si>
    <t>E-4-2-2</t>
  </si>
  <si>
    <t>E-4-3-1</t>
  </si>
  <si>
    <t>E-4-3-2</t>
  </si>
  <si>
    <t>E-4-4-1</t>
  </si>
  <si>
    <t>E-4-4-2</t>
  </si>
  <si>
    <t>E-5-1-1</t>
  </si>
  <si>
    <t>E-5-1-2</t>
  </si>
  <si>
    <t>E-5-2-1</t>
  </si>
  <si>
    <t>E-5-2-2</t>
  </si>
  <si>
    <t>E-5-3-1</t>
  </si>
  <si>
    <t>E-5-3-2</t>
  </si>
  <si>
    <t>145</t>
  </si>
  <si>
    <t>E-5-4-1</t>
  </si>
  <si>
    <t>E-5-4-2</t>
  </si>
  <si>
    <t>E-6-1-1</t>
  </si>
  <si>
    <t>E-6-1-2</t>
  </si>
  <si>
    <t>E-6-2-1</t>
  </si>
  <si>
    <t>E-6-2-2</t>
  </si>
  <si>
    <t>E-6-3-1</t>
  </si>
  <si>
    <t>665</t>
  </si>
  <si>
    <t>E-6-3-2</t>
  </si>
  <si>
    <t>E-6-4-1</t>
  </si>
  <si>
    <t>E-6-4-2</t>
  </si>
  <si>
    <t>E-7-1-1</t>
  </si>
  <si>
    <t>E-7-1-2</t>
  </si>
  <si>
    <t>E-7-2-1</t>
  </si>
  <si>
    <t>E-7-2-2</t>
  </si>
  <si>
    <t>E-7-3-1</t>
  </si>
  <si>
    <t>E-7-3-2</t>
  </si>
  <si>
    <t>E-7-4-1</t>
  </si>
  <si>
    <t>E-7-4-2</t>
  </si>
  <si>
    <t>E-8-1-1</t>
  </si>
  <si>
    <t>E-8-1-2</t>
  </si>
  <si>
    <t>E-8-2-1</t>
  </si>
  <si>
    <t>E-8-2-2</t>
  </si>
  <si>
    <t>E-8-3-1</t>
  </si>
  <si>
    <t>E-8-3-2</t>
  </si>
  <si>
    <t>E-8-4-2</t>
  </si>
  <si>
    <t>E-9-1-1</t>
  </si>
  <si>
    <t>E-9-1-2</t>
  </si>
  <si>
    <t>E-9-2-1</t>
  </si>
  <si>
    <t>E-9-2-2</t>
  </si>
  <si>
    <t>E-9-3-1</t>
  </si>
  <si>
    <t>E-9-3-2</t>
  </si>
  <si>
    <t>E-9-4-1</t>
  </si>
  <si>
    <t>E-9-4-2</t>
  </si>
  <si>
    <t>F-10-1-1</t>
  </si>
  <si>
    <t>F-10-1-2</t>
  </si>
  <si>
    <t>F-9-1-1</t>
  </si>
  <si>
    <t>F-9-1-2</t>
  </si>
  <si>
    <t>H-10-1-1</t>
  </si>
  <si>
    <t>J-1-1-1</t>
  </si>
  <si>
    <t>J-1-1-2</t>
  </si>
  <si>
    <t>J-1-2-1</t>
  </si>
  <si>
    <t>J-1-2-2</t>
  </si>
  <si>
    <t>J-10-1-1</t>
  </si>
  <si>
    <t>J-10-1-2</t>
  </si>
  <si>
    <t>J-10-2-1</t>
  </si>
  <si>
    <t>J-10-2-2</t>
  </si>
  <si>
    <t>J-2-1-1</t>
  </si>
  <si>
    <t>J-2-1-2</t>
  </si>
  <si>
    <t>J-2-2-1</t>
  </si>
  <si>
    <t>J-2-2-2</t>
  </si>
  <si>
    <t>J-3-1-1</t>
  </si>
  <si>
    <t>J-3-1-2</t>
  </si>
  <si>
    <t>J-3-2-1</t>
  </si>
  <si>
    <t>J-3-2-2</t>
  </si>
  <si>
    <t>J-4-1-1</t>
  </si>
  <si>
    <t>J-4-1-2</t>
  </si>
  <si>
    <t>J-4-2-1</t>
  </si>
  <si>
    <t>J-4-2-2</t>
  </si>
  <si>
    <t>J-5-1-1</t>
  </si>
  <si>
    <t>J-5-1-2</t>
  </si>
  <si>
    <t>J-5-2-1</t>
  </si>
  <si>
    <t>J-5-2-2</t>
  </si>
  <si>
    <t>J-6-1-1</t>
  </si>
  <si>
    <t>J-6-1-2</t>
  </si>
  <si>
    <t>J-6-2-1</t>
  </si>
  <si>
    <t>J-6-2-2</t>
  </si>
  <si>
    <t>J-7-1-1</t>
  </si>
  <si>
    <t>J-7-1-2</t>
  </si>
  <si>
    <t>J-7-2-1</t>
  </si>
  <si>
    <t>181</t>
  </si>
  <si>
    <t>J-7-2-2</t>
  </si>
  <si>
    <t>J-8-1-1</t>
  </si>
  <si>
    <t>J-8-1-2</t>
  </si>
  <si>
    <t>J-8-2-1</t>
  </si>
  <si>
    <t>J-8-2-2</t>
  </si>
  <si>
    <t>J-9-1-1</t>
  </si>
  <si>
    <t>J-9-1-2</t>
  </si>
  <si>
    <t>J-9-2-1</t>
  </si>
  <si>
    <t>J-9-2-2</t>
  </si>
  <si>
    <t>LAM-G-B</t>
  </si>
  <si>
    <t>GB</t>
  </si>
  <si>
    <t>LAG</t>
  </si>
  <si>
    <t>LAM-G-G</t>
  </si>
  <si>
    <t>GG</t>
  </si>
  <si>
    <t>MOT-01</t>
  </si>
  <si>
    <t>W11653551</t>
  </si>
  <si>
    <t>SOT-01</t>
  </si>
  <si>
    <t>SPI</t>
  </si>
  <si>
    <t>LSA</t>
  </si>
  <si>
    <t>SG-LA-01</t>
  </si>
  <si>
    <t>3000170332</t>
  </si>
  <si>
    <t>SG</t>
  </si>
  <si>
    <t>SG-LA-02</t>
  </si>
  <si>
    <t>3000171419</t>
  </si>
  <si>
    <t>3000171422</t>
  </si>
  <si>
    <t>SG-LA-03</t>
  </si>
  <si>
    <t>3000175798</t>
  </si>
  <si>
    <t>3000175810</t>
  </si>
  <si>
    <t>3000175804</t>
  </si>
  <si>
    <t>SG-LA-04</t>
  </si>
  <si>
    <t>3000170842</t>
  </si>
  <si>
    <t>3000175570</t>
  </si>
  <si>
    <t>SG-LA-05</t>
  </si>
  <si>
    <t>3000176242</t>
  </si>
  <si>
    <t>3000176241</t>
  </si>
  <si>
    <t>3000176239</t>
  </si>
  <si>
    <t>3000175796</t>
  </si>
  <si>
    <t>SG-LA-06</t>
  </si>
  <si>
    <t>SG-LA-07</t>
  </si>
  <si>
    <t>SG-LA-08</t>
  </si>
  <si>
    <t>SG-LA-09</t>
  </si>
  <si>
    <t>SG-LA-10</t>
  </si>
  <si>
    <t>SG-LA-11</t>
  </si>
  <si>
    <t>SG-LA-12</t>
  </si>
  <si>
    <t>SG-LA-13</t>
  </si>
  <si>
    <t>SG-LA-14</t>
  </si>
  <si>
    <t>TER</t>
  </si>
  <si>
    <t>LST</t>
  </si>
  <si>
    <t>BL-TP-01</t>
  </si>
  <si>
    <t>TP</t>
  </si>
  <si>
    <t>BL-TP-02</t>
  </si>
  <si>
    <t xml:space="preserve">Descripcion </t>
  </si>
  <si>
    <t xml:space="preserve">Novedad </t>
  </si>
  <si>
    <t>Vidrio Acros</t>
  </si>
  <si>
    <t>GLASS CLEAR TEMPEST, SM</t>
  </si>
  <si>
    <t>Vidrio Haceb Copa 2.0</t>
  </si>
  <si>
    <t>Formato para posicion es del WM01</t>
  </si>
  <si>
    <t xml:space="preserve">Formato solo para informacion del stock de todos los alamacenes </t>
  </si>
  <si>
    <t>Formato para validar EXACTITUD del WM01</t>
  </si>
  <si>
    <t>Formato para validaciones con UD</t>
  </si>
  <si>
    <r>
      <t xml:space="preserve">Unidad almacén </t>
    </r>
    <r>
      <rPr>
        <b/>
        <sz val="11"/>
        <rFont val="Calibri"/>
        <family val="2"/>
      </rPr>
      <t xml:space="preserve"> UD</t>
    </r>
  </si>
  <si>
    <t>Clasificacion Localizacion</t>
  </si>
  <si>
    <t>N/A</t>
  </si>
  <si>
    <t>U1</t>
  </si>
  <si>
    <t>U2</t>
  </si>
  <si>
    <t>SAP</t>
  </si>
  <si>
    <t>Físico</t>
  </si>
  <si>
    <t>Diferencia</t>
  </si>
  <si>
    <t>Actualizar</t>
  </si>
  <si>
    <t>wm-06</t>
  </si>
  <si>
    <t>Área abastec.prod.</t>
  </si>
  <si>
    <t>Tipo Abastecimiento</t>
  </si>
  <si>
    <t>Circuito Regulador</t>
  </si>
  <si>
    <t>Id Maestro de Celda</t>
  </si>
  <si>
    <t>SUP Sector</t>
  </si>
  <si>
    <t>SUP Estante</t>
  </si>
  <si>
    <t>SUP Nivel</t>
  </si>
  <si>
    <t>SUP Posición</t>
  </si>
  <si>
    <t>Descripción de material</t>
  </si>
  <si>
    <t>Total Kanban</t>
  </si>
  <si>
    <t>Cantidad por Kanban</t>
  </si>
  <si>
    <t>Lote de Compra</t>
  </si>
  <si>
    <t>ver Repleto</t>
  </si>
  <si>
    <t>Vacío</t>
  </si>
  <si>
    <t>Transporte</t>
  </si>
  <si>
    <t>ver Pausa</t>
  </si>
  <si>
    <t>Cajas x BOL</t>
  </si>
  <si>
    <t>Cantidad Prev.Flow Rack</t>
  </si>
  <si>
    <t>Alerta</t>
  </si>
  <si>
    <t>LAV01-01</t>
  </si>
  <si>
    <t>SUPERMERCADO</t>
  </si>
  <si>
    <t>0021402</t>
  </si>
  <si>
    <t>12027</t>
  </si>
  <si>
    <t>A</t>
  </si>
  <si>
    <t>SCREW HEX FLA HI-LO 3.9 X 18  INOX</t>
  </si>
  <si>
    <t>@08@</t>
  </si>
  <si>
    <t>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</si>
</sst>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#,##0.000"/>
    <numFmt numFmtId="166" formatCode="#,##0.0"/>
    <numFmt numFmtId="167" formatCode="#,##0.00000"/>
  </numFmts>
  <fonts count="14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u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rgb="FFAEABAB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0" fontId="0" fillId="5" borderId="1" xfId="0" applyFill="1" applyBorder="1" applyAlignment="1">
      <alignment vertical="top" wrapText="1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7" fillId="4" borderId="1" xfId="0" applyNumberFormat="1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3" fillId="6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/>
    </xf>
    <xf numFmtId="0" fontId="7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/>
    </xf>
    <xf numFmtId="3" fontId="7" fillId="0" borderId="1" xfId="0" applyNumberFormat="1" applyFont="1" applyBorder="1" applyAlignment="1">
      <alignment horizontal="right" vertical="top"/>
    </xf>
    <xf numFmtId="0" fontId="7" fillId="4" borderId="1" xfId="0" applyFont="1" applyFill="1" applyBorder="1" applyAlignment="1">
      <alignment horizontal="center" vertical="top" wrapText="1"/>
    </xf>
    <xf numFmtId="0" fontId="0" fillId="4" borderId="0" xfId="0" applyFill="1" applyAlignment="1">
      <alignment vertical="top"/>
    </xf>
    <xf numFmtId="0" fontId="10" fillId="0" borderId="0" xfId="0" applyFont="1" applyAlignment="1">
      <alignment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3" fontId="0" fillId="0" borderId="0" xfId="0" applyNumberFormat="1" applyAlignment="1">
      <alignment vertical="top"/>
    </xf>
    <xf numFmtId="165" fontId="0" fillId="4" borderId="0" xfId="0" applyNumberFormat="1" applyFill="1" applyAlignment="1">
      <alignment horizontal="right" vertical="top"/>
    </xf>
    <xf numFmtId="0" fontId="0" fillId="0" borderId="0" xfId="0" quotePrefix="1" applyAlignment="1">
      <alignment vertical="top"/>
    </xf>
    <xf numFmtId="0" fontId="1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17.2.10\Produccion\DIR_CADENA_ABASTECIMIENTO\Gesti&#243;n%20Inventarios\Base%20de%20datos_2025.xlsx" TargetMode="External"/><Relationship Id="rId1" Type="http://schemas.openxmlformats.org/officeDocument/2006/relationships/externalLinkPath" Target="file:///\\172.17.2.10\Produccion\DIR_CADENA_ABASTECIMIENTO\Gesti&#243;n%20Inventarios\Base%20de%20datos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ander.jaramillo/Desktop/Stock%20inventario_09072025_454%20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o Base de datos"/>
      <sheetName val="Grupo_Prod"/>
      <sheetName val="Base de datos_2025"/>
      <sheetName val="Desc_SKU"/>
      <sheetName val="Proveedor-Comprador"/>
      <sheetName val="Repuestos"/>
      <sheetName val="Resinas_Proveedores"/>
    </sheetNames>
    <sheetDataSet>
      <sheetData sheetId="0"/>
      <sheetData sheetId="1"/>
      <sheetData sheetId="2">
        <row r="1">
          <cell r="A1" t="str">
            <v>Material</v>
          </cell>
          <cell r="B1" t="str">
            <v>Texto breve de material SAP</v>
          </cell>
          <cell r="C1" t="str">
            <v>UMB</v>
          </cell>
          <cell r="D1" t="str">
            <v>Nombre interno</v>
          </cell>
          <cell r="E1" t="str">
            <v>Grupo</v>
          </cell>
        </row>
        <row r="2">
          <cell r="A2" t="str">
            <v>W11121945</v>
          </cell>
          <cell r="B2" t="str">
            <v>STEEL GZ S250GD Z100 1,55X337</v>
          </cell>
          <cell r="C2" t="str">
            <v>KG</v>
          </cell>
          <cell r="D2" t="str">
            <v>LAMINA GZ S250GD Z100 1,55X337 (SOP MOTOR) ARME</v>
          </cell>
          <cell r="E2" t="str">
            <v>LAMINA_PROV</v>
          </cell>
        </row>
        <row r="3">
          <cell r="A3" t="str">
            <v>W11261457</v>
          </cell>
          <cell r="B3" t="str">
            <v xml:space="preserve">AGITATOR </v>
          </cell>
          <cell r="C3" t="str">
            <v>PC</v>
          </cell>
          <cell r="D3" t="str">
            <v>AGITADOR AGP BOTERO 2</v>
          </cell>
          <cell r="E3" t="str">
            <v>AGIPELLER</v>
          </cell>
        </row>
        <row r="4">
          <cell r="A4" t="str">
            <v>W10725483</v>
          </cell>
          <cell r="B4" t="str">
            <v>AGIPELLER</v>
          </cell>
          <cell r="C4" t="str">
            <v>UN</v>
          </cell>
          <cell r="D4" t="str">
            <v>AGIPELLER WHP (GRIS)</v>
          </cell>
          <cell r="E4" t="str">
            <v>AGIPELLER</v>
          </cell>
        </row>
        <row r="5">
          <cell r="A5" t="str">
            <v>W11780501</v>
          </cell>
          <cell r="B5" t="str">
            <v>MANUAL COPA NIAGARA</v>
          </cell>
          <cell r="C5" t="str">
            <v>PC</v>
          </cell>
          <cell r="D5" t="str">
            <v>MANUAL HCB NIAGARA</v>
          </cell>
          <cell r="E5" t="str">
            <v>MANUAL HCB NIAG</v>
          </cell>
        </row>
        <row r="6">
          <cell r="A6" t="str">
            <v>W11502214</v>
          </cell>
          <cell r="B6" t="str">
            <v>conjunto Filtro Whp</v>
          </cell>
          <cell r="C6" t="str">
            <v>PC</v>
          </cell>
          <cell r="D6" t="str">
            <v>CJ FILTRO WHP COPA 2 ENSAMBLADO</v>
          </cell>
          <cell r="E6" t="str">
            <v>CJ FILTRO ENS</v>
          </cell>
        </row>
        <row r="7">
          <cell r="A7" t="str">
            <v>W11763981</v>
          </cell>
          <cell r="B7" t="str">
            <v>MANUAL COPA 2.0, QUICK WIN, ES</v>
          </cell>
          <cell r="C7" t="str">
            <v>PC</v>
          </cell>
          <cell r="D7" t="str">
            <v>MANUAL WHP COPA 2.0</v>
          </cell>
          <cell r="E7" t="str">
            <v>MANUAL WHP</v>
          </cell>
        </row>
        <row r="8">
          <cell r="A8" t="str">
            <v>W11736595</v>
          </cell>
          <cell r="B8" t="str">
            <v>STEEL-GZ100 DX52D 1.25X337</v>
          </cell>
          <cell r="C8" t="str">
            <v>KG</v>
          </cell>
          <cell r="D8" t="str">
            <v>LAMINA GZ100 DX52D 1,25X337 (SOP MOTOR) ARME</v>
          </cell>
          <cell r="E8" t="str">
            <v>LAMINA_PROV</v>
          </cell>
        </row>
        <row r="9">
          <cell r="A9" t="str">
            <v>W11775050</v>
          </cell>
          <cell r="B9" t="str">
            <v>M8-1.25 X HW HX SER TORNILLO</v>
          </cell>
          <cell r="C9" t="str">
            <v>PC</v>
          </cell>
          <cell r="D9" t="str">
            <v>TORNILLO (SOPORTE MOTOR) NUEVO</v>
          </cell>
          <cell r="E9" t="str">
            <v>TORNILLOS</v>
          </cell>
        </row>
        <row r="10">
          <cell r="A10" t="str">
            <v>W11775427</v>
          </cell>
          <cell r="B10" t="str">
            <v>AGITATOR PACKAGE ASSY (30 PARTS)</v>
          </cell>
          <cell r="C10" t="str">
            <v>PC</v>
          </cell>
          <cell r="D10" t="str">
            <v>AGITADOR AGP BOTERO 2_</v>
          </cell>
          <cell r="E10" t="str">
            <v>AGIPELLER</v>
          </cell>
        </row>
        <row r="11">
          <cell r="A11" t="str">
            <v>W11491686</v>
          </cell>
          <cell r="B11" t="str">
            <v>TECH COVER, WITH SEN</v>
          </cell>
          <cell r="C11" t="str">
            <v>PC</v>
          </cell>
          <cell r="D11" t="str">
            <v>TAPA PLACA POTENCIA COPA 2.0</v>
          </cell>
          <cell r="E11" t="str">
            <v>TAPA PLACA POTENCIA</v>
          </cell>
        </row>
        <row r="12">
          <cell r="A12" t="str">
            <v>W11519084</v>
          </cell>
          <cell r="B12" t="str">
            <v>TOP GRIS</v>
          </cell>
          <cell r="C12" t="str">
            <v>PC</v>
          </cell>
          <cell r="D12" t="str">
            <v>TAPA FIJA HCB GRAFITTO COPA 2.0</v>
          </cell>
          <cell r="E12" t="str">
            <v>TAPA FIJA</v>
          </cell>
        </row>
        <row r="13">
          <cell r="A13" t="str">
            <v>W11736155</v>
          </cell>
          <cell r="B13" t="str">
            <v>MOTOR SUPPORT 1.25</v>
          </cell>
          <cell r="C13" t="str">
            <v>PC</v>
          </cell>
          <cell r="D13" t="str">
            <v>SOPORTE MOTOR 1.25 NUEVO</v>
          </cell>
          <cell r="E13" t="str">
            <v>SOPORTE MOTOR</v>
          </cell>
        </row>
        <row r="14">
          <cell r="A14" t="str">
            <v>W11486744</v>
          </cell>
          <cell r="B14" t="str">
            <v>BEARING,BALL,6006-2RS</v>
          </cell>
          <cell r="C14" t="str">
            <v>PC</v>
          </cell>
          <cell r="D14" t="str">
            <v>BEARING BALL (RODAMIENTO) NUEVO</v>
          </cell>
          <cell r="E14" t="str">
            <v>RODAMIENTOS</v>
          </cell>
        </row>
        <row r="15">
          <cell r="A15" t="str">
            <v>W11515777</v>
          </cell>
          <cell r="B15" t="str">
            <v>LEVA EXTERNA 37°</v>
          </cell>
          <cell r="C15" t="str">
            <v>PC</v>
          </cell>
          <cell r="D15" t="str">
            <v>LEVA EXTERNA 37° NUEVA</v>
          </cell>
          <cell r="E15" t="str">
            <v>LEVA EXTERNA</v>
          </cell>
        </row>
        <row r="16">
          <cell r="A16" t="str">
            <v>W11707208</v>
          </cell>
          <cell r="B16" t="str">
            <v>PAINEL DECORATIVO HACEB</v>
          </cell>
          <cell r="C16" t="str">
            <v>PC</v>
          </cell>
          <cell r="D16" t="str">
            <v>PAINEL DECORATIVO AGP HACEB 13KG</v>
          </cell>
          <cell r="E16" t="str">
            <v>PANEL DECORATIVO</v>
          </cell>
        </row>
        <row r="17">
          <cell r="A17" t="str">
            <v>W11708037</v>
          </cell>
          <cell r="B17" t="str">
            <v>PAINEL DECORATIVO HACEB</v>
          </cell>
          <cell r="C17" t="str">
            <v>PC</v>
          </cell>
          <cell r="D17" t="str">
            <v>PAINEL DECORATIVO IMP HACEB 9KG</v>
          </cell>
          <cell r="E17" t="str">
            <v>PANEL DECORATIVO</v>
          </cell>
        </row>
        <row r="18">
          <cell r="A18" t="str">
            <v>W11708038</v>
          </cell>
          <cell r="B18" t="str">
            <v>PAINEL DECORATIVO HACEB</v>
          </cell>
          <cell r="C18" t="str">
            <v>PC</v>
          </cell>
          <cell r="D18" t="str">
            <v>PANEL DECORATIVO IMP HACEB 10KG</v>
          </cell>
          <cell r="E18" t="str">
            <v>PANEL DECORATIVO</v>
          </cell>
        </row>
        <row r="19">
          <cell r="A19" t="str">
            <v>W11708042</v>
          </cell>
          <cell r="B19" t="str">
            <v>OVERLAY</v>
          </cell>
          <cell r="C19" t="str">
            <v>PC</v>
          </cell>
          <cell r="D19" t="str">
            <v>PANEL IMPELLER WHP 18K</v>
          </cell>
          <cell r="E19" t="str">
            <v>PANEL DECORATIVO</v>
          </cell>
        </row>
        <row r="20">
          <cell r="A20" t="str">
            <v>W11736156</v>
          </cell>
          <cell r="B20" t="str">
            <v>CAME ARTICULADO COPA 37°</v>
          </cell>
          <cell r="C20" t="str">
            <v>PC</v>
          </cell>
          <cell r="D20" t="str">
            <v>LEVA ARTICULADA NUEVA 37°</v>
          </cell>
          <cell r="E20" t="str">
            <v>LEVA ARTICULADA</v>
          </cell>
        </row>
        <row r="21">
          <cell r="A21" t="str">
            <v>W11763989</v>
          </cell>
          <cell r="B21" t="str">
            <v>MANUAL COPA 2.0, QUICK WIN, EN</v>
          </cell>
          <cell r="C21" t="str">
            <v>PC</v>
          </cell>
          <cell r="D21" t="str">
            <v>MANUAL WHP COPA 2.0 CARIBE NUEVO</v>
          </cell>
          <cell r="E21" t="str">
            <v>MANUAL WHP</v>
          </cell>
        </row>
        <row r="22">
          <cell r="A22" t="str">
            <v>W11761768</v>
          </cell>
          <cell r="B22" t="str">
            <v>LOWER HARNESS GOOD SUP</v>
          </cell>
          <cell r="C22" t="str">
            <v>PC</v>
          </cell>
          <cell r="D22" t="str">
            <v>ARNES INF GOOD COPA 2.0 CONECT NUEVO</v>
          </cell>
          <cell r="E22" t="str">
            <v>ARNES INFERIOR</v>
          </cell>
        </row>
        <row r="23">
          <cell r="A23" t="str">
            <v>W11759872</v>
          </cell>
          <cell r="B23" t="str">
            <v>ARNES SUPERIOR</v>
          </cell>
          <cell r="C23" t="str">
            <v>PC</v>
          </cell>
          <cell r="D23" t="str">
            <v>ARNES INF BEST COPA 2.0 CONECT NUEVO</v>
          </cell>
          <cell r="E23" t="str">
            <v>ARNES INFERIOR</v>
          </cell>
        </row>
        <row r="24">
          <cell r="A24" t="str">
            <v>W11762832</v>
          </cell>
          <cell r="B24" t="str">
            <v>DAMPER PAD PU WITH FELT AND ADHESIVE</v>
          </cell>
          <cell r="C24" t="str">
            <v>PC</v>
          </cell>
          <cell r="D24" t="str">
            <v>ESPUMA COPA 2.0 NUEVA</v>
          </cell>
          <cell r="E24" t="str">
            <v>ESPUMAS</v>
          </cell>
        </row>
        <row r="25">
          <cell r="A25" t="str">
            <v>W11759084</v>
          </cell>
          <cell r="B25" t="str">
            <v>ENERGY EFFICIENCY COL 19 KG  AGI BOT 2.0</v>
          </cell>
          <cell r="C25" t="str">
            <v>PC</v>
          </cell>
          <cell r="D25" t="str">
            <v>ETIQUETA ENERGIA (WW19WTA-WW19ZNA) BOTERO 2.0</v>
          </cell>
          <cell r="E25" t="str">
            <v>ETIQUETAS ENERGIA (BOTERO 2)</v>
          </cell>
        </row>
        <row r="26">
          <cell r="A26" t="str">
            <v>W11759090</v>
          </cell>
          <cell r="B26" t="str">
            <v>ENERGY EFFICIENCY COL 17 KG AGI BOT 2.0</v>
          </cell>
          <cell r="C26" t="str">
            <v>PC</v>
          </cell>
          <cell r="D26" t="str">
            <v>ETIQUETA ENERGIA (WW17WTA-WW17WBA) BOTERO 2.0</v>
          </cell>
          <cell r="E26" t="str">
            <v>ETIQUETAS ENERGIA (BOTERO 2)</v>
          </cell>
        </row>
        <row r="27">
          <cell r="A27" t="str">
            <v>W11759279</v>
          </cell>
          <cell r="B27" t="str">
            <v>ENERGY EFFICIENCY EQ 17 KG AGI BOT 2.0</v>
          </cell>
          <cell r="C27" t="str">
            <v>PC</v>
          </cell>
          <cell r="D27" t="str">
            <v>ETIQUETA EFIC BOT 2 WW17WTA-WW17WBA</v>
          </cell>
          <cell r="E27" t="str">
            <v>ETIQUETAS EFICIENCIA ENERG (BOTERO 2)</v>
          </cell>
        </row>
        <row r="28">
          <cell r="A28" t="str">
            <v>W11769469</v>
          </cell>
          <cell r="B28" t="str">
            <v>MANUAL BOTERO 2.0</v>
          </cell>
          <cell r="C28" t="str">
            <v>PC</v>
          </cell>
          <cell r="D28" t="str">
            <v>MANUAL WHP BOTERO 2</v>
          </cell>
          <cell r="E28" t="str">
            <v>MANUAL BOTERO</v>
          </cell>
        </row>
        <row r="29">
          <cell r="A29" t="str">
            <v>W11769423</v>
          </cell>
          <cell r="B29" t="str">
            <v>ENERGY EFFICIENCY COL 17 KG  IMP BOT 2.0</v>
          </cell>
          <cell r="C29" t="str">
            <v>PC</v>
          </cell>
          <cell r="D29" t="str">
            <v>ETIQUETA ENERGIA (WW17NNA-WW17NTA) BOTERO 2.0</v>
          </cell>
          <cell r="E29" t="str">
            <v>ETIQUETAS ENERGIA (BOTERO 2)</v>
          </cell>
        </row>
        <row r="30">
          <cell r="A30" t="str">
            <v>W11769451</v>
          </cell>
          <cell r="B30" t="str">
            <v>ENERGY EFFICIENCY EQ 17 KG IMP BOT 2.0</v>
          </cell>
          <cell r="C30" t="str">
            <v>PC</v>
          </cell>
          <cell r="D30" t="str">
            <v>ETIQUETA EFIC BOT 2 WW17NNA-WW17NTA</v>
          </cell>
          <cell r="E30" t="str">
            <v>ETIQUETAS EFICIENCIA ENERG (BOTERO 2)</v>
          </cell>
        </row>
        <row r="31">
          <cell r="A31" t="str">
            <v>W11435989</v>
          </cell>
          <cell r="B31" t="str">
            <v>ANEL DO TANQUE DOVE GREY</v>
          </cell>
          <cell r="C31" t="str">
            <v>PC</v>
          </cell>
          <cell r="D31" t="str">
            <v>ANILLO TANQUE HCB 28-30 GRIS</v>
          </cell>
          <cell r="E31" t="str">
            <v>ANILLO TANQUE</v>
          </cell>
        </row>
        <row r="32">
          <cell r="A32" t="str">
            <v>W11514272</v>
          </cell>
          <cell r="B32" t="str">
            <v>STEEL-GZ100 S220GD 0.60X917X2114</v>
          </cell>
          <cell r="C32" t="str">
            <v>PC</v>
          </cell>
          <cell r="D32" t="str">
            <v>LAM GAB BEST 917X2114 BAMESA COPA 2.0</v>
          </cell>
          <cell r="E32" t="str">
            <v>LAMINA GAB (COPA2)</v>
          </cell>
        </row>
        <row r="33">
          <cell r="A33" t="str">
            <v>W11514267</v>
          </cell>
          <cell r="B33" t="str">
            <v>STEEL-GZ100 S220GD 0.60X877X2114</v>
          </cell>
          <cell r="C33" t="str">
            <v>PC</v>
          </cell>
          <cell r="D33" t="str">
            <v>LAM GAB GOOD 877X2114 BAMESA COPA 2.0</v>
          </cell>
          <cell r="E33" t="str">
            <v>LAMINA GAB (COPA2)</v>
          </cell>
        </row>
        <row r="34">
          <cell r="A34" t="str">
            <v>W11486506</v>
          </cell>
          <cell r="B34" t="str">
            <v>STEEL-SS 430 0.45X452.0XC</v>
          </cell>
          <cell r="C34" t="str">
            <v>KG</v>
          </cell>
          <cell r="D34" t="str">
            <v>LAMINA CESTO BEST 0.45X 452 COPA 2.0 (APERAM)</v>
          </cell>
          <cell r="E34" t="str">
            <v>LAMINA CESTO (COPA 2.0)</v>
          </cell>
        </row>
        <row r="35">
          <cell r="A35" t="str">
            <v>W10677261</v>
          </cell>
          <cell r="B35" t="str">
            <v>STEEL SS 430 2B 0.45X387,0XC</v>
          </cell>
          <cell r="C35" t="str">
            <v>KG</v>
          </cell>
          <cell r="D35" t="str">
            <v>LAMINA CESTO BEST 0.45X 384 (APERAM)</v>
          </cell>
          <cell r="E35" t="str">
            <v>LAMINA CESTO (COPA 1.0)</v>
          </cell>
        </row>
        <row r="36">
          <cell r="A36" t="str">
            <v>W10677260</v>
          </cell>
          <cell r="B36" t="str">
            <v>STEEL SS 430 2B 0.45X354XC</v>
          </cell>
          <cell r="C36" t="str">
            <v>KG</v>
          </cell>
          <cell r="D36" t="str">
            <v>LAMINA CESTO GOOD 0.45X 354 (APERAM)</v>
          </cell>
          <cell r="E36" t="str">
            <v>LAMINA CESTO (COPA 1.0)</v>
          </cell>
        </row>
        <row r="37">
          <cell r="A37" t="str">
            <v>W11673742</v>
          </cell>
          <cell r="B37" t="str">
            <v>HINGE COVER</v>
          </cell>
          <cell r="C37" t="str">
            <v>PC</v>
          </cell>
          <cell r="D37" t="str">
            <v>TAPA PORON BOTERO</v>
          </cell>
          <cell r="E37" t="str">
            <v>KIT TAPA BOTERO</v>
          </cell>
        </row>
        <row r="38">
          <cell r="A38" t="str">
            <v>W11351742</v>
          </cell>
          <cell r="B38" t="str">
            <v>REDE SUPERIOR AGIPELLER MK LOW</v>
          </cell>
          <cell r="C38" t="str">
            <v>PC</v>
          </cell>
          <cell r="D38" t="str">
            <v>ARNES SUP AGP LOW</v>
          </cell>
          <cell r="E38" t="str">
            <v>ARNES SUPERIOR</v>
          </cell>
        </row>
        <row r="39">
          <cell r="A39" t="str">
            <v>W11733960</v>
          </cell>
          <cell r="B39" t="str">
            <v>LINTER FILTER  ASSY</v>
          </cell>
          <cell r="C39" t="str">
            <v>PC</v>
          </cell>
          <cell r="D39" t="str">
            <v>CJ FILTRO BOTERO 2</v>
          </cell>
          <cell r="E39" t="str">
            <v>FILTRO</v>
          </cell>
        </row>
        <row r="40">
          <cell r="A40" t="str">
            <v>W11740236</v>
          </cell>
          <cell r="B40" t="str">
            <v>OVERLAY W/O PETS CYCLE, KNOB</v>
          </cell>
          <cell r="C40" t="str">
            <v>PC</v>
          </cell>
          <cell r="D40" t="str">
            <v>PANEL DECORATIVO BOTERO 2.0</v>
          </cell>
          <cell r="E40" t="str">
            <v>PANEL DECORATIVO</v>
          </cell>
        </row>
        <row r="41">
          <cell r="A41" t="str">
            <v>W11745884</v>
          </cell>
          <cell r="B41" t="str">
            <v>CTRL-MEGA UI 2 ENCODER, BOTERO</v>
          </cell>
          <cell r="C41" t="str">
            <v>PC</v>
          </cell>
          <cell r="D41" t="str">
            <v>TARJETA+ENCODER BOTERO 2.0</v>
          </cell>
          <cell r="E41" t="str">
            <v>TARJETA ELECTRONICA</v>
          </cell>
        </row>
        <row r="42">
          <cell r="A42" t="str">
            <v>W11748855</v>
          </cell>
          <cell r="B42" t="str">
            <v>Etiqueta de capacidad, 20 kg</v>
          </cell>
          <cell r="C42" t="str">
            <v>PC</v>
          </cell>
          <cell r="D42" t="str">
            <v>ETIQUETA DE CAPACIDAD 20kg BOTERO 2.0</v>
          </cell>
          <cell r="E42" t="str">
            <v>ETIQUETA CAPACIDAD</v>
          </cell>
        </row>
        <row r="43">
          <cell r="A43" t="str">
            <v>W11750319</v>
          </cell>
          <cell r="B43" t="str">
            <v>TOP REAR COVER BLACK</v>
          </cell>
          <cell r="C43" t="str">
            <v>PC</v>
          </cell>
          <cell r="D43" t="str">
            <v>TAPA TRASERA TF NEGRA BOTERO 2.0</v>
          </cell>
          <cell r="E43" t="str">
            <v>TAPA TRASERA TF</v>
          </cell>
        </row>
        <row r="44">
          <cell r="A44" t="str">
            <v>W11755368</v>
          </cell>
          <cell r="B44" t="str">
            <v>OVERLAY PETS AGITATOR KNOB</v>
          </cell>
          <cell r="C44" t="str">
            <v>PC</v>
          </cell>
          <cell r="D44" t="str">
            <v>PANEL DECORATIVO PET BOTERO 2.0</v>
          </cell>
          <cell r="E44" t="str">
            <v>PANEL DECORATIVO</v>
          </cell>
        </row>
        <row r="45">
          <cell r="A45" t="str">
            <v>W11758441</v>
          </cell>
          <cell r="B45" t="str">
            <v>ENERGY EFFICIENCY WHP COL 20 KG</v>
          </cell>
          <cell r="C45" t="str">
            <v>PC</v>
          </cell>
          <cell r="D45" t="str">
            <v>ETIQUETA ENERGIA (WW20WTA/20WNA) BOTERO 2.0</v>
          </cell>
          <cell r="E45" t="str">
            <v>ETIQUETAS ENERGIA (BOTERO)</v>
          </cell>
        </row>
        <row r="46">
          <cell r="A46" t="str">
            <v>W11758565</v>
          </cell>
          <cell r="B46" t="str">
            <v>ENERGY EFFICIENCY WHP COL 20 KG IMP</v>
          </cell>
          <cell r="C46" t="str">
            <v>PC</v>
          </cell>
          <cell r="D46" t="str">
            <v>ETIQUETA ENERGIA 220 (WW20NN)</v>
          </cell>
          <cell r="E46" t="str">
            <v>ETIQUETAS ENERGIA (BOTERO)</v>
          </cell>
        </row>
        <row r="47">
          <cell r="A47" t="str">
            <v>W11759080</v>
          </cell>
          <cell r="B47" t="str">
            <v>ENERGY EFFICIENCY COL 20 KG IMP BOT 2.0</v>
          </cell>
          <cell r="C47" t="str">
            <v>PC</v>
          </cell>
          <cell r="D47" t="str">
            <v>ETIQUETA ENERGIA (WW20NTB/20NBB) BOTERO 2.0</v>
          </cell>
          <cell r="E47" t="str">
            <v>ETIQUETAS ENERGIA (BOTERO)</v>
          </cell>
        </row>
        <row r="48">
          <cell r="A48" t="str">
            <v>W11759082</v>
          </cell>
          <cell r="B48" t="str">
            <v>ENERGY EFFICIENCY COL 19 KG IMP BOT 2.0</v>
          </cell>
          <cell r="C48" t="str">
            <v>PC</v>
          </cell>
          <cell r="D48" t="str">
            <v>ETIQUETA ENERGIA (WW19NTB/19NNA) BOTERO 2.0</v>
          </cell>
          <cell r="E48" t="str">
            <v>ETIQUETAS ENERGIA (BOTERO)</v>
          </cell>
        </row>
        <row r="49">
          <cell r="A49" t="str">
            <v>W11759275</v>
          </cell>
          <cell r="B49" t="str">
            <v>ENERGY EFFICIENCY EQ 19 &amp; 20 KG IMP BOT</v>
          </cell>
          <cell r="C49" t="str">
            <v>PC</v>
          </cell>
          <cell r="D49" t="str">
            <v>ETIQUETA EFIC (WW19NTB/19NNA/20NTB/20NNA/20NBB) BOTERO 2.0</v>
          </cell>
          <cell r="E49" t="str">
            <v>ETIQUETAS EFICIENCIA ENERG (BOTERO)</v>
          </cell>
        </row>
        <row r="50">
          <cell r="A50" t="str">
            <v>W11759277</v>
          </cell>
          <cell r="B50" t="str">
            <v>ENERGY EFFICIENCY EQ 19&amp;20 KG AGI  BOT</v>
          </cell>
          <cell r="C50" t="str">
            <v>PC</v>
          </cell>
          <cell r="D50" t="str">
            <v>ETIQUETA EFIC (WW19WTA/20WTA/20WNA/19ZNA/20WSA) BOTERO 2.0</v>
          </cell>
          <cell r="E50" t="str">
            <v>ETIQUETAS EFICIENCIA ENERG (BOTERO)</v>
          </cell>
        </row>
        <row r="51">
          <cell r="A51" t="str">
            <v>W11614673</v>
          </cell>
          <cell r="B51" t="str">
            <v>POM-CELCON GC25A 968000 NAT</v>
          </cell>
          <cell r="C51" t="str">
            <v>KG</v>
          </cell>
          <cell r="D51" t="str">
            <v>POM COPOLIMERO COM 25% GC25T</v>
          </cell>
          <cell r="E51" t="str">
            <v>RESINAS_PROVEED</v>
          </cell>
        </row>
        <row r="52">
          <cell r="A52" t="str">
            <v>W11522619</v>
          </cell>
          <cell r="B52" t="str">
            <v>LOWER HARNESS GOOD/BETTER (Brascabos)</v>
          </cell>
          <cell r="C52" t="str">
            <v>PC</v>
          </cell>
          <cell r="D52" t="str">
            <v>ARNES INF GOOD (BRASCABOS) WHP/HCB</v>
          </cell>
          <cell r="E52" t="str">
            <v>ARNES INFERIOR</v>
          </cell>
        </row>
        <row r="53">
          <cell r="A53" t="str">
            <v>W11629027</v>
          </cell>
          <cell r="B53" t="str">
            <v>GLASS BLACK</v>
          </cell>
          <cell r="C53" t="str">
            <v>PC</v>
          </cell>
          <cell r="D53" t="str">
            <v>VIDRIO BOTERO 2.0</v>
          </cell>
          <cell r="E53" t="str">
            <v>VIDRIOS</v>
          </cell>
        </row>
        <row r="54">
          <cell r="A54" t="str">
            <v>W11677845</v>
          </cell>
          <cell r="B54" t="str">
            <v>GLASS SMOKED BLACK</v>
          </cell>
          <cell r="C54" t="str">
            <v>PC</v>
          </cell>
          <cell r="D54" t="str">
            <v>VIDRIO OSCURO SMOKED WHP COPA 2.0</v>
          </cell>
          <cell r="E54" t="str">
            <v>VIDRIOS</v>
          </cell>
        </row>
        <row r="55">
          <cell r="A55" t="str">
            <v>W11541521</v>
          </cell>
          <cell r="B55" t="str">
            <v>GLASS CLEAR, SM</v>
          </cell>
          <cell r="C55" t="str">
            <v>PC</v>
          </cell>
          <cell r="D55" t="str">
            <v>VIDRIO TRANSP HCB SM COPA 2.0</v>
          </cell>
          <cell r="E55" t="str">
            <v>VIDRIOS</v>
          </cell>
        </row>
        <row r="56">
          <cell r="A56" t="str">
            <v>W11502760</v>
          </cell>
          <cell r="B56" t="str">
            <v>GLASS CLEAR BLACK, S</v>
          </cell>
          <cell r="C56" t="str">
            <v>PC</v>
          </cell>
          <cell r="D56" t="str">
            <v>VIDRIO TRANSP NEGRO WHP COPA 2.0</v>
          </cell>
          <cell r="E56" t="str">
            <v>VIDRIOS</v>
          </cell>
        </row>
        <row r="57">
          <cell r="A57" t="str">
            <v>W11491997</v>
          </cell>
          <cell r="B57" t="str">
            <v>GLASS CLEAR TEMPEST,</v>
          </cell>
          <cell r="C57" t="str">
            <v>PC</v>
          </cell>
          <cell r="D57" t="str">
            <v>VIDRIO TRANSP TEMPEST WHP COPA 2.0</v>
          </cell>
          <cell r="E57" t="str">
            <v>VIDRIOS</v>
          </cell>
        </row>
        <row r="58">
          <cell r="A58" t="str">
            <v>W11548651</v>
          </cell>
          <cell r="B58" t="str">
            <v>GLASS</v>
          </cell>
          <cell r="C58" t="str">
            <v>PC</v>
          </cell>
          <cell r="D58" t="str">
            <v>VIDRIO WHP IMP ACROSS</v>
          </cell>
          <cell r="E58" t="str">
            <v>VIDRIOS</v>
          </cell>
        </row>
        <row r="59">
          <cell r="A59" t="str">
            <v>W11193830</v>
          </cell>
          <cell r="B59" t="str">
            <v>VIDRO AGIPELLER WHP</v>
          </cell>
          <cell r="C59" t="str">
            <v>PC</v>
          </cell>
          <cell r="D59" t="str">
            <v>VIDRO AGIPELLER WHP (IMPORTADO)</v>
          </cell>
          <cell r="E59" t="str">
            <v>VIDRIOS</v>
          </cell>
        </row>
        <row r="60">
          <cell r="A60" t="str">
            <v>W11347692</v>
          </cell>
          <cell r="B60" t="str">
            <v>VIDRO HCB</v>
          </cell>
          <cell r="C60" t="str">
            <v>PC</v>
          </cell>
          <cell r="D60" t="str">
            <v>VIDRO HCB (IMPORTADO) Copa 1.0</v>
          </cell>
          <cell r="E60" t="str">
            <v>VIDRIOS</v>
          </cell>
        </row>
        <row r="61">
          <cell r="A61" t="str">
            <v>W11403891</v>
          </cell>
          <cell r="B61" t="str">
            <v>PNEUMATIC SUPENSION ROD "U" SHAPED</v>
          </cell>
          <cell r="C61" t="str">
            <v>PC</v>
          </cell>
          <cell r="D61" t="str">
            <v>VARILLA SUSP BEST</v>
          </cell>
          <cell r="E61" t="str">
            <v>VARILLA SUSPENSION</v>
          </cell>
        </row>
        <row r="62">
          <cell r="A62" t="str">
            <v>W11497938</v>
          </cell>
          <cell r="B62" t="str">
            <v>PNEUMATIC SUSPENSION</v>
          </cell>
          <cell r="C62" t="str">
            <v>PC</v>
          </cell>
          <cell r="D62" t="str">
            <v>VARILLA SUSP BEST COPA 2.0</v>
          </cell>
          <cell r="E62" t="str">
            <v>VARILLA SUSPENSION</v>
          </cell>
        </row>
        <row r="63">
          <cell r="A63" t="str">
            <v>W11403890</v>
          </cell>
          <cell r="B63" t="str">
            <v>PNEUMATIC SUPENSION ROD "U" SHAPED</v>
          </cell>
          <cell r="C63" t="str">
            <v>PC</v>
          </cell>
          <cell r="D63" t="str">
            <v>VARILLA SUSP GOOD</v>
          </cell>
          <cell r="E63" t="str">
            <v>VARILLA SUSPENSION</v>
          </cell>
        </row>
        <row r="64">
          <cell r="A64" t="str">
            <v>W11109356</v>
          </cell>
          <cell r="B64" t="str">
            <v>FALSE INLET VALVE</v>
          </cell>
          <cell r="C64" t="str">
            <v>PC</v>
          </cell>
          <cell r="D64" t="str">
            <v>FALSA VALVULA</v>
          </cell>
          <cell r="E64" t="str">
            <v>VALVULAS</v>
          </cell>
        </row>
        <row r="65">
          <cell r="A65" t="str">
            <v>W11502149</v>
          </cell>
          <cell r="B65" t="str">
            <v>VALVULA 220 ROSADA COPA 2.0</v>
          </cell>
          <cell r="C65" t="str">
            <v>PC</v>
          </cell>
          <cell r="D65" t="str">
            <v>VALVULA 220V (ROSADA) COPA 2.0</v>
          </cell>
          <cell r="E65" t="str">
            <v>VALVULAS</v>
          </cell>
        </row>
        <row r="66">
          <cell r="A66" t="str">
            <v>W11502146</v>
          </cell>
          <cell r="B66" t="str">
            <v>INLET VALVE HIGH FLOW 220V COPA TRS</v>
          </cell>
          <cell r="C66" t="str">
            <v>PC</v>
          </cell>
          <cell r="D66" t="str">
            <v>VALVULA 220V (VERDE OSCURA) COPA 2.0</v>
          </cell>
          <cell r="E66" t="str">
            <v>VALVULAS</v>
          </cell>
        </row>
        <row r="67">
          <cell r="A67" t="str">
            <v>W11502148</v>
          </cell>
          <cell r="B67" t="str">
            <v>VALVULA ROJA COPA 2.0</v>
          </cell>
          <cell r="C67" t="str">
            <v>PC</v>
          </cell>
          <cell r="D67" t="str">
            <v>VALVULA DE AGUA CAL (ROJA OSC) COPA 2.0</v>
          </cell>
          <cell r="E67" t="str">
            <v>VALVULAS</v>
          </cell>
        </row>
        <row r="68">
          <cell r="A68" t="str">
            <v>W10718167</v>
          </cell>
          <cell r="B68" t="str">
            <v>VALVULA DE AGUA CALIENTE 120V 60HZ</v>
          </cell>
          <cell r="C68" t="str">
            <v>PC</v>
          </cell>
          <cell r="D68" t="str">
            <v>VALVULA DE AGUA CALIENTE (ROJA)</v>
          </cell>
          <cell r="E68" t="str">
            <v>VALVULAS</v>
          </cell>
        </row>
        <row r="69">
          <cell r="A69" t="str">
            <v>W10718173</v>
          </cell>
          <cell r="B69" t="str">
            <v>VALVULA DE AGUA CALIENTE 220V</v>
          </cell>
          <cell r="C69" t="str">
            <v>PC</v>
          </cell>
          <cell r="D69" t="str">
            <v>VALVULA DE AGUA CALIENTE 220V (ROSADA)</v>
          </cell>
          <cell r="E69" t="str">
            <v>VALVULAS</v>
          </cell>
        </row>
        <row r="70">
          <cell r="A70" t="str">
            <v>W11502145</v>
          </cell>
          <cell r="B70" t="str">
            <v>INLET VALVE HIGH FLOW 127V</v>
          </cell>
          <cell r="C70" t="str">
            <v>PC</v>
          </cell>
          <cell r="D70" t="str">
            <v>VALVULA DE AGUA FRIA (AZUL OSC) COPA 2.0</v>
          </cell>
          <cell r="E70" t="str">
            <v>VALVULAS</v>
          </cell>
        </row>
        <row r="71">
          <cell r="A71" t="str">
            <v>W10718177</v>
          </cell>
          <cell r="B71" t="str">
            <v>VALVULA DE AGUA FRIA 127V</v>
          </cell>
          <cell r="C71" t="str">
            <v>PC</v>
          </cell>
          <cell r="D71" t="str">
            <v>VALVULA DE AGUA FRIA (AZUL)</v>
          </cell>
          <cell r="E71" t="str">
            <v>VALVULAS</v>
          </cell>
        </row>
        <row r="72">
          <cell r="A72" t="str">
            <v>W11344664</v>
          </cell>
          <cell r="B72" t="str">
            <v>INLET VALVE HIGH FLOW 127V, NEU</v>
          </cell>
          <cell r="C72" t="str">
            <v>PC</v>
          </cell>
          <cell r="D72" t="str">
            <v>VALVULA DE AGUA FRIA 127V BRASTEMP</v>
          </cell>
          <cell r="E72" t="str">
            <v>VALVULAS</v>
          </cell>
        </row>
        <row r="73">
          <cell r="A73" t="str">
            <v>W10718178</v>
          </cell>
          <cell r="B73" t="str">
            <v>VALVULA DE AGUA FRIA 220V</v>
          </cell>
          <cell r="C73" t="str">
            <v>PC</v>
          </cell>
          <cell r="D73" t="str">
            <v>VALVULA DE AGUA FRIA 220 V (VERDE)</v>
          </cell>
          <cell r="E73" t="str">
            <v>VALVULAS</v>
          </cell>
        </row>
        <row r="74">
          <cell r="A74" t="str">
            <v>W11161446</v>
          </cell>
          <cell r="B74" t="str">
            <v>IU COVER IMPELLER CON REMOLIDO</v>
          </cell>
          <cell r="C74" t="str">
            <v>PC</v>
          </cell>
          <cell r="D74" t="str">
            <v>UI COVER IMP COP 1.0</v>
          </cell>
          <cell r="E74" t="str">
            <v>UI COVER</v>
          </cell>
        </row>
        <row r="75">
          <cell r="A75" t="str">
            <v>W11125956</v>
          </cell>
          <cell r="B75" t="str">
            <v>UI COVER AGIPELLER</v>
          </cell>
          <cell r="C75" t="str">
            <v>PC</v>
          </cell>
          <cell r="D75" t="str">
            <v>UI COVER AGIPELLER</v>
          </cell>
          <cell r="E75" t="str">
            <v>UI COVER</v>
          </cell>
        </row>
        <row r="76">
          <cell r="A76" t="str">
            <v>W10917031</v>
          </cell>
          <cell r="B76" t="str">
            <v>UI COVER AGIPELLER</v>
          </cell>
          <cell r="C76" t="str">
            <v>PC</v>
          </cell>
          <cell r="D76" t="str">
            <v>UI COVER AGP</v>
          </cell>
          <cell r="E76" t="str">
            <v>UI COVER</v>
          </cell>
        </row>
        <row r="77">
          <cell r="A77" t="str">
            <v>326066095</v>
          </cell>
          <cell r="B77" t="str">
            <v>TUERCA CONSOLA</v>
          </cell>
          <cell r="C77" t="str">
            <v>PC</v>
          </cell>
          <cell r="D77" t="str">
            <v>TUERCA CONSOLA</v>
          </cell>
          <cell r="E77" t="str">
            <v>TUERCAS CONSOLA</v>
          </cell>
        </row>
        <row r="78">
          <cell r="A78" t="str">
            <v>W10548856</v>
          </cell>
          <cell r="B78" t="str">
            <v>TUERCA POLEA MOTOR</v>
          </cell>
          <cell r="C78" t="str">
            <v>PC</v>
          </cell>
          <cell r="D78" t="str">
            <v>TUERCA MOTOR</v>
          </cell>
          <cell r="E78" t="str">
            <v>TUERCAS</v>
          </cell>
        </row>
        <row r="79">
          <cell r="A79" t="str">
            <v>W10661343</v>
          </cell>
          <cell r="B79" t="str">
            <v>TRAVESAÑO INFERIOR</v>
          </cell>
          <cell r="C79" t="str">
            <v>PC</v>
          </cell>
          <cell r="D79" t="str">
            <v>TRAVESAÑO METALICO INFERIOR</v>
          </cell>
          <cell r="E79" t="str">
            <v>TRAVESAÑOS</v>
          </cell>
        </row>
        <row r="80">
          <cell r="A80" t="str">
            <v>W10638603</v>
          </cell>
          <cell r="B80" t="str">
            <v>TRAVESAÑO SUPERIOR</v>
          </cell>
          <cell r="C80" t="str">
            <v>PC</v>
          </cell>
          <cell r="D80" t="str">
            <v>TRAVESAÑO METALICO SUPERIOR</v>
          </cell>
          <cell r="E80" t="str">
            <v>TRAVESAÑOS</v>
          </cell>
        </row>
        <row r="81">
          <cell r="A81" t="str">
            <v>W10883724</v>
          </cell>
          <cell r="B81" t="str">
            <v>TORRE CIRCULACION C/F BEST HCB+SEAL</v>
          </cell>
          <cell r="C81" t="str">
            <v>PC</v>
          </cell>
          <cell r="D81" t="str">
            <v>TORRE DE CIRCULACION C/F BEST HCB</v>
          </cell>
          <cell r="E81" t="str">
            <v>TORRES DE CIRCULACIÓN</v>
          </cell>
        </row>
        <row r="82">
          <cell r="A82" t="str">
            <v>W10883723</v>
          </cell>
          <cell r="B82" t="str">
            <v>TORRE C/ FILTRO BEST WHP + VEDAÇÃO</v>
          </cell>
          <cell r="C82" t="str">
            <v>PC</v>
          </cell>
          <cell r="D82" t="str">
            <v>TORRE DE CIRCULACIÓN C/F BEST WHP</v>
          </cell>
          <cell r="E82" t="str">
            <v>TORRES DE CIRCULACIÓN</v>
          </cell>
        </row>
        <row r="83">
          <cell r="A83" t="str">
            <v>W10883722</v>
          </cell>
          <cell r="B83" t="str">
            <v>TORRE CIRCULACION C/F GOOD HCB+SEAL</v>
          </cell>
          <cell r="C83" t="str">
            <v>PC</v>
          </cell>
          <cell r="D83" t="str">
            <v>TORRE DE CIRCULACION C/F GOOD HCB</v>
          </cell>
          <cell r="E83" t="str">
            <v>TORRES DE CIRCULACIÓN</v>
          </cell>
        </row>
        <row r="84">
          <cell r="A84" t="str">
            <v>W10883720</v>
          </cell>
          <cell r="B84" t="str">
            <v>TORRE CIRCULACION C/F GOOD WHP+SEAL</v>
          </cell>
          <cell r="C84" t="str">
            <v>PC</v>
          </cell>
          <cell r="D84" t="str">
            <v>TORRE DE CIRCULACION C/F GOOD WHP</v>
          </cell>
          <cell r="E84" t="str">
            <v>TORRES DE CIRCULACIÓN</v>
          </cell>
        </row>
        <row r="85">
          <cell r="A85" t="str">
            <v>W10883730</v>
          </cell>
          <cell r="B85" t="str">
            <v>TORRE CIRCULACION S/F BEST HCB+SEAL</v>
          </cell>
          <cell r="C85" t="str">
            <v>PC</v>
          </cell>
          <cell r="D85" t="str">
            <v>TORRE DE CIRCULACION S/F BEST HCB</v>
          </cell>
          <cell r="E85" t="str">
            <v>TORRES DE CIRCULACIÓN</v>
          </cell>
        </row>
        <row r="86">
          <cell r="A86" t="str">
            <v>W11210491</v>
          </cell>
          <cell r="B86" t="str">
            <v>TORRE CIRCULACIÓN S/F BEST S/R WHP</v>
          </cell>
          <cell r="C86" t="str">
            <v>PC</v>
          </cell>
          <cell r="D86" t="str">
            <v>TORRE DE CIRCULACIÓN S/F BEST WHP</v>
          </cell>
          <cell r="E86" t="str">
            <v>TORRES DE CIRCULACIÓN</v>
          </cell>
        </row>
        <row r="87">
          <cell r="A87" t="str">
            <v>W10883727</v>
          </cell>
          <cell r="B87" t="str">
            <v>TORRE CIRCULACION S/F GOOD HCB+SEAL</v>
          </cell>
          <cell r="C87" t="str">
            <v>PC</v>
          </cell>
          <cell r="D87" t="str">
            <v>TORRE DE CIRCULACION S/F GOOD HCB</v>
          </cell>
          <cell r="E87" t="str">
            <v>TORRES DE CIRCULACIÓN</v>
          </cell>
        </row>
        <row r="88">
          <cell r="A88" t="str">
            <v>W11210490</v>
          </cell>
          <cell r="B88" t="str">
            <v>TORRE CIRCULACIÓN S/F GOOD S/R WHP</v>
          </cell>
          <cell r="C88" t="str">
            <v>PC</v>
          </cell>
          <cell r="D88" t="str">
            <v>TORRE DE CIRCULACIÓN S/F GOOD WHP</v>
          </cell>
          <cell r="E88" t="str">
            <v>TORRES DE CIRCULACIÓN</v>
          </cell>
        </row>
        <row r="89">
          <cell r="A89" t="str">
            <v>W10888142</v>
          </cell>
          <cell r="B89" t="str">
            <v>PARAF SEXT HI-LO S/FEN C/FLA 4,8X11</v>
          </cell>
          <cell r="C89" t="str">
            <v>PC</v>
          </cell>
          <cell r="D89" t="str">
            <v>TORNILLO (ACTUADOR-CONSOLA)</v>
          </cell>
          <cell r="E89" t="str">
            <v>TORNILLOS</v>
          </cell>
        </row>
        <row r="90">
          <cell r="A90" t="str">
            <v>W10850803</v>
          </cell>
          <cell r="B90" t="str">
            <v>PARAF SEXT METR S/FEN C/FLA 4,8X13</v>
          </cell>
          <cell r="C90" t="str">
            <v>PC</v>
          </cell>
          <cell r="D90" t="str">
            <v>TORNILLO (CJ LEVAS_PROTECT_ABRAZ CAPAC)</v>
          </cell>
          <cell r="E90" t="str">
            <v>TORNILLOS</v>
          </cell>
        </row>
        <row r="91">
          <cell r="A91" t="str">
            <v>W10750540</v>
          </cell>
          <cell r="B91" t="str">
            <v>CREW HEX HEAD 8-16X20</v>
          </cell>
          <cell r="C91" t="str">
            <v>PC</v>
          </cell>
          <cell r="D91" t="str">
            <v>TORNILLO (DRIVE BLOCK)</v>
          </cell>
          <cell r="E91" t="str">
            <v>TORNILLOS</v>
          </cell>
        </row>
        <row r="92">
          <cell r="A92" t="str">
            <v>W10888140</v>
          </cell>
          <cell r="B92" t="str">
            <v>SIPHON HOUSING SCREW</v>
          </cell>
          <cell r="C92" t="str">
            <v>PC</v>
          </cell>
          <cell r="D92" t="str">
            <v>TORNILLO (ELECTROBOMBA)</v>
          </cell>
          <cell r="E92" t="str">
            <v>TORNILLOS</v>
          </cell>
        </row>
        <row r="93">
          <cell r="A93" t="str">
            <v>W10888143</v>
          </cell>
          <cell r="B93" t="str">
            <v>SCREW HEX FLA HI-LO 3.9 X 18 INOX</v>
          </cell>
          <cell r="C93" t="str">
            <v>PC</v>
          </cell>
          <cell r="D93" t="str">
            <v>TORNILLO (FILTRO_DRENAJE)</v>
          </cell>
          <cell r="E93" t="str">
            <v>TORNILLOS</v>
          </cell>
        </row>
        <row r="94">
          <cell r="A94" t="str">
            <v>W10715814</v>
          </cell>
          <cell r="B94" t="str">
            <v>TORNILLO AGITADOR HLD - CAB. HEXA. M6X29</v>
          </cell>
          <cell r="C94" t="str">
            <v>PC</v>
          </cell>
          <cell r="D94" t="str">
            <v>TORNILLO (FONDO CESTO_ROSADO)</v>
          </cell>
          <cell r="E94" t="str">
            <v>TORNILLOS</v>
          </cell>
        </row>
        <row r="95">
          <cell r="A95" t="str">
            <v>W10892220</v>
          </cell>
          <cell r="B95" t="str">
            <v>TORNILLO</v>
          </cell>
          <cell r="C95" t="str">
            <v>PC</v>
          </cell>
          <cell r="D95" t="str">
            <v>TORNILLO (MICRO_LLAVE)</v>
          </cell>
          <cell r="E95" t="str">
            <v>TORNILLOS</v>
          </cell>
        </row>
        <row r="96">
          <cell r="A96" t="str">
            <v>W10892218</v>
          </cell>
          <cell r="B96" t="str">
            <v>TORNILLO</v>
          </cell>
          <cell r="C96" t="str">
            <v>PC</v>
          </cell>
          <cell r="D96" t="str">
            <v>TORNILLO (MOTOR)</v>
          </cell>
          <cell r="E96" t="str">
            <v>TORNILLOS</v>
          </cell>
        </row>
        <row r="97">
          <cell r="A97" t="str">
            <v>W10260856</v>
          </cell>
          <cell r="B97" t="str">
            <v>TORNILLO CAB. HEX FLANGE AP 3 X 7</v>
          </cell>
          <cell r="C97" t="str">
            <v>PC</v>
          </cell>
          <cell r="D97" t="str">
            <v>TORNILLO (PALANCA MICRO_TARJETA AGP)</v>
          </cell>
          <cell r="E97" t="str">
            <v>TORNILLOS</v>
          </cell>
        </row>
        <row r="98">
          <cell r="A98" t="str">
            <v>W10885565</v>
          </cell>
          <cell r="B98" t="str">
            <v>SCREW HEX FLA HI-LO 3.9 X 18</v>
          </cell>
          <cell r="C98" t="str">
            <v>PC</v>
          </cell>
          <cell r="D98" t="str">
            <v>TORNILLO (PROTECTOR POLEA)</v>
          </cell>
          <cell r="E98" t="str">
            <v>TORNILLOS</v>
          </cell>
        </row>
        <row r="99">
          <cell r="A99" t="str">
            <v>000028290</v>
          </cell>
          <cell r="B99" t="str">
            <v>TORNILLO</v>
          </cell>
          <cell r="C99" t="str">
            <v>PC</v>
          </cell>
          <cell r="D99" t="str">
            <v>TORNILLO (SOPORTE MOTOR)</v>
          </cell>
          <cell r="E99" t="str">
            <v>TORNILLOS</v>
          </cell>
        </row>
        <row r="100">
          <cell r="A100" t="str">
            <v>W10863528</v>
          </cell>
          <cell r="B100" t="str">
            <v>PARAF SEXT HI-LO S/FEN C/FLA 7X30</v>
          </cell>
          <cell r="C100" t="str">
            <v>PC</v>
          </cell>
          <cell r="D100" t="str">
            <v>TORNILLO (SOPORTE TANQUE)</v>
          </cell>
          <cell r="E100" t="str">
            <v>TORNILLOS</v>
          </cell>
        </row>
        <row r="101">
          <cell r="A101" t="str">
            <v>W10851242</v>
          </cell>
          <cell r="B101" t="str">
            <v>PARAFUSO AACS M8 X 9,5 ROHS</v>
          </cell>
          <cell r="C101" t="str">
            <v>PC</v>
          </cell>
          <cell r="D101" t="str">
            <v>TORNILLO (TAPA TRASERA)</v>
          </cell>
          <cell r="E101" t="str">
            <v>TORNILLOS</v>
          </cell>
        </row>
        <row r="102">
          <cell r="A102" t="str">
            <v>W10772018</v>
          </cell>
          <cell r="B102" t="str">
            <v>TORNILLO BASE BOMBA</v>
          </cell>
          <cell r="C102" t="str">
            <v>PC</v>
          </cell>
          <cell r="D102" t="str">
            <v>TORNILLO (TORRE GRANDE)</v>
          </cell>
          <cell r="E102" t="str">
            <v>TORNILLOS</v>
          </cell>
        </row>
        <row r="103">
          <cell r="A103" t="str">
            <v>W10772017</v>
          </cell>
          <cell r="B103" t="str">
            <v>TORNILLO LATERAL DE BOMBA</v>
          </cell>
          <cell r="C103" t="str">
            <v>PC</v>
          </cell>
          <cell r="D103" t="str">
            <v>TORNILLO (TORRE PEQUEÑO)</v>
          </cell>
          <cell r="E103" t="str">
            <v>TORNILLOS</v>
          </cell>
        </row>
        <row r="104">
          <cell r="A104" t="str">
            <v>W10862937</v>
          </cell>
          <cell r="B104" t="str">
            <v>PARAF SEXT HI-LO S/FEN C/FLA 3,9X14</v>
          </cell>
          <cell r="C104" t="str">
            <v>PC</v>
          </cell>
          <cell r="D104" t="str">
            <v>TORNILLO (VARIOS PUESTOS)</v>
          </cell>
          <cell r="E104" t="str">
            <v>TORNILLOS</v>
          </cell>
        </row>
        <row r="105">
          <cell r="A105" t="str">
            <v>W10335914</v>
          </cell>
          <cell r="B105" t="str">
            <v>HEX SERR FLAN HEAD METR SCREW 6X39</v>
          </cell>
          <cell r="C105" t="str">
            <v>PC</v>
          </cell>
          <cell r="D105" t="str">
            <v>TORNILLO 6X39 (wedge block) COPA 2.0</v>
          </cell>
          <cell r="E105" t="str">
            <v>TORNILLOS</v>
          </cell>
        </row>
        <row r="106">
          <cell r="A106" t="str">
            <v>326041720</v>
          </cell>
          <cell r="B106" t="str">
            <v>TORNILLO HI-LOW</v>
          </cell>
          <cell r="C106" t="str">
            <v>PC</v>
          </cell>
          <cell r="D106" t="str">
            <v>TORNILLO DAMPER 3,9X12 COPA 2.0</v>
          </cell>
          <cell r="E106" t="str">
            <v>TORNILLOS</v>
          </cell>
        </row>
        <row r="107">
          <cell r="A107" t="str">
            <v>W10892221</v>
          </cell>
          <cell r="B107" t="str">
            <v>PARAF SEXT M5X11 FLANGE LISA ZINCADO</v>
          </cell>
          <cell r="C107" t="str">
            <v>PC</v>
          </cell>
          <cell r="D107" t="str">
            <v>TORNILLO M5X11 (LANGE LISA ZINCADO)</v>
          </cell>
          <cell r="E107" t="str">
            <v>TORNILLOS</v>
          </cell>
        </row>
        <row r="108">
          <cell r="A108" t="str">
            <v>W10351766</v>
          </cell>
          <cell r="B108" t="str">
            <v>M6-1.0 X 20 CHA S/R S.BLOQ. INOX 304</v>
          </cell>
          <cell r="C108" t="str">
            <v>PC</v>
          </cell>
          <cell r="D108" t="str">
            <v>TORNILLO M6 X 20 DE CUÑA COPA 2.0</v>
          </cell>
          <cell r="E108" t="str">
            <v>TORNILLOS</v>
          </cell>
        </row>
        <row r="109">
          <cell r="A109" t="str">
            <v>326012084</v>
          </cell>
          <cell r="B109" t="str">
            <v>3-1.4 X 6 PN LR SCREW</v>
          </cell>
          <cell r="C109" t="str">
            <v>PC</v>
          </cell>
          <cell r="D109" t="str">
            <v>TORNILLO TARJETA -PLACA COPA 2.0</v>
          </cell>
          <cell r="E109" t="str">
            <v>TORNILLOS</v>
          </cell>
        </row>
        <row r="110">
          <cell r="A110" t="str">
            <v>W10845136</v>
          </cell>
          <cell r="B110" t="str">
            <v>TIRANTE</v>
          </cell>
          <cell r="C110" t="str">
            <v>PC</v>
          </cell>
          <cell r="D110" t="str">
            <v>TIRANTE</v>
          </cell>
          <cell r="E110" t="str">
            <v>TIRANTES</v>
          </cell>
        </row>
        <row r="111">
          <cell r="A111" t="str">
            <v>W11176259</v>
          </cell>
          <cell r="B111" t="str">
            <v>ACAMAR HIGH - COPACABANA</v>
          </cell>
          <cell r="C111" t="str">
            <v>PC</v>
          </cell>
          <cell r="D111" t="str">
            <v>TARJETA (NEGRA) ACAMAR HIGH</v>
          </cell>
          <cell r="E111" t="str">
            <v>TARJETA ELECTRONICA</v>
          </cell>
        </row>
        <row r="112">
          <cell r="A112" t="str">
            <v>W11176258</v>
          </cell>
          <cell r="B112" t="str">
            <v>ECAD-MEGA UI</v>
          </cell>
          <cell r="C112" t="str">
            <v>PC</v>
          </cell>
          <cell r="D112" t="str">
            <v>TARJETA AGIPELLER (BL) WHP</v>
          </cell>
          <cell r="E112" t="str">
            <v>TARJETA ELECTRONICA</v>
          </cell>
        </row>
        <row r="113">
          <cell r="A113" t="str">
            <v>W11491760</v>
          </cell>
          <cell r="B113" t="str">
            <v>PCBA, MEGA UI 2, COPA 2 LOW</v>
          </cell>
          <cell r="C113" t="str">
            <v>PC</v>
          </cell>
          <cell r="D113" t="str">
            <v>TARJETA AZUL HCB (LOW) COPA 2.0</v>
          </cell>
          <cell r="E113" t="str">
            <v>TARJETA ELECTRONICA</v>
          </cell>
        </row>
        <row r="114">
          <cell r="A114" t="str">
            <v>W11491759</v>
          </cell>
          <cell r="B114" t="str">
            <v>PCBA, MEGA UI 2, COPA 2 HIGH</v>
          </cell>
          <cell r="C114" t="str">
            <v>PC</v>
          </cell>
          <cell r="D114" t="str">
            <v>TARJETA AZUL HCB/WHP (HIGH) COPA 2.0</v>
          </cell>
          <cell r="E114" t="str">
            <v>TARJETA ELECTRONICA</v>
          </cell>
        </row>
        <row r="115">
          <cell r="A115" t="str">
            <v>W11697752</v>
          </cell>
          <cell r="B115" t="str">
            <v>HMI PROSTAR BR SW</v>
          </cell>
          <cell r="C115" t="str">
            <v>PC</v>
          </cell>
          <cell r="D115" t="str">
            <v>TARJETA DE CONT WHP BRASIL (PROSTAR)</v>
          </cell>
          <cell r="E115" t="str">
            <v>TARJETA ELECTRONICA</v>
          </cell>
        </row>
        <row r="116">
          <cell r="A116" t="str">
            <v>W11134060</v>
          </cell>
          <cell r="B116" t="str">
            <v>CJ UI IMPELLER VERDE HACEB</v>
          </cell>
          <cell r="C116" t="str">
            <v>PC</v>
          </cell>
          <cell r="D116" t="str">
            <v>TARJETA DE CONTROL HACEB IMP</v>
          </cell>
          <cell r="E116" t="str">
            <v>TARJETA ELECTRONICA</v>
          </cell>
        </row>
        <row r="117">
          <cell r="A117" t="str">
            <v>W11491763</v>
          </cell>
          <cell r="B117" t="str">
            <v>PCB ASSY - PROSTAR C</v>
          </cell>
          <cell r="C117" t="str">
            <v>PC</v>
          </cell>
          <cell r="D117" t="str">
            <v>TARJETA DE CONTROL HCB (PROSTAR) COPA 2.0</v>
          </cell>
          <cell r="E117" t="str">
            <v>TARJETA ELECTRONICA</v>
          </cell>
        </row>
        <row r="118">
          <cell r="A118" t="str">
            <v>W10710606</v>
          </cell>
          <cell r="B118" t="str">
            <v>TARJETA DE CONTROL HCB AGIPELLER</v>
          </cell>
          <cell r="C118" t="str">
            <v>UN</v>
          </cell>
          <cell r="D118" t="str">
            <v>TARJETA DE CONTROL HCB AGP</v>
          </cell>
          <cell r="E118" t="str">
            <v>TARJETA ELECTRONICA</v>
          </cell>
        </row>
        <row r="119">
          <cell r="A119" t="str">
            <v>W11125005</v>
          </cell>
          <cell r="B119" t="str">
            <v>LUMINA LOW WHP</v>
          </cell>
          <cell r="C119" t="str">
            <v>PC</v>
          </cell>
          <cell r="D119" t="str">
            <v>TARJETA DE CONTROL WH IMP (LUMINA LOW)</v>
          </cell>
          <cell r="E119" t="str">
            <v>TARJETA ELECTRONICA</v>
          </cell>
        </row>
        <row r="120">
          <cell r="A120" t="str">
            <v>W11491761</v>
          </cell>
          <cell r="B120" t="str">
            <v>PCB ASSY - PROSTAR C</v>
          </cell>
          <cell r="C120" t="str">
            <v>PC</v>
          </cell>
          <cell r="D120" t="str">
            <v>TARJETA DE CONTROL WHP (PROSTAR) COPA 2.0</v>
          </cell>
          <cell r="E120" t="str">
            <v>TARJETA ELECTRONICA</v>
          </cell>
        </row>
        <row r="121">
          <cell r="A121" t="str">
            <v>W11543440</v>
          </cell>
          <cell r="B121" t="str">
            <v>CTRL-MEGA UI2 ENCODER, EDGE L26</v>
          </cell>
          <cell r="C121" t="str">
            <v>PC</v>
          </cell>
          <cell r="D121" t="str">
            <v>TARJETA ENCODER EDGE L26 BOTERO</v>
          </cell>
          <cell r="E121" t="str">
            <v>TARJETA ELECTRONICA</v>
          </cell>
        </row>
        <row r="122">
          <cell r="A122" t="str">
            <v>W11447785</v>
          </cell>
          <cell r="B122" t="str">
            <v>MEGA LOW COPA QUASAR</v>
          </cell>
          <cell r="C122" t="str">
            <v>PC</v>
          </cell>
          <cell r="D122" t="str">
            <v>TARJETA VERDE (ROSADA) WHP/HCB</v>
          </cell>
          <cell r="E122" t="str">
            <v>TARJETA ELECTRONICA</v>
          </cell>
        </row>
        <row r="123">
          <cell r="A123" t="str">
            <v>W10826066</v>
          </cell>
          <cell r="B123" t="str">
            <v>TAPA VALVULA 110V</v>
          </cell>
          <cell r="C123" t="str">
            <v>PC</v>
          </cell>
          <cell r="D123" t="str">
            <v>TAPA VALVULA 110V ROJA</v>
          </cell>
          <cell r="E123" t="str">
            <v>TAPA VALVULA</v>
          </cell>
        </row>
        <row r="124">
          <cell r="A124" t="str">
            <v>W10840431</v>
          </cell>
          <cell r="B124" t="str">
            <v>TAPA VALVULA 220V</v>
          </cell>
          <cell r="C124" t="str">
            <v>PC</v>
          </cell>
          <cell r="D124" t="str">
            <v>TAPA VALVULA 220V ROSADA</v>
          </cell>
          <cell r="E124" t="str">
            <v>TAPA VALVULA</v>
          </cell>
        </row>
        <row r="125">
          <cell r="A125" t="str">
            <v>W11501420</v>
          </cell>
          <cell r="B125" t="str">
            <v>REAR COVER GREY</v>
          </cell>
          <cell r="C125" t="str">
            <v>PC</v>
          </cell>
          <cell r="D125" t="str">
            <v>TAPA TRASERA TF HCB DOVE GRAY COPA 2.0</v>
          </cell>
          <cell r="E125" t="str">
            <v>TAPA TRASERA TF</v>
          </cell>
        </row>
        <row r="126">
          <cell r="A126" t="str">
            <v>W11563286</v>
          </cell>
          <cell r="B126" t="str">
            <v>TAPA TRASERA NEGRA</v>
          </cell>
          <cell r="C126" t="str">
            <v>PC</v>
          </cell>
          <cell r="D126" t="str">
            <v>TAPA TRASERA TF HCB NEGRA SIN SERIG COPA 2.0</v>
          </cell>
          <cell r="E126" t="str">
            <v>TAPA TRASERA TF</v>
          </cell>
        </row>
        <row r="127">
          <cell r="A127" t="str">
            <v>W11501571</v>
          </cell>
          <cell r="B127" t="str">
            <v>REAR COVER BLACK</v>
          </cell>
          <cell r="C127" t="str">
            <v>PC</v>
          </cell>
          <cell r="D127" t="str">
            <v>TAPA TRASERA TF WHP NEGRA COPA 2.0</v>
          </cell>
          <cell r="E127" t="str">
            <v>TAPA TRASERA TF</v>
          </cell>
        </row>
        <row r="128">
          <cell r="A128" t="str">
            <v>W11501568</v>
          </cell>
          <cell r="B128" t="str">
            <v>REAR COVER TEMPEST</v>
          </cell>
          <cell r="C128" t="str">
            <v>PC</v>
          </cell>
          <cell r="D128" t="str">
            <v>TAPA TRASERA TF WHP TEMPEST COPA 2.0</v>
          </cell>
          <cell r="E128" t="str">
            <v>TAPA TRASERA TF</v>
          </cell>
        </row>
        <row r="129">
          <cell r="A129" t="str">
            <v>W11548046</v>
          </cell>
          <cell r="B129" t="str">
            <v>Tampo Traseiro Poliondas Best Blanco</v>
          </cell>
          <cell r="C129" t="str">
            <v>PC</v>
          </cell>
          <cell r="D129" t="str">
            <v>TAPA TRAS POLIONDA BEST BL</v>
          </cell>
          <cell r="E129" t="str">
            <v>TAPA TRASERA GB</v>
          </cell>
        </row>
        <row r="130">
          <cell r="A130" t="str">
            <v>W11580132</v>
          </cell>
          <cell r="B130" t="str">
            <v>BS, BEST, GRAY ST, GRAY</v>
          </cell>
          <cell r="C130" t="str">
            <v>PC</v>
          </cell>
          <cell r="D130" t="str">
            <v>TAPA TRAS POLIONDA BEST GRAY</v>
          </cell>
          <cell r="E130" t="str">
            <v>TAPA TRASERA GB</v>
          </cell>
        </row>
        <row r="131">
          <cell r="A131" t="str">
            <v>W11548049</v>
          </cell>
          <cell r="B131" t="str">
            <v>Tampo Traseiro Poliondas Good Blanco</v>
          </cell>
          <cell r="C131" t="str">
            <v>PC</v>
          </cell>
          <cell r="D131" t="str">
            <v>TAPA TRAS POLIONDA GOOD BL</v>
          </cell>
          <cell r="E131" t="str">
            <v>TAPA TRASERA GB</v>
          </cell>
        </row>
        <row r="132">
          <cell r="A132" t="str">
            <v>W11580133</v>
          </cell>
          <cell r="B132" t="str">
            <v>BACK COVER WITH RIBS, BEST, GRAY</v>
          </cell>
          <cell r="C132" t="str">
            <v>PC</v>
          </cell>
          <cell r="D132" t="str">
            <v>TAPA TRAS POLIONDA GOOD GRAY</v>
          </cell>
          <cell r="E132" t="str">
            <v>TAPA TRASERA GB</v>
          </cell>
        </row>
        <row r="133">
          <cell r="A133" t="str">
            <v>W10661829</v>
          </cell>
          <cell r="B133" t="str">
            <v>TAPA PLACA POTENCIA</v>
          </cell>
          <cell r="C133" t="str">
            <v>PC</v>
          </cell>
          <cell r="D133" t="str">
            <v>TAPA PLACA POTENCIA</v>
          </cell>
          <cell r="E133" t="str">
            <v>TAPA PLACA POTENCIA</v>
          </cell>
        </row>
        <row r="134">
          <cell r="A134" t="str">
            <v>W11500972</v>
          </cell>
          <cell r="B134" t="str">
            <v>UPPER FRAME,WHITE</v>
          </cell>
          <cell r="C134" t="str">
            <v>PC</v>
          </cell>
          <cell r="D134" t="str">
            <v>TAPA MOVIL SUP HCB BLANCO COPA 2.0 (FRAME)</v>
          </cell>
          <cell r="E134" t="str">
            <v>TAPA MOVIL SUPERIOR</v>
          </cell>
        </row>
        <row r="135">
          <cell r="A135" t="str">
            <v>W11642310</v>
          </cell>
          <cell r="B135" t="str">
            <v>Frame superior Coal Haceb</v>
          </cell>
          <cell r="C135" t="str">
            <v>PC</v>
          </cell>
          <cell r="D135" t="str">
            <v>TAPA MOVIL SUP HCB COAL COPA 2.0 (FRAME)</v>
          </cell>
          <cell r="E135" t="str">
            <v>TAPA MOVIL SUPERIOR</v>
          </cell>
        </row>
        <row r="136">
          <cell r="A136" t="str">
            <v>W11500968</v>
          </cell>
          <cell r="B136" t="str">
            <v>UPPER FRAME,BLACK</v>
          </cell>
          <cell r="C136" t="str">
            <v>PC</v>
          </cell>
          <cell r="D136" t="str">
            <v>TAPA MOVIL SUP HCB NEGRO COPA 2.0 (FRAME)</v>
          </cell>
          <cell r="E136" t="str">
            <v>TAPA MOVIL SUPERIOR</v>
          </cell>
        </row>
        <row r="137">
          <cell r="A137" t="str">
            <v>W11500975</v>
          </cell>
          <cell r="B137" t="str">
            <v>LOWER FRAME,WHITE</v>
          </cell>
          <cell r="C137" t="str">
            <v>PC</v>
          </cell>
          <cell r="D137" t="str">
            <v>TAPA MOVIL INF HCB BLANCO COPA 2.0</v>
          </cell>
          <cell r="E137" t="str">
            <v>TAPA MOVIL INFERIOR</v>
          </cell>
        </row>
        <row r="138">
          <cell r="A138" t="str">
            <v>W11581234</v>
          </cell>
          <cell r="B138" t="str">
            <v>Frame Inferior Hcb Chrysler</v>
          </cell>
          <cell r="C138" t="str">
            <v>PC</v>
          </cell>
          <cell r="D138" t="str">
            <v>TAPA MOVIL INF HCB CHRYSLER COPA 2.0</v>
          </cell>
          <cell r="E138" t="str">
            <v>TAPA MOVIL INFERIOR</v>
          </cell>
        </row>
        <row r="139">
          <cell r="A139" t="str">
            <v>W11503279</v>
          </cell>
          <cell r="B139" t="str">
            <v>Tapa Movil Inferior HCB</v>
          </cell>
          <cell r="C139" t="str">
            <v>PC</v>
          </cell>
          <cell r="D139" t="str">
            <v>TAPA MOVIL INF HCB COAL COPA 2.0</v>
          </cell>
          <cell r="E139" t="str">
            <v>TAPA MOVIL INFERIOR</v>
          </cell>
        </row>
        <row r="140">
          <cell r="A140" t="str">
            <v>W11625470</v>
          </cell>
          <cell r="B140" t="str">
            <v>LOWER FRAME, BLACK SHEEP</v>
          </cell>
          <cell r="C140" t="str">
            <v>PC</v>
          </cell>
          <cell r="D140" t="str">
            <v>TAPA MOVIL INF HCB NEGRO COPA 2.0</v>
          </cell>
          <cell r="E140" t="str">
            <v>TAPA MOVIL INFERIOR</v>
          </cell>
        </row>
        <row r="141">
          <cell r="A141" t="str">
            <v>W11730495</v>
          </cell>
          <cell r="B141" t="str">
            <v>LID FRAME SOFT CLOSE</v>
          </cell>
          <cell r="C141" t="str">
            <v>PC</v>
          </cell>
          <cell r="D141" t="str">
            <v>FRAME NEGRO BOTERO 2</v>
          </cell>
          <cell r="E141" t="str">
            <v>TAPA MOVIL</v>
          </cell>
        </row>
        <row r="142">
          <cell r="A142" t="str">
            <v>W11638826</v>
          </cell>
          <cell r="B142" t="str">
            <v>Frame Inferior Black Haceb</v>
          </cell>
          <cell r="C142" t="str">
            <v>PC</v>
          </cell>
          <cell r="D142" t="str">
            <v>MARCO HCB NEGRO</v>
          </cell>
          <cell r="E142" t="str">
            <v>TAPA MOVIL</v>
          </cell>
        </row>
        <row r="143">
          <cell r="A143" t="str">
            <v>W11548301</v>
          </cell>
          <cell r="B143" t="str">
            <v>FRAME HCB COAL</v>
          </cell>
          <cell r="C143" t="str">
            <v>PC</v>
          </cell>
          <cell r="D143" t="str">
            <v>TAPA MOVIL HCB COAL (NEGRA)</v>
          </cell>
          <cell r="E143" t="str">
            <v>TAPA MOVIL</v>
          </cell>
        </row>
        <row r="144">
          <cell r="A144" t="str">
            <v>W11491993</v>
          </cell>
          <cell r="B144" t="str">
            <v>FRAME BLACK</v>
          </cell>
          <cell r="C144" t="str">
            <v>PC</v>
          </cell>
          <cell r="D144" t="str">
            <v>TAPA MOVIL WHP NEGRO COPA 2.0</v>
          </cell>
          <cell r="E144" t="str">
            <v>TAPA MOVIL</v>
          </cell>
        </row>
        <row r="145">
          <cell r="A145" t="str">
            <v>W11491992</v>
          </cell>
          <cell r="B145" t="str">
            <v>FRAME TEMPEST</v>
          </cell>
          <cell r="C145" t="str">
            <v>PC</v>
          </cell>
          <cell r="D145" t="str">
            <v>TAPA MOVIL WHP TEMPEST COPA 2.0</v>
          </cell>
          <cell r="E145" t="str">
            <v>TAPA MOVIL</v>
          </cell>
        </row>
        <row r="146">
          <cell r="A146" t="str">
            <v>W11351956</v>
          </cell>
          <cell r="B146" t="str">
            <v>TAMPA IMPELLER/AGIPELLER</v>
          </cell>
          <cell r="C146" t="str">
            <v>PC</v>
          </cell>
          <cell r="D146" t="str">
            <v>TAPA IMP/AGP BLANCA</v>
          </cell>
          <cell r="E146" t="str">
            <v>TAPA IMP/AGP</v>
          </cell>
        </row>
        <row r="147">
          <cell r="A147" t="str">
            <v>W11351954</v>
          </cell>
          <cell r="B147" t="str">
            <v>TAMPA IMPELLER/AGIPELLER</v>
          </cell>
          <cell r="C147" t="str">
            <v>PC</v>
          </cell>
          <cell r="D147" t="str">
            <v>TAPA IMP/AGP GRIS</v>
          </cell>
          <cell r="E147" t="str">
            <v>TAPA IMP/AGP</v>
          </cell>
        </row>
        <row r="148">
          <cell r="A148" t="str">
            <v>W11496615</v>
          </cell>
          <cell r="B148" t="str">
            <v>IMPELLER CAP</v>
          </cell>
          <cell r="C148" t="str">
            <v>PC</v>
          </cell>
          <cell r="D148" t="str">
            <v>TAPA IMPEL WHP GRIS COPA 2.0</v>
          </cell>
          <cell r="E148" t="str">
            <v>TAPA IMP/AGP</v>
          </cell>
        </row>
        <row r="149">
          <cell r="A149" t="str">
            <v>W11502220</v>
          </cell>
          <cell r="B149" t="str">
            <v>LINT FILTER COVER HC</v>
          </cell>
          <cell r="C149" t="str">
            <v>PC</v>
          </cell>
          <cell r="D149" t="str">
            <v>TAPA FILTRO HCB GRIS COPA 2.0</v>
          </cell>
          <cell r="E149" t="str">
            <v>TAPA FILTRO</v>
          </cell>
        </row>
        <row r="150">
          <cell r="A150" t="str">
            <v>W11502216</v>
          </cell>
          <cell r="B150" t="str">
            <v>LINT FILTER COVER WH</v>
          </cell>
          <cell r="C150" t="str">
            <v>PC</v>
          </cell>
          <cell r="D150" t="str">
            <v>TAPA FILTRO WHP GRIS COPA 2.0</v>
          </cell>
          <cell r="E150" t="str">
            <v>TAPA FILTRO</v>
          </cell>
        </row>
        <row r="151">
          <cell r="A151" t="str">
            <v>W11723618</v>
          </cell>
          <cell r="B151" t="str">
            <v>TOP L24, COLD WATER, GREY</v>
          </cell>
          <cell r="C151" t="str">
            <v>PC</v>
          </cell>
          <cell r="D151" t="str">
            <v>TAPA FIJA BOTERO TEMPEST</v>
          </cell>
          <cell r="E151" t="str">
            <v>TAPA FIJA</v>
          </cell>
        </row>
        <row r="152">
          <cell r="A152" t="str">
            <v>W11730555</v>
          </cell>
          <cell r="B152" t="str">
            <v>TOP L24,COLD WATER, WHITE</v>
          </cell>
          <cell r="C152" t="str">
            <v>PC</v>
          </cell>
          <cell r="D152" t="str">
            <v>TAPA FIJA BOTERO BLANCA</v>
          </cell>
          <cell r="E152" t="str">
            <v>TAPA FIJA</v>
          </cell>
        </row>
        <row r="153">
          <cell r="A153" t="str">
            <v>W11750177</v>
          </cell>
          <cell r="B153" t="str">
            <v>TOP L24, COLD WATER, BLACK</v>
          </cell>
          <cell r="C153" t="str">
            <v>PC</v>
          </cell>
          <cell r="D153" t="str">
            <v>TAPA FIJA BOTERO NEGRA</v>
          </cell>
          <cell r="E153" t="str">
            <v>TAPA FIJA</v>
          </cell>
        </row>
        <row r="154">
          <cell r="A154" t="str">
            <v>W11501569</v>
          </cell>
          <cell r="B154" t="str">
            <v>TOP TEMPEST</v>
          </cell>
          <cell r="C154" t="str">
            <v>PC</v>
          </cell>
          <cell r="D154" t="str">
            <v>TAJA FIJA WHP TEMPEST FRIA COPA 2.0</v>
          </cell>
          <cell r="E154" t="str">
            <v>TAPA FIJA</v>
          </cell>
        </row>
        <row r="155">
          <cell r="A155" t="str">
            <v>W11539825</v>
          </cell>
          <cell r="B155" t="str">
            <v>GVM-TOP HV LL</v>
          </cell>
          <cell r="C155" t="str">
            <v>PC</v>
          </cell>
          <cell r="D155" t="str">
            <v>TAPA FIJA HCB AGP GRIS COAL</v>
          </cell>
          <cell r="E155" t="str">
            <v>TAPA FIJA</v>
          </cell>
        </row>
        <row r="156">
          <cell r="A156" t="str">
            <v>W11638815</v>
          </cell>
          <cell r="B156" t="str">
            <v>TAPA FIJA NEGRA</v>
          </cell>
          <cell r="C156" t="str">
            <v>PC</v>
          </cell>
          <cell r="D156" t="str">
            <v>TAPA FIJA HCB AGP NEGRA</v>
          </cell>
          <cell r="E156" t="str">
            <v>TAPA FIJA</v>
          </cell>
        </row>
        <row r="157">
          <cell r="A157" t="str">
            <v>W11519086</v>
          </cell>
          <cell r="B157" t="str">
            <v>TOP Whirlpool</v>
          </cell>
          <cell r="C157" t="str">
            <v>PC</v>
          </cell>
          <cell r="D157" t="str">
            <v>TAPA FIJA HCB CHRYSLER EVOX COPA 2.0</v>
          </cell>
          <cell r="E157" t="str">
            <v>TAPA FIJA</v>
          </cell>
        </row>
        <row r="158">
          <cell r="A158" t="str">
            <v>W11519083</v>
          </cell>
          <cell r="B158" t="str">
            <v>Tapa Fija HCB</v>
          </cell>
          <cell r="C158" t="str">
            <v>PC</v>
          </cell>
          <cell r="D158" t="str">
            <v>TAPA FIJA HCB COAL FRIA COPA 2.0</v>
          </cell>
          <cell r="E158" t="str">
            <v>TAPA FIJA</v>
          </cell>
        </row>
        <row r="159">
          <cell r="A159" t="str">
            <v>W11501424</v>
          </cell>
          <cell r="B159" t="str">
            <v>TOP WHITE</v>
          </cell>
          <cell r="C159" t="str">
            <v>PC</v>
          </cell>
          <cell r="D159" t="str">
            <v>TAPA FIJA HCB FRIA BLANCO COPA 2.0</v>
          </cell>
          <cell r="E159" t="str">
            <v>TAPA FIJA</v>
          </cell>
        </row>
        <row r="160">
          <cell r="A160" t="str">
            <v>W11642094</v>
          </cell>
          <cell r="B160" t="str">
            <v>TAPA FIJA NEGRA</v>
          </cell>
          <cell r="C160" t="str">
            <v>PC</v>
          </cell>
          <cell r="D160" t="str">
            <v>TAPA FIJA HCB NEGRA COPA 2.0</v>
          </cell>
          <cell r="E160" t="str">
            <v>TAPA FIJA</v>
          </cell>
        </row>
        <row r="161">
          <cell r="A161" t="str">
            <v>W11691104</v>
          </cell>
          <cell r="B161" t="str">
            <v>TAPA FIJA NEGRA</v>
          </cell>
          <cell r="C161" t="str">
            <v>PC</v>
          </cell>
          <cell r="D161" t="str">
            <v>TAPA FIJA IMP WHP TEMPEST</v>
          </cell>
          <cell r="E161" t="str">
            <v>TAPA FIJA</v>
          </cell>
        </row>
        <row r="162">
          <cell r="A162" t="str">
            <v>W11401383</v>
          </cell>
          <cell r="B162" t="str">
            <v>TAMPA FIXA AGIPELLER TEMPEST WHP</v>
          </cell>
          <cell r="C162" t="str">
            <v>PC</v>
          </cell>
          <cell r="D162" t="str">
            <v>TAPA FIJA WHP AGP NEGRA</v>
          </cell>
          <cell r="E162" t="str">
            <v>TAPA FIJA</v>
          </cell>
        </row>
        <row r="163">
          <cell r="A163" t="str">
            <v>W11401384</v>
          </cell>
          <cell r="B163" t="str">
            <v>TAMPA FIXA AGIPELLER TEMPEST WHP</v>
          </cell>
          <cell r="C163" t="str">
            <v>PC</v>
          </cell>
          <cell r="D163" t="str">
            <v>TAPA FIJA WHP AGP TEMPEST</v>
          </cell>
          <cell r="E163" t="str">
            <v>TAPA FIJA</v>
          </cell>
        </row>
        <row r="164">
          <cell r="A164" t="str">
            <v>W11501577</v>
          </cell>
          <cell r="B164" t="str">
            <v>TOP CHROME HOT</v>
          </cell>
          <cell r="C164" t="str">
            <v>PC</v>
          </cell>
          <cell r="D164" t="str">
            <v>TAPA FIJA WHP AGUA CAL CHROME SHADOW COPA 2.0</v>
          </cell>
          <cell r="E164" t="str">
            <v>TAPA FIJA</v>
          </cell>
        </row>
        <row r="165">
          <cell r="A165" t="str">
            <v>W11501570</v>
          </cell>
          <cell r="B165" t="str">
            <v>TOP TEMPEST HOT</v>
          </cell>
          <cell r="C165" t="str">
            <v>PC</v>
          </cell>
          <cell r="D165" t="str">
            <v>TAPA FIJA WHP AGUA CAL TEMPEST COPA 2.0</v>
          </cell>
          <cell r="E165" t="str">
            <v>TAPA FIJA</v>
          </cell>
        </row>
        <row r="166">
          <cell r="A166" t="str">
            <v>W11501567</v>
          </cell>
          <cell r="B166" t="str">
            <v>TOP WHITE HOT</v>
          </cell>
          <cell r="C166" t="str">
            <v>PC</v>
          </cell>
          <cell r="D166" t="str">
            <v>TAPA FIJA WHP CALIENTE BLANCO COPA 2.0</v>
          </cell>
          <cell r="E166" t="str">
            <v>TAPA FIJA</v>
          </cell>
        </row>
        <row r="167">
          <cell r="A167" t="str">
            <v>W11501566</v>
          </cell>
          <cell r="B167" t="str">
            <v>TOP WHITE</v>
          </cell>
          <cell r="C167" t="str">
            <v>PC</v>
          </cell>
          <cell r="D167" t="str">
            <v>TAPA FIJA WHP FRIA BLANCO COPA 2.0</v>
          </cell>
          <cell r="E167" t="str">
            <v>TAPA FIJA</v>
          </cell>
        </row>
        <row r="168">
          <cell r="A168" t="str">
            <v>W11401379</v>
          </cell>
          <cell r="B168" t="str">
            <v>TAPA FIJA NEGRA</v>
          </cell>
          <cell r="C168" t="str">
            <v>PC</v>
          </cell>
          <cell r="D168" t="str">
            <v>TAPA FIJA WHP IMP NEGRA</v>
          </cell>
          <cell r="E168" t="str">
            <v>TAPA FIJA</v>
          </cell>
        </row>
        <row r="169">
          <cell r="A169" t="str">
            <v>W11520036</v>
          </cell>
          <cell r="B169" t="str">
            <v>Tapa Fija Gris coal 2V</v>
          </cell>
          <cell r="C169" t="str">
            <v>PC</v>
          </cell>
          <cell r="D169" t="str">
            <v>TAPA FIJA GRIS COAL 2V</v>
          </cell>
          <cell r="E169" t="str">
            <v>TAPA FIJA</v>
          </cell>
        </row>
        <row r="170">
          <cell r="A170" t="str">
            <v>W11500979</v>
          </cell>
          <cell r="B170" t="str">
            <v>DAMPER COVER,WHITE</v>
          </cell>
          <cell r="C170" t="str">
            <v>PC</v>
          </cell>
          <cell r="D170" t="str">
            <v>TAPA DAMPER HCB BLANCO COPA 2.0</v>
          </cell>
          <cell r="E170" t="str">
            <v>TAPA DAMPER</v>
          </cell>
        </row>
        <row r="171">
          <cell r="A171" t="str">
            <v>W11581273</v>
          </cell>
          <cell r="B171" t="str">
            <v>Damper Cover Chrysler</v>
          </cell>
          <cell r="C171" t="str">
            <v>PC</v>
          </cell>
          <cell r="D171" t="str">
            <v>TAPA DAMPER HCB COVER CHRYSLER COPA 2.0</v>
          </cell>
          <cell r="E171" t="str">
            <v>TAPA DAMPER</v>
          </cell>
        </row>
        <row r="172">
          <cell r="A172" t="str">
            <v>W11503285</v>
          </cell>
          <cell r="B172" t="str">
            <v>Damper Cover Haceb Coal</v>
          </cell>
          <cell r="C172" t="str">
            <v>PC</v>
          </cell>
          <cell r="D172" t="str">
            <v>TAPA DAMPER HCB COVER COAL COPA 2.0</v>
          </cell>
          <cell r="E172" t="str">
            <v>TAPA DAMPER</v>
          </cell>
        </row>
        <row r="173">
          <cell r="A173" t="str">
            <v>W11625464</v>
          </cell>
          <cell r="B173" t="str">
            <v>DAMPER COVER,COAL GRAY</v>
          </cell>
          <cell r="C173" t="str">
            <v>PC</v>
          </cell>
          <cell r="D173" t="str">
            <v>TAPA DAMPER HCB COVER NEGRO COPA 2.0</v>
          </cell>
          <cell r="E173" t="str">
            <v>TAPA DAMPER</v>
          </cell>
        </row>
        <row r="174">
          <cell r="A174" t="str">
            <v>W11492000</v>
          </cell>
          <cell r="B174" t="str">
            <v>DAMPER COVER BLACK</v>
          </cell>
          <cell r="C174" t="str">
            <v>PC</v>
          </cell>
          <cell r="D174" t="str">
            <v>TAPA DAMPER WHP NEGRO COPA 2.0</v>
          </cell>
          <cell r="E174" t="str">
            <v>TAPA DAMPER</v>
          </cell>
        </row>
        <row r="175">
          <cell r="A175" t="str">
            <v>W11491999</v>
          </cell>
          <cell r="B175" t="str">
            <v>DAMPER COVER TEMPEST</v>
          </cell>
          <cell r="C175" t="str">
            <v>PC</v>
          </cell>
          <cell r="D175" t="str">
            <v>TAPA DAMPER WHP TEMPEST COPA 2.0</v>
          </cell>
          <cell r="E175" t="str">
            <v>TAPA DAMPER</v>
          </cell>
        </row>
        <row r="176">
          <cell r="A176" t="str">
            <v>W10705255</v>
          </cell>
          <cell r="B176" t="str">
            <v>TAPA ALMOFADA</v>
          </cell>
          <cell r="C176" t="str">
            <v>PC</v>
          </cell>
          <cell r="D176" t="str">
            <v>TAPA ALMOFADA (tapa cojin)</v>
          </cell>
          <cell r="E176" t="str">
            <v>TAPA ALMOFADA</v>
          </cell>
        </row>
        <row r="177">
          <cell r="A177" t="str">
            <v>W10704805</v>
          </cell>
          <cell r="B177" t="str">
            <v>TANQUE-TUB 24"</v>
          </cell>
          <cell r="C177" t="str">
            <v>PC</v>
          </cell>
          <cell r="D177" t="str">
            <v>TANQUE</v>
          </cell>
          <cell r="E177" t="str">
            <v>TANQUE</v>
          </cell>
        </row>
        <row r="178">
          <cell r="A178" t="str">
            <v>W10710121</v>
          </cell>
          <cell r="B178" t="str">
            <v>SOPORTE TANQUE</v>
          </cell>
          <cell r="C178" t="str">
            <v>PC</v>
          </cell>
          <cell r="D178" t="str">
            <v>SOPORTE TANQUE (FUNDALCO)</v>
          </cell>
          <cell r="E178" t="str">
            <v>SOPORTE TANQUE</v>
          </cell>
        </row>
        <row r="179">
          <cell r="A179" t="str">
            <v>W11353094</v>
          </cell>
          <cell r="B179" t="str">
            <v>SUPORTE MOTOR</v>
          </cell>
          <cell r="C179" t="str">
            <v>PC</v>
          </cell>
          <cell r="D179" t="str">
            <v>SOPORTE MOTOR</v>
          </cell>
          <cell r="E179" t="str">
            <v>SOPORTE MOTOR</v>
          </cell>
        </row>
        <row r="180">
          <cell r="A180" t="str">
            <v>W10655121</v>
          </cell>
          <cell r="B180" t="str">
            <v>SOPORTE MICRO CHAVE</v>
          </cell>
          <cell r="C180" t="str">
            <v>PC</v>
          </cell>
          <cell r="D180" t="str">
            <v>SOPORTE MICRO LLAVE</v>
          </cell>
          <cell r="E180" t="str">
            <v>SOPORTE MICRO CHAVE</v>
          </cell>
        </row>
        <row r="181">
          <cell r="A181" t="str">
            <v>W11618773</v>
          </cell>
          <cell r="B181" t="str">
            <v>RAW DRIVE HUB</v>
          </cell>
          <cell r="C181" t="str">
            <v>PC</v>
          </cell>
          <cell r="D181" t="str">
            <v>SOPORTE CESTO ALUMINIO COPA 2.0</v>
          </cell>
          <cell r="E181" t="str">
            <v>SOPORTE CESTO</v>
          </cell>
        </row>
        <row r="182">
          <cell r="A182" t="str">
            <v>W11746905</v>
          </cell>
          <cell r="B182" t="str">
            <v>SILICONA SPRAY CRC</v>
          </cell>
          <cell r="C182" t="str">
            <v>ML</v>
          </cell>
          <cell r="D182" t="str">
            <v>SILICONA SPRAY CRC 430ML (Emp y Empaques)</v>
          </cell>
          <cell r="E182" t="str">
            <v>SILICONA</v>
          </cell>
        </row>
        <row r="183">
          <cell r="A183" t="str">
            <v>W10516159</v>
          </cell>
          <cell r="B183" t="str">
            <v>ROLAMENTO- BALL 6006 2RS</v>
          </cell>
          <cell r="C183" t="str">
            <v>PC</v>
          </cell>
          <cell r="D183" t="str">
            <v>BEARING BALL (RODAMIENTO)</v>
          </cell>
          <cell r="E183" t="str">
            <v>RODAMIENTOS</v>
          </cell>
        </row>
        <row r="184">
          <cell r="A184" t="str">
            <v>W10647949</v>
          </cell>
          <cell r="B184" t="str">
            <v>RETENEDOR DRIVE BLOCK</v>
          </cell>
          <cell r="C184" t="str">
            <v>PC</v>
          </cell>
          <cell r="D184" t="str">
            <v>RETENEDOR DRIVE BLOCK</v>
          </cell>
          <cell r="E184" t="str">
            <v>RETENEDOR</v>
          </cell>
        </row>
        <row r="185">
          <cell r="A185" t="str">
            <v>W11657637</v>
          </cell>
          <cell r="B185" t="str">
            <v>RETENTOR DA SUSPENSAO</v>
          </cell>
          <cell r="C185" t="str">
            <v>PC</v>
          </cell>
          <cell r="D185" t="str">
            <v>RETENEDOR DE SUSP VARILLA</v>
          </cell>
          <cell r="E185" t="str">
            <v>RETEN SUSPENSION</v>
          </cell>
        </row>
        <row r="186">
          <cell r="A186" t="str">
            <v>W10751509</v>
          </cell>
          <cell r="B186" t="str">
            <v>RETEN LAVADORA /AWR680-3</v>
          </cell>
          <cell r="C186" t="str">
            <v>PC</v>
          </cell>
          <cell r="D186" t="str">
            <v>RETENEDOR LAVADORA (PARKER)</v>
          </cell>
          <cell r="E186" t="str">
            <v>RETEN LAVADORA</v>
          </cell>
        </row>
        <row r="187">
          <cell r="A187" t="str">
            <v>W10890629</v>
          </cell>
          <cell r="B187" t="str">
            <v>RESORTE SUSPENSION</v>
          </cell>
          <cell r="C187" t="str">
            <v>PC</v>
          </cell>
          <cell r="D187" t="str">
            <v>RESORTE SUSPENSION</v>
          </cell>
          <cell r="E187" t="str">
            <v>RESORTE SUSPENSION</v>
          </cell>
        </row>
        <row r="188">
          <cell r="A188" t="str">
            <v>326001560</v>
          </cell>
          <cell r="B188" t="str">
            <v>RESORTE FRENO</v>
          </cell>
          <cell r="C188" t="str">
            <v>PC</v>
          </cell>
          <cell r="D188" t="str">
            <v>RESORTE FRENO WWI13/16</v>
          </cell>
          <cell r="E188" t="str">
            <v>RESORTE FRENO</v>
          </cell>
        </row>
        <row r="189">
          <cell r="A189" t="str">
            <v>W10742395</v>
          </cell>
          <cell r="B189" t="str">
            <v>RESORTE</v>
          </cell>
          <cell r="C189" t="str">
            <v>PC</v>
          </cell>
          <cell r="D189" t="str">
            <v>RESORTE ESPARCIDOR</v>
          </cell>
          <cell r="E189" t="str">
            <v>RESORTE ESPARCIDOR_PROV</v>
          </cell>
        </row>
        <row r="190">
          <cell r="A190" t="str">
            <v>W11104317</v>
          </cell>
          <cell r="B190" t="str">
            <v>RESORTE EMBRAGUE</v>
          </cell>
          <cell r="C190" t="str">
            <v>PC</v>
          </cell>
          <cell r="D190" t="str">
            <v>RESORTE EMBRAGUE</v>
          </cell>
          <cell r="E190" t="str">
            <v>RESORTE EMBRAGUE</v>
          </cell>
        </row>
        <row r="191">
          <cell r="A191" t="str">
            <v>326028747</v>
          </cell>
          <cell r="B191" t="str">
            <v>POLYPROPYLENE</v>
          </cell>
          <cell r="C191" t="str">
            <v>KG</v>
          </cell>
          <cell r="D191" t="str">
            <v>RECICLADO DE TANQUE</v>
          </cell>
          <cell r="E191" t="str">
            <v>RESINAS_REMOLIDO</v>
          </cell>
        </row>
        <row r="192">
          <cell r="A192" t="str">
            <v>W11674916</v>
          </cell>
          <cell r="B192" t="str">
            <v>ABS - REGRIND LG CHEM HG173 966248</v>
          </cell>
          <cell r="C192" t="str">
            <v>KG</v>
          </cell>
          <cell r="D192" t="str">
            <v>ABS REMOLIDO ABS (Cod Plastirios)</v>
          </cell>
          <cell r="E192" t="str">
            <v>RESINAS_REMOLIDO</v>
          </cell>
        </row>
        <row r="193">
          <cell r="A193" t="str">
            <v>W11708323</v>
          </cell>
          <cell r="B193" t="str">
            <v>ABS PLASTIRIOS RECYCLED HG173 969127</v>
          </cell>
          <cell r="C193" t="str">
            <v>PC</v>
          </cell>
          <cell r="D193" t="str">
            <v>ABS REMOLIDO ABS (cod Riduco)</v>
          </cell>
          <cell r="E193" t="str">
            <v>RESINAS_REMOLIDO</v>
          </cell>
        </row>
        <row r="194">
          <cell r="A194" t="str">
            <v>W11634496</v>
          </cell>
          <cell r="B194" t="str">
            <v>ABS - TRUHER RECYCLED HG173 969127  GRAY</v>
          </cell>
          <cell r="C194" t="str">
            <v>KG</v>
          </cell>
          <cell r="D194" t="str">
            <v>ABS TRUHER RECYCLED (Cod Truher)</v>
          </cell>
          <cell r="E194" t="str">
            <v>RESINAS_REMOLIDO</v>
          </cell>
        </row>
        <row r="195">
          <cell r="A195" t="str">
            <v>326041932</v>
          </cell>
          <cell r="B195" t="str">
            <v>polipropileno reciclado</v>
          </cell>
          <cell r="C195" t="str">
            <v>KG</v>
          </cell>
          <cell r="D195" t="str">
            <v>POLIPROPILENO RECICLADO TANQUE (Cod Plastirios)</v>
          </cell>
          <cell r="E195" t="str">
            <v>RESINAS_REMOLIDO</v>
          </cell>
        </row>
        <row r="196">
          <cell r="A196" t="str">
            <v>326025857</v>
          </cell>
          <cell r="B196" t="str">
            <v>ABS ALTO FLUXO NATURAL (GP22NATURAL)</v>
          </cell>
          <cell r="C196" t="str">
            <v>KG</v>
          </cell>
          <cell r="D196" t="str">
            <v>ABS ALTO FLUJO NAT-GP22NATURAL</v>
          </cell>
          <cell r="E196" t="str">
            <v>RESINAS_PROVEED</v>
          </cell>
        </row>
        <row r="197">
          <cell r="A197" t="str">
            <v>W10768386</v>
          </cell>
          <cell r="B197" t="str">
            <v>ABS ALTO IMPACTO TEMPEST GREY</v>
          </cell>
          <cell r="C197" t="str">
            <v>KG</v>
          </cell>
          <cell r="D197" t="str">
            <v>ABS ALTO IMP TEMPEST-HG173-8P022</v>
          </cell>
          <cell r="E197" t="str">
            <v>RESINAS_PROVEED</v>
          </cell>
        </row>
        <row r="198">
          <cell r="A198" t="str">
            <v>326032999</v>
          </cell>
          <cell r="B198" t="str">
            <v>ABS ALTO IMPACTO ALTA FLUIDEZ GW</v>
          </cell>
          <cell r="C198" t="str">
            <v>KG</v>
          </cell>
          <cell r="D198" t="str">
            <v>ABS ALTO IMPACTO ALTA FLUIDEZ GW-W07802</v>
          </cell>
          <cell r="E198" t="str">
            <v>RESINAS_PROVEED</v>
          </cell>
        </row>
        <row r="199">
          <cell r="A199" t="str">
            <v>W10917421</v>
          </cell>
          <cell r="B199" t="str">
            <v>ABS ALTO IMPACTO GRIS TITANIO HACEB</v>
          </cell>
          <cell r="C199" t="str">
            <v>KG</v>
          </cell>
          <cell r="D199" t="str">
            <v>ABS ALTO IMPACTO GRIS TITANIO-8P736</v>
          </cell>
          <cell r="E199" t="str">
            <v>RESINAS_PROVEED</v>
          </cell>
        </row>
        <row r="200">
          <cell r="A200" t="str">
            <v>W11291871</v>
          </cell>
          <cell r="B200" t="str">
            <v>ABS Alto Impacto Black</v>
          </cell>
          <cell r="C200" t="str">
            <v>KG</v>
          </cell>
          <cell r="D200" t="str">
            <v>ABS ALTO IMPACTO NEGRO-95271</v>
          </cell>
          <cell r="E200" t="str">
            <v>RESINAS_PROVEED</v>
          </cell>
        </row>
        <row r="201">
          <cell r="A201" t="str">
            <v>W11527436</v>
          </cell>
          <cell r="B201" t="str">
            <v>ABS - ABS HG173 968135 EE ANTRACITE DARK</v>
          </cell>
          <cell r="C201" t="str">
            <v>KG</v>
          </cell>
          <cell r="D201" t="str">
            <v>ABS HG173-8S886 EE ANTRACITE COAL</v>
          </cell>
          <cell r="E201" t="str">
            <v>RESINAS_PROVEED</v>
          </cell>
        </row>
        <row r="202">
          <cell r="A202" t="str">
            <v>W10352978</v>
          </cell>
          <cell r="B202" t="str">
            <v>ABS ALTO IMPACTO ALTA FLUIDEZ GW C/ ADIT</v>
          </cell>
          <cell r="C202" t="str">
            <v>KG</v>
          </cell>
          <cell r="D202" t="str">
            <v>ABS LG BLANCO HG173-HW07802</v>
          </cell>
          <cell r="E202" t="str">
            <v>RESINAS_PROVEED</v>
          </cell>
        </row>
        <row r="203">
          <cell r="A203" t="str">
            <v>326039029</v>
          </cell>
          <cell r="B203" t="str">
            <v>ABS MEDIO IMPACTO ANTI CHAMA 5VA</v>
          </cell>
          <cell r="C203" t="str">
            <v>KG</v>
          </cell>
          <cell r="D203" t="str">
            <v>ABS MEDIO IMPACTO ANTI CHAMA 5VA-17606</v>
          </cell>
          <cell r="E203" t="str">
            <v>RESINAS_PROVEED</v>
          </cell>
        </row>
        <row r="204">
          <cell r="A204" t="str">
            <v>W10804329</v>
          </cell>
          <cell r="B204" t="str">
            <v>CONCENTRADO</v>
          </cell>
          <cell r="C204" t="str">
            <v>G</v>
          </cell>
          <cell r="D204" t="str">
            <v>CONCETRADO CROMEX-PIGMENTO NEGRO 2032</v>
          </cell>
          <cell r="E204" t="str">
            <v>RESINAS_PROVEED</v>
          </cell>
        </row>
        <row r="205">
          <cell r="A205" t="str">
            <v>326028198</v>
          </cell>
          <cell r="B205" t="str">
            <v>COPOLIMERO DE PROPENO/ETENO (CP401HC)</v>
          </cell>
          <cell r="C205" t="str">
            <v>KG</v>
          </cell>
          <cell r="D205" t="str">
            <v>COPOLIMERO DE PROPENO/ETENO-CP401HC</v>
          </cell>
          <cell r="E205" t="str">
            <v>RESINAS_PROVEED</v>
          </cell>
        </row>
        <row r="206">
          <cell r="A206" t="str">
            <v>051002253</v>
          </cell>
          <cell r="B206" t="str">
            <v>POLIESTIRENO</v>
          </cell>
          <cell r="C206" t="str">
            <v>KG</v>
          </cell>
          <cell r="D206" t="str">
            <v>INNOVA HIPS RT441M (2253)</v>
          </cell>
          <cell r="E206" t="str">
            <v>RESINAS_PROVEED</v>
          </cell>
        </row>
        <row r="207">
          <cell r="A207" t="str">
            <v>W11117473</v>
          </cell>
          <cell r="B207" t="str">
            <v>MB -ABS TERMOCOLOR TMB 77002 968992</v>
          </cell>
          <cell r="C207" t="str">
            <v>G</v>
          </cell>
          <cell r="D207" t="str">
            <v>MASTER ABS CHAGALL COPA 2.0</v>
          </cell>
          <cell r="E207" t="str">
            <v>RESINAS_PROVEED</v>
          </cell>
        </row>
        <row r="208">
          <cell r="A208" t="str">
            <v>W11456172</v>
          </cell>
          <cell r="B208" t="str">
            <v>MB_ABS - POLYONE CC10322639WE 966170 DOV</v>
          </cell>
          <cell r="C208" t="str">
            <v>KG</v>
          </cell>
          <cell r="D208" t="str">
            <v>MASTER ABS DOVE GREY CC10322639WE 966170</v>
          </cell>
          <cell r="E208" t="str">
            <v>RESINAS_PROVEED</v>
          </cell>
        </row>
        <row r="209">
          <cell r="A209" t="str">
            <v>W10915832</v>
          </cell>
          <cell r="B209" t="str">
            <v>MB-PP ARCOLOR 15444 967000 DOLPHIN GRA</v>
          </cell>
          <cell r="C209" t="str">
            <v>G</v>
          </cell>
          <cell r="D209" t="str">
            <v>MASTER PP GRAY DOLPHIN-15444 967000</v>
          </cell>
          <cell r="E209" t="str">
            <v>RESINAS_PROVEED</v>
          </cell>
        </row>
        <row r="210">
          <cell r="A210" t="str">
            <v>W10804239</v>
          </cell>
          <cell r="B210" t="str">
            <v>MB-PP W PENN UC2QO0 966170 DOVE GREY LT</v>
          </cell>
          <cell r="C210" t="str">
            <v>KG</v>
          </cell>
          <cell r="D210" t="str">
            <v>MASTER PP WPENN UC2QO0 966170 DOVE GREY LT</v>
          </cell>
          <cell r="E210" t="str">
            <v>RESINAS_PROVEED</v>
          </cell>
        </row>
        <row r="211">
          <cell r="A211" t="str">
            <v>W10733317</v>
          </cell>
          <cell r="B211" t="str">
            <v>PP - AZUL CRISTAL</v>
          </cell>
          <cell r="C211" t="str">
            <v>G</v>
          </cell>
          <cell r="D211" t="str">
            <v>MASTER PP-AZUL CRISTAL-14306</v>
          </cell>
          <cell r="E211" t="str">
            <v>RESINAS_PROVEED</v>
          </cell>
        </row>
        <row r="212">
          <cell r="A212" t="str">
            <v>W11161623</v>
          </cell>
          <cell r="B212" t="str">
            <v>MB - CELCON M90-07 CD3068 K40 BLACK</v>
          </cell>
          <cell r="C212" t="str">
            <v>G</v>
          </cell>
          <cell r="D212" t="str">
            <v>MB CELCON M90-07 CD3068 K40 BLACK</v>
          </cell>
          <cell r="E212" t="str">
            <v>RESINAS_PROVEED</v>
          </cell>
        </row>
        <row r="213">
          <cell r="A213" t="str">
            <v>W10261574</v>
          </cell>
          <cell r="B213" t="str">
            <v>PA66 NATURAL + 33% FG</v>
          </cell>
          <cell r="C213" t="str">
            <v>KG</v>
          </cell>
          <cell r="D213" t="str">
            <v>NYLON DUPONT 70 G 33HS1L NAT</v>
          </cell>
          <cell r="E213" t="str">
            <v>RESINAS_PROVEED</v>
          </cell>
        </row>
        <row r="214">
          <cell r="A214" t="str">
            <v>326010544</v>
          </cell>
          <cell r="B214" t="str">
            <v>POLIAMIDA 6.6 WITH 33% GLASS REINFORCED</v>
          </cell>
          <cell r="C214" t="str">
            <v>KG</v>
          </cell>
          <cell r="D214" t="str">
            <v>NYLON DUPONT ZYTEL NEGRO- 70 G 33HS1L BK 031</v>
          </cell>
          <cell r="E214" t="str">
            <v>RESINAS_PROVEED</v>
          </cell>
        </row>
        <row r="215">
          <cell r="A215" t="str">
            <v>W10759651</v>
          </cell>
          <cell r="B215" t="str">
            <v>MASTER ABS CINZA DOLPHIN</v>
          </cell>
          <cell r="C215" t="str">
            <v>G</v>
          </cell>
          <cell r="D215" t="str">
            <v>PIGMENTO GRIS 14329 DOLPHIN CROMEX</v>
          </cell>
          <cell r="E215" t="str">
            <v>RESINAS_PROVEED</v>
          </cell>
        </row>
        <row r="216">
          <cell r="A216" t="str">
            <v>000306300</v>
          </cell>
          <cell r="B216" t="str">
            <v>POLIPROPILENO COMUM (H 503)</v>
          </cell>
          <cell r="C216" t="str">
            <v>KG</v>
          </cell>
          <cell r="D216" t="str">
            <v>POLIPROPILENO COMUM-H 503</v>
          </cell>
          <cell r="E216" t="str">
            <v>RESINAS_PROVEED</v>
          </cell>
        </row>
        <row r="217">
          <cell r="A217" t="str">
            <v>000306307</v>
          </cell>
          <cell r="B217" t="str">
            <v>POM COPOL#MERO COM TEFLON LW-90</v>
          </cell>
          <cell r="C217" t="str">
            <v>KG</v>
          </cell>
          <cell r="D217" t="str">
            <v>POM CELCOM LW-90</v>
          </cell>
          <cell r="E217" t="str">
            <v>RESINAS_PROVEED</v>
          </cell>
        </row>
        <row r="218">
          <cell r="A218" t="str">
            <v>W10486429</v>
          </cell>
          <cell r="B218" t="str">
            <v>POM COPOL#MERO ALTA FLUIDEZ</v>
          </cell>
          <cell r="C218" t="str">
            <v>KG</v>
          </cell>
          <cell r="D218" t="str">
            <v>POM CELCOM WHP M270 968000 NAT</v>
          </cell>
          <cell r="E218" t="str">
            <v>RESINAS_PROVEED</v>
          </cell>
        </row>
        <row r="219">
          <cell r="A219" t="str">
            <v>000306308</v>
          </cell>
          <cell r="B219" t="str">
            <v>POM COPOLIMERO</v>
          </cell>
          <cell r="C219" t="str">
            <v>KG</v>
          </cell>
          <cell r="D219" t="str">
            <v>POM CELCON M50 CF2001 NAT A1</v>
          </cell>
          <cell r="E219" t="str">
            <v>RESINAS_PROVEED</v>
          </cell>
        </row>
        <row r="220">
          <cell r="A220" t="str">
            <v>W10512641</v>
          </cell>
          <cell r="B220" t="str">
            <v>POM-W10271570 CLASSE 9- CINZA CHAGALL</v>
          </cell>
          <cell r="C220" t="str">
            <v>KG</v>
          </cell>
          <cell r="D220" t="str">
            <v>POM-W10271570 CLASSE 9-CINZA CHAGALL</v>
          </cell>
          <cell r="E220" t="str">
            <v>RESINAS_PROVEED</v>
          </cell>
        </row>
        <row r="221">
          <cell r="A221" t="str">
            <v>000306302</v>
          </cell>
          <cell r="B221" t="str">
            <v>PP COPO ALTA FLUIDEZ MEDIO IMPACTO</v>
          </cell>
          <cell r="C221" t="str">
            <v>KG</v>
          </cell>
          <cell r="D221" t="str">
            <v>PP COPO ALTA FLUIDEZ BRASKEM-CP 241</v>
          </cell>
          <cell r="E221" t="str">
            <v>RESINAS_PROVEED</v>
          </cell>
        </row>
        <row r="222">
          <cell r="A222" t="str">
            <v>326033002</v>
          </cell>
          <cell r="B222" t="str">
            <v>CONC.COR PP GW</v>
          </cell>
          <cell r="C222" t="str">
            <v>G</v>
          </cell>
          <cell r="D222" t="str">
            <v>PP CROMEX BLANCO GW-2225</v>
          </cell>
          <cell r="E222" t="str">
            <v>RESINAS_PROVEED</v>
          </cell>
        </row>
        <row r="223">
          <cell r="A223" t="str">
            <v>W10346385</v>
          </cell>
          <cell r="B223" t="str">
            <v>MASTER CINZA CHAGALL PP</v>
          </cell>
          <cell r="C223" t="str">
            <v>G</v>
          </cell>
          <cell r="D223" t="str">
            <v>PP CROMEX GRIS CHAGALL-11982</v>
          </cell>
          <cell r="E223" t="str">
            <v>RESINAS_PROVEED</v>
          </cell>
        </row>
        <row r="224">
          <cell r="A224" t="str">
            <v>326006408</v>
          </cell>
          <cell r="B224" t="str">
            <v>CONC.COR PRETO P/ABS</v>
          </cell>
          <cell r="C224" t="str">
            <v>G</v>
          </cell>
          <cell r="D224" t="str">
            <v>PP CROMEX NEGRO ABS- 3001</v>
          </cell>
          <cell r="E224" t="str">
            <v>RESINAS_PROVEED</v>
          </cell>
        </row>
        <row r="225">
          <cell r="A225" t="str">
            <v>004259220</v>
          </cell>
          <cell r="B225" t="str">
            <v>PP HOMO 40% TALCO BAIXA FLUIDEZ</v>
          </cell>
          <cell r="C225" t="str">
            <v>KG</v>
          </cell>
          <cell r="D225" t="str">
            <v>PP HOMO 40% TALCO BAJA FLUIDEZ-BOREALIS</v>
          </cell>
          <cell r="E225" t="str">
            <v>RESINAS_PROVEED</v>
          </cell>
        </row>
        <row r="226">
          <cell r="A226" t="str">
            <v>000306301</v>
          </cell>
          <cell r="B226" t="str">
            <v>PP HOMO BAIXA FLUIDEZ</v>
          </cell>
          <cell r="C226" t="str">
            <v>KG</v>
          </cell>
          <cell r="D226" t="str">
            <v>PP HOMO BAIXA FLUIDEZ-H 603</v>
          </cell>
          <cell r="E226" t="str">
            <v>RESINAS_PROVEED</v>
          </cell>
        </row>
        <row r="227">
          <cell r="A227" t="str">
            <v>W10710904</v>
          </cell>
          <cell r="B227" t="str">
            <v>MB-PP W PENN UC2OF0 966248 TEMPEST GREY</v>
          </cell>
          <cell r="C227" t="str">
            <v>KG</v>
          </cell>
          <cell r="D227" t="str">
            <v>PP W PENN UC2OF0 966248 TEMPEST GREY</v>
          </cell>
          <cell r="E227" t="str">
            <v>RESINAS_PROVEED</v>
          </cell>
        </row>
        <row r="228">
          <cell r="A228" t="str">
            <v>W11352621</v>
          </cell>
          <cell r="B228" t="str">
            <v>PP - WPENN UP3F306 800043 WHITE LOW TIO2</v>
          </cell>
          <cell r="C228" t="str">
            <v>KG</v>
          </cell>
          <cell r="D228" t="str">
            <v>PP-WPENN UP3F306 800043 WHITE LOW TIO2</v>
          </cell>
          <cell r="E228" t="str">
            <v>RESINAS_PROVEED</v>
          </cell>
        </row>
        <row r="229">
          <cell r="A229" t="str">
            <v>W10821148</v>
          </cell>
          <cell r="B229" t="str">
            <v>REMACHE ALUMINIO</v>
          </cell>
          <cell r="C229" t="str">
            <v>PC</v>
          </cell>
          <cell r="D229" t="str">
            <v>REMACHE ALUMINIO</v>
          </cell>
          <cell r="E229" t="str">
            <v>REMACHE</v>
          </cell>
        </row>
        <row r="230">
          <cell r="A230" t="str">
            <v>W11526356</v>
          </cell>
          <cell r="B230" t="str">
            <v>LEVEL SCALE ASSY</v>
          </cell>
          <cell r="C230" t="str">
            <v>PC</v>
          </cell>
          <cell r="D230" t="str">
            <v>REGLA DE NIVEL WHP BL COPA 2.0</v>
          </cell>
          <cell r="E230" t="str">
            <v>REGLA DE NIVEL</v>
          </cell>
        </row>
        <row r="231">
          <cell r="A231" t="str">
            <v>W11287574</v>
          </cell>
          <cell r="B231" t="str">
            <v>PRIMER</v>
          </cell>
          <cell r="C231" t="str">
            <v>ML</v>
          </cell>
          <cell r="D231" t="str">
            <v>PRIMER (TESA)</v>
          </cell>
          <cell r="E231" t="str">
            <v>QUIMICOS-PRIMER</v>
          </cell>
        </row>
        <row r="232">
          <cell r="A232" t="str">
            <v>W10763490</v>
          </cell>
          <cell r="B232" t="str">
            <v>NANOCERÂMICO (TECTALIS MAKE UP A)</v>
          </cell>
          <cell r="C232" t="str">
            <v>G</v>
          </cell>
          <cell r="D232" t="str">
            <v>NANOCERÂMICO TECTALIS LADO A caneca grande NE</v>
          </cell>
          <cell r="E232" t="str">
            <v>QUIMICOS-NANOCERAMICO</v>
          </cell>
        </row>
        <row r="233">
          <cell r="A233" t="str">
            <v>W10748096</v>
          </cell>
          <cell r="B233" t="str">
            <v>GRAXA RS 34</v>
          </cell>
          <cell r="C233" t="str">
            <v>G</v>
          </cell>
          <cell r="D233" t="str">
            <v>GRASA RS34 25 KG COPA 2.0</v>
          </cell>
          <cell r="E233" t="str">
            <v>QUIMICOS-GRASA COPA2</v>
          </cell>
        </row>
        <row r="234">
          <cell r="A234" t="str">
            <v>326059648</v>
          </cell>
          <cell r="B234" t="str">
            <v>GRASA MULTIFAK EP2 00995</v>
          </cell>
          <cell r="C234" t="str">
            <v>KG</v>
          </cell>
          <cell r="D234" t="str">
            <v>GRASA CANECA 170 KG</v>
          </cell>
          <cell r="E234" t="str">
            <v>QUIMICOS-GRASA</v>
          </cell>
        </row>
        <row r="235">
          <cell r="A235" t="str">
            <v>W11546473</v>
          </cell>
          <cell r="B235" t="str">
            <v>GRAXA MULTIFAK EP2 00995</v>
          </cell>
          <cell r="C235" t="str">
            <v>KG</v>
          </cell>
          <cell r="D235" t="str">
            <v>GRASA EP2 00995 (5 GAL)</v>
          </cell>
          <cell r="E235" t="str">
            <v>QUIMICOS-GRASA</v>
          </cell>
        </row>
        <row r="236">
          <cell r="A236" t="str">
            <v>W10763489</v>
          </cell>
          <cell r="B236" t="str">
            <v>DESENGRAXANTE (P3 RYDOLINE 7163 CF5)</v>
          </cell>
          <cell r="C236" t="str">
            <v>G</v>
          </cell>
          <cell r="D236" t="str">
            <v>BONDERITE 7163 caneca mediana</v>
          </cell>
          <cell r="E236" t="str">
            <v>QUIMICOS-DESENGRASANTE</v>
          </cell>
        </row>
        <row r="237">
          <cell r="A237" t="str">
            <v>W10777934</v>
          </cell>
          <cell r="B237" t="str">
            <v>BONDERITE M-NT 1200 MAKE UP B HENKEL</v>
          </cell>
          <cell r="C237" t="str">
            <v>G</v>
          </cell>
          <cell r="D237" t="str">
            <v>BONDERITE-TECTALIS LADO B caneca grande NE</v>
          </cell>
          <cell r="E237" t="str">
            <v>QUIMICOS-BONDERITE</v>
          </cell>
        </row>
        <row r="238">
          <cell r="A238" t="str">
            <v>W10777932</v>
          </cell>
          <cell r="B238" t="str">
            <v>ADITIVO SURFACTANTE PRÉ TRATAMENT HENKE</v>
          </cell>
          <cell r="C238" t="str">
            <v>G</v>
          </cell>
          <cell r="D238" t="str">
            <v>ADITIVO HENKEL C-AD905 Caneca pequeña</v>
          </cell>
          <cell r="E238" t="str">
            <v>QUIMICOS-ADITIVO</v>
          </cell>
        </row>
        <row r="239">
          <cell r="A239" t="str">
            <v>W11572466</v>
          </cell>
          <cell r="B239" t="str">
            <v>PUXADOR</v>
          </cell>
          <cell r="C239" t="str">
            <v>PC</v>
          </cell>
          <cell r="D239" t="str">
            <v>PUXADOR ACROS</v>
          </cell>
          <cell r="E239" t="str">
            <v>PUXADOR</v>
          </cell>
        </row>
        <row r="240">
          <cell r="A240" t="str">
            <v>W10703510</v>
          </cell>
          <cell r="B240" t="str">
            <v>PUXADOR AGIPELLER WHP BLANCO</v>
          </cell>
          <cell r="C240" t="str">
            <v>PC</v>
          </cell>
          <cell r="D240" t="str">
            <v>PUXADOR AGP WHP (BLANCO)</v>
          </cell>
          <cell r="E240" t="str">
            <v>PUXADOR</v>
          </cell>
        </row>
        <row r="241">
          <cell r="A241" t="str">
            <v>W11238767</v>
          </cell>
          <cell r="B241" t="str">
            <v>PUXADOR AGIPELLER WHP SP</v>
          </cell>
          <cell r="C241" t="str">
            <v>PC</v>
          </cell>
          <cell r="D241" t="str">
            <v>PUXADOR AGP WHP SP</v>
          </cell>
          <cell r="E241" t="str">
            <v>PUXADOR</v>
          </cell>
        </row>
        <row r="242">
          <cell r="A242" t="str">
            <v>W11642308</v>
          </cell>
          <cell r="B242" t="str">
            <v>HANDLE TRIM,COAL GRA</v>
          </cell>
          <cell r="C242" t="str">
            <v>PC</v>
          </cell>
          <cell r="D242" t="str">
            <v>PUXADOR COAL COPA 2.0</v>
          </cell>
          <cell r="E242" t="str">
            <v>PUXADOR</v>
          </cell>
        </row>
        <row r="243">
          <cell r="A243" t="str">
            <v>W11500988</v>
          </cell>
          <cell r="B243" t="str">
            <v>HANDLE TRIM,CHR</v>
          </cell>
          <cell r="C243" t="str">
            <v>PC</v>
          </cell>
          <cell r="D243" t="str">
            <v>PUXADOR HCB CROMADO COPA 2.0</v>
          </cell>
          <cell r="E243" t="str">
            <v>PUXADOR</v>
          </cell>
        </row>
        <row r="244">
          <cell r="A244" t="str">
            <v>W11625463</v>
          </cell>
          <cell r="B244" t="str">
            <v>HANDLE TRIM, BLACK SHEEP</v>
          </cell>
          <cell r="C244" t="str">
            <v>PC</v>
          </cell>
          <cell r="D244" t="str">
            <v>PUXADOR NEGRO COPA 2.0</v>
          </cell>
          <cell r="E244" t="str">
            <v>PUXADOR</v>
          </cell>
        </row>
        <row r="245">
          <cell r="A245" t="str">
            <v>W10741520</v>
          </cell>
          <cell r="B245" t="str">
            <v>PROTECTOR DE TERMINALES</v>
          </cell>
          <cell r="C245" t="str">
            <v>PC</v>
          </cell>
          <cell r="D245" t="str">
            <v>PROTECTOR TERMINALES</v>
          </cell>
          <cell r="E245" t="str">
            <v>PROTECTOR TERMINALES</v>
          </cell>
        </row>
        <row r="246">
          <cell r="A246" t="str">
            <v>W11735694</v>
          </cell>
          <cell r="B246" t="str">
            <v>PROTECTOR POLEA EN ABS</v>
          </cell>
          <cell r="C246" t="str">
            <v>PC</v>
          </cell>
          <cell r="D246" t="str">
            <v>PROTECTOR POLEA EN ABS (FACTORIAS)</v>
          </cell>
          <cell r="E246" t="str">
            <v>PROTECTOR POLEA</v>
          </cell>
        </row>
        <row r="247">
          <cell r="A247" t="str">
            <v>W11734874</v>
          </cell>
          <cell r="B247" t="str">
            <v>PROTECTOR DE POLEA ABS COPA</v>
          </cell>
          <cell r="C247" t="str">
            <v>PC</v>
          </cell>
          <cell r="D247" t="str">
            <v>PROTECTOR POLEA EN ABS (TRUHER)</v>
          </cell>
          <cell r="E247" t="str">
            <v>PROTECTOR POLEA</v>
          </cell>
        </row>
        <row r="248">
          <cell r="A248" t="str">
            <v>W11094445</v>
          </cell>
          <cell r="B248" t="str">
            <v>FUNDO PROTETOR RESINA TANQUE</v>
          </cell>
          <cell r="C248" t="str">
            <v>PC</v>
          </cell>
          <cell r="D248" t="str">
            <v>FONDO PROTECTOR</v>
          </cell>
          <cell r="E248" t="str">
            <v>PROTECTOR COMPONENTES</v>
          </cell>
        </row>
        <row r="249">
          <cell r="A249" t="str">
            <v>W10876922</v>
          </cell>
          <cell r="B249" t="str">
            <v>PRESSURE SWITCH SEALING</v>
          </cell>
          <cell r="C249" t="str">
            <v>PC</v>
          </cell>
          <cell r="D249" t="str">
            <v>SELLO ESPUMA AGIPELLER (PRESSURE)</v>
          </cell>
          <cell r="E249" t="str">
            <v>PRESSURE</v>
          </cell>
        </row>
        <row r="250">
          <cell r="A250" t="str">
            <v>W11160690</v>
          </cell>
          <cell r="B250" t="str">
            <v>PRESSURE SENSOR</v>
          </cell>
          <cell r="C250" t="str">
            <v>PC</v>
          </cell>
          <cell r="D250" t="str">
            <v>PRESOSTATO LINEAL</v>
          </cell>
          <cell r="E250" t="str">
            <v>PRESOSTATO</v>
          </cell>
        </row>
        <row r="251">
          <cell r="A251" t="str">
            <v>W11491994</v>
          </cell>
          <cell r="B251" t="str">
            <v>HINGE POST</v>
          </cell>
          <cell r="C251" t="str">
            <v>PC</v>
          </cell>
          <cell r="D251" t="str">
            <v>POSTE BISAGRA NEGRO COPA 2.0</v>
          </cell>
          <cell r="E251" t="str">
            <v>POSTE BISAGRA</v>
          </cell>
        </row>
        <row r="252">
          <cell r="A252" t="str">
            <v>W11705450</v>
          </cell>
          <cell r="B252" t="str">
            <v>CONSOLA WHP IMPELLER COPA 2.0</v>
          </cell>
          <cell r="C252" t="str">
            <v>PC</v>
          </cell>
          <cell r="D252" t="str">
            <v>CONSOLA WHP SHELL COPA 2.0 CON REMOL</v>
          </cell>
          <cell r="E252" t="str">
            <v>PORTA TARJETAS</v>
          </cell>
        </row>
        <row r="253">
          <cell r="A253" t="str">
            <v>W10725000</v>
          </cell>
          <cell r="B253" t="str">
            <v>CJ TAMPO AGP HCB</v>
          </cell>
          <cell r="C253" t="str">
            <v>UN</v>
          </cell>
          <cell r="D253" t="str">
            <v>TAPA PORON HCB AGP</v>
          </cell>
          <cell r="E253" t="str">
            <v>PORON TAPA</v>
          </cell>
        </row>
        <row r="254">
          <cell r="A254" t="str">
            <v>W11535999</v>
          </cell>
          <cell r="B254" t="str">
            <v>Cj Tampo EPS Haceb</v>
          </cell>
          <cell r="C254" t="str">
            <v>PC</v>
          </cell>
          <cell r="D254" t="str">
            <v>TAPA PORON HCB COPA 2.0</v>
          </cell>
          <cell r="E254" t="str">
            <v>PORON TAPA</v>
          </cell>
        </row>
        <row r="255">
          <cell r="A255" t="str">
            <v>W10724998</v>
          </cell>
          <cell r="B255" t="str">
            <v>CJ TAMPO AGP WHP</v>
          </cell>
          <cell r="C255" t="str">
            <v>UN</v>
          </cell>
          <cell r="D255" t="str">
            <v>TAPA PORON WHP AGP</v>
          </cell>
          <cell r="E255" t="str">
            <v>PORON TAPA</v>
          </cell>
        </row>
        <row r="256">
          <cell r="A256" t="str">
            <v>W11536005</v>
          </cell>
          <cell r="B256" t="str">
            <v>Cj Tampo EPS WHP Spanish</v>
          </cell>
          <cell r="C256" t="str">
            <v>PC</v>
          </cell>
          <cell r="D256" t="str">
            <v>TAPA PORON WHP COPA 2.0</v>
          </cell>
          <cell r="E256" t="str">
            <v>PORON TAPA</v>
          </cell>
        </row>
        <row r="257">
          <cell r="A257" t="str">
            <v>W10672816</v>
          </cell>
          <cell r="B257" t="str">
            <v>CJ CUBIERTA SUPERIOR</v>
          </cell>
          <cell r="C257" t="str">
            <v>PC</v>
          </cell>
          <cell r="D257" t="str">
            <v>TAPA PORON WHP IMP</v>
          </cell>
          <cell r="E257" t="str">
            <v>PORON TAPA</v>
          </cell>
        </row>
        <row r="258">
          <cell r="A258" t="str">
            <v>W11700209</v>
          </cell>
          <cell r="B258" t="str">
            <v>EPS TOP ASSEMBLY WHP BEST - ENGLISH</v>
          </cell>
          <cell r="C258" t="str">
            <v>PC</v>
          </cell>
          <cell r="D258" t="str">
            <v>TAPA PORON WHP MEX</v>
          </cell>
          <cell r="E258" t="str">
            <v>PORON TAPA</v>
          </cell>
        </row>
        <row r="259">
          <cell r="A259" t="str">
            <v>W11760032</v>
          </cell>
          <cell r="B259" t="str">
            <v>TOP COVER ASSY BP TRIL. W/O HANDLE</v>
          </cell>
          <cell r="C259" t="str">
            <v>PC</v>
          </cell>
          <cell r="D259" t="str">
            <v>TAPA PORON BOTERO</v>
          </cell>
          <cell r="E259" t="str">
            <v>PORON TAPA</v>
          </cell>
        </row>
        <row r="260">
          <cell r="A260" t="str">
            <v>W11483986</v>
          </cell>
          <cell r="B260" t="str">
            <v>LID SUPPORT HCB, NEU</v>
          </cell>
          <cell r="C260" t="str">
            <v>PC</v>
          </cell>
          <cell r="D260" t="str">
            <v>SOPORTE PORON TAPA HCB COPA 2.0</v>
          </cell>
          <cell r="E260" t="str">
            <v>PORON SOPORTE VIDRIO</v>
          </cell>
        </row>
        <row r="261">
          <cell r="A261" t="str">
            <v>W11483973</v>
          </cell>
          <cell r="B261" t="str">
            <v>LID SUPPORT WHP, NEU</v>
          </cell>
          <cell r="C261" t="str">
            <v>PC</v>
          </cell>
          <cell r="D261" t="str">
            <v>SOPORTE PORON TAPA WHP COPA 2.0</v>
          </cell>
          <cell r="E261" t="str">
            <v>PORON SOPORTE VIDRIO</v>
          </cell>
        </row>
        <row r="262">
          <cell r="A262" t="str">
            <v>W10717793</v>
          </cell>
          <cell r="B262" t="str">
            <v>ESQUINERO TRASERO</v>
          </cell>
          <cell r="C262" t="str">
            <v>PC</v>
          </cell>
          <cell r="D262" t="str">
            <v>ESQUINERO PORON TRASERO BEST</v>
          </cell>
          <cell r="E262" t="str">
            <v>PORON ESQUIN TRAS</v>
          </cell>
        </row>
        <row r="263">
          <cell r="A263" t="str">
            <v>W11490324</v>
          </cell>
          <cell r="B263" t="str">
            <v>REAR CORNER EPS BEST</v>
          </cell>
          <cell r="C263" t="str">
            <v>PC</v>
          </cell>
          <cell r="D263" t="str">
            <v>ESQUINERO PORON TRASERO BEST COPA 2.0</v>
          </cell>
          <cell r="E263" t="str">
            <v>PORON ESQUIN TRAS</v>
          </cell>
        </row>
        <row r="264">
          <cell r="A264" t="str">
            <v>W11483976</v>
          </cell>
          <cell r="B264" t="str">
            <v>REAR CORNER EPS, NEU</v>
          </cell>
          <cell r="C264" t="str">
            <v>PC</v>
          </cell>
          <cell r="D264" t="str">
            <v>ESQUINERO PORON TRASERO GOOD COPA 2.0</v>
          </cell>
          <cell r="E264" t="str">
            <v>PORON ESQUIN TRAS</v>
          </cell>
        </row>
        <row r="265">
          <cell r="A265" t="str">
            <v>W11490321</v>
          </cell>
          <cell r="B265" t="str">
            <v>FRONT CORNER EPS BES</v>
          </cell>
          <cell r="C265" t="str">
            <v>PC</v>
          </cell>
          <cell r="D265" t="str">
            <v>ESQUINERO PORON FRONT BEST COPA 2.0</v>
          </cell>
          <cell r="E265" t="str">
            <v>PORON ESQUIN FRONT</v>
          </cell>
        </row>
        <row r="266">
          <cell r="A266" t="str">
            <v>W11483975</v>
          </cell>
          <cell r="B266" t="str">
            <v>FRONT CORNER EPS, NE</v>
          </cell>
          <cell r="C266" t="str">
            <v>PC</v>
          </cell>
          <cell r="D266" t="str">
            <v>ESQUINERO PORON FRONT GOOD COPA 2.0</v>
          </cell>
          <cell r="E266" t="str">
            <v>PORON ESQUIN FRONT</v>
          </cell>
        </row>
        <row r="267">
          <cell r="A267" t="str">
            <v>W10717792</v>
          </cell>
          <cell r="B267" t="str">
            <v>ESQUINERO FRONTAL</v>
          </cell>
          <cell r="C267" t="str">
            <v>PC</v>
          </cell>
          <cell r="D267" t="str">
            <v>ESQUINERO PORON FRONTAL BEST</v>
          </cell>
          <cell r="E267" t="str">
            <v>PORON ESQUIN FRONT</v>
          </cell>
        </row>
        <row r="268">
          <cell r="A268" t="str">
            <v>W11483974</v>
          </cell>
          <cell r="B268" t="str">
            <v>EPS BASE, NEU</v>
          </cell>
          <cell r="C268" t="str">
            <v>PC</v>
          </cell>
          <cell r="D268" t="str">
            <v>BASE EPS GOOD-BEST COPA 2.0</v>
          </cell>
          <cell r="E268" t="str">
            <v>PORON BASE</v>
          </cell>
        </row>
        <row r="269">
          <cell r="A269" t="str">
            <v>W10717791</v>
          </cell>
          <cell r="B269" t="str">
            <v>BASE TRANSPORTE</v>
          </cell>
          <cell r="C269" t="str">
            <v>PC</v>
          </cell>
          <cell r="D269" t="str">
            <v>BASE PORON BEST</v>
          </cell>
          <cell r="E269" t="str">
            <v>PORON BASE</v>
          </cell>
        </row>
        <row r="270">
          <cell r="A270" t="str">
            <v>W10672820</v>
          </cell>
          <cell r="B270" t="str">
            <v>BASE TRANSPORTE_BETTER</v>
          </cell>
          <cell r="C270" t="str">
            <v>PC</v>
          </cell>
          <cell r="D270" t="str">
            <v>BASE PORON BETTER</v>
          </cell>
          <cell r="E270" t="str">
            <v>PORON BASE</v>
          </cell>
        </row>
        <row r="271">
          <cell r="A271" t="str">
            <v>W11552554</v>
          </cell>
          <cell r="B271" t="str">
            <v>Polea 50Hz</v>
          </cell>
          <cell r="C271" t="str">
            <v>PC</v>
          </cell>
          <cell r="D271" t="str">
            <v>POLEA 50HZ</v>
          </cell>
          <cell r="E271" t="str">
            <v>POLEAS</v>
          </cell>
        </row>
        <row r="272">
          <cell r="A272" t="str">
            <v>W11552555</v>
          </cell>
          <cell r="B272" t="str">
            <v>Polea 60Hz</v>
          </cell>
          <cell r="C272" t="str">
            <v>PC</v>
          </cell>
          <cell r="D272" t="str">
            <v>POLEA 60HZ</v>
          </cell>
          <cell r="E272" t="str">
            <v>POLEAS</v>
          </cell>
        </row>
        <row r="273">
          <cell r="A273" t="str">
            <v>W11486735</v>
          </cell>
          <cell r="B273" t="str">
            <v>PLUG BALANCE RING</v>
          </cell>
          <cell r="C273" t="str">
            <v>PC</v>
          </cell>
          <cell r="D273" t="str">
            <v>PLUG BLANCO COPA 2.0</v>
          </cell>
          <cell r="E273" t="str">
            <v>PLUG</v>
          </cell>
        </row>
        <row r="274">
          <cell r="A274" t="str">
            <v>W11351945</v>
          </cell>
          <cell r="B274" t="str">
            <v>PLUG</v>
          </cell>
          <cell r="C274" t="str">
            <v>PC</v>
          </cell>
          <cell r="D274" t="str">
            <v>PLUG HCB BLANCO</v>
          </cell>
          <cell r="E274" t="str">
            <v>PLUG</v>
          </cell>
        </row>
        <row r="275">
          <cell r="A275" t="str">
            <v>W11351948</v>
          </cell>
          <cell r="B275" t="str">
            <v>PLUG</v>
          </cell>
          <cell r="C275" t="str">
            <v>PC</v>
          </cell>
          <cell r="D275" t="str">
            <v>PLUG WHP GRIS</v>
          </cell>
          <cell r="E275" t="str">
            <v>PLUG</v>
          </cell>
        </row>
        <row r="276">
          <cell r="A276" t="str">
            <v>W10756449</v>
          </cell>
          <cell r="B276" t="str">
            <v>BOLSA PLASTICA STRETCH HOOD</v>
          </cell>
          <cell r="C276" t="str">
            <v>KG</v>
          </cell>
          <cell r="D276" t="str">
            <v>PLASTICO STRETCH HOOD(580+530)x3,15 80M</v>
          </cell>
          <cell r="E276" t="str">
            <v>PLASTICO DE EMPAQUE</v>
          </cell>
        </row>
        <row r="277">
          <cell r="A277" t="str">
            <v>W11491726</v>
          </cell>
          <cell r="B277" t="str">
            <v>ACU, ASSY, LAR COPA2, BATMAN, PANASONIC</v>
          </cell>
          <cell r="C277" t="str">
            <v>PC</v>
          </cell>
          <cell r="D277" t="str">
            <v>PLACA POTENCIA BATMAN LAR COPA 2.0</v>
          </cell>
          <cell r="E277" t="str">
            <v>PLACA POTENCIA</v>
          </cell>
        </row>
        <row r="278">
          <cell r="A278" t="str">
            <v>W11553515</v>
          </cell>
          <cell r="B278" t="str">
            <v>CTRL-LAR COPA2, BATMAN, PANASONIC</v>
          </cell>
          <cell r="C278" t="str">
            <v>PC</v>
          </cell>
          <cell r="D278" t="str">
            <v>PLACA POTENCIA BATMAN PANASONIC COPA 2.0</v>
          </cell>
          <cell r="E278" t="str">
            <v>PLACA POTENCIA</v>
          </cell>
        </row>
        <row r="279">
          <cell r="A279" t="str">
            <v>W11036799</v>
          </cell>
          <cell r="B279" t="str">
            <v>POWER BOARD ASSY COPACABANA</v>
          </cell>
          <cell r="C279" t="str">
            <v>PC</v>
          </cell>
          <cell r="D279" t="str">
            <v>PLACA POTENCIA MAKAIRA</v>
          </cell>
          <cell r="E279" t="str">
            <v>PLACA POTENCIA</v>
          </cell>
        </row>
        <row r="280">
          <cell r="A280" t="str">
            <v>W11133652</v>
          </cell>
          <cell r="B280" t="str">
            <v>POWER BOARD ASSY COPACABANA LOW</v>
          </cell>
          <cell r="C280" t="str">
            <v>PC</v>
          </cell>
          <cell r="D280" t="str">
            <v>PLACA POTENCIA MAKAIRA (LOW)</v>
          </cell>
          <cell r="E280" t="str">
            <v>PLACA POTENCIA</v>
          </cell>
        </row>
        <row r="281">
          <cell r="A281" t="str">
            <v>W10763437</v>
          </cell>
          <cell r="B281" t="str">
            <v>ESMALTE HIBRIDO BLANCO</v>
          </cell>
          <cell r="C281" t="str">
            <v>KG</v>
          </cell>
          <cell r="D281" t="str">
            <v>PINTURA BLANCA</v>
          </cell>
          <cell r="E281" t="str">
            <v>PINTURAS</v>
          </cell>
        </row>
        <row r="282">
          <cell r="A282" t="str">
            <v>W11660525</v>
          </cell>
          <cell r="B282" t="str">
            <v>Pintura Nuevo Coal Gray</v>
          </cell>
          <cell r="C282" t="str">
            <v>KG</v>
          </cell>
          <cell r="D282" t="str">
            <v>PINTURA COAL GRAY</v>
          </cell>
          <cell r="E282" t="str">
            <v>PINTURAS</v>
          </cell>
        </row>
        <row r="283">
          <cell r="A283" t="str">
            <v>W10763441</v>
          </cell>
          <cell r="B283" t="str">
            <v>ESMALTE HIBRIDO TEMPEST</v>
          </cell>
          <cell r="C283" t="str">
            <v>KG</v>
          </cell>
          <cell r="D283" t="str">
            <v>PINTURA GRIS TEMPEST</v>
          </cell>
          <cell r="E283" t="str">
            <v>PINTURAS</v>
          </cell>
        </row>
        <row r="284">
          <cell r="A284" t="str">
            <v>W11254879</v>
          </cell>
          <cell r="B284" t="str">
            <v>ESMALTE HIBRIDO PÓ NEGRO</v>
          </cell>
          <cell r="C284" t="str">
            <v>KG</v>
          </cell>
          <cell r="D284" t="str">
            <v>PINTURA NEGRA</v>
          </cell>
          <cell r="E284" t="str">
            <v>PINTURAS</v>
          </cell>
        </row>
        <row r="285">
          <cell r="A285" t="str">
            <v>W10679136</v>
          </cell>
          <cell r="B285" t="str">
            <v>PIN DE BISAGRA</v>
          </cell>
          <cell r="C285" t="str">
            <v>PC</v>
          </cell>
          <cell r="D285" t="str">
            <v>PIN BISAGRA</v>
          </cell>
          <cell r="E285" t="str">
            <v>PIN BISAGRA</v>
          </cell>
        </row>
        <row r="286">
          <cell r="A286" t="str">
            <v>W11501897</v>
          </cell>
          <cell r="B286" t="str">
            <v>LEVELER FOOT BLACK</v>
          </cell>
          <cell r="C286" t="str">
            <v>PC</v>
          </cell>
          <cell r="D286" t="str">
            <v>PIE NIVELADOR NEGRO</v>
          </cell>
          <cell r="E286" t="str">
            <v>PIE NIVELADOR</v>
          </cell>
        </row>
        <row r="287">
          <cell r="A287" t="str">
            <v>W11501898</v>
          </cell>
          <cell r="B287" t="str">
            <v>LEVELER FOOT TEMPEST</v>
          </cell>
          <cell r="C287" t="str">
            <v>PC</v>
          </cell>
          <cell r="D287" t="str">
            <v>PIE NIVELADOR TEMPEST</v>
          </cell>
          <cell r="E287" t="str">
            <v>PIE NIVELADOR</v>
          </cell>
        </row>
        <row r="288">
          <cell r="A288" t="str">
            <v>W11641191</v>
          </cell>
          <cell r="B288" t="str">
            <v>CYCLE KNOB HACEB BLACK ASSY</v>
          </cell>
          <cell r="C288" t="str">
            <v>PC</v>
          </cell>
          <cell r="D288" t="str">
            <v>PERILLA CICLOS HCB NEGRA</v>
          </cell>
          <cell r="E288" t="str">
            <v>PERILLAS</v>
          </cell>
        </row>
        <row r="289">
          <cell r="A289" t="str">
            <v>W10703613</v>
          </cell>
          <cell r="B289" t="str">
            <v>PERILLA CICLOS WHP NEGRA (Grande)</v>
          </cell>
          <cell r="C289" t="str">
            <v>UN</v>
          </cell>
          <cell r="D289" t="str">
            <v>PERILLA CICLOS WHP NEGRA (GRANDE)</v>
          </cell>
          <cell r="E289" t="str">
            <v>PERILLAS</v>
          </cell>
        </row>
        <row r="290">
          <cell r="A290" t="str">
            <v>W11548734</v>
          </cell>
          <cell r="B290" t="str">
            <v>CYCLE KNOB HACEB SOLID SILVER ASSY</v>
          </cell>
          <cell r="C290" t="str">
            <v>PC</v>
          </cell>
          <cell r="D290" t="str">
            <v>PERILLA DE CICLOS HCB COAL (NEGRA)</v>
          </cell>
          <cell r="E290" t="str">
            <v>PERILLAS</v>
          </cell>
        </row>
        <row r="291">
          <cell r="A291" t="str">
            <v>W11548735</v>
          </cell>
          <cell r="B291" t="str">
            <v>CYCLE KNOB HACEB SOLID SILVER ASSY</v>
          </cell>
          <cell r="C291" t="str">
            <v>PC</v>
          </cell>
          <cell r="D291" t="str">
            <v>PERILLA ENCODER HCB COAL (NEGRA)</v>
          </cell>
          <cell r="E291" t="str">
            <v>PERILLAS</v>
          </cell>
        </row>
        <row r="292">
          <cell r="A292" t="str">
            <v>W11641196</v>
          </cell>
          <cell r="B292" t="str">
            <v>ENCODER KNOB ASSY BLACK</v>
          </cell>
          <cell r="C292" t="str">
            <v>PC</v>
          </cell>
          <cell r="D292" t="str">
            <v>PERILLA ENCODER HCB NEGRA</v>
          </cell>
          <cell r="E292" t="str">
            <v>PERILLAS</v>
          </cell>
        </row>
        <row r="293">
          <cell r="A293" t="str">
            <v>W11501490</v>
          </cell>
          <cell r="B293" t="str">
            <v>IMD Producto 11kg Argentina</v>
          </cell>
          <cell r="C293" t="str">
            <v>PC</v>
          </cell>
          <cell r="D293" t="str">
            <v>PANEL-CONSOLA IMD 11KG ARG COPA 2.0</v>
          </cell>
          <cell r="E293" t="str">
            <v>PANEL DECORATIVO IMD</v>
          </cell>
        </row>
        <row r="294">
          <cell r="A294" t="str">
            <v>W11675631</v>
          </cell>
          <cell r="B294" t="str">
            <v>CONSOLE IMPELLER WHP (PS)</v>
          </cell>
          <cell r="C294" t="str">
            <v>PC</v>
          </cell>
          <cell r="D294" t="str">
            <v>PANEL-CONSOLA IMD 17 KG PORTUGUES COPA 2.0</v>
          </cell>
          <cell r="E294" t="str">
            <v>PANEL DECORATIVO IMD</v>
          </cell>
        </row>
        <row r="295">
          <cell r="A295" t="str">
            <v>W11501470</v>
          </cell>
          <cell r="B295" t="str">
            <v>PANEL CONSOLE IMPELLER WHP</v>
          </cell>
          <cell r="C295" t="str">
            <v>PC</v>
          </cell>
          <cell r="D295" t="str">
            <v>PANEL-CONSOLA IMD 17KG COL COPA 2.0</v>
          </cell>
          <cell r="E295" t="str">
            <v>PANEL DECORATIVO IMD</v>
          </cell>
        </row>
        <row r="296">
          <cell r="A296" t="str">
            <v>W11501478</v>
          </cell>
          <cell r="B296" t="str">
            <v>PANEL CONSOLE IMPELLER WHP (PS)</v>
          </cell>
          <cell r="C296" t="str">
            <v>PC</v>
          </cell>
          <cell r="D296" t="str">
            <v>PANEL-CONSOLA IMD 17KG INGLES COPA 2.0</v>
          </cell>
          <cell r="E296" t="str">
            <v>PANEL DECORATIVO IMD</v>
          </cell>
        </row>
        <row r="297">
          <cell r="A297" t="str">
            <v>W11501485</v>
          </cell>
          <cell r="B297" t="str">
            <v>PANEL CONSOLE IMPELLER WHP</v>
          </cell>
          <cell r="C297" t="str">
            <v>PC</v>
          </cell>
          <cell r="D297" t="str">
            <v>PANEL-CONSOLA IMD 17KG PERU COPA 2.0</v>
          </cell>
          <cell r="E297" t="str">
            <v>PANEL DECORATIVO IMD</v>
          </cell>
        </row>
        <row r="298">
          <cell r="A298" t="str">
            <v>W11501481</v>
          </cell>
          <cell r="B298" t="str">
            <v>PANEL CONSOLE IMPELLER WHP (PS)</v>
          </cell>
          <cell r="C298" t="str">
            <v>PC</v>
          </cell>
          <cell r="D298" t="str">
            <v>PANEL-CONSOLA IMD 20KG INGLES COPA 2.0</v>
          </cell>
          <cell r="E298" t="str">
            <v>PANEL DECORATIVO IMD</v>
          </cell>
        </row>
        <row r="299">
          <cell r="A299" t="str">
            <v>W11501486</v>
          </cell>
          <cell r="B299" t="str">
            <v>PANEL CONSOLE IMPELLER WHP</v>
          </cell>
          <cell r="C299" t="str">
            <v>PC</v>
          </cell>
          <cell r="D299" t="str">
            <v>PANEL-CONSOLA IMD 20KG UPB COPA 2.0</v>
          </cell>
          <cell r="E299" t="str">
            <v>PANEL DECORATIVO IMD</v>
          </cell>
        </row>
        <row r="300">
          <cell r="A300" t="str">
            <v>W11682101</v>
          </cell>
          <cell r="B300" t="str">
            <v>CONSOLE IMPELLER WHP (PS)</v>
          </cell>
          <cell r="C300" t="str">
            <v>PC</v>
          </cell>
          <cell r="D300" t="str">
            <v>PANEL-CONSOLA IMD WHP NEGRA 21 Kg COP 2.0</v>
          </cell>
          <cell r="E300" t="str">
            <v>PANEL DECORATIVO IMD</v>
          </cell>
        </row>
        <row r="301">
          <cell r="A301" t="str">
            <v>W11525594</v>
          </cell>
          <cell r="B301" t="str">
            <v>PANEL CONSOLE IMPELLER WHP</v>
          </cell>
          <cell r="C301" t="str">
            <v>PC</v>
          </cell>
          <cell r="D301" t="str">
            <v>PANEL-CONSOLA IMD WW19BTAHLA COPA 2.0</v>
          </cell>
          <cell r="E301" t="str">
            <v>PANEL DECORATIVO IMD</v>
          </cell>
        </row>
        <row r="302">
          <cell r="A302" t="str">
            <v>W11501474</v>
          </cell>
          <cell r="B302" t="str">
            <v>PANEL CONSOLE IMPELLER WHP (PS)</v>
          </cell>
          <cell r="C302" t="str">
            <v>PC</v>
          </cell>
          <cell r="D302" t="str">
            <v>PANEL-CONSOLA IMD WW19LBAHLA/BLA COPA 2.0</v>
          </cell>
          <cell r="E302" t="str">
            <v>PANEL DECORATIVO IMD</v>
          </cell>
        </row>
        <row r="303">
          <cell r="A303" t="str">
            <v>W11501475</v>
          </cell>
          <cell r="B303" t="str">
            <v>PANEL CONSOLE IMPELLER WHP (PS)</v>
          </cell>
          <cell r="C303" t="str">
            <v>PC</v>
          </cell>
          <cell r="D303" t="str">
            <v>PANEL-CONSOLA IMD WW19LTAHLA COPA 2.0</v>
          </cell>
          <cell r="E303" t="str">
            <v>PANEL DECORATIVO IMD</v>
          </cell>
        </row>
        <row r="304">
          <cell r="A304" t="str">
            <v>W11501477</v>
          </cell>
          <cell r="B304" t="str">
            <v>PANEL CONSOLE IMPELLER WHP</v>
          </cell>
          <cell r="C304" t="str">
            <v>PC</v>
          </cell>
          <cell r="D304" t="str">
            <v>PANEL-CONSOLA IMD WW20B COPA 2.0</v>
          </cell>
          <cell r="E304" t="str">
            <v>PANEL DECORATIVO IMD</v>
          </cell>
        </row>
        <row r="305">
          <cell r="A305" t="str">
            <v>W11525592</v>
          </cell>
          <cell r="B305" t="str">
            <v>PANEL CONSOLE IMPELLER WHP</v>
          </cell>
          <cell r="C305" t="str">
            <v>PC</v>
          </cell>
          <cell r="D305" t="str">
            <v>PANEL-CONSOLA IMD WW20LTAHLA COPA 2.0</v>
          </cell>
          <cell r="E305" t="str">
            <v>PANEL DECORATIVO IMD</v>
          </cell>
        </row>
        <row r="306">
          <cell r="A306" t="str">
            <v>W11548416</v>
          </cell>
          <cell r="B306" t="str">
            <v>PAINEL DECORATIVO HACEB</v>
          </cell>
          <cell r="C306" t="str">
            <v>PC</v>
          </cell>
          <cell r="D306" t="str">
            <v>PANEL DECORATIVO HACEB HW13UOHCO</v>
          </cell>
          <cell r="E306" t="str">
            <v>PANEL DECORATIVO</v>
          </cell>
        </row>
        <row r="307">
          <cell r="A307" t="str">
            <v>W11707206</v>
          </cell>
          <cell r="B307" t="str">
            <v>PAINEL DECORATIVO HACEB</v>
          </cell>
          <cell r="C307" t="str">
            <v>PC</v>
          </cell>
          <cell r="D307" t="str">
            <v>PANEL DECORATIVO HCB HW14MOAHCO</v>
          </cell>
          <cell r="E307" t="str">
            <v>PANEL DECORATIVO</v>
          </cell>
        </row>
        <row r="308">
          <cell r="A308" t="str">
            <v>W11548420</v>
          </cell>
          <cell r="B308" t="str">
            <v>PAINEL DECORATIVO HACEB</v>
          </cell>
          <cell r="C308" t="str">
            <v>PC</v>
          </cell>
          <cell r="D308" t="str">
            <v>PANEL AGP HCB 18 KG (MIZU-MOX)</v>
          </cell>
          <cell r="E308" t="str">
            <v>PANEL DECORATIVO</v>
          </cell>
        </row>
        <row r="309">
          <cell r="A309" t="str">
            <v>W11688393</v>
          </cell>
          <cell r="B309" t="str">
            <v>PAINEL DECORATIVO HACEB</v>
          </cell>
          <cell r="C309" t="str">
            <v>PC</v>
          </cell>
          <cell r="D309" t="str">
            <v>PANEL DECORATIVO 14KG</v>
          </cell>
          <cell r="E309" t="str">
            <v>PANEL DECORATIVO</v>
          </cell>
        </row>
        <row r="310">
          <cell r="A310" t="str">
            <v>W11690228</v>
          </cell>
          <cell r="B310" t="str">
            <v>PAINEL DECORATIVO HACEB</v>
          </cell>
          <cell r="C310" t="str">
            <v>PC</v>
          </cell>
          <cell r="D310" t="str">
            <v>PANEL DECORATIVO 16KG</v>
          </cell>
          <cell r="E310" t="str">
            <v>PANEL DECORATIVO</v>
          </cell>
        </row>
        <row r="311">
          <cell r="A311" t="str">
            <v>W11672696</v>
          </cell>
          <cell r="B311" t="str">
            <v>OVERLAY BOTERO,19KG</v>
          </cell>
          <cell r="C311" t="str">
            <v>PC</v>
          </cell>
          <cell r="D311" t="str">
            <v>PANEL DECORATIVO 19KG BOTERO</v>
          </cell>
          <cell r="E311" t="str">
            <v>PANEL DECORATIVO</v>
          </cell>
        </row>
        <row r="312">
          <cell r="A312" t="str">
            <v>W11672697</v>
          </cell>
          <cell r="B312" t="str">
            <v>OVERLAY BOTERO,20KG</v>
          </cell>
          <cell r="C312" t="str">
            <v>PC</v>
          </cell>
          <cell r="D312" t="str">
            <v>PANEL DECORATIVO 20KG BOTERO</v>
          </cell>
          <cell r="E312" t="str">
            <v>PANEL DECORATIVO</v>
          </cell>
        </row>
        <row r="313">
          <cell r="A313" t="str">
            <v>W11707199</v>
          </cell>
          <cell r="B313" t="str">
            <v>PAINEL DECORATIVO HACEB</v>
          </cell>
          <cell r="C313" t="str">
            <v>PC</v>
          </cell>
          <cell r="D313" t="str">
            <v>PANEL DECORATIVO HCB 16KG</v>
          </cell>
          <cell r="E313" t="str">
            <v>PANEL DECORATIVO</v>
          </cell>
        </row>
        <row r="314">
          <cell r="A314" t="str">
            <v>W11707205</v>
          </cell>
          <cell r="B314" t="str">
            <v>PAINEL DECORATIVO HACEB</v>
          </cell>
          <cell r="C314" t="str">
            <v>PC</v>
          </cell>
          <cell r="D314" t="str">
            <v>PANEL DECORATIVO HCB 19KG</v>
          </cell>
          <cell r="E314" t="str">
            <v>PANEL DECORATIVO</v>
          </cell>
        </row>
        <row r="315">
          <cell r="A315" t="str">
            <v>W11638748</v>
          </cell>
          <cell r="B315" t="str">
            <v>PAINEL DECORATIVO HACEB</v>
          </cell>
          <cell r="C315" t="str">
            <v>PC</v>
          </cell>
          <cell r="D315" t="str">
            <v>PANEL DECORATIVO HCB HW18MOAHCO</v>
          </cell>
          <cell r="E315" t="str">
            <v>PANEL DECORATIVO</v>
          </cell>
        </row>
        <row r="316">
          <cell r="A316" t="str">
            <v>W11688390</v>
          </cell>
          <cell r="B316" t="str">
            <v>PAINEL DECORATIVO WHP</v>
          </cell>
          <cell r="C316" t="str">
            <v>PC</v>
          </cell>
          <cell r="D316" t="str">
            <v>PANEL DECORATIVO WHP 9 KG</v>
          </cell>
          <cell r="E316" t="str">
            <v>PANEL DECORATIVO</v>
          </cell>
        </row>
        <row r="317">
          <cell r="A317" t="str">
            <v>W11547341</v>
          </cell>
          <cell r="B317" t="str">
            <v>OVERLAY</v>
          </cell>
          <cell r="C317" t="str">
            <v>PC</v>
          </cell>
          <cell r="D317" t="str">
            <v>PANEL DECORATIVO AGP WWG15 (15 KG)</v>
          </cell>
          <cell r="E317" t="str">
            <v>PANEL DECORATIVO</v>
          </cell>
        </row>
        <row r="318">
          <cell r="A318" t="str">
            <v>W11382983</v>
          </cell>
          <cell r="B318" t="str">
            <v>OVERLAY</v>
          </cell>
          <cell r="C318" t="str">
            <v>PC</v>
          </cell>
          <cell r="D318" t="str">
            <v>PANEL DECORATIVO AGP WWG18BSHLA</v>
          </cell>
          <cell r="E318" t="str">
            <v>PANEL DECORATIVO</v>
          </cell>
        </row>
        <row r="319">
          <cell r="A319" t="str">
            <v>W11707201</v>
          </cell>
          <cell r="B319" t="str">
            <v>PAINEL DECORATIVO HACEB</v>
          </cell>
          <cell r="C319" t="str">
            <v>PC</v>
          </cell>
          <cell r="D319" t="str">
            <v>PANEL DECORTIVO HCB 20KG</v>
          </cell>
          <cell r="E319" t="str">
            <v>PANEL DECORATIVO</v>
          </cell>
        </row>
        <row r="320">
          <cell r="A320" t="str">
            <v>W11487592</v>
          </cell>
          <cell r="B320" t="str">
            <v>PAINEL DECORATIVO HACEB</v>
          </cell>
          <cell r="C320" t="str">
            <v>PC</v>
          </cell>
          <cell r="D320" t="str">
            <v>PANEL IMP HCB 14 KG (ZOU/D BL)</v>
          </cell>
          <cell r="E320" t="str">
            <v>PANEL DECORATIVO</v>
          </cell>
        </row>
        <row r="321">
          <cell r="A321" t="str">
            <v>W11502601</v>
          </cell>
          <cell r="B321" t="str">
            <v>PAINEL DECORATIVO HACEB</v>
          </cell>
          <cell r="C321" t="str">
            <v>PC</v>
          </cell>
          <cell r="D321" t="str">
            <v>PANEL IMP HCB 14 KG (ZOU/D NE)</v>
          </cell>
          <cell r="E321" t="str">
            <v>PANEL DECORATIVO</v>
          </cell>
        </row>
        <row r="322">
          <cell r="A322" t="str">
            <v>W11502616</v>
          </cell>
          <cell r="B322" t="str">
            <v>PAINEL DECORATIVO HACEB</v>
          </cell>
          <cell r="C322" t="str">
            <v>PC</v>
          </cell>
          <cell r="D322" t="str">
            <v>PANEL IMP HCB 20 KG (ZOU/D INOX) AGUA CAL</v>
          </cell>
          <cell r="E322" t="str">
            <v>PANEL DECORATIVO</v>
          </cell>
        </row>
        <row r="323">
          <cell r="A323" t="str">
            <v>W11035715</v>
          </cell>
          <cell r="B323" t="str">
            <v>PANEL TRASERO WHP</v>
          </cell>
          <cell r="C323" t="str">
            <v>PC</v>
          </cell>
          <cell r="D323" t="str">
            <v>PANEL TRASERO WHP</v>
          </cell>
          <cell r="E323" t="str">
            <v>PANEL DECORATIVO</v>
          </cell>
        </row>
        <row r="324">
          <cell r="A324" t="str">
            <v>W11125982</v>
          </cell>
          <cell r="B324" t="str">
            <v>OVERLAY</v>
          </cell>
          <cell r="C324" t="str">
            <v>PC</v>
          </cell>
          <cell r="D324" t="str">
            <v>PANEL WHP AGP 18 KG</v>
          </cell>
          <cell r="E324" t="str">
            <v>PANEL DECORATIVO</v>
          </cell>
        </row>
        <row r="325">
          <cell r="A325" t="str">
            <v>W10655120</v>
          </cell>
          <cell r="B325" t="str">
            <v>PALANCA MICRO LLAVE WWI13AB/AS</v>
          </cell>
          <cell r="C325" t="str">
            <v>PC</v>
          </cell>
          <cell r="D325" t="str">
            <v>PALANCA MICRO CHAVE</v>
          </cell>
          <cell r="E325" t="str">
            <v>PALANCA MICROLLAVE</v>
          </cell>
        </row>
        <row r="326">
          <cell r="A326" t="str">
            <v>W11230602</v>
          </cell>
          <cell r="B326" t="str">
            <v>CJ MOTOR/POLIA 230/50 HZ 1/4 HP</v>
          </cell>
          <cell r="C326" t="str">
            <v>PC</v>
          </cell>
          <cell r="D326" t="str">
            <v>MOTOR 230/50 HZ 1/4 HP (GOOD)</v>
          </cell>
          <cell r="E326" t="str">
            <v>MOTORES</v>
          </cell>
        </row>
        <row r="327">
          <cell r="A327" t="str">
            <v>W11195522</v>
          </cell>
          <cell r="B327" t="str">
            <v>MOTOR WELLING 1/4-127/60 DIECAST PULLEY</v>
          </cell>
          <cell r="C327" t="str">
            <v>PC</v>
          </cell>
          <cell r="D327" t="str">
            <v>MOTOR WELLING 1/4-127/60 (GOOD)</v>
          </cell>
          <cell r="E327" t="str">
            <v>MOTORES</v>
          </cell>
        </row>
        <row r="328">
          <cell r="A328" t="str">
            <v>W11195520</v>
          </cell>
          <cell r="B328" t="str">
            <v>MOTOR WELLING 127V 60HZ DIE CAST PULLEY</v>
          </cell>
          <cell r="C328" t="str">
            <v>PC</v>
          </cell>
          <cell r="D328" t="str">
            <v>MOTOR WELLING 127V 60HZ (BEST)</v>
          </cell>
          <cell r="E328" t="str">
            <v>MOTORES</v>
          </cell>
        </row>
        <row r="329">
          <cell r="A329" t="str">
            <v>W11195521</v>
          </cell>
          <cell r="B329" t="str">
            <v>MOTOR WELLING 220V 60HZ DIE CAST PULLEY</v>
          </cell>
          <cell r="C329" t="str">
            <v>PC</v>
          </cell>
          <cell r="D329" t="str">
            <v>MOTOR WELLING 220V 60HZ (BEST)</v>
          </cell>
          <cell r="E329" t="str">
            <v>MOTORES</v>
          </cell>
        </row>
        <row r="330">
          <cell r="A330" t="str">
            <v>W11496614</v>
          </cell>
          <cell r="B330" t="str">
            <v>MINI PROPELLER</v>
          </cell>
          <cell r="C330" t="str">
            <v>PC</v>
          </cell>
          <cell r="D330" t="str">
            <v>MINI IMPELLER WHP GRIS COPA 2.0</v>
          </cell>
          <cell r="E330" t="str">
            <v>MINI PROPELLER</v>
          </cell>
        </row>
        <row r="331">
          <cell r="A331" t="str">
            <v>W11433901</v>
          </cell>
          <cell r="B331" t="str">
            <v>MINI PROPELLER HACEB</v>
          </cell>
          <cell r="C331" t="str">
            <v>PC</v>
          </cell>
          <cell r="D331" t="str">
            <v>MINI PROPELLER HACEB (GRIS)</v>
          </cell>
          <cell r="E331" t="str">
            <v>MINI PROPELLER</v>
          </cell>
        </row>
        <row r="332">
          <cell r="A332" t="str">
            <v>W10694416</v>
          </cell>
          <cell r="B332" t="str">
            <v>MINI PROPELLER WHP</v>
          </cell>
          <cell r="C332" t="str">
            <v>PC</v>
          </cell>
          <cell r="D332" t="str">
            <v>MINI PROPELLER WHP (GRIS)</v>
          </cell>
          <cell r="E332" t="str">
            <v>MINI PROPELLER</v>
          </cell>
        </row>
        <row r="333">
          <cell r="A333" t="str">
            <v>W10691654</v>
          </cell>
          <cell r="B333" t="str">
            <v>LLAVE MICRO SWITCH WWI13AB/AS</v>
          </cell>
          <cell r="C333" t="str">
            <v>PC</v>
          </cell>
          <cell r="D333" t="str">
            <v>MICRO LLAVE</v>
          </cell>
          <cell r="E333" t="str">
            <v>MICROLLAVE</v>
          </cell>
        </row>
        <row r="334">
          <cell r="A334" t="str">
            <v>W10777493</v>
          </cell>
          <cell r="B334" t="str">
            <v>CJ MECANISMO</v>
          </cell>
          <cell r="C334" t="str">
            <v>PC</v>
          </cell>
          <cell r="D334" t="str">
            <v>MECANISMO COPA 1.0</v>
          </cell>
          <cell r="E334" t="str">
            <v>MECANISMO</v>
          </cell>
        </row>
        <row r="335">
          <cell r="A335" t="str">
            <v>W11499432</v>
          </cell>
          <cell r="B335" t="str">
            <v>CJ MECANISMO</v>
          </cell>
          <cell r="C335" t="str">
            <v>PC</v>
          </cell>
          <cell r="D335" t="str">
            <v>MECANISMO COPA 2.0</v>
          </cell>
          <cell r="E335" t="str">
            <v>MECANISMO</v>
          </cell>
        </row>
        <row r="336">
          <cell r="A336" t="str">
            <v>W11667597</v>
          </cell>
          <cell r="B336" t="str">
            <v>CAJA ENGRANAJE COPA 1.0 QIJING</v>
          </cell>
          <cell r="C336" t="str">
            <v>PC</v>
          </cell>
          <cell r="D336" t="str">
            <v>MECANISMO COPA QIJING 1.0</v>
          </cell>
          <cell r="E336" t="str">
            <v>MECANISMO</v>
          </cell>
        </row>
        <row r="337">
          <cell r="A337" t="str">
            <v>W11667598</v>
          </cell>
          <cell r="B337" t="str">
            <v>CAJA ENGRENAJE COPA 2.0 QIJING</v>
          </cell>
          <cell r="C337" t="str">
            <v>PC</v>
          </cell>
          <cell r="D337" t="str">
            <v>MECANISMO COPA QIJING 2.0</v>
          </cell>
          <cell r="E337" t="str">
            <v>MECANISMO</v>
          </cell>
        </row>
        <row r="338">
          <cell r="A338" t="str">
            <v>W10638576</v>
          </cell>
          <cell r="B338" t="str">
            <v>MARCO DECORATIVO</v>
          </cell>
          <cell r="C338" t="str">
            <v>PC</v>
          </cell>
          <cell r="D338" t="str">
            <v>FRAME DECORATIVO</v>
          </cell>
          <cell r="E338" t="str">
            <v>MARCO DECORATIVO</v>
          </cell>
        </row>
        <row r="339">
          <cell r="A339" t="str">
            <v>W11738780</v>
          </cell>
          <cell r="B339" t="str">
            <v>MANUAL COPA 1 - LAR N/ARG</v>
          </cell>
          <cell r="C339" t="str">
            <v>PC</v>
          </cell>
          <cell r="D339" t="str">
            <v>MANUAL COPA 1 ARGENTINA</v>
          </cell>
          <cell r="E339" t="str">
            <v>MANUAL WHP</v>
          </cell>
        </row>
        <row r="340">
          <cell r="A340" t="str">
            <v>W11740052</v>
          </cell>
          <cell r="B340" t="str">
            <v>MANUAL COPA EDGE - SKU ARG</v>
          </cell>
          <cell r="C340" t="str">
            <v>PC</v>
          </cell>
          <cell r="D340" t="str">
            <v>MANUAL WHP ARG COPA 2.0</v>
          </cell>
          <cell r="E340" t="str">
            <v>MANUAL WHP</v>
          </cell>
        </row>
        <row r="341">
          <cell r="A341" t="str">
            <v>W11667030</v>
          </cell>
          <cell r="B341" t="str">
            <v>MANUAL LARN COPA CHILE</v>
          </cell>
          <cell r="C341" t="str">
            <v>PC</v>
          </cell>
          <cell r="D341" t="str">
            <v>MANUAL WHP CHILE</v>
          </cell>
          <cell r="E341" t="str">
            <v>MANUAL WHP</v>
          </cell>
        </row>
        <row r="342">
          <cell r="A342" t="str">
            <v>W11698671</v>
          </cell>
          <cell r="B342" t="str">
            <v>MANUAL COPA 1 - LAR N/ARG</v>
          </cell>
          <cell r="C342" t="str">
            <v>PC</v>
          </cell>
          <cell r="D342" t="str">
            <v>MANUAL WHP IMP</v>
          </cell>
          <cell r="E342" t="str">
            <v>MANUAL WHP</v>
          </cell>
        </row>
        <row r="343">
          <cell r="A343" t="str">
            <v>W11570231</v>
          </cell>
          <cell r="B343" t="str">
            <v>Manual - Lar S</v>
          </cell>
          <cell r="C343" t="str">
            <v>PC</v>
          </cell>
          <cell r="D343" t="str">
            <v>MANUAL WHP LAR S COPA 2.0</v>
          </cell>
          <cell r="E343" t="str">
            <v>MANUAL WHP</v>
          </cell>
        </row>
        <row r="344">
          <cell r="A344" t="str">
            <v>W11675892</v>
          </cell>
          <cell r="B344" t="str">
            <v>MANUAL COPA 2.0 - LARN</v>
          </cell>
          <cell r="C344" t="str">
            <v>PC</v>
          </cell>
          <cell r="D344" t="str">
            <v>MANUAL WHP LARN BOTERO</v>
          </cell>
          <cell r="E344" t="str">
            <v>MANUAL WHP</v>
          </cell>
        </row>
        <row r="345">
          <cell r="A345" t="str">
            <v>W11667041</v>
          </cell>
          <cell r="B345" t="str">
            <v>MANUAL COPA EDGE - CARIBBEAN</v>
          </cell>
          <cell r="C345" t="str">
            <v>PC</v>
          </cell>
          <cell r="D345" t="str">
            <v>MANUAL WHP COPA 2.0 CARIBE</v>
          </cell>
          <cell r="E345" t="str">
            <v>MANUAL WHP</v>
          </cell>
        </row>
        <row r="346">
          <cell r="A346" t="str">
            <v>W11752433</v>
          </cell>
          <cell r="B346" t="str">
            <v>MANUAL COPA 2.0- HACEB</v>
          </cell>
          <cell r="C346" t="str">
            <v>PC</v>
          </cell>
          <cell r="D346" t="str">
            <v>MANUAL HCB COPA 2.0</v>
          </cell>
          <cell r="E346" t="str">
            <v>MANUAL HCB</v>
          </cell>
        </row>
        <row r="347">
          <cell r="A347" t="str">
            <v>W11752435</v>
          </cell>
          <cell r="B347" t="str">
            <v>MANUAL COPA 1 - HACEB</v>
          </cell>
          <cell r="C347" t="str">
            <v>PC</v>
          </cell>
          <cell r="D347" t="str">
            <v>MANUAL HCB COPA 1.0</v>
          </cell>
          <cell r="E347" t="str">
            <v>MANUAL HCB</v>
          </cell>
        </row>
        <row r="348">
          <cell r="A348" t="str">
            <v>W11680116</v>
          </cell>
          <cell r="B348" t="str">
            <v>MANUAL COPA 2.0 - LARN</v>
          </cell>
          <cell r="C348" t="str">
            <v>PC</v>
          </cell>
          <cell r="D348" t="str">
            <v>MANUAL COPA 2.0 BRASTEMP</v>
          </cell>
          <cell r="E348" t="str">
            <v>MANUAL BRASTEMP</v>
          </cell>
        </row>
        <row r="349">
          <cell r="A349" t="str">
            <v>W11223643</v>
          </cell>
          <cell r="B349" t="str">
            <v>Manguera de presostato - Best.</v>
          </cell>
          <cell r="C349" t="str">
            <v>PC</v>
          </cell>
          <cell r="D349" t="str">
            <v>MANGUERA PRESOSTATO BEST VERDE</v>
          </cell>
          <cell r="E349" t="str">
            <v>MANGUERAS PRESOSTATO</v>
          </cell>
        </row>
        <row r="350">
          <cell r="A350" t="str">
            <v>W11502144</v>
          </cell>
          <cell r="B350" t="str">
            <v>PRESSURE SWITCH HOSE</v>
          </cell>
          <cell r="C350" t="str">
            <v>PC</v>
          </cell>
          <cell r="D350" t="str">
            <v>MANGUERA PRESOSTATO BEST AMARI COPA 2.0</v>
          </cell>
          <cell r="E350" t="str">
            <v>MANGUERAS PRESOSTATO</v>
          </cell>
        </row>
        <row r="351">
          <cell r="A351" t="str">
            <v>W11223649</v>
          </cell>
          <cell r="B351" t="str">
            <v>Manguera presostato - Good</v>
          </cell>
          <cell r="C351" t="str">
            <v>PC</v>
          </cell>
          <cell r="D351" t="str">
            <v>MANGUERA PRESOSTATO GOOD AZUL</v>
          </cell>
          <cell r="E351" t="str">
            <v>MANGUERAS PRESOSTATO</v>
          </cell>
        </row>
        <row r="352">
          <cell r="A352" t="str">
            <v>W11502142</v>
          </cell>
          <cell r="B352" t="str">
            <v>PRESSURE SWITCH HOSE</v>
          </cell>
          <cell r="C352" t="str">
            <v>PC</v>
          </cell>
          <cell r="D352" t="str">
            <v>MANGUERA PRESOSTATO GOOD ROJA COPA 2.0</v>
          </cell>
          <cell r="E352" t="str">
            <v>MANGUERAS PRESOSTATO</v>
          </cell>
        </row>
        <row r="353">
          <cell r="A353" t="str">
            <v>W11502153</v>
          </cell>
          <cell r="B353" t="str">
            <v>FILL HOSE ASSY COPA HOT</v>
          </cell>
          <cell r="C353" t="str">
            <v>PC</v>
          </cell>
          <cell r="D353" t="str">
            <v>MANGUERA AGUA CALIENTE (ROJA)</v>
          </cell>
          <cell r="E353" t="str">
            <v>MANGUERAS ENTRADA AGUA</v>
          </cell>
        </row>
        <row r="354">
          <cell r="A354" t="str">
            <v>W11502155</v>
          </cell>
          <cell r="B354" t="str">
            <v>FILL HOSE ASSY SUPER</v>
          </cell>
          <cell r="C354" t="str">
            <v>PC</v>
          </cell>
          <cell r="D354" t="str">
            <v>MANGUERA AGUA CALIENTE (ROSADA)</v>
          </cell>
          <cell r="E354" t="str">
            <v>MANGUERAS ENTRADA AGUA</v>
          </cell>
        </row>
        <row r="355">
          <cell r="A355" t="str">
            <v>W11502151</v>
          </cell>
          <cell r="B355" t="str">
            <v>FILL HOSE ASSY COPA COLD</v>
          </cell>
          <cell r="C355" t="str">
            <v>PC</v>
          </cell>
          <cell r="D355" t="str">
            <v>MANGUERA AGUA FRIA (AZUL)</v>
          </cell>
          <cell r="E355" t="str">
            <v>MANGUERAS ENTRADA AGUA</v>
          </cell>
        </row>
        <row r="356">
          <cell r="A356" t="str">
            <v>W11502152</v>
          </cell>
          <cell r="B356" t="str">
            <v>FILL HOSE ASSY COPA COLD TRS</v>
          </cell>
          <cell r="C356" t="str">
            <v>PC</v>
          </cell>
          <cell r="D356" t="str">
            <v>MANGUERA AGUA FRIA (VERDE)</v>
          </cell>
          <cell r="E356" t="str">
            <v>MANGUERAS ENTRADA AGUA</v>
          </cell>
        </row>
        <row r="357">
          <cell r="A357" t="str">
            <v>W11383452</v>
          </cell>
          <cell r="B357" t="str">
            <v>CJ MANGUEIRA DRENAGEM</v>
          </cell>
          <cell r="C357" t="str">
            <v>PC</v>
          </cell>
          <cell r="D357" t="str">
            <v>MANGUERA DE DRENAJE BETTER GRIS (NUEVA)</v>
          </cell>
          <cell r="E357" t="str">
            <v>MANGUERAS DRENAJE</v>
          </cell>
        </row>
        <row r="358">
          <cell r="A358" t="str">
            <v>W11383451</v>
          </cell>
          <cell r="B358" t="str">
            <v>DRAIN HOSE ASSY</v>
          </cell>
          <cell r="C358" t="str">
            <v>PC</v>
          </cell>
          <cell r="D358" t="str">
            <v>MANGUERA DRENAJE BEST NEG (NUEVA)</v>
          </cell>
          <cell r="E358" t="str">
            <v>MANGUERAS DRENAJE</v>
          </cell>
        </row>
        <row r="359">
          <cell r="A359" t="str">
            <v>W11466974</v>
          </cell>
          <cell r="B359" t="str">
            <v>Lifter WHP</v>
          </cell>
          <cell r="C359" t="str">
            <v>PC</v>
          </cell>
          <cell r="D359" t="str">
            <v>ALETA CESTO WHP COPA 2.0</v>
          </cell>
          <cell r="E359" t="str">
            <v>LIFTER</v>
          </cell>
        </row>
        <row r="360">
          <cell r="A360" t="str">
            <v>W10718075</v>
          </cell>
          <cell r="B360" t="str">
            <v>LEVA EXTERNA WWI13AB/AS</v>
          </cell>
          <cell r="C360" t="str">
            <v>PC</v>
          </cell>
          <cell r="D360" t="str">
            <v>LEVA EXTERNA</v>
          </cell>
          <cell r="E360" t="str">
            <v>LEVA EXTERNA</v>
          </cell>
        </row>
        <row r="361">
          <cell r="A361" t="str">
            <v>W10734499</v>
          </cell>
          <cell r="B361" t="str">
            <v>LEVA PLASTICA ARTICULADA LAVADOR/ CWD22</v>
          </cell>
          <cell r="C361" t="str">
            <v>PC</v>
          </cell>
          <cell r="D361" t="str">
            <v>LEVA ARTICULADA</v>
          </cell>
          <cell r="E361" t="str">
            <v>LEVA ARTICULADA</v>
          </cell>
        </row>
        <row r="362">
          <cell r="A362" t="str">
            <v>W10810425</v>
          </cell>
          <cell r="B362" t="str">
            <v>BI 430 #4 0,5X1220XC</v>
          </cell>
          <cell r="C362" t="str">
            <v>KG</v>
          </cell>
          <cell r="D362" t="str">
            <v>LAMINA BI 430 #4 0,5X1220XC FRAME DECORAT</v>
          </cell>
          <cell r="E362" t="str">
            <v>LAMINA_PROV</v>
          </cell>
        </row>
        <row r="363">
          <cell r="A363" t="str">
            <v>W11265186</v>
          </cell>
          <cell r="B363" t="str">
            <v>STEEL- GZ DX51D+BORO 0,60X406XC</v>
          </cell>
          <cell r="C363" t="str">
            <v>KG</v>
          </cell>
          <cell r="D363" t="str">
            <v>LAMINA GZ DX51D+BORO 0,60X406XC TRAVESAÑO</v>
          </cell>
          <cell r="E363" t="str">
            <v>LAMINA_PROV</v>
          </cell>
        </row>
        <row r="364">
          <cell r="A364" t="str">
            <v>W11121952</v>
          </cell>
          <cell r="B364" t="str">
            <v>STEEL GZ DX52D Z100 1,25X109</v>
          </cell>
          <cell r="C364" t="str">
            <v>KG</v>
          </cell>
          <cell r="D364" t="str">
            <v>LAMINA GZ DX52D Z100 1,25X109 (ARME)</v>
          </cell>
          <cell r="E364" t="str">
            <v>LAMINA_PROV</v>
          </cell>
        </row>
        <row r="365">
          <cell r="A365" t="str">
            <v>W11265178</v>
          </cell>
          <cell r="B365" t="str">
            <v>STEEL GZ S250GD Z100 1,55X337</v>
          </cell>
          <cell r="C365" t="str">
            <v>KG</v>
          </cell>
          <cell r="D365" t="str">
            <v>LAMINA GZ S250GD Z100 1,55X337 (SOP MOTOR) BAMESA</v>
          </cell>
          <cell r="E365" t="str">
            <v>LAMINA_PROV</v>
          </cell>
        </row>
        <row r="366">
          <cell r="A366" t="str">
            <v>W11266042</v>
          </cell>
          <cell r="B366" t="str">
            <v>TZCM Z90 CS 1,25X192,0XC</v>
          </cell>
          <cell r="C366" t="str">
            <v>KG</v>
          </cell>
          <cell r="D366" t="str">
            <v>LAMINA Z90 CS 1,25X192,0XC (ARME)</v>
          </cell>
          <cell r="E366" t="str">
            <v>LAMINA_PROV</v>
          </cell>
        </row>
        <row r="367">
          <cell r="A367" t="str">
            <v>W11121971</v>
          </cell>
          <cell r="B367" t="str">
            <v>STEEL GZ DX52D Z100 1,25X115</v>
          </cell>
          <cell r="C367" t="str">
            <v>KG</v>
          </cell>
          <cell r="D367" t="str">
            <v>LAMINA GZ Z90 SS340 1,55X115 (ESQUIN INF-SUP) ARME</v>
          </cell>
          <cell r="E367" t="str">
            <v>LAMINA_PROV</v>
          </cell>
        </row>
        <row r="368">
          <cell r="A368" t="str">
            <v>W11265180</v>
          </cell>
          <cell r="B368" t="str">
            <v>STEEL GZ DX52D Z100 1,25X115</v>
          </cell>
          <cell r="C368" t="str">
            <v>KG</v>
          </cell>
          <cell r="D368" t="str">
            <v>LAMINA GZ Z90 SS340 1,55X115 (ESQUIN INF-SUP) BAMESA</v>
          </cell>
          <cell r="E368" t="str">
            <v>LAMINA_PROV</v>
          </cell>
        </row>
        <row r="369">
          <cell r="A369" t="str">
            <v>W11266043</v>
          </cell>
          <cell r="B369" t="str">
            <v>TZCM Z90 CS 0,5X330XC</v>
          </cell>
          <cell r="C369" t="str">
            <v>KG</v>
          </cell>
          <cell r="D369" t="str">
            <v>LAMINA TZCM Z90 CS 0,5X330XC</v>
          </cell>
          <cell r="E369" t="str">
            <v>LAMINA_PROV</v>
          </cell>
        </row>
        <row r="370">
          <cell r="A370" t="str">
            <v>W11265189</v>
          </cell>
          <cell r="B370" t="str">
            <v>TZCM Z90 CS 0,60X406XC</v>
          </cell>
          <cell r="C370" t="str">
            <v>KG</v>
          </cell>
          <cell r="D370" t="str">
            <v>LAMINA TZCM Z90 CS 0,60X406XC TRAVESAÑO</v>
          </cell>
          <cell r="E370" t="str">
            <v>LAMINA_PROV</v>
          </cell>
        </row>
        <row r="371">
          <cell r="A371" t="str">
            <v>W11701553</v>
          </cell>
          <cell r="B371" t="str">
            <v>STEEL-GZ100 S220GD 0,60X917X2171.5</v>
          </cell>
          <cell r="C371" t="str">
            <v>PC</v>
          </cell>
          <cell r="D371" t="str">
            <v>LAM GAB BEST 917X2171,5 ARME (Copa 1.0)</v>
          </cell>
          <cell r="E371" t="str">
            <v>LAMINA GABINETE</v>
          </cell>
        </row>
        <row r="372">
          <cell r="A372" t="str">
            <v>W11319301</v>
          </cell>
          <cell r="B372" t="str">
            <v>STEEL DX51D+BORO 0,5X330XC</v>
          </cell>
          <cell r="C372" t="str">
            <v>PC</v>
          </cell>
          <cell r="D372" t="str">
            <v>LAM GAB BEST 917X2171,5 BAMESA</v>
          </cell>
          <cell r="E372" t="str">
            <v>LAMINA GABINETE</v>
          </cell>
        </row>
        <row r="373">
          <cell r="A373" t="str">
            <v>W11546472</v>
          </cell>
          <cell r="B373" t="str">
            <v>STEEL-GZ100 S220GD 0.60X917X2114</v>
          </cell>
          <cell r="C373" t="str">
            <v>PC</v>
          </cell>
          <cell r="D373" t="str">
            <v>LAM GAB BEST 917X2114 COPA 2.0</v>
          </cell>
          <cell r="E373" t="str">
            <v>LAMINA GAB (COPA2)</v>
          </cell>
        </row>
        <row r="374">
          <cell r="A374" t="str">
            <v>W11514269</v>
          </cell>
          <cell r="B374" t="str">
            <v>STEEL-CFM S220GD 0.60X917X2114 969406</v>
          </cell>
          <cell r="C374" t="str">
            <v>PC</v>
          </cell>
          <cell r="D374" t="str">
            <v>LAM GAB BEST HCB 917X2114 9406 COPA 2.0 PREPINTADA</v>
          </cell>
          <cell r="E374" t="str">
            <v>LAMINA GAB (COPA2)</v>
          </cell>
        </row>
        <row r="375">
          <cell r="A375" t="str">
            <v>W11514270</v>
          </cell>
          <cell r="B375" t="str">
            <v>STEEL-CFM S220GD 0.60X917X2114 968519</v>
          </cell>
          <cell r="C375" t="str">
            <v>PC</v>
          </cell>
          <cell r="D375" t="str">
            <v>LAM GAB BEST WHP 917X2114 8519 PREPINTADA COPA 2.0</v>
          </cell>
          <cell r="E375" t="str">
            <v>LAMINA GAB (COPA2)</v>
          </cell>
        </row>
        <row r="376">
          <cell r="A376" t="str">
            <v>W11546471</v>
          </cell>
          <cell r="B376" t="str">
            <v>STEEL-GZ100 S220GD 0.60X877X2114</v>
          </cell>
          <cell r="C376" t="str">
            <v>PC</v>
          </cell>
          <cell r="D376" t="str">
            <v>LAM GAB GOOD 877X2114 COPA 2.0</v>
          </cell>
          <cell r="E376" t="str">
            <v>LAMINA GAB (COPA2)</v>
          </cell>
        </row>
        <row r="377">
          <cell r="A377" t="str">
            <v>W11547824</v>
          </cell>
          <cell r="B377" t="str">
            <v>STEEL-SS EN1.4016 0.45X452.0XC</v>
          </cell>
          <cell r="C377" t="str">
            <v>KG</v>
          </cell>
          <cell r="D377" t="str">
            <v>LAMINA CESTO BEST 0.45X 452 COPA 2.0 (CORTEACEROS)</v>
          </cell>
          <cell r="E377" t="str">
            <v>LAMINA CESTO (COPA 2.0)</v>
          </cell>
        </row>
        <row r="378">
          <cell r="A378" t="str">
            <v>W11547823</v>
          </cell>
          <cell r="B378" t="str">
            <v>STEEL-SS EN1.4016 0.45X402XC</v>
          </cell>
          <cell r="C378" t="str">
            <v>KG</v>
          </cell>
          <cell r="D378" t="str">
            <v>LAMINA CESTO GOOD 0.45X 402 (POSCO) COPA 2.0</v>
          </cell>
          <cell r="E378" t="str">
            <v>LAMINA CESTO (COPA 2.0)</v>
          </cell>
        </row>
        <row r="379">
          <cell r="A379" t="str">
            <v>W11486504</v>
          </cell>
          <cell r="B379" t="str">
            <v>STEEL-SS 430 0.45X402XC</v>
          </cell>
          <cell r="C379" t="str">
            <v>KG</v>
          </cell>
          <cell r="D379" t="str">
            <v>LAMINA CESTO GOOD 0.45X 402 COPA2 (APERAM)</v>
          </cell>
          <cell r="E379" t="str">
            <v>LAMINA CESTO (COPA 2.0)</v>
          </cell>
        </row>
        <row r="380">
          <cell r="A380" t="str">
            <v>W11521727</v>
          </cell>
          <cell r="B380" t="str">
            <v>STEEL-SS EN1.4016 BA 0.45X384</v>
          </cell>
          <cell r="C380" t="str">
            <v>KG</v>
          </cell>
          <cell r="D380" t="str">
            <v>LAMINA CESTO BEST 0.45X 384 (POSCO)</v>
          </cell>
          <cell r="E380" t="str">
            <v>LAMINA CESTO (COPA 1.0)</v>
          </cell>
        </row>
        <row r="381">
          <cell r="A381" t="str">
            <v>W11521723</v>
          </cell>
          <cell r="B381" t="str">
            <v>STEEL SS EN 1.4016 BA 0.45X354</v>
          </cell>
          <cell r="C381" t="str">
            <v>KG</v>
          </cell>
          <cell r="D381" t="str">
            <v>LAMINA CESTO GOOD 0.45X 354 (POSCO)</v>
          </cell>
          <cell r="E381" t="str">
            <v>LAMINA CESTO (COPA 1.0)</v>
          </cell>
        </row>
        <row r="382">
          <cell r="A382" t="str">
            <v>W11691121</v>
          </cell>
          <cell r="B382" t="str">
            <v>TAMPO EPS</v>
          </cell>
          <cell r="C382" t="str">
            <v>PC</v>
          </cell>
          <cell r="D382" t="str">
            <v>TAPA PORON REPUESTO BOTERO</v>
          </cell>
          <cell r="E382" t="str">
            <v>KIT TAPA BOTERO</v>
          </cell>
        </row>
        <row r="383">
          <cell r="A383" t="str">
            <v>W11690118</v>
          </cell>
          <cell r="B383" t="str">
            <v>Top White Botero Assy</v>
          </cell>
          <cell r="C383" t="str">
            <v>PC</v>
          </cell>
          <cell r="D383" t="str">
            <v>CJ TAPA FIJA+POSTE BISAGRA BLANCO BOTERO</v>
          </cell>
          <cell r="E383" t="str">
            <v>KIT TAPA BOTERO</v>
          </cell>
        </row>
        <row r="384">
          <cell r="A384" t="str">
            <v>W11690112</v>
          </cell>
          <cell r="B384" t="str">
            <v>Top Tempest Botero Assy</v>
          </cell>
          <cell r="C384" t="str">
            <v>PC</v>
          </cell>
          <cell r="D384" t="str">
            <v>CJ TAPA FIJA+POSTE BISAGRA TEMPEST BOTERO</v>
          </cell>
          <cell r="E384" t="str">
            <v>KIT TAPA BOTERO</v>
          </cell>
        </row>
        <row r="385">
          <cell r="A385" t="str">
            <v>W11262421</v>
          </cell>
          <cell r="B385" t="str">
            <v>CONSOLE FRAME COSMETALLIC</v>
          </cell>
          <cell r="C385" t="str">
            <v>PC</v>
          </cell>
          <cell r="D385" t="str">
            <v>CONSOLA BOTERO</v>
          </cell>
          <cell r="E385" t="str">
            <v>KIT TAPA BOTERO</v>
          </cell>
        </row>
        <row r="386">
          <cell r="A386" t="str">
            <v>W11684000</v>
          </cell>
          <cell r="B386" t="str">
            <v>KIT TOP WHITE 120V 60HZ (WW20NBAHKT)</v>
          </cell>
          <cell r="C386" t="str">
            <v>CJ</v>
          </cell>
          <cell r="D386" t="str">
            <v>KIT TAPA BL BOTERO WW20</v>
          </cell>
          <cell r="E386" t="str">
            <v>KIT TAPA BOTERO</v>
          </cell>
        </row>
        <row r="387">
          <cell r="A387" t="str">
            <v>W11683999</v>
          </cell>
          <cell r="B387" t="str">
            <v>KIT TOP TEMPEST 120V 60HZ (WW20NTAHKT)</v>
          </cell>
          <cell r="C387" t="str">
            <v>CJ</v>
          </cell>
          <cell r="D387" t="str">
            <v>KIT TAPA TEMPEST BOTERO WW20</v>
          </cell>
          <cell r="E387" t="str">
            <v>KIT TAPA BOTERO</v>
          </cell>
        </row>
        <row r="388">
          <cell r="A388" t="str">
            <v>W11184185</v>
          </cell>
          <cell r="B388" t="str">
            <v>LID SUPPORT</v>
          </cell>
          <cell r="C388" t="str">
            <v>PC</v>
          </cell>
          <cell r="D388" t="str">
            <v>LID SUPPORT BOTERO</v>
          </cell>
          <cell r="E388" t="str">
            <v>KIT TAPA BOTERO</v>
          </cell>
        </row>
        <row r="389">
          <cell r="A389" t="str">
            <v>W11246293</v>
          </cell>
          <cell r="B389" t="str">
            <v>ENCODER KNOB ASSY COLOR</v>
          </cell>
          <cell r="C389" t="str">
            <v>PC</v>
          </cell>
          <cell r="D389" t="str">
            <v>PERILLA BOTERO</v>
          </cell>
          <cell r="E389" t="str">
            <v>PERILLAS</v>
          </cell>
        </row>
        <row r="390">
          <cell r="A390" t="str">
            <v>W11225676</v>
          </cell>
          <cell r="B390" t="str">
            <v>HINGE POST</v>
          </cell>
          <cell r="C390" t="str">
            <v>PC</v>
          </cell>
          <cell r="D390" t="str">
            <v>POSTE BISAGRA BOTERO</v>
          </cell>
          <cell r="E390" t="str">
            <v>KIT TAPA BOTERO</v>
          </cell>
        </row>
        <row r="391">
          <cell r="A391" t="str">
            <v>W11452385</v>
          </cell>
          <cell r="B391" t="str">
            <v>TOP COVER ASSY</v>
          </cell>
          <cell r="C391" t="str">
            <v>PC</v>
          </cell>
          <cell r="D391" t="str">
            <v>TAPA DAMPER BOTERO</v>
          </cell>
          <cell r="E391" t="str">
            <v>KIT TAPA BOTERO</v>
          </cell>
        </row>
        <row r="392">
          <cell r="A392" t="str">
            <v>W11230091</v>
          </cell>
          <cell r="B392" t="str">
            <v>TOP REAR COVER</v>
          </cell>
          <cell r="C392" t="str">
            <v>PC</v>
          </cell>
          <cell r="D392" t="str">
            <v>TAPA TRASERA BLANCA BOTERO</v>
          </cell>
          <cell r="E392" t="str">
            <v>KIT TAPA BOTERO</v>
          </cell>
        </row>
        <row r="393">
          <cell r="A393" t="str">
            <v>W11245143</v>
          </cell>
          <cell r="B393" t="str">
            <v>TOP REAR COVER BLACK</v>
          </cell>
          <cell r="C393" t="str">
            <v>PC</v>
          </cell>
          <cell r="D393" t="str">
            <v>TAPA TRASERA TEMPEST BOTERO</v>
          </cell>
          <cell r="E393" t="str">
            <v>KIT TAPA BOTERO</v>
          </cell>
        </row>
        <row r="394">
          <cell r="A394" t="str">
            <v>W11673741</v>
          </cell>
          <cell r="B394" t="str">
            <v>LID ASSY</v>
          </cell>
          <cell r="C394" t="str">
            <v>PC</v>
          </cell>
          <cell r="D394" t="str">
            <v>Tapa movil BOTERO</v>
          </cell>
          <cell r="E394" t="str">
            <v>KIT TAPA BOTERO</v>
          </cell>
        </row>
        <row r="395">
          <cell r="A395" t="str">
            <v>W10749069</v>
          </cell>
          <cell r="B395" t="str">
            <v>IMPELLER HCB</v>
          </cell>
          <cell r="C395" t="str">
            <v>PC</v>
          </cell>
          <cell r="D395" t="str">
            <v>IMPELLER HCB (BLANCO)</v>
          </cell>
          <cell r="E395" t="str">
            <v>IMPELLER</v>
          </cell>
        </row>
        <row r="396">
          <cell r="A396" t="str">
            <v>W11496616</v>
          </cell>
          <cell r="B396" t="str">
            <v>IMPELLER</v>
          </cell>
          <cell r="C396" t="str">
            <v>PC</v>
          </cell>
          <cell r="D396" t="str">
            <v>IMPELLER HCB COPA 2.0</v>
          </cell>
          <cell r="E396" t="str">
            <v>IMPELLER</v>
          </cell>
        </row>
        <row r="397">
          <cell r="A397" t="str">
            <v>W10673299</v>
          </cell>
          <cell r="B397" t="str">
            <v>IMPELLER GRIS WHP</v>
          </cell>
          <cell r="C397" t="str">
            <v>PC</v>
          </cell>
          <cell r="D397" t="str">
            <v>IMPELLER WHP (GRIS)</v>
          </cell>
          <cell r="E397" t="str">
            <v>IMPELLER</v>
          </cell>
        </row>
        <row r="398">
          <cell r="A398" t="str">
            <v>W11496613</v>
          </cell>
          <cell r="B398" t="str">
            <v>IMPELLER</v>
          </cell>
          <cell r="C398" t="str">
            <v>PC</v>
          </cell>
          <cell r="D398" t="str">
            <v>IMPELLER WHP COPA 2.0</v>
          </cell>
          <cell r="E398" t="str">
            <v>IMPELLER</v>
          </cell>
        </row>
        <row r="399">
          <cell r="A399" t="str">
            <v>W11391512</v>
          </cell>
          <cell r="B399" t="str">
            <v>MAGNET - LID, STRIKE</v>
          </cell>
          <cell r="C399" t="str">
            <v>PC</v>
          </cell>
          <cell r="D399" t="str">
            <v>IMAN (LID LOCK) COPA 2.0</v>
          </cell>
          <cell r="E399" t="str">
            <v>IMAN_PROVEEDORES</v>
          </cell>
        </row>
        <row r="400">
          <cell r="A400" t="str">
            <v>W10463824</v>
          </cell>
          <cell r="B400" t="str">
            <v>MAGNET</v>
          </cell>
          <cell r="C400" t="str">
            <v>PC</v>
          </cell>
          <cell r="D400" t="str">
            <v>IMAN COPA 2.0</v>
          </cell>
          <cell r="E400" t="str">
            <v>IMAN</v>
          </cell>
        </row>
        <row r="401">
          <cell r="A401" t="str">
            <v>W11760064</v>
          </cell>
          <cell r="B401" t="str">
            <v>GUIA RAPIDA BOTERO 2.0</v>
          </cell>
          <cell r="C401" t="str">
            <v>PC</v>
          </cell>
          <cell r="D401" t="str">
            <v>GUIA DE USO BOTERO 2.0</v>
          </cell>
          <cell r="E401" t="str">
            <v>GUIAS DE USO</v>
          </cell>
        </row>
        <row r="402">
          <cell r="A402" t="str">
            <v>W11687561</v>
          </cell>
          <cell r="B402" t="str">
            <v>Guia BOTERO</v>
          </cell>
          <cell r="C402" t="str">
            <v>PC</v>
          </cell>
          <cell r="D402" t="str">
            <v>GUIA DE USO BOTERO</v>
          </cell>
          <cell r="E402" t="str">
            <v>GUIAS DE USO</v>
          </cell>
        </row>
        <row r="403">
          <cell r="A403" t="str">
            <v>W11680127</v>
          </cell>
          <cell r="B403" t="str">
            <v>GUIA DE USO BRASTEMP</v>
          </cell>
          <cell r="C403" t="str">
            <v>PC</v>
          </cell>
          <cell r="D403" t="str">
            <v>GUIA DE USO BRASTEMP</v>
          </cell>
          <cell r="E403" t="str">
            <v>GUIAS DE USO</v>
          </cell>
        </row>
        <row r="404">
          <cell r="A404" t="str">
            <v>W11570230</v>
          </cell>
          <cell r="B404" t="str">
            <v>Guia rápido CAR- inglés</v>
          </cell>
          <cell r="C404" t="str">
            <v>PC</v>
          </cell>
          <cell r="D404" t="str">
            <v>GUIA DE USO CARIBE COPA 2.0</v>
          </cell>
          <cell r="E404" t="str">
            <v>GUIAS DE USO</v>
          </cell>
        </row>
        <row r="405">
          <cell r="A405" t="str">
            <v>W11697717</v>
          </cell>
          <cell r="B405" t="str">
            <v>USER GUIDE - COL Y ARG FRONT PANEL</v>
          </cell>
          <cell r="C405" t="str">
            <v>PC</v>
          </cell>
          <cell r="D405" t="str">
            <v>GUIA DE USO WHP IMP</v>
          </cell>
          <cell r="E405" t="str">
            <v>GUIAS DE USO</v>
          </cell>
        </row>
        <row r="406">
          <cell r="A406" t="str">
            <v>W11570229</v>
          </cell>
          <cell r="B406" t="str">
            <v>USER GUIDE - COPA EDGE LARS</v>
          </cell>
          <cell r="C406" t="str">
            <v>PC</v>
          </cell>
          <cell r="D406" t="str">
            <v>GUIA DE USO WHP LAR S COPA 2.0</v>
          </cell>
          <cell r="E406" t="str">
            <v>GUIAS DE USO</v>
          </cell>
        </row>
        <row r="407">
          <cell r="A407" t="str">
            <v>W11655338</v>
          </cell>
          <cell r="B407" t="str">
            <v>GUIA RAPIDA COPA 1</v>
          </cell>
          <cell r="C407" t="str">
            <v>PC</v>
          </cell>
          <cell r="D407" t="str">
            <v>GUIA DE USO WHP NUEVA</v>
          </cell>
          <cell r="E407" t="str">
            <v>GUIAS DE USO</v>
          </cell>
        </row>
        <row r="408">
          <cell r="A408" t="str">
            <v>W11655335</v>
          </cell>
          <cell r="B408" t="str">
            <v>GUIA RAPIDA COPA 2</v>
          </cell>
          <cell r="C408" t="str">
            <v>PC</v>
          </cell>
          <cell r="D408" t="str">
            <v>GUIA DE USO WHP NUEVA COPA 2.0</v>
          </cell>
          <cell r="E408" t="str">
            <v>GUIAS DE USO</v>
          </cell>
        </row>
        <row r="409">
          <cell r="A409" t="str">
            <v>W11432742</v>
          </cell>
          <cell r="B409" t="str">
            <v>STRAP GUIDE</v>
          </cell>
          <cell r="C409" t="str">
            <v>PC</v>
          </cell>
          <cell r="D409" t="str">
            <v>GUIA TIRANTE SUSPENSIÓN</v>
          </cell>
          <cell r="E409" t="str">
            <v>GUIA TIRANTE SUSPENSIÓN</v>
          </cell>
        </row>
        <row r="410">
          <cell r="A410" t="str">
            <v>W11134859</v>
          </cell>
          <cell r="B410" t="str">
            <v>GUIA DE LUZ</v>
          </cell>
          <cell r="C410" t="str">
            <v>PC</v>
          </cell>
          <cell r="D410" t="str">
            <v>GUIA DE LUZ WHP AGP</v>
          </cell>
          <cell r="E410" t="str">
            <v>GUIA DE LUZ</v>
          </cell>
        </row>
        <row r="411">
          <cell r="A411" t="str">
            <v>W10760337</v>
          </cell>
          <cell r="B411" t="str">
            <v>EMPAQUE BOMBA FILTRO - BEST</v>
          </cell>
          <cell r="C411" t="str">
            <v>PC</v>
          </cell>
          <cell r="D411" t="str">
            <v>GUARNICION TORRE BEST CORTA</v>
          </cell>
          <cell r="E411" t="str">
            <v>GUARNICIÓN_PROV</v>
          </cell>
        </row>
        <row r="412">
          <cell r="A412" t="str">
            <v>W10760339</v>
          </cell>
          <cell r="B412" t="str">
            <v>BOMBA DE TORRE CON ESPONJA JET SEAL-BEST</v>
          </cell>
          <cell r="C412" t="str">
            <v>PC</v>
          </cell>
          <cell r="D412" t="str">
            <v>GUARNICION TORRE BEST LARGA</v>
          </cell>
          <cell r="E412" t="str">
            <v>GUARNICIÓN_PROV</v>
          </cell>
        </row>
        <row r="413">
          <cell r="A413" t="str">
            <v>W10760335</v>
          </cell>
          <cell r="B413" t="str">
            <v>EMPAQUE BOMBA FILTRO</v>
          </cell>
          <cell r="C413" t="str">
            <v>PC</v>
          </cell>
          <cell r="D413" t="str">
            <v>GUARNICION TORRE GOOD CORTA</v>
          </cell>
          <cell r="E413" t="str">
            <v>GUARNICIÓN_PROV</v>
          </cell>
        </row>
        <row r="414">
          <cell r="A414" t="str">
            <v>W10760338</v>
          </cell>
          <cell r="B414" t="str">
            <v>EMPAQUE BOMBA JET</v>
          </cell>
          <cell r="C414" t="str">
            <v>PC</v>
          </cell>
          <cell r="D414" t="str">
            <v>GUARNICION TORRE GOOD LARGA</v>
          </cell>
          <cell r="E414" t="str">
            <v>GUARNICIÓN_PROV</v>
          </cell>
        </row>
        <row r="415">
          <cell r="A415" t="str">
            <v>W10823957</v>
          </cell>
          <cell r="B415" t="str">
            <v>BORRACHA APOIO BANDE DE FREIO</v>
          </cell>
          <cell r="C415" t="str">
            <v>PC</v>
          </cell>
          <cell r="D415" t="str">
            <v>GOMA BANDA FRENO (BORRACHA)</v>
          </cell>
          <cell r="E415" t="str">
            <v>GOMA_PROVEEDOR</v>
          </cell>
        </row>
        <row r="416">
          <cell r="A416" t="str">
            <v>W11682964</v>
          </cell>
          <cell r="B416" t="str">
            <v>CJ GAVETA CINZA</v>
          </cell>
          <cell r="C416" t="str">
            <v>PC</v>
          </cell>
          <cell r="D416" t="str">
            <v>GAVETA ACROS TEMPEST SIN ETIQ</v>
          </cell>
          <cell r="E416" t="str">
            <v>GAVETAS</v>
          </cell>
        </row>
        <row r="417">
          <cell r="A417" t="str">
            <v>W11680573</v>
          </cell>
          <cell r="B417" t="str">
            <v>DISPENSER DRAWER ASSY COPA HCB STORM</v>
          </cell>
          <cell r="C417" t="str">
            <v>PC</v>
          </cell>
          <cell r="D417" t="str">
            <v>GAVETA HCB CHHRYSLER COPA 2.0 SIN ETIQ</v>
          </cell>
          <cell r="E417" t="str">
            <v>GAVETAS</v>
          </cell>
        </row>
        <row r="418">
          <cell r="A418" t="str">
            <v>W11682961</v>
          </cell>
          <cell r="B418" t="str">
            <v>CJ GAVETA COAL</v>
          </cell>
          <cell r="C418" t="str">
            <v>PC</v>
          </cell>
          <cell r="D418" t="str">
            <v>GAVETA HCB COAL (NG/TAPON GRIS) SIN ETIQ</v>
          </cell>
          <cell r="E418" t="str">
            <v>GAVETAS</v>
          </cell>
        </row>
        <row r="419">
          <cell r="A419" t="str">
            <v>W11680569</v>
          </cell>
          <cell r="B419" t="str">
            <v>DISPENSER DRAWER ASSY COPA HCB WHITE</v>
          </cell>
          <cell r="C419" t="str">
            <v>PC</v>
          </cell>
          <cell r="D419" t="str">
            <v>GAVETA HCB BLANCA COPA 2.0</v>
          </cell>
          <cell r="E419" t="str">
            <v>GAVETAS</v>
          </cell>
        </row>
        <row r="420">
          <cell r="A420" t="str">
            <v>W11680567</v>
          </cell>
          <cell r="B420" t="str">
            <v>DISPENSER DRAWER ASSY COPA HCB COAL</v>
          </cell>
          <cell r="C420" t="str">
            <v>PC</v>
          </cell>
          <cell r="D420" t="str">
            <v>GAVETA HCB COAL COPA 2.0 SIN ETIQ</v>
          </cell>
          <cell r="E420" t="str">
            <v>GAVETAS</v>
          </cell>
        </row>
        <row r="421">
          <cell r="A421" t="str">
            <v>W11680568</v>
          </cell>
          <cell r="B421" t="str">
            <v>DRAWER ASSY</v>
          </cell>
          <cell r="C421" t="str">
            <v>PC</v>
          </cell>
          <cell r="D421" t="str">
            <v>GAVETA HCB NEGRA COPA 2.0 SIN ETIQ</v>
          </cell>
          <cell r="E421" t="str">
            <v>GAVETAS</v>
          </cell>
        </row>
        <row r="422">
          <cell r="A422" t="str">
            <v>W11682962</v>
          </cell>
          <cell r="B422" t="str">
            <v>DISPENSER FASCIA</v>
          </cell>
          <cell r="C422" t="str">
            <v>PC</v>
          </cell>
          <cell r="D422" t="str">
            <v>GAVETA HCB NEGRA SIN ETIQ</v>
          </cell>
          <cell r="E422" t="str">
            <v>GAVETAS</v>
          </cell>
        </row>
        <row r="423">
          <cell r="A423" t="str">
            <v>W11680571</v>
          </cell>
          <cell r="B423" t="str">
            <v>DISPENSER DRAWER ASSY COPA HCB CHRYSLER</v>
          </cell>
          <cell r="C423" t="str">
            <v>PC</v>
          </cell>
          <cell r="D423" t="str">
            <v>GAVETA HCB STORM COPA 2.0 SIN ETIQ</v>
          </cell>
          <cell r="E423" t="str">
            <v>GAVETAS</v>
          </cell>
        </row>
        <row r="424">
          <cell r="A424" t="str">
            <v>W11682968</v>
          </cell>
          <cell r="B424" t="str">
            <v>CJ GAVETA CINZA</v>
          </cell>
          <cell r="C424" t="str">
            <v>PC</v>
          </cell>
          <cell r="D424" t="str">
            <v>GAVETA WHP (TEMPEST) P SIN ETIQ</v>
          </cell>
          <cell r="E424" t="str">
            <v>GAVETAS</v>
          </cell>
        </row>
        <row r="425">
          <cell r="A425" t="str">
            <v>W11680576</v>
          </cell>
          <cell r="B425" t="str">
            <v>DISPENSER DRAWER ASSY COPA WHP WHITE</v>
          </cell>
          <cell r="C425" t="str">
            <v>PC</v>
          </cell>
          <cell r="D425" t="str">
            <v>GAVETA WHP BLANCA COPA 2.0 SIN ETIQ</v>
          </cell>
          <cell r="E425" t="str">
            <v>GAVETAS</v>
          </cell>
        </row>
        <row r="426">
          <cell r="A426" t="str">
            <v>W11682963</v>
          </cell>
          <cell r="B426" t="str">
            <v>DRAWER ASSY</v>
          </cell>
          <cell r="C426" t="str">
            <v>PC</v>
          </cell>
          <cell r="D426" t="str">
            <v>GAVETA WHP BLANCA SIN ETIQUETA</v>
          </cell>
          <cell r="E426" t="str">
            <v>GAVETAS</v>
          </cell>
        </row>
        <row r="427">
          <cell r="A427" t="str">
            <v>W11680575</v>
          </cell>
          <cell r="B427" t="str">
            <v>DISPENSER DRAWER ASSY COPA WHP SHADOW</v>
          </cell>
          <cell r="C427" t="str">
            <v>PC</v>
          </cell>
          <cell r="D427" t="str">
            <v>GAVETA WHP SHADOW COPA 2.0 SIN ETIQUETA</v>
          </cell>
          <cell r="E427" t="str">
            <v>GAVETAS</v>
          </cell>
        </row>
        <row r="428">
          <cell r="A428" t="str">
            <v>W11680574</v>
          </cell>
          <cell r="B428" t="str">
            <v>DISPENSER DRAWER ASSY COPA WHP TEMPEST</v>
          </cell>
          <cell r="C428" t="str">
            <v>PC</v>
          </cell>
          <cell r="D428" t="str">
            <v>GAVETA WHP TEMPEST COPA 2.0 SIN ETIQ</v>
          </cell>
          <cell r="E428" t="str">
            <v>GAVETAS</v>
          </cell>
        </row>
        <row r="429">
          <cell r="A429" t="str">
            <v>W11750496</v>
          </cell>
          <cell r="B429" t="str">
            <v>DISPENSER DRAWER ASSY</v>
          </cell>
          <cell r="C429" t="str">
            <v>PC</v>
          </cell>
          <cell r="D429" t="str">
            <v>GAVETA BOTERO</v>
          </cell>
          <cell r="E429" t="str">
            <v>GAVETAS</v>
          </cell>
        </row>
        <row r="430">
          <cell r="A430" t="str">
            <v>W10702019</v>
          </cell>
          <cell r="B430" t="str">
            <v>FUNDO CESTO</v>
          </cell>
          <cell r="C430" t="str">
            <v>PC</v>
          </cell>
          <cell r="D430" t="str">
            <v>FONDO CESTO COPA 1.0</v>
          </cell>
          <cell r="E430" t="str">
            <v>FONDO CESTO</v>
          </cell>
        </row>
        <row r="431">
          <cell r="A431" t="str">
            <v>W11486068</v>
          </cell>
          <cell r="B431" t="str">
            <v>BASKET BASE 25</v>
          </cell>
          <cell r="C431" t="str">
            <v>PC</v>
          </cell>
          <cell r="D431" t="str">
            <v>FONDO CESTO COPA 2.0 M1</v>
          </cell>
          <cell r="E431" t="str">
            <v>FONDO CESTO</v>
          </cell>
        </row>
        <row r="432">
          <cell r="A432" t="str">
            <v>W10705286</v>
          </cell>
          <cell r="B432" t="str">
            <v>FILTRO DE DRENAJE</v>
          </cell>
          <cell r="C432" t="str">
            <v>PC</v>
          </cell>
          <cell r="D432" t="str">
            <v>FILTRO DE DRENAJE</v>
          </cell>
          <cell r="E432" t="str">
            <v>FILTRO DRENAJE</v>
          </cell>
        </row>
        <row r="433">
          <cell r="A433" t="str">
            <v>W11572659</v>
          </cell>
          <cell r="B433" t="str">
            <v>LINT FILTER ASSY - WHIRLPOOL</v>
          </cell>
          <cell r="C433" t="str">
            <v>PC</v>
          </cell>
          <cell r="D433" t="str">
            <v>CJ FILTRO ACROS</v>
          </cell>
          <cell r="E433" t="str">
            <v>FILTRO</v>
          </cell>
        </row>
        <row r="434">
          <cell r="A434" t="str">
            <v>W10770058</v>
          </cell>
          <cell r="B434" t="str">
            <v>FILTRO AZUL WHP</v>
          </cell>
          <cell r="C434" t="str">
            <v>PC</v>
          </cell>
          <cell r="D434" t="str">
            <v>CJ FILTRO AZUL WHP</v>
          </cell>
          <cell r="E434" t="str">
            <v>FILTRO</v>
          </cell>
        </row>
        <row r="435">
          <cell r="A435" t="str">
            <v>W11433903</v>
          </cell>
          <cell r="B435" t="str">
            <v>CJ FILTRO HACEB</v>
          </cell>
          <cell r="C435" t="str">
            <v>PC</v>
          </cell>
          <cell r="D435" t="str">
            <v>CJ FILTRO HACEB QUASAR</v>
          </cell>
          <cell r="E435" t="str">
            <v>FILTRO</v>
          </cell>
        </row>
        <row r="436">
          <cell r="A436" t="str">
            <v>W11680526</v>
          </cell>
          <cell r="B436" t="str">
            <v>DRY ACCESS LABEL, SM</v>
          </cell>
          <cell r="C436" t="str">
            <v>PC</v>
          </cell>
          <cell r="D436" t="str">
            <v>ETIQUETA QR BRASTEMP</v>
          </cell>
          <cell r="E436" t="str">
            <v>ETIQUETAS QR</v>
          </cell>
        </row>
        <row r="437">
          <cell r="A437" t="str">
            <v>W11696110</v>
          </cell>
          <cell r="B437" t="str">
            <v>QR CODE LABEL</v>
          </cell>
          <cell r="C437" t="str">
            <v>PC</v>
          </cell>
          <cell r="D437" t="str">
            <v>ETIQUETA QR YOUTUBE NUEVA</v>
          </cell>
          <cell r="E437" t="str">
            <v>ETIQUETAS QR</v>
          </cell>
        </row>
        <row r="438">
          <cell r="A438" t="str">
            <v>W11101821</v>
          </cell>
          <cell r="B438" t="str">
            <v>CJ ETIQ MARKETING IMPELLER BEST</v>
          </cell>
          <cell r="C438" t="str">
            <v>PC</v>
          </cell>
          <cell r="D438" t="str">
            <v>ETIQUETA MARKETING IMP BEST</v>
          </cell>
          <cell r="E438" t="str">
            <v>ETIQUETAS MARKETING</v>
          </cell>
        </row>
        <row r="439">
          <cell r="A439" t="str">
            <v>W10849164</v>
          </cell>
          <cell r="B439" t="str">
            <v>ETIQ MARKETING SISTEMA INTELLIDRIVE</v>
          </cell>
          <cell r="C439" t="str">
            <v>PC</v>
          </cell>
          <cell r="D439" t="str">
            <v>ETIQUETA MARKETING INTELLIDRIVE</v>
          </cell>
          <cell r="E439" t="str">
            <v>ETIQUETAS MARKETING</v>
          </cell>
        </row>
        <row r="440">
          <cell r="A440" t="str">
            <v>W11678817</v>
          </cell>
          <cell r="B440" t="str">
            <v>HACEB WARRANTY LABEL 10 AÑOS</v>
          </cell>
          <cell r="C440" t="str">
            <v>PC</v>
          </cell>
          <cell r="D440" t="str">
            <v>ETIQUETA GARANTIA 10 AÑOS HCB</v>
          </cell>
          <cell r="E440" t="str">
            <v>ETIQUETAS GARANTIA</v>
          </cell>
        </row>
        <row r="441">
          <cell r="A441" t="str">
            <v>W11570233</v>
          </cell>
          <cell r="B441" t="str">
            <v>Extended Warranty Label - Lar N &amp; CAR</v>
          </cell>
          <cell r="C441" t="str">
            <v>PC</v>
          </cell>
          <cell r="D441" t="str">
            <v>ETIQUETA GARANTÍA EXTEND WHP LAR N &amp; CAR COPA 2.0</v>
          </cell>
          <cell r="E441" t="str">
            <v>ETIQUETAS GARANTIA</v>
          </cell>
        </row>
        <row r="442">
          <cell r="A442" t="str">
            <v>W11570234</v>
          </cell>
          <cell r="B442" t="str">
            <v>Extended Warranty Label - Lar S</v>
          </cell>
          <cell r="C442" t="str">
            <v>PC</v>
          </cell>
          <cell r="D442" t="str">
            <v>ETIQUETA GARANTÍA EXTEND WHP LAR S COPA 2.0</v>
          </cell>
          <cell r="E442" t="str">
            <v>ETIQUETAS GARANTIA</v>
          </cell>
        </row>
        <row r="443">
          <cell r="A443" t="str">
            <v>W11680525</v>
          </cell>
          <cell r="B443" t="str">
            <v>QR CODE LABEL</v>
          </cell>
          <cell r="C443" t="str">
            <v>PC</v>
          </cell>
          <cell r="D443" t="str">
            <v>ETIQUETA GARANTIA PORTUGUES</v>
          </cell>
          <cell r="E443" t="str">
            <v>ETIQUETAS GARANTIA</v>
          </cell>
        </row>
        <row r="444">
          <cell r="A444" t="str">
            <v>W11738565</v>
          </cell>
          <cell r="B444" t="str">
            <v>ENERGY EFFICIENCY LABEL WW09HBB</v>
          </cell>
          <cell r="C444" t="str">
            <v>PC</v>
          </cell>
          <cell r="D444" t="str">
            <v>ETIQUETA ENERGIA ARG WW09HBB</v>
          </cell>
          <cell r="E444" t="str">
            <v>ETIQUETAS ENERGIA (WHP) ARG</v>
          </cell>
        </row>
        <row r="445">
          <cell r="A445" t="str">
            <v>W11738562</v>
          </cell>
          <cell r="B445" t="str">
            <v>ENERGY EFFICIENCY LABEL 11KG ARG</v>
          </cell>
          <cell r="C445" t="str">
            <v>PC</v>
          </cell>
          <cell r="D445" t="str">
            <v>ETIQUETA ENERGIA WW11BLA</v>
          </cell>
          <cell r="E445" t="str">
            <v>ETIQUETAS ENERGIA (WHP) ARG</v>
          </cell>
        </row>
        <row r="446">
          <cell r="A446" t="str">
            <v>W11738559</v>
          </cell>
          <cell r="B446" t="str">
            <v>ENERGY EFFICIENCY LABEL 11KG ARG</v>
          </cell>
          <cell r="C446" t="str">
            <v>PC</v>
          </cell>
          <cell r="D446" t="str">
            <v>ETIQUETA ENERGIA WW11BTA</v>
          </cell>
          <cell r="E446" t="str">
            <v>ETIQUETAS ENERGIA (WHP) ARG</v>
          </cell>
        </row>
        <row r="447">
          <cell r="A447" t="str">
            <v>W11548563</v>
          </cell>
          <cell r="B447" t="str">
            <v>ENERGY EFFICIENCY TAG WWG15BN - BB</v>
          </cell>
          <cell r="C447" t="str">
            <v>PC</v>
          </cell>
          <cell r="D447" t="str">
            <v>ETIQUETA ENERGIA (WWG15BB-BN)</v>
          </cell>
          <cell r="E447" t="str">
            <v>ETIQUETAS ENERGIA (WHP)</v>
          </cell>
        </row>
        <row r="448">
          <cell r="A448" t="str">
            <v>W11548561</v>
          </cell>
          <cell r="B448" t="str">
            <v>ENERGY EFFICIENCY TAG</v>
          </cell>
          <cell r="C448" t="str">
            <v>PC</v>
          </cell>
          <cell r="D448" t="str">
            <v>ETIQUETA ENERGIA (WWG15BSHLA)</v>
          </cell>
          <cell r="E448" t="str">
            <v>ETIQUETAS ENERGIA (WHP)</v>
          </cell>
        </row>
        <row r="449">
          <cell r="A449" t="str">
            <v>W11679698</v>
          </cell>
          <cell r="B449" t="str">
            <v>ENERGY EFFICIENCY TAG</v>
          </cell>
          <cell r="C449" t="str">
            <v>PC</v>
          </cell>
          <cell r="D449" t="str">
            <v>ETIQUETA ENERGIA 220(WW19NTA/19NBA)</v>
          </cell>
          <cell r="E449" t="str">
            <v>ETIQUETAS ENERGIA (WHP)</v>
          </cell>
        </row>
        <row r="450">
          <cell r="A450" t="str">
            <v>W11679700</v>
          </cell>
          <cell r="B450" t="str">
            <v>ENERGY EFFICIENCY TAG</v>
          </cell>
          <cell r="C450" t="str">
            <v>PC</v>
          </cell>
          <cell r="D450" t="str">
            <v>ETIQUETA ENERGIA 220 WW20NTA / 20NBA</v>
          </cell>
          <cell r="E450" t="str">
            <v>ETIQUETAS ENERGIA (WHP)</v>
          </cell>
        </row>
        <row r="451">
          <cell r="A451" t="str">
            <v>W11662150</v>
          </cell>
          <cell r="B451" t="str">
            <v>ENERGY EFFICIENCY TAG</v>
          </cell>
          <cell r="C451" t="str">
            <v>PC</v>
          </cell>
          <cell r="D451" t="str">
            <v>ETIQUETA ENERGIA 220 (WW20LBA/LTHLA)</v>
          </cell>
          <cell r="E451" t="str">
            <v>ETIQUETAS ENERGIA (WHP)</v>
          </cell>
        </row>
        <row r="452">
          <cell r="A452" t="str">
            <v>W11374781</v>
          </cell>
          <cell r="B452" t="str">
            <v>ENERGY EFFICIENCY TAG</v>
          </cell>
          <cell r="C452" t="str">
            <v>PC</v>
          </cell>
          <cell r="D452" t="str">
            <v>ETIQUETA ENERGIA (WWG18CN/18CA)</v>
          </cell>
          <cell r="E452" t="str">
            <v>ETIQUETAS ENERGIA (WHP)</v>
          </cell>
        </row>
        <row r="453">
          <cell r="A453" t="str">
            <v>W11374800</v>
          </cell>
          <cell r="B453" t="str">
            <v>ENERGY EFFICIENCY TAG</v>
          </cell>
          <cell r="C453" t="str">
            <v>PC</v>
          </cell>
          <cell r="D453" t="str">
            <v>ETIQUETA EFIC WHP (WWG18CB/CS/CN/CA-WWI18CA)</v>
          </cell>
          <cell r="E453" t="str">
            <v>ETIQUETAS EFICIENCIA ENERG (WHP)</v>
          </cell>
        </row>
        <row r="454">
          <cell r="A454" t="str">
            <v>W11693630</v>
          </cell>
          <cell r="B454" t="str">
            <v>ENERGY EFFICIENCY TAG</v>
          </cell>
          <cell r="C454" t="str">
            <v>PC</v>
          </cell>
          <cell r="D454" t="str">
            <v>ETIQUETA EFIC (WW14RBA/RTA-WW16RBA/16RTA)</v>
          </cell>
          <cell r="E454" t="str">
            <v>ETIQUETAS EFICIENCIA ENERG (WHP)</v>
          </cell>
        </row>
        <row r="455">
          <cell r="A455" t="str">
            <v>W11679694</v>
          </cell>
          <cell r="B455" t="str">
            <v>ENERGY EFFICIENCY TAG</v>
          </cell>
          <cell r="C455" t="str">
            <v>PC</v>
          </cell>
          <cell r="D455" t="str">
            <v>ETIQUETA EFIC WHP 220 WW20NTA/NBA/19NTA/19NBA</v>
          </cell>
          <cell r="E455" t="str">
            <v>ETIQUETAS EFICIENCIA ENERG (WHP)</v>
          </cell>
        </row>
        <row r="456">
          <cell r="A456" t="str">
            <v>W11399409</v>
          </cell>
          <cell r="B456" t="str">
            <v>ENERGY EFFICIENCY G18CBHLA</v>
          </cell>
          <cell r="C456" t="str">
            <v>PC</v>
          </cell>
          <cell r="D456" t="str">
            <v>ETIQUETA ENERGIA (WWG18CB)</v>
          </cell>
          <cell r="E456" t="str">
            <v>ETIQUETAS ENERGIA (WHP)</v>
          </cell>
        </row>
        <row r="457">
          <cell r="A457" t="str">
            <v>W11374778</v>
          </cell>
          <cell r="B457" t="str">
            <v>ENERGY EFFICIENCY TAG</v>
          </cell>
          <cell r="C457" t="str">
            <v>PC</v>
          </cell>
          <cell r="D457" t="str">
            <v>ETIQUETA ENERGIA (WWG18CSHLA)</v>
          </cell>
          <cell r="E457" t="str">
            <v>ETIQUETAS ENERGIA (WHP)</v>
          </cell>
        </row>
        <row r="458">
          <cell r="A458" t="str">
            <v>W11693635</v>
          </cell>
          <cell r="B458" t="str">
            <v>ENERGY EFFICIENCY TAG</v>
          </cell>
          <cell r="C458" t="str">
            <v>PC</v>
          </cell>
          <cell r="D458" t="str">
            <v>ETIQUETA ENERGIA 220 (WW14RB/14RTA)</v>
          </cell>
          <cell r="E458" t="str">
            <v>ETIQUETAS ENERGIA (WHP)</v>
          </cell>
        </row>
        <row r="459">
          <cell r="A459" t="str">
            <v>W11693743</v>
          </cell>
          <cell r="B459" t="str">
            <v>ENERGY EFFICIENCY TAG</v>
          </cell>
          <cell r="C459" t="str">
            <v>PC</v>
          </cell>
          <cell r="D459" t="str">
            <v>ETIQUETA ENERGIA (WW16RBA/16RTA)</v>
          </cell>
          <cell r="E459" t="str">
            <v>ETIQUETAS ENERGIA (WHP)</v>
          </cell>
        </row>
        <row r="460">
          <cell r="A460" t="str">
            <v>W11570247</v>
          </cell>
          <cell r="B460" t="str">
            <v>Energy Label WW17KBAHLA</v>
          </cell>
          <cell r="C460" t="str">
            <v>PC</v>
          </cell>
          <cell r="D460" t="str">
            <v>ETIQUETA ENERGIA WW17KBA/KTA COPA 2.0</v>
          </cell>
          <cell r="E460" t="str">
            <v>ETIQUETAS ENERGIA (WHP)</v>
          </cell>
        </row>
        <row r="461">
          <cell r="A461" t="str">
            <v>W11570256</v>
          </cell>
          <cell r="B461" t="str">
            <v>Energy Label WW17KBAHLA</v>
          </cell>
          <cell r="C461" t="str">
            <v>PC</v>
          </cell>
          <cell r="D461" t="str">
            <v>ETIQUETA EFIC WW17KBA/KTA COPA 2.0</v>
          </cell>
          <cell r="E461" t="str">
            <v>ETIQUETAS EFICIENCIA ENERG (WHP)</v>
          </cell>
        </row>
        <row r="462">
          <cell r="A462" t="str">
            <v>W11576676</v>
          </cell>
          <cell r="B462" t="str">
            <v>Energy Label WW19BTAHLA</v>
          </cell>
          <cell r="C462" t="str">
            <v>PC</v>
          </cell>
          <cell r="D462" t="str">
            <v>ETIQUETA ENERGIA (WW19BTA) COPA 2.0</v>
          </cell>
          <cell r="E462" t="str">
            <v>ETIQUETAS ENERGIA (WHP)</v>
          </cell>
        </row>
        <row r="463">
          <cell r="A463" t="str">
            <v>W11570259</v>
          </cell>
          <cell r="B463" t="str">
            <v>Energy Label WW19BTAHLA</v>
          </cell>
          <cell r="C463" t="str">
            <v>PC</v>
          </cell>
          <cell r="D463" t="str">
            <v>ETIQUETA EFIC (WW19BTA/WW20BTA/20BHA COPA 2.0</v>
          </cell>
          <cell r="E463" t="str">
            <v>ETIQUETAS EFICIENCIA ENERG (WHP)</v>
          </cell>
        </row>
        <row r="464">
          <cell r="A464" t="str">
            <v>W11570249</v>
          </cell>
          <cell r="B464" t="str">
            <v>Energy Label WW19LBAHLA</v>
          </cell>
          <cell r="C464" t="str">
            <v>PC</v>
          </cell>
          <cell r="D464" t="str">
            <v>ETIQUETA ENERGIA 220 (WW19LBA/19LTA COPA 2.0)</v>
          </cell>
          <cell r="E464" t="str">
            <v>ETIQUETAS ENERGIA (WHP)</v>
          </cell>
        </row>
        <row r="465">
          <cell r="A465" t="str">
            <v>W11672498</v>
          </cell>
          <cell r="B465" t="str">
            <v>ENERGY EFFICIENCY TAG</v>
          </cell>
          <cell r="C465" t="str">
            <v>PC</v>
          </cell>
          <cell r="D465" t="str">
            <v>ETIQUETA EFIC WW19LBA /19LTA/20LBA/20LTA</v>
          </cell>
          <cell r="E465" t="str">
            <v>ETIQUETAS EFICIENCIA ENERG (WHP)</v>
          </cell>
        </row>
        <row r="466">
          <cell r="A466" t="str">
            <v>W11570242</v>
          </cell>
          <cell r="B466" t="str">
            <v>Energy Label WW20BLA9LA</v>
          </cell>
          <cell r="C466" t="str">
            <v>PC</v>
          </cell>
          <cell r="D466" t="str">
            <v>ETIQUETA ENERGIA (WW20BLA9LA/20BTA9LA) UPB COPA 2.0</v>
          </cell>
          <cell r="E466" t="str">
            <v>ETIQUETAS ENERGIA (WHP)</v>
          </cell>
        </row>
        <row r="467">
          <cell r="A467" t="str">
            <v>W11570251</v>
          </cell>
          <cell r="B467" t="str">
            <v>Energy Label WW20BTAHLA</v>
          </cell>
          <cell r="C467" t="str">
            <v>PC</v>
          </cell>
          <cell r="D467" t="str">
            <v>ETIQUETA ENERGIA (WW20BTA/20BHA) COPA 2.0</v>
          </cell>
          <cell r="E467" t="str">
            <v>ETIQUETAS ENERGIA (WHP)</v>
          </cell>
        </row>
        <row r="468">
          <cell r="A468" t="str">
            <v>W11551254</v>
          </cell>
          <cell r="B468" t="str">
            <v>ENERGY EFFICIENCY TAG</v>
          </cell>
          <cell r="C468" t="str">
            <v>PC</v>
          </cell>
          <cell r="D468" t="str">
            <v>ETIQUETA EFIC WWG15BB/15BS/15BN/BA-WWI16BA</v>
          </cell>
          <cell r="E468" t="str">
            <v>ETIQUETAS EFICIENCIA ENERG (WHP)</v>
          </cell>
        </row>
        <row r="469">
          <cell r="A469" t="str">
            <v>W11432747</v>
          </cell>
          <cell r="B469" t="str">
            <v>ENERGY EFFICIENCY TAG</v>
          </cell>
          <cell r="C469" t="str">
            <v>PC</v>
          </cell>
          <cell r="D469" t="str">
            <v>ETIQUETA ENERGIA (WWG18BS/18BB)</v>
          </cell>
          <cell r="E469" t="str">
            <v>ETIQUETAS ENERGIA (WHP)</v>
          </cell>
        </row>
        <row r="470">
          <cell r="A470" t="str">
            <v>W11432760</v>
          </cell>
          <cell r="B470" t="str">
            <v>ENERGY EFFICIENCY TAG</v>
          </cell>
          <cell r="C470" t="str">
            <v>PC</v>
          </cell>
          <cell r="D470" t="str">
            <v>ETIQUETA EFIC WWG18BB/18BS</v>
          </cell>
          <cell r="E470" t="str">
            <v>ETIQUETAS EFICIENCIA ENERG (WHP)</v>
          </cell>
        </row>
        <row r="471">
          <cell r="A471" t="str">
            <v>W11738567</v>
          </cell>
          <cell r="B471" t="str">
            <v>ENERGY EFFICIENCY LABEL WW10HTB</v>
          </cell>
          <cell r="C471" t="str">
            <v>PC</v>
          </cell>
          <cell r="D471" t="str">
            <v>ETIQUETA ENERGIA (WW10HTB) ARG</v>
          </cell>
          <cell r="E471" t="str">
            <v>ETIQUETAS ENERGIA (WHP) ARG</v>
          </cell>
        </row>
        <row r="472">
          <cell r="A472" t="str">
            <v>W11696413</v>
          </cell>
          <cell r="B472" t="str">
            <v>ENERGY EFFICIENCY LABEL</v>
          </cell>
          <cell r="C472" t="str">
            <v>PC</v>
          </cell>
          <cell r="D472" t="str">
            <v>ETIQUETA EFIC WW21BTA/21BBA/20BTA/20BTA (MEX)</v>
          </cell>
          <cell r="E472" t="str">
            <v>ETIQUETAS EFICIENCIA ENERG (MEX)</v>
          </cell>
        </row>
        <row r="473">
          <cell r="A473" t="str">
            <v>W11580140</v>
          </cell>
          <cell r="B473" t="str">
            <v>Energy Label Hcb 14kg</v>
          </cell>
          <cell r="C473" t="str">
            <v>PC</v>
          </cell>
          <cell r="D473" t="str">
            <v>ETIQUETA ENERGIA HCB 14Kg COPA 2.0</v>
          </cell>
          <cell r="E473" t="str">
            <v>ETIQUETAS ENERGIA (HCB)</v>
          </cell>
        </row>
        <row r="474">
          <cell r="A474" t="str">
            <v>W11580142</v>
          </cell>
          <cell r="B474" t="str">
            <v>Energy Label Hcb 16kg</v>
          </cell>
          <cell r="C474" t="str">
            <v>PC</v>
          </cell>
          <cell r="D474" t="str">
            <v>ETIQUETA ENERGIA HCB 16KG COPA 2.0</v>
          </cell>
          <cell r="E474" t="str">
            <v>ETIQUETAS ENERGIA (HCB)</v>
          </cell>
        </row>
        <row r="475">
          <cell r="A475" t="str">
            <v>W11580144</v>
          </cell>
          <cell r="B475" t="str">
            <v>Energy Label Hcb 19kg</v>
          </cell>
          <cell r="C475" t="str">
            <v>PC</v>
          </cell>
          <cell r="D475" t="str">
            <v>ETIQUETA ENERGIA HCB 19Kg COPA 2.0</v>
          </cell>
          <cell r="E475" t="str">
            <v>ETIQUETAS ENERGIA (HCB)</v>
          </cell>
        </row>
        <row r="476">
          <cell r="A476" t="str">
            <v>W11580146</v>
          </cell>
          <cell r="B476" t="str">
            <v>Energy Label Hcb 20kg</v>
          </cell>
          <cell r="C476" t="str">
            <v>PC</v>
          </cell>
          <cell r="D476" t="str">
            <v>ETIQUETA ENERGIA HCB 20Kg COPA 2.0</v>
          </cell>
          <cell r="E476" t="str">
            <v>ETIQUETAS ENERGIA (HCB)</v>
          </cell>
        </row>
        <row r="477">
          <cell r="A477" t="str">
            <v>W11580148</v>
          </cell>
          <cell r="B477" t="str">
            <v>Energy Label Hcb 20kg Hot</v>
          </cell>
          <cell r="C477" t="str">
            <v>PC</v>
          </cell>
          <cell r="D477" t="str">
            <v>ETIQUETA ENERGIA HCB 20Kg CAL COPA 2.0</v>
          </cell>
          <cell r="E477" t="str">
            <v>ETIQUETAS ENERGIA (HCB)</v>
          </cell>
        </row>
        <row r="478">
          <cell r="A478" t="str">
            <v>W11554561</v>
          </cell>
          <cell r="B478" t="str">
            <v>ETIQUETA HCB AGP ( LA13EVA16A-CC1HW)</v>
          </cell>
          <cell r="C478" t="str">
            <v>PC</v>
          </cell>
          <cell r="D478" t="str">
            <v>ETIQUETA ENERGIA HCB AGP (LA13EVA16A-CC1HW)</v>
          </cell>
          <cell r="E478" t="str">
            <v>ETIQUETAS ENERGIA (HCB)</v>
          </cell>
        </row>
        <row r="479">
          <cell r="A479" t="str">
            <v>W11554576</v>
          </cell>
          <cell r="B479" t="str">
            <v>ETIQUETA HCB AGP G (lLA18EVI16A-CC1HW)</v>
          </cell>
          <cell r="C479" t="str">
            <v>PC</v>
          </cell>
          <cell r="D479" t="str">
            <v>ETIQUETA ENERGIA HCB 18Kg AGP</v>
          </cell>
          <cell r="E479" t="str">
            <v>ETIQUETAS ENERGIA (HCB)</v>
          </cell>
        </row>
        <row r="480">
          <cell r="A480" t="str">
            <v>W11647766</v>
          </cell>
          <cell r="B480" t="str">
            <v>ENERGY EFFICIENCY TAG</v>
          </cell>
          <cell r="C480" t="str">
            <v>PC</v>
          </cell>
          <cell r="D480" t="str">
            <v>ETIQUETA ENERGIA HCB LA18EVI16B COPA 2.0</v>
          </cell>
          <cell r="E480" t="str">
            <v>ETIQUETAS ENERGIA (HCB)</v>
          </cell>
        </row>
        <row r="481">
          <cell r="A481" t="str">
            <v>W11682997</v>
          </cell>
          <cell r="B481" t="str">
            <v>INMETRO LABEL BWK14ABANA</v>
          </cell>
          <cell r="C481" t="str">
            <v>PC</v>
          </cell>
          <cell r="D481" t="str">
            <v>ETIQUETA ENERGIA (BW17LTAHBR) BRASTEMP</v>
          </cell>
          <cell r="E481" t="str">
            <v>ETIQUETAS ENERGIA (BRASTEMP)</v>
          </cell>
        </row>
        <row r="482">
          <cell r="A482" t="str">
            <v>W11683066</v>
          </cell>
          <cell r="B482" t="str">
            <v>INMETRO LABEL BWK14ABANA</v>
          </cell>
          <cell r="C482" t="str">
            <v>PC</v>
          </cell>
          <cell r="D482" t="str">
            <v>ETIQUETA ENERGIA (BW17LTABBR) BRASTEMP</v>
          </cell>
          <cell r="E482" t="str">
            <v>ETIQUETAS ENERGIA (BRASTEMP)</v>
          </cell>
        </row>
        <row r="483">
          <cell r="A483" t="str">
            <v>W10866946</v>
          </cell>
          <cell r="B483" t="str">
            <v>WARNING POWER CORD LABEL</v>
          </cell>
          <cell r="C483" t="str">
            <v>PC</v>
          </cell>
          <cell r="D483" t="str">
            <v>ETIQUETA ADVERT BRASTEMP</v>
          </cell>
          <cell r="E483" t="str">
            <v>ETIQUETAS ADVERTENCIA</v>
          </cell>
        </row>
        <row r="484">
          <cell r="A484" t="str">
            <v>W10233113</v>
          </cell>
          <cell r="B484" t="str">
            <v>ETIQUETA ADVERTENCIA CHOQUE ELETRICO</v>
          </cell>
          <cell r="C484" t="str">
            <v>PC</v>
          </cell>
          <cell r="D484" t="str">
            <v>ETIQUETA ADVERT CHOQUE ELETRICO</v>
          </cell>
          <cell r="E484" t="str">
            <v>ETIQUETAS ADVERTENCIA</v>
          </cell>
        </row>
        <row r="485">
          <cell r="A485" t="str">
            <v>W11043931</v>
          </cell>
          <cell r="B485" t="str">
            <v>LABEL-WARN DISC PWR TRILINGUAL</v>
          </cell>
          <cell r="C485" t="str">
            <v>PC</v>
          </cell>
          <cell r="D485" t="str">
            <v>ETIQUETA ADVERT CHOQUE ELETRICO (CARIBE) COPA 2.0</v>
          </cell>
          <cell r="E485" t="str">
            <v>ETIQUETAS ADVERTENCIA</v>
          </cell>
        </row>
        <row r="486">
          <cell r="A486" t="str">
            <v>W11596380</v>
          </cell>
          <cell r="B486" t="str">
            <v>ENERGY EFFICIENCY LABEL</v>
          </cell>
          <cell r="C486" t="str">
            <v>PC</v>
          </cell>
          <cell r="D486" t="str">
            <v>ETIQUETA SERVICIO HCB</v>
          </cell>
          <cell r="E486" t="str">
            <v>ETIQUETA SERVICIO</v>
          </cell>
        </row>
        <row r="487">
          <cell r="A487" t="str">
            <v>W11691488</v>
          </cell>
          <cell r="B487" t="str">
            <v>ADESIVO REGUA DE NIVEL</v>
          </cell>
          <cell r="C487" t="str">
            <v>PC</v>
          </cell>
          <cell r="D487" t="str">
            <v>ETIQUETA REGLA DE NIVEL</v>
          </cell>
          <cell r="E487" t="str">
            <v>ETIQUETA REGLA DE NIVEL</v>
          </cell>
        </row>
        <row r="488">
          <cell r="A488" t="str">
            <v>W11550829</v>
          </cell>
          <cell r="B488" t="str">
            <v>LEVEL SCALE STICKER</v>
          </cell>
          <cell r="C488" t="str">
            <v>PC</v>
          </cell>
          <cell r="D488" t="str">
            <v>ETIQUETA REGLA DE NIVEL TORRE (GRIS)</v>
          </cell>
          <cell r="E488" t="str">
            <v>ETIQUETA REGLA DE NIVEL</v>
          </cell>
        </row>
        <row r="489">
          <cell r="A489" t="str">
            <v>W11661750</v>
          </cell>
          <cell r="B489" t="str">
            <v>LEVEL SCALE LABEL</v>
          </cell>
          <cell r="C489" t="str">
            <v>PC</v>
          </cell>
          <cell r="D489" t="str">
            <v>ETIQUETA REGLA DE NIVEL WHP COPA 2.0</v>
          </cell>
          <cell r="E489" t="str">
            <v>ETIQUETA REGLA DE NIVEL</v>
          </cell>
        </row>
        <row r="490">
          <cell r="A490" t="str">
            <v>W11175874</v>
          </cell>
          <cell r="B490" t="str">
            <v>ADESIVO REGUA DE NIVEL</v>
          </cell>
          <cell r="C490" t="str">
            <v>PC</v>
          </cell>
          <cell r="D490" t="str">
            <v>ETIQUETA REGLA NIVEL TORRE BEST</v>
          </cell>
          <cell r="E490" t="str">
            <v>ETIQUETA REGLA DE NIVEL</v>
          </cell>
        </row>
        <row r="491">
          <cell r="A491" t="str">
            <v>W11175939</v>
          </cell>
          <cell r="B491" t="str">
            <v>ETIQUETA REGUA DE NIVEL</v>
          </cell>
          <cell r="C491" t="str">
            <v>PC</v>
          </cell>
          <cell r="D491" t="str">
            <v>ETIQUETA REGLA NIVEL TORRE GOOD</v>
          </cell>
          <cell r="E491" t="str">
            <v>ETIQUETA REGLA DE NIVEL</v>
          </cell>
        </row>
        <row r="492">
          <cell r="A492" t="str">
            <v>W10804305</v>
          </cell>
          <cell r="B492" t="str">
            <v>ETIQUETA PLACA POTENCIA</v>
          </cell>
          <cell r="C492" t="str">
            <v>PC</v>
          </cell>
          <cell r="D492" t="str">
            <v>ETIQUETA DE PLACA POTENCIA</v>
          </cell>
          <cell r="E492" t="str">
            <v>ETIQUETA PLACA POTENCIA</v>
          </cell>
        </row>
        <row r="493">
          <cell r="A493" t="str">
            <v>W11625724</v>
          </cell>
          <cell r="B493" t="str">
            <v>QR CODE LABEL</v>
          </cell>
          <cell r="C493" t="str">
            <v>PC</v>
          </cell>
          <cell r="D493" t="str">
            <v>ETIQUETA DE LLENADO WHP CARIBE COPA 2.0</v>
          </cell>
          <cell r="E493" t="str">
            <v>ETIQUETA LLENADO</v>
          </cell>
        </row>
        <row r="494">
          <cell r="A494" t="str">
            <v>W11625722</v>
          </cell>
          <cell r="B494" t="str">
            <v>QR CODE LABEL</v>
          </cell>
          <cell r="C494" t="str">
            <v>PC</v>
          </cell>
          <cell r="D494" t="str">
            <v>ETIQUETA DE LLENADO WHP COPA 2.0</v>
          </cell>
          <cell r="E494" t="str">
            <v>ETIQUETA LLENADO</v>
          </cell>
        </row>
        <row r="495">
          <cell r="A495" t="str">
            <v>W10917614</v>
          </cell>
          <cell r="B495" t="str">
            <v>ETIQUETA DE IDENTIFICAÇÃO</v>
          </cell>
          <cell r="C495" t="str">
            <v>PC</v>
          </cell>
          <cell r="D495" t="str">
            <v>ETIQUETA DE IDENTIFICACIÓN</v>
          </cell>
          <cell r="E495" t="str">
            <v>ETIQUETA IDENTIFICACIÓN</v>
          </cell>
        </row>
        <row r="496">
          <cell r="A496" t="str">
            <v>W11685272</v>
          </cell>
          <cell r="B496" t="str">
            <v>ETIQUETA DE IDENTIFICAÇÃO</v>
          </cell>
          <cell r="C496" t="str">
            <v>PC</v>
          </cell>
          <cell r="D496" t="str">
            <v>ETIQUETA DE IDENTIFICACIÓN BRASTEMP</v>
          </cell>
          <cell r="E496" t="str">
            <v>ETIQUETA IDENTIFICACIÓN</v>
          </cell>
        </row>
        <row r="497">
          <cell r="A497" t="str">
            <v>W11520671</v>
          </cell>
          <cell r="B497" t="str">
            <v>LIGHT GUIDE OVERLAY-</v>
          </cell>
          <cell r="C497" t="str">
            <v>PC</v>
          </cell>
          <cell r="D497" t="str">
            <v>ETIQUETA GUIA DE LUZ COPA 2.0</v>
          </cell>
          <cell r="E497" t="str">
            <v>ETIQUETA GUIA DE LUZ</v>
          </cell>
        </row>
        <row r="498">
          <cell r="A498" t="str">
            <v>W11134931</v>
          </cell>
          <cell r="B498" t="str">
            <v>LIGHT GUIDE OVERLAY- 7 SEG COPA</v>
          </cell>
          <cell r="C498" t="str">
            <v>PC</v>
          </cell>
          <cell r="D498" t="str">
            <v>ETIQUETA GUIA DE LUZ WHP</v>
          </cell>
          <cell r="E498" t="str">
            <v>ETIQUETA GUIA DE LUZ</v>
          </cell>
        </row>
        <row r="499">
          <cell r="A499" t="str">
            <v>W10856689</v>
          </cell>
          <cell r="B499" t="str">
            <v>Etiqueta de Distribuidores</v>
          </cell>
          <cell r="C499" t="str">
            <v>PC</v>
          </cell>
          <cell r="D499" t="str">
            <v>ETIQUETA DISTRIBUIDORES (BOLIVIA)</v>
          </cell>
          <cell r="E499" t="str">
            <v>ETIQUETA DISTRIBUIDORES</v>
          </cell>
        </row>
        <row r="500">
          <cell r="A500" t="str">
            <v>W11576381</v>
          </cell>
          <cell r="B500" t="str">
            <v>Lid Lock Label</v>
          </cell>
          <cell r="C500" t="str">
            <v>PC</v>
          </cell>
          <cell r="D500" t="str">
            <v>ETIQUETA BLOQUEO TAPA CARIBE COPA 2.0</v>
          </cell>
          <cell r="E500" t="str">
            <v>ETIQUETA DE BLOQUEO</v>
          </cell>
        </row>
        <row r="501">
          <cell r="A501" t="str">
            <v>W11525916</v>
          </cell>
          <cell r="B501" t="str">
            <v>Lid Lock Label</v>
          </cell>
          <cell r="C501" t="str">
            <v>PC</v>
          </cell>
          <cell r="D501" t="str">
            <v>ETIQUETA BLOQUEO TAPA COPA 2.0</v>
          </cell>
          <cell r="E501" t="str">
            <v>ETIQUETA DE BLOQUEO</v>
          </cell>
        </row>
        <row r="502">
          <cell r="A502" t="str">
            <v>W10803373</v>
          </cell>
          <cell r="B502" t="str">
            <v>ETIQUETA ATENCION</v>
          </cell>
          <cell r="C502" t="str">
            <v>PC</v>
          </cell>
          <cell r="D502" t="str">
            <v>ETIQUETA DE ATENCION COPA 2.0</v>
          </cell>
          <cell r="E502" t="str">
            <v>ETIQUETA DE ATENCIÓN</v>
          </cell>
        </row>
        <row r="503">
          <cell r="A503" t="str">
            <v>W11324355</v>
          </cell>
          <cell r="B503" t="str">
            <v>ETIQUETA ATENÇÃO</v>
          </cell>
          <cell r="C503" t="str">
            <v>PC</v>
          </cell>
          <cell r="D503" t="str">
            <v>ETIQUETA DE ATENCION INGLES COPA 2.0</v>
          </cell>
          <cell r="E503" t="str">
            <v>ETIQUETA DE ATENCIÓN</v>
          </cell>
        </row>
        <row r="504">
          <cell r="A504" t="str">
            <v>W10517931</v>
          </cell>
          <cell r="B504" t="str">
            <v>Conagua Energy Label</v>
          </cell>
          <cell r="C504" t="str">
            <v>PC</v>
          </cell>
          <cell r="D504" t="str">
            <v>ETIQUETA CONAGUA WW21BTAHME COPA 2.0</v>
          </cell>
          <cell r="E504" t="str">
            <v>ETIQUETA CONAGUA</v>
          </cell>
        </row>
        <row r="505">
          <cell r="A505" t="str">
            <v>W11606776</v>
          </cell>
          <cell r="B505" t="str">
            <v>CODE LABEL</v>
          </cell>
          <cell r="C505" t="str">
            <v>PC</v>
          </cell>
          <cell r="D505" t="str">
            <v>ETIQUETA CICLO ROPA MASCOTAS COPA 2.0</v>
          </cell>
          <cell r="E505" t="str">
            <v>ETIQUETA CICLO MASCOTAS</v>
          </cell>
        </row>
        <row r="506">
          <cell r="A506" t="str">
            <v>W11616007</v>
          </cell>
          <cell r="B506" t="str">
            <v>SGS LABEL HACEB, SM  </v>
          </cell>
          <cell r="C506" t="str">
            <v>PC</v>
          </cell>
          <cell r="D506" t="str">
            <v>ETIQUETA CERTIFICACIÓN HCB (SGS) COPA 2.0</v>
          </cell>
          <cell r="E506" t="str">
            <v>ETIQUETA CERTIFICACIÓN</v>
          </cell>
        </row>
        <row r="507">
          <cell r="A507" t="str">
            <v>W11642866</v>
          </cell>
          <cell r="B507" t="str">
            <v>ENERGY EFFICIENCY TAG</v>
          </cell>
          <cell r="C507" t="str">
            <v>PC</v>
          </cell>
          <cell r="D507" t="str">
            <v>ETIQUETA CERTIFICACIÓN SEGURIDAD</v>
          </cell>
          <cell r="E507" t="str">
            <v>ETIQUETA CERTIFICACIÓN</v>
          </cell>
        </row>
        <row r="508">
          <cell r="A508" t="str">
            <v>W11748859</v>
          </cell>
          <cell r="B508" t="str">
            <v>ETIQUETA DE CAPACIDAD, 19 KG</v>
          </cell>
          <cell r="C508" t="str">
            <v>PC</v>
          </cell>
          <cell r="D508" t="str">
            <v>ETIQUETA DE CAPACIDAD NUEVA 19KG</v>
          </cell>
          <cell r="E508" t="str">
            <v>ETIQUETA CAPACIDAD</v>
          </cell>
        </row>
        <row r="509">
          <cell r="A509" t="str">
            <v>W11748861</v>
          </cell>
          <cell r="B509" t="str">
            <v>ETIQUETA DE CAPACIDAD, 17 KG</v>
          </cell>
          <cell r="C509" t="str">
            <v>PC</v>
          </cell>
          <cell r="D509" t="str">
            <v>ETIQUETA DE CAPACIDAD NUEVA 17KG</v>
          </cell>
          <cell r="E509" t="str">
            <v>ETIQUETA CAPACIDAD</v>
          </cell>
        </row>
        <row r="510">
          <cell r="A510" t="str">
            <v>W10650429</v>
          </cell>
          <cell r="B510" t="str">
            <v>ETIQUETA CAPACIDAD</v>
          </cell>
          <cell r="C510" t="str">
            <v>PC</v>
          </cell>
          <cell r="D510" t="str">
            <v>ETIQUETA CAPACIDAD COPA 2.0</v>
          </cell>
          <cell r="E510" t="str">
            <v>ETIQUETA CAPACIDAD</v>
          </cell>
        </row>
        <row r="511">
          <cell r="A511" t="str">
            <v>W11316690</v>
          </cell>
          <cell r="B511" t="str">
            <v>GUSSET BOTTOM</v>
          </cell>
          <cell r="C511" t="str">
            <v>PC</v>
          </cell>
          <cell r="D511" t="str">
            <v>ESQUINERO METALICO INFERIOR</v>
          </cell>
          <cell r="E511" t="str">
            <v>ESQUINEROS METALICOS</v>
          </cell>
        </row>
        <row r="512">
          <cell r="A512" t="str">
            <v>W11316689</v>
          </cell>
          <cell r="B512" t="str">
            <v>ESQUINERO SUPERIOR</v>
          </cell>
          <cell r="C512" t="str">
            <v>PC</v>
          </cell>
          <cell r="D512" t="str">
            <v>ESQUINERO METALICO SUPERIOR</v>
          </cell>
          <cell r="E512" t="str">
            <v>ESQUINEROS METALICOS</v>
          </cell>
        </row>
        <row r="513">
          <cell r="A513" t="str">
            <v>W10713714</v>
          </cell>
          <cell r="B513" t="str">
            <v>ISOLASAO PAD</v>
          </cell>
          <cell r="C513" t="str">
            <v>PC</v>
          </cell>
          <cell r="D513" t="str">
            <v>ESPUMA BL GABINETE (ISOLASAO PAD)</v>
          </cell>
          <cell r="E513" t="str">
            <v>ESPUMAS</v>
          </cell>
        </row>
        <row r="514">
          <cell r="A514" t="str">
            <v>W11568113</v>
          </cell>
          <cell r="B514" t="str">
            <v>New Gabinet Pad</v>
          </cell>
          <cell r="C514" t="str">
            <v>PC</v>
          </cell>
          <cell r="D514" t="str">
            <v>ESPUMA NEGRA GABINETE COPA 2.0</v>
          </cell>
          <cell r="E514" t="str">
            <v>ESPUMAS</v>
          </cell>
        </row>
        <row r="515">
          <cell r="A515" t="str">
            <v>W11733416</v>
          </cell>
          <cell r="B515" t="str">
            <v>DISTRIBUIDOR QUENTE/FRIO</v>
          </cell>
          <cell r="C515" t="str">
            <v>PC</v>
          </cell>
          <cell r="D515" t="str">
            <v>ESPARCIDOR AGUA CAL COPA 2.0</v>
          </cell>
          <cell r="E515" t="str">
            <v>ESPARCIDOR</v>
          </cell>
        </row>
        <row r="516">
          <cell r="A516" t="str">
            <v>W11733417</v>
          </cell>
          <cell r="B516" t="str">
            <v>DISTRIBUIDOR FRIO</v>
          </cell>
          <cell r="C516" t="str">
            <v>PC</v>
          </cell>
          <cell r="D516" t="str">
            <v>ESPARCIDOR AGUA FRIA COPA 2.0</v>
          </cell>
          <cell r="E516" t="str">
            <v>ESPARCIDOR</v>
          </cell>
        </row>
        <row r="517">
          <cell r="A517" t="str">
            <v>W11131127</v>
          </cell>
          <cell r="B517" t="str">
            <v>CJ ESPALHADOR</v>
          </cell>
          <cell r="C517" t="str">
            <v>PC</v>
          </cell>
          <cell r="D517" t="str">
            <v>ESPARCIDOR NATURAL</v>
          </cell>
          <cell r="E517" t="str">
            <v>ESPARCIDOR</v>
          </cell>
        </row>
        <row r="518">
          <cell r="A518" t="str">
            <v>W11463922</v>
          </cell>
          <cell r="B518" t="str">
            <v>CJ ESPALHADOR RETIRO FALSA VALVULA</v>
          </cell>
          <cell r="C518" t="str">
            <v>PC</v>
          </cell>
          <cell r="D518" t="str">
            <v>ESPARCIDOR NATURAL SIN FALSA VALVULA</v>
          </cell>
          <cell r="E518" t="str">
            <v>ESPARCIDOR</v>
          </cell>
        </row>
        <row r="519">
          <cell r="A519" t="str">
            <v>W10873962</v>
          </cell>
          <cell r="B519" t="str">
            <v>GASKET</v>
          </cell>
          <cell r="C519" t="str">
            <v>PC</v>
          </cell>
          <cell r="D519" t="str">
            <v>EMPAQUE VALVULA</v>
          </cell>
          <cell r="E519" t="str">
            <v>EMPAQUE VALVULA</v>
          </cell>
        </row>
        <row r="520">
          <cell r="A520" t="str">
            <v>326001101</v>
          </cell>
          <cell r="B520" t="str">
            <v>JUNTA ELECTROVÁLVULA EWH09AB CWC22B</v>
          </cell>
          <cell r="C520" t="str">
            <v>PC</v>
          </cell>
          <cell r="D520" t="str">
            <v>EMPAQUE VALVULA COPA 2.0</v>
          </cell>
          <cell r="E520" t="str">
            <v>EMPAQUE VALVULA</v>
          </cell>
        </row>
        <row r="521">
          <cell r="A521" t="str">
            <v>W10873928</v>
          </cell>
          <cell r="B521" t="str">
            <v>O'RING CLOSING ENCODER</v>
          </cell>
          <cell r="C521" t="str">
            <v>PC</v>
          </cell>
          <cell r="D521" t="str">
            <v>SELLO PLASTICO O'RING CLOSING</v>
          </cell>
          <cell r="E521" t="str">
            <v>EMPAQUE TAPA FIJA AGP</v>
          </cell>
        </row>
        <row r="522">
          <cell r="A522" t="str">
            <v>W10873275</v>
          </cell>
          <cell r="B522" t="str">
            <v>EMBLEMA DO BOTAO DE CICLOS WHP</v>
          </cell>
          <cell r="C522" t="str">
            <v>PC</v>
          </cell>
          <cell r="D522" t="str">
            <v>EMPLEMA DE PERILLA GRANDE WHP</v>
          </cell>
          <cell r="E522" t="str">
            <v>EMBLEMA CICLOS_PROV</v>
          </cell>
        </row>
        <row r="523">
          <cell r="A523" t="str">
            <v>W10872853</v>
          </cell>
          <cell r="B523" t="str">
            <v>ELETROBOMBA ALUMINIO 120V 60HZ</v>
          </cell>
          <cell r="C523" t="str">
            <v>PC</v>
          </cell>
          <cell r="D523" t="str">
            <v>ELECTROBOMBA 120V/60HZ</v>
          </cell>
          <cell r="E523" t="str">
            <v>ELECTROBOMBA</v>
          </cell>
        </row>
        <row r="524">
          <cell r="A524" t="str">
            <v>W10872849</v>
          </cell>
          <cell r="B524" t="str">
            <v>ELECTROBOMBA 220V 50 HZ</v>
          </cell>
          <cell r="C524" t="str">
            <v>PC</v>
          </cell>
          <cell r="D524" t="str">
            <v>ELECTROBOMBA 220V 50 HZ</v>
          </cell>
          <cell r="E524" t="str">
            <v>ELECTROBOMBA</v>
          </cell>
        </row>
        <row r="525">
          <cell r="A525" t="str">
            <v>W11337740</v>
          </cell>
          <cell r="B525" t="str">
            <v>ALUMINUM PUMP 220V 50 HZ</v>
          </cell>
          <cell r="C525" t="str">
            <v>PC</v>
          </cell>
          <cell r="D525" t="str">
            <v>ELECTROBOMBA 220V 50 HZ CARIBE</v>
          </cell>
          <cell r="E525" t="str">
            <v>ELECTROBOMBA</v>
          </cell>
        </row>
        <row r="526">
          <cell r="A526" t="str">
            <v>W10872851</v>
          </cell>
          <cell r="B526" t="str">
            <v>ELETROBOMBA ALUMINIO 220V 60HZ</v>
          </cell>
          <cell r="C526" t="str">
            <v>PC</v>
          </cell>
          <cell r="D526" t="str">
            <v>ELETROBOMBA 220V 60HZ</v>
          </cell>
          <cell r="E526" t="str">
            <v>ELECTROBOMBA</v>
          </cell>
        </row>
        <row r="527">
          <cell r="A527" t="str">
            <v>000360420</v>
          </cell>
          <cell r="B527" t="str">
            <v>EJE MECANISMO FRENO AWR680/3-CWR600 &amp;</v>
          </cell>
          <cell r="C527" t="str">
            <v>PC</v>
          </cell>
          <cell r="D527" t="str">
            <v>EJE MECANISMO FRENO</v>
          </cell>
          <cell r="E527" t="str">
            <v>EJE MECANISMO</v>
          </cell>
        </row>
        <row r="528">
          <cell r="A528" t="str">
            <v>W10719069</v>
          </cell>
          <cell r="B528" t="str">
            <v>DRIVE BLOCK</v>
          </cell>
          <cell r="C528" t="str">
            <v>PC</v>
          </cell>
          <cell r="D528" t="str">
            <v>DRIVE BLOCK</v>
          </cell>
          <cell r="E528" t="str">
            <v>DRIVE BLOCK</v>
          </cell>
        </row>
        <row r="529">
          <cell r="A529" t="str">
            <v>W11135576</v>
          </cell>
          <cell r="B529" t="str">
            <v>DAMPER HINGE-LEFT</v>
          </cell>
          <cell r="C529" t="str">
            <v>PC</v>
          </cell>
          <cell r="D529" t="str">
            <v>DAMPER BISAGRA IZQ BOTERO 1</v>
          </cell>
          <cell r="E529" t="str">
            <v>DAMPER</v>
          </cell>
        </row>
        <row r="530">
          <cell r="A530" t="str">
            <v>W11722195</v>
          </cell>
          <cell r="B530" t="str">
            <v>REDUCED DAMPER HACEB</v>
          </cell>
          <cell r="C530" t="str">
            <v>PC</v>
          </cell>
          <cell r="D530" t="str">
            <v>DAMPER HCB (NEGRO/AMAR) COPA 2.0</v>
          </cell>
          <cell r="E530" t="str">
            <v>DAMPER</v>
          </cell>
        </row>
        <row r="531">
          <cell r="A531" t="str">
            <v>W11411580</v>
          </cell>
          <cell r="B531" t="str">
            <v>DAMPER LEFT OD14 3.8Nm</v>
          </cell>
          <cell r="C531" t="str">
            <v>PC</v>
          </cell>
          <cell r="D531" t="str">
            <v>DAMPER LEFT OD14 3.8NM (AZUL)</v>
          </cell>
          <cell r="E531" t="str">
            <v>DAMPER</v>
          </cell>
        </row>
        <row r="532">
          <cell r="A532" t="str">
            <v>W11705885</v>
          </cell>
          <cell r="B532" t="str">
            <v>DAMPER LEFT</v>
          </cell>
          <cell r="C532" t="str">
            <v>PC</v>
          </cell>
          <cell r="D532" t="str">
            <v>DAMPER WHP (NEGRO) COPA 2.0</v>
          </cell>
          <cell r="E532" t="str">
            <v>DAMPER</v>
          </cell>
        </row>
        <row r="533">
          <cell r="A533" t="str">
            <v>W11345206</v>
          </cell>
          <cell r="B533" t="str">
            <v>SC FALSE DAMPER CIRCULAR</v>
          </cell>
          <cell r="C533" t="str">
            <v>PC</v>
          </cell>
          <cell r="D533" t="str">
            <v>FALSO DAMPER</v>
          </cell>
          <cell r="E533" t="str">
            <v>DAMPER</v>
          </cell>
        </row>
        <row r="534">
          <cell r="A534" t="str">
            <v>W11728573</v>
          </cell>
          <cell r="B534" t="str">
            <v>DAMPER LEFT</v>
          </cell>
          <cell r="C534" t="str">
            <v>PC</v>
          </cell>
          <cell r="D534" t="str">
            <v>DAMPER IZQUIERDO (GRIS) BOTERO 2</v>
          </cell>
          <cell r="E534" t="str">
            <v>DAMPER</v>
          </cell>
        </row>
        <row r="535">
          <cell r="A535" t="str">
            <v>W11728575</v>
          </cell>
          <cell r="B535" t="str">
            <v>DAMPER RIGHT</v>
          </cell>
          <cell r="C535" t="str">
            <v>PC</v>
          </cell>
          <cell r="D535" t="str">
            <v>DAMPER DERECHO (AMARILLO) BOTERO 2</v>
          </cell>
          <cell r="E535" t="str">
            <v>DAMPER</v>
          </cell>
        </row>
        <row r="536">
          <cell r="A536" t="str">
            <v>W11561657</v>
          </cell>
          <cell r="B536" t="str">
            <v>SEGURO SOPORTE CESTO LAVA/ WWQ22-WWQ24</v>
          </cell>
          <cell r="C536" t="str">
            <v>PC</v>
          </cell>
          <cell r="D536" t="str">
            <v>CUÑA SOPORTE CESTO COPA 2.0</v>
          </cell>
          <cell r="E536" t="str">
            <v>CUÑA</v>
          </cell>
        </row>
        <row r="537">
          <cell r="A537" t="str">
            <v>W11491988</v>
          </cell>
          <cell r="B537" t="str">
            <v>HINGE COVER RIGHT BL</v>
          </cell>
          <cell r="C537" t="str">
            <v>PC</v>
          </cell>
          <cell r="D537" t="str">
            <v>CUBIERTA BISAG DER NEGRO COPA 2.0</v>
          </cell>
          <cell r="E537" t="str">
            <v>CUBIERTA BISAGRA</v>
          </cell>
        </row>
        <row r="538">
          <cell r="A538" t="str">
            <v>W11491987</v>
          </cell>
          <cell r="B538" t="str">
            <v>HINGE COVER RIGHT TE</v>
          </cell>
          <cell r="C538" t="str">
            <v>PC</v>
          </cell>
          <cell r="D538" t="str">
            <v>CUBIERTA BISAG DER TEMPEST COPA 2.0</v>
          </cell>
          <cell r="E538" t="str">
            <v>CUBIERTA BISAGRA</v>
          </cell>
        </row>
        <row r="539">
          <cell r="A539" t="str">
            <v>W11491991</v>
          </cell>
          <cell r="B539" t="str">
            <v>HINGE COVER LEFT BLA</v>
          </cell>
          <cell r="C539" t="str">
            <v>PC</v>
          </cell>
          <cell r="D539" t="str">
            <v>CUBIERTA BISAG IZQ NEGRO COPA 2.0</v>
          </cell>
          <cell r="E539" t="str">
            <v>CUBIERTA BISAGRA</v>
          </cell>
        </row>
        <row r="540">
          <cell r="A540" t="str">
            <v>W11491990</v>
          </cell>
          <cell r="B540" t="str">
            <v>HINGE COVER LEFT TEM</v>
          </cell>
          <cell r="C540" t="str">
            <v>PC</v>
          </cell>
          <cell r="D540" t="str">
            <v>CUBIERTA BISAG IZQ TEMPEST COPA 2.0</v>
          </cell>
          <cell r="E540" t="str">
            <v>CUBIERTA BISAGRA</v>
          </cell>
        </row>
        <row r="541">
          <cell r="A541" t="str">
            <v>W10470951</v>
          </cell>
          <cell r="B541" t="str">
            <v>CORREA POLEA POLI V</v>
          </cell>
          <cell r="C541" t="str">
            <v>PC</v>
          </cell>
          <cell r="D541" t="str">
            <v>CORREA POLI V</v>
          </cell>
          <cell r="E541" t="str">
            <v>CORREAS</v>
          </cell>
        </row>
        <row r="542">
          <cell r="A542" t="str">
            <v>W10763062</v>
          </cell>
          <cell r="B542" t="str">
            <v>COPO SUSPENSION 24"</v>
          </cell>
          <cell r="C542" t="str">
            <v>PC</v>
          </cell>
          <cell r="D542" t="str">
            <v>COPO DE SUSPENSION</v>
          </cell>
          <cell r="E542" t="str">
            <v>COPO SUSPENSION</v>
          </cell>
        </row>
        <row r="543">
          <cell r="A543" t="str">
            <v>W11641188</v>
          </cell>
          <cell r="B543" t="str">
            <v>Consola Manual Black Haceb</v>
          </cell>
          <cell r="C543" t="str">
            <v>PC</v>
          </cell>
          <cell r="D543" t="str">
            <v>CONSOLA (PERILLA) HCB NEGRA</v>
          </cell>
          <cell r="E543" t="str">
            <v>CONSOLAS</v>
          </cell>
        </row>
        <row r="544">
          <cell r="A544" t="str">
            <v>W11548729</v>
          </cell>
          <cell r="B544" t="str">
            <v>CONSOLE AGIPELLER COAL</v>
          </cell>
          <cell r="C544" t="str">
            <v>PC</v>
          </cell>
          <cell r="D544" t="str">
            <v>CONSOLA AGP HCB COAL</v>
          </cell>
          <cell r="E544" t="str">
            <v>CONSOLAS</v>
          </cell>
        </row>
        <row r="545">
          <cell r="A545" t="str">
            <v>W11705447</v>
          </cell>
          <cell r="B545" t="str">
            <v>CONSOLE AGP WHP</v>
          </cell>
          <cell r="C545" t="str">
            <v>PC</v>
          </cell>
          <cell r="D545" t="str">
            <v>CONSOLA AGP WHP CON REMOL</v>
          </cell>
          <cell r="E545" t="str">
            <v>CONSOLAS</v>
          </cell>
        </row>
        <row r="546">
          <cell r="A546" t="str">
            <v>W11487591</v>
          </cell>
          <cell r="B546" t="str">
            <v>CJ CONSOLE + OVERLAY</v>
          </cell>
          <cell r="C546" t="str">
            <v>PC</v>
          </cell>
          <cell r="D546" t="str">
            <v>CONSOLA HCB (BLANCO) COPA 2.0</v>
          </cell>
          <cell r="E546" t="str">
            <v>CONSOLAS</v>
          </cell>
        </row>
        <row r="547">
          <cell r="A547" t="str">
            <v>W11502600</v>
          </cell>
          <cell r="B547" t="str">
            <v>CJ CONSOLE + OVERLAY</v>
          </cell>
          <cell r="C547" t="str">
            <v>PC</v>
          </cell>
          <cell r="D547" t="str">
            <v>CONSOLA HCB (NEGRO) COPA 2.0</v>
          </cell>
          <cell r="E547" t="str">
            <v>CONSOLAS</v>
          </cell>
        </row>
        <row r="548">
          <cell r="A548" t="str">
            <v>W11642306</v>
          </cell>
          <cell r="B548" t="str">
            <v>CJ CONSOLE + OVERLAY AGI GOOD - M13</v>
          </cell>
          <cell r="C548" t="str">
            <v>PC</v>
          </cell>
          <cell r="D548" t="str">
            <v>CONSOLA HCB (COAL) COPA 2.0</v>
          </cell>
          <cell r="E548" t="str">
            <v>CONSOLAS</v>
          </cell>
        </row>
        <row r="549">
          <cell r="A549" t="str">
            <v>W11705449</v>
          </cell>
          <cell r="B549" t="str">
            <v>CONSOLE HACEB</v>
          </cell>
          <cell r="C549" t="str">
            <v>PC</v>
          </cell>
          <cell r="D549" t="str">
            <v>CONSOLA HCB IMPELLER CON REMOL</v>
          </cell>
          <cell r="E549" t="str">
            <v>CONSOLAS</v>
          </cell>
        </row>
        <row r="550">
          <cell r="A550" t="str">
            <v>W11705448</v>
          </cell>
          <cell r="B550" t="str">
            <v>CONSOLE IMPELLER WHP (PS)</v>
          </cell>
          <cell r="C550" t="str">
            <v>PC</v>
          </cell>
          <cell r="D550" t="str">
            <v>CONSOLA WHP IMPELLER (NEGRA) CON REMOL</v>
          </cell>
          <cell r="E550" t="str">
            <v>CONSOLAS</v>
          </cell>
        </row>
        <row r="551">
          <cell r="A551" t="str">
            <v>W11502608</v>
          </cell>
          <cell r="B551" t="str">
            <v>CJ CONSOLE + OVERLAY</v>
          </cell>
          <cell r="C551" t="str">
            <v>PC</v>
          </cell>
          <cell r="D551" t="str">
            <v>CONSOLA HCB (TITANIO) COPA 2.0</v>
          </cell>
          <cell r="E551" t="str">
            <v>CONSOLAS</v>
          </cell>
        </row>
        <row r="552">
          <cell r="A552" t="str">
            <v>W11130596</v>
          </cell>
          <cell r="B552" t="str">
            <v>OFFBOARD ENCODER 16 POS</v>
          </cell>
          <cell r="C552" t="str">
            <v>PC</v>
          </cell>
          <cell r="D552" t="str">
            <v>CODIFICADOR ROTATORIO-ENCODER 16 P</v>
          </cell>
          <cell r="E552" t="str">
            <v>CODIFICADOR</v>
          </cell>
        </row>
        <row r="553">
          <cell r="A553" t="str">
            <v>W10414411</v>
          </cell>
          <cell r="B553" t="str">
            <v>ENCODER - ROTARY, 5 POS</v>
          </cell>
          <cell r="C553" t="str">
            <v>UN</v>
          </cell>
          <cell r="D553" t="str">
            <v>CODIFICADOR ROTATORIO-ENCODER 5P</v>
          </cell>
          <cell r="E553" t="str">
            <v>CODIFICADOR</v>
          </cell>
        </row>
        <row r="554">
          <cell r="A554" t="str">
            <v>W10472321</v>
          </cell>
          <cell r="B554" t="str">
            <v>CLIP CONTRA PORTA</v>
          </cell>
          <cell r="C554" t="str">
            <v>PC</v>
          </cell>
          <cell r="D554" t="str">
            <v>CLIP CONTRA PORTA</v>
          </cell>
          <cell r="E554" t="str">
            <v>CLIP CONTRA PORTA</v>
          </cell>
        </row>
        <row r="555">
          <cell r="A555" t="str">
            <v>W11531804</v>
          </cell>
          <cell r="B555" t="str">
            <v>BRUSH</v>
          </cell>
          <cell r="C555" t="str">
            <v>PC</v>
          </cell>
          <cell r="D555" t="str">
            <v>CJ CEPILLO WHP COPA 2.0</v>
          </cell>
          <cell r="E555" t="str">
            <v>CJ CEPILLO</v>
          </cell>
        </row>
        <row r="556">
          <cell r="A556" t="str">
            <v>W11287572</v>
          </cell>
          <cell r="B556" t="str">
            <v>BLANK ADHESIVE TAPE HANDLE 9.5X1.1</v>
          </cell>
          <cell r="C556" t="str">
            <v>M</v>
          </cell>
          <cell r="D556" t="str">
            <v>CINTA AZUL DELGADA (9.5X1.1) TESA</v>
          </cell>
          <cell r="E556" t="str">
            <v>CINTA TAPA MOVIL</v>
          </cell>
        </row>
        <row r="557">
          <cell r="A557" t="str">
            <v>W11287573</v>
          </cell>
          <cell r="B557" t="str">
            <v>BLANK ADHESIVE TAPE HANDLE 19X1.1</v>
          </cell>
          <cell r="C557" t="str">
            <v>M</v>
          </cell>
          <cell r="D557" t="str">
            <v>CINTA AZUL GRUESA (19X1.1) TESA</v>
          </cell>
          <cell r="E557" t="str">
            <v>CINTA TAPA MOVIL</v>
          </cell>
        </row>
        <row r="558">
          <cell r="A558" t="str">
            <v>W11250152</v>
          </cell>
          <cell r="B558" t="str">
            <v>CINTA</v>
          </cell>
          <cell r="C558" t="str">
            <v>M</v>
          </cell>
          <cell r="D558" t="str">
            <v>CINTA IMPRESIÓN ETIQUETA IDENTIF</v>
          </cell>
          <cell r="E558" t="str">
            <v>CINTA IMPRESIÓN</v>
          </cell>
        </row>
        <row r="559">
          <cell r="A559" t="str">
            <v>004314824</v>
          </cell>
          <cell r="B559" t="str">
            <v>CINTA TRANSPARENTE EMBALAJE</v>
          </cell>
          <cell r="C559" t="str">
            <v>M</v>
          </cell>
          <cell r="D559" t="str">
            <v>CINTA TRANSPARENTE SKD (TESA)</v>
          </cell>
          <cell r="E559" t="str">
            <v>CINTA EMPAQUE SKD</v>
          </cell>
        </row>
        <row r="560">
          <cell r="A560" t="str">
            <v>W11296042</v>
          </cell>
          <cell r="B560" t="str">
            <v>FITA ADESIVA AZUL 19MM</v>
          </cell>
          <cell r="C560" t="str">
            <v>M</v>
          </cell>
          <cell r="D560" t="str">
            <v>CINTA AZUL 19MM (TESA)</v>
          </cell>
          <cell r="E560" t="str">
            <v>CINTA EMPAQUE (MANUAL/GUIA)</v>
          </cell>
        </row>
        <row r="561">
          <cell r="A561" t="str">
            <v>W11745625</v>
          </cell>
          <cell r="B561" t="str">
            <v>CINTA TESA 50600 ESTÁNDAR</v>
          </cell>
          <cell r="C561" t="str">
            <v>M</v>
          </cell>
          <cell r="D561" t="str">
            <v>CINTA ADHESIVA BOTERO 2 66M-1,5CM</v>
          </cell>
          <cell r="E561" t="str">
            <v>CINTA BOTERO</v>
          </cell>
        </row>
        <row r="562">
          <cell r="A562" t="str">
            <v>W11703394</v>
          </cell>
          <cell r="B562" t="str">
            <v>WARRANTY GUIDE ARG, SM</v>
          </cell>
          <cell r="C562" t="str">
            <v>PC</v>
          </cell>
          <cell r="D562" t="str">
            <v>CERTIFICADO DE GARANTIA ARG WHR</v>
          </cell>
          <cell r="E562" t="str">
            <v>CERT GARANTIA</v>
          </cell>
        </row>
        <row r="563">
          <cell r="A563" t="str">
            <v>W11524506</v>
          </cell>
          <cell r="B563" t="str">
            <v>LINT FILTER BRUSH</v>
          </cell>
          <cell r="C563" t="str">
            <v>PC</v>
          </cell>
          <cell r="D563" t="str">
            <v>CEPILLO WHP BL COPA 2.0</v>
          </cell>
          <cell r="E563" t="str">
            <v>CEPILLOS_PROVEEDOR</v>
          </cell>
        </row>
        <row r="564">
          <cell r="A564" t="str">
            <v>W11448282</v>
          </cell>
          <cell r="B564" t="str">
            <v>CAPACITOR</v>
          </cell>
          <cell r="C564" t="str">
            <v>PC</v>
          </cell>
          <cell r="D564" t="str">
            <v>CAPACITOR 220V</v>
          </cell>
          <cell r="E564" t="str">
            <v>CAPACITOR</v>
          </cell>
        </row>
        <row r="565">
          <cell r="A565" t="str">
            <v>W11448283</v>
          </cell>
          <cell r="B565" t="str">
            <v>CAPACITOR</v>
          </cell>
          <cell r="C565" t="str">
            <v>PC</v>
          </cell>
          <cell r="D565" t="str">
            <v>CAPACITOR 45UF 127V</v>
          </cell>
          <cell r="E565" t="str">
            <v>CAPACITOR</v>
          </cell>
        </row>
        <row r="566">
          <cell r="A566" t="str">
            <v>W10699981</v>
          </cell>
          <cell r="B566" t="str">
            <v>TAPA CONEXIÓN INTERMEDIA WWI13AB/AS</v>
          </cell>
          <cell r="C566" t="str">
            <v>PC</v>
          </cell>
          <cell r="D566" t="str">
            <v>CAJA PANDORA</v>
          </cell>
          <cell r="E566" t="str">
            <v>CAJA PANDORA</v>
          </cell>
        </row>
        <row r="567">
          <cell r="A567" t="str">
            <v>W11493046</v>
          </cell>
          <cell r="B567" t="str">
            <v>REDE INTERFACE HACEB</v>
          </cell>
          <cell r="C567" t="str">
            <v>PC</v>
          </cell>
          <cell r="D567" t="str">
            <v>ARNES HMI PEQ HACEB (ROSADO) COPA 2.0</v>
          </cell>
          <cell r="E567" t="str">
            <v>CABLE SUPERIOR</v>
          </cell>
        </row>
        <row r="568">
          <cell r="A568" t="str">
            <v>W11489407</v>
          </cell>
          <cell r="B568" t="str">
            <v>WIRING HARNESS HMI -QUASAR</v>
          </cell>
          <cell r="C568" t="str">
            <v>PC</v>
          </cell>
          <cell r="D568" t="str">
            <v>ARNES HMI WHP (ENHEBRADO) LOW COPA 2.0</v>
          </cell>
          <cell r="E568" t="str">
            <v>CABLE SUPERIOR</v>
          </cell>
        </row>
        <row r="569">
          <cell r="A569" t="str">
            <v>W11489408</v>
          </cell>
          <cell r="B569" t="str">
            <v>WIRING HARNESS HMI -QUASAR</v>
          </cell>
          <cell r="C569" t="str">
            <v>PC</v>
          </cell>
          <cell r="D569" t="str">
            <v>ARNES HMI WHP (ENHEBRADO) HIGH COPA 2.0</v>
          </cell>
          <cell r="E569" t="str">
            <v>CABLE SUPERIOR</v>
          </cell>
        </row>
        <row r="570">
          <cell r="A570" t="str">
            <v>W11489406</v>
          </cell>
          <cell r="B570" t="str">
            <v>REDE SUPERIOR AGIPELLER MK LOW</v>
          </cell>
          <cell r="C570" t="str">
            <v>PC</v>
          </cell>
          <cell r="D570" t="str">
            <v>ARNES SUP AGUA CALIENTE (IMAN) COPA 2.0</v>
          </cell>
          <cell r="E570" t="str">
            <v>CABLE SUPERIOR</v>
          </cell>
        </row>
        <row r="571">
          <cell r="A571" t="str">
            <v>W11489405</v>
          </cell>
          <cell r="B571" t="str">
            <v>REDE SUPERIOR AGUA FRIA</v>
          </cell>
          <cell r="C571" t="str">
            <v>PC</v>
          </cell>
          <cell r="D571" t="str">
            <v>ARNES SUP AGUA FRIA (IMAN) COPA 2.0</v>
          </cell>
          <cell r="E571" t="str">
            <v>CABLE SUPERIOR</v>
          </cell>
        </row>
        <row r="572">
          <cell r="A572" t="str">
            <v>W11498561</v>
          </cell>
          <cell r="B572" t="str">
            <v>POWER CORD</v>
          </cell>
          <cell r="C572" t="str">
            <v>PC</v>
          </cell>
          <cell r="D572" t="str">
            <v>CABLE POTENCIA TIPO E UPB COPA 2.0</v>
          </cell>
          <cell r="E572" t="str">
            <v>CABLE DE PODER</v>
          </cell>
        </row>
        <row r="573">
          <cell r="A573" t="str">
            <v>W11498562</v>
          </cell>
          <cell r="B573" t="str">
            <v>LOWER CORD</v>
          </cell>
          <cell r="C573" t="str">
            <v>PC</v>
          </cell>
          <cell r="D573" t="str">
            <v>CABLE POTENCIA TIPO I ARG COPA 2.0</v>
          </cell>
          <cell r="E573" t="str">
            <v>CABLE DE PODER</v>
          </cell>
        </row>
        <row r="574">
          <cell r="A574" t="str">
            <v>W11663210</v>
          </cell>
          <cell r="B574" t="str">
            <v>POWER CORD</v>
          </cell>
          <cell r="C574" t="str">
            <v>PC</v>
          </cell>
          <cell r="D574" t="str">
            <v>CABLE POTENCIA COPA 2.0</v>
          </cell>
          <cell r="E574" t="str">
            <v>CABLE DE PODER</v>
          </cell>
        </row>
        <row r="575">
          <cell r="A575" t="str">
            <v>W11542236</v>
          </cell>
          <cell r="B575" t="str">
            <v>POWER CORD, 10A-3P, RAST7</v>
          </cell>
          <cell r="C575" t="str">
            <v>PC</v>
          </cell>
          <cell r="D575" t="str">
            <v>CABLE POTENCIA BR COPA 2.0</v>
          </cell>
          <cell r="E575" t="str">
            <v>CABLE DE PODER</v>
          </cell>
        </row>
        <row r="576">
          <cell r="A576" t="str">
            <v>W11345202</v>
          </cell>
          <cell r="B576" t="str">
            <v>SC HINGE PIN CIRCULAR</v>
          </cell>
          <cell r="C576" t="str">
            <v>PC</v>
          </cell>
          <cell r="D576" t="str">
            <v>BUJE PIN CIRCULAR</v>
          </cell>
          <cell r="E576" t="str">
            <v>BUJE PIN</v>
          </cell>
        </row>
        <row r="577">
          <cell r="A577" t="str">
            <v>W11345203</v>
          </cell>
          <cell r="B577" t="str">
            <v>SC HINGE PIN RETANGULAR</v>
          </cell>
          <cell r="C577" t="str">
            <v>PC</v>
          </cell>
          <cell r="D577" t="str">
            <v>BUJE PIN RETANGULAR</v>
          </cell>
          <cell r="E577" t="str">
            <v>BUJE PIN</v>
          </cell>
        </row>
        <row r="578">
          <cell r="A578" t="str">
            <v>W10644238</v>
          </cell>
          <cell r="B578" t="str">
            <v>BUCHA FONDO CESTO</v>
          </cell>
          <cell r="C578" t="str">
            <v>PC</v>
          </cell>
          <cell r="D578" t="str">
            <v>BUCHA FONDO CESTO</v>
          </cell>
          <cell r="E578" t="str">
            <v>BUCHAS_PROVEEDOR</v>
          </cell>
        </row>
        <row r="579">
          <cell r="A579" t="str">
            <v>W10674850</v>
          </cell>
          <cell r="B579" t="str">
            <v>Bucha Impeller/Agipeller</v>
          </cell>
          <cell r="C579" t="str">
            <v>PC</v>
          </cell>
          <cell r="D579" t="str">
            <v>BUCHA IMPELLER/AGIPELLER</v>
          </cell>
          <cell r="E579" t="str">
            <v>BUCHAS_PROVEEDOR</v>
          </cell>
        </row>
        <row r="580">
          <cell r="A580" t="str">
            <v>W11401479</v>
          </cell>
          <cell r="B580" t="str">
            <v>FRAME SC</v>
          </cell>
          <cell r="C580" t="str">
            <v>PC</v>
          </cell>
          <cell r="D580" t="str">
            <v>BISAGRA WHP</v>
          </cell>
          <cell r="E580" t="str">
            <v>BISAGRA</v>
          </cell>
        </row>
        <row r="581">
          <cell r="A581" t="str">
            <v>W11502219</v>
          </cell>
          <cell r="B581" t="str">
            <v>LINT FILTER HOUSING</v>
          </cell>
          <cell r="C581" t="str">
            <v>PC</v>
          </cell>
          <cell r="D581" t="str">
            <v>BASE FILTRO HCB GRIS COPA 2.0</v>
          </cell>
          <cell r="E581" t="str">
            <v>BASE FILTRO</v>
          </cell>
        </row>
        <row r="582">
          <cell r="A582" t="str">
            <v>W11502215</v>
          </cell>
          <cell r="B582" t="str">
            <v>LINT FILTER HOUSING</v>
          </cell>
          <cell r="C582" t="str">
            <v>PC</v>
          </cell>
          <cell r="D582" t="str">
            <v>BASE FILTRO WHP GRIS COPA 2.0</v>
          </cell>
          <cell r="E582" t="str">
            <v>BASE FILTRO</v>
          </cell>
        </row>
        <row r="583">
          <cell r="A583" t="str">
            <v>W11524675</v>
          </cell>
          <cell r="B583" t="str">
            <v>Housing Filtro Hcb Verde</v>
          </cell>
          <cell r="C583" t="str">
            <v>PC</v>
          </cell>
          <cell r="D583" t="str">
            <v>BASE FILTRO HCB VERDE COPA 2.0</v>
          </cell>
          <cell r="E583" t="str">
            <v>BASE FILTRO</v>
          </cell>
        </row>
        <row r="584">
          <cell r="A584" t="str">
            <v>W11733727</v>
          </cell>
          <cell r="B584" t="str">
            <v>HOUSING HACEB</v>
          </cell>
          <cell r="C584" t="str">
            <v>PC</v>
          </cell>
          <cell r="D584" t="str">
            <v>BASE ESPARC HCB COP 2.0 (HOUSING)</v>
          </cell>
          <cell r="E584" t="str">
            <v>BASE ESPARCIDOR</v>
          </cell>
        </row>
        <row r="585">
          <cell r="A585" t="str">
            <v>W11730254</v>
          </cell>
          <cell r="B585" t="str">
            <v>HOUSING WHIRLPOOOL</v>
          </cell>
          <cell r="C585" t="str">
            <v>PC</v>
          </cell>
          <cell r="D585" t="str">
            <v>BASE ESPARC WHP COP 2.0 (HOUSING)</v>
          </cell>
          <cell r="E585" t="str">
            <v>BASE ESPARCIDOR</v>
          </cell>
        </row>
        <row r="586">
          <cell r="A586" t="str">
            <v>326000208</v>
          </cell>
          <cell r="B586" t="str">
            <v>BANDA FRENO LAVADORA/ WWQ22-24</v>
          </cell>
          <cell r="C586" t="str">
            <v>PC</v>
          </cell>
          <cell r="D586" t="str">
            <v>BANDA FRENO GOOD-BETTER</v>
          </cell>
          <cell r="E586" t="str">
            <v>BANDA FRENO</v>
          </cell>
        </row>
        <row r="587">
          <cell r="A587" t="str">
            <v>W11369694</v>
          </cell>
          <cell r="B587" t="str">
            <v>AGIPELLER UPPER WIRING HARNESS</v>
          </cell>
          <cell r="C587" t="str">
            <v>PC</v>
          </cell>
          <cell r="D587" t="str">
            <v>ARNES SUP AGP</v>
          </cell>
          <cell r="E587" t="str">
            <v>ARNES SUPERIOR</v>
          </cell>
        </row>
        <row r="588">
          <cell r="A588" t="str">
            <v>W11369695</v>
          </cell>
          <cell r="B588" t="str">
            <v>AGIPELLER UPPER WIRING HARNESS - UPB</v>
          </cell>
          <cell r="C588" t="str">
            <v>PC</v>
          </cell>
          <cell r="D588" t="str">
            <v>ARNES SUP AGP 18 KG UPB</v>
          </cell>
          <cell r="E588" t="str">
            <v>ARNES SUPERIOR</v>
          </cell>
        </row>
        <row r="589">
          <cell r="A589" t="str">
            <v>W11563288</v>
          </cell>
          <cell r="B589" t="str">
            <v>REDE SUPERIOR AGIPELLER MK LOW</v>
          </cell>
          <cell r="C589" t="str">
            <v>PC</v>
          </cell>
          <cell r="D589" t="str">
            <v>ARNES SUP AGP HCB</v>
          </cell>
          <cell r="E589" t="str">
            <v>ARNES SUPERIOR</v>
          </cell>
        </row>
        <row r="590">
          <cell r="A590" t="str">
            <v>W11125022</v>
          </cell>
          <cell r="B590" t="str">
            <v>UPPER HARNESS IMPELLER II</v>
          </cell>
          <cell r="C590" t="str">
            <v>PC</v>
          </cell>
          <cell r="D590" t="str">
            <v>ARNES SUP IMP</v>
          </cell>
          <cell r="E590" t="str">
            <v>ARNES SUPERIOR</v>
          </cell>
        </row>
        <row r="591">
          <cell r="A591" t="str">
            <v>W11245133</v>
          </cell>
          <cell r="B591" t="str">
            <v>COPACABANA HARNESS - 220V - 50HZ - ARG</v>
          </cell>
          <cell r="C591" t="str">
            <v>PC</v>
          </cell>
          <cell r="D591" t="str">
            <v>ARNES SUP IMP MAKHA 220V ARG</v>
          </cell>
          <cell r="E591" t="str">
            <v>ARNES SUPERIOR</v>
          </cell>
        </row>
        <row r="592">
          <cell r="A592" t="str">
            <v>W11026576</v>
          </cell>
          <cell r="B592" t="str">
            <v>RED SUPERIOR IMPELLER MAKHAIRA</v>
          </cell>
          <cell r="C592" t="str">
            <v>PC</v>
          </cell>
          <cell r="D592" t="str">
            <v>ARNES SUP IMP MAKHAIRA</v>
          </cell>
          <cell r="E592" t="str">
            <v>ARNES SUPERIOR</v>
          </cell>
        </row>
        <row r="593">
          <cell r="A593" t="str">
            <v>W11522618</v>
          </cell>
          <cell r="B593" t="str">
            <v>LOWER HARNESS BEST (Brascabos)</v>
          </cell>
          <cell r="C593" t="str">
            <v>PC</v>
          </cell>
          <cell r="D593" t="str">
            <v>ARNES INF BEST (BRASCABOS) WHP/HCB</v>
          </cell>
          <cell r="E593" t="str">
            <v>ARNES INFERIOR</v>
          </cell>
        </row>
        <row r="594">
          <cell r="A594" t="str">
            <v>W11416424</v>
          </cell>
          <cell r="B594" t="str">
            <v>LOWER HARNESS BEST</v>
          </cell>
          <cell r="C594" t="str">
            <v>PC</v>
          </cell>
          <cell r="D594" t="str">
            <v>ARNES INF BEST (ECI)</v>
          </cell>
          <cell r="E594" t="str">
            <v>ARNES INFERIOR</v>
          </cell>
        </row>
        <row r="595">
          <cell r="A595" t="str">
            <v>W11416433</v>
          </cell>
          <cell r="B595" t="str">
            <v>LOWER HARNESS GOOD/BETTER</v>
          </cell>
          <cell r="C595" t="str">
            <v>PC</v>
          </cell>
          <cell r="D595" t="str">
            <v>ARNES INF GOOD/BETTER DOBLE (ECI)</v>
          </cell>
          <cell r="E595" t="str">
            <v>ARNES INFERIOR</v>
          </cell>
        </row>
        <row r="596">
          <cell r="A596" t="str">
            <v>W10682572</v>
          </cell>
          <cell r="B596" t="str">
            <v>ARMADOR DE FRENO</v>
          </cell>
          <cell r="C596" t="str">
            <v>PC</v>
          </cell>
          <cell r="D596" t="str">
            <v>ARMADOR DE FRENO</v>
          </cell>
          <cell r="E596" t="str">
            <v>ARMADOR DE FRENO</v>
          </cell>
        </row>
        <row r="597">
          <cell r="A597" t="str">
            <v>W10847201</v>
          </cell>
          <cell r="B597" t="str">
            <v>ARANDELA SUSPENSION</v>
          </cell>
          <cell r="C597" t="str">
            <v>PC</v>
          </cell>
          <cell r="D597" t="str">
            <v>ARANDELA SUSPENSION</v>
          </cell>
          <cell r="E597" t="str">
            <v>ARANDELA SUSPENSION</v>
          </cell>
        </row>
        <row r="598">
          <cell r="A598" t="str">
            <v>326037688</v>
          </cell>
          <cell r="B598" t="str">
            <v>SELLO TAPA VÁLVULA</v>
          </cell>
          <cell r="C598" t="str">
            <v>PC</v>
          </cell>
          <cell r="D598" t="str">
            <v>ARANDELA SELLO TAPA VALVULA (BOTERO)</v>
          </cell>
          <cell r="E598" t="str">
            <v>ARANDELA PLASTICA</v>
          </cell>
        </row>
        <row r="599">
          <cell r="A599" t="str">
            <v>W11156660</v>
          </cell>
          <cell r="B599" t="str">
            <v>ARANDELA ENCODER</v>
          </cell>
          <cell r="C599" t="str">
            <v>PC</v>
          </cell>
          <cell r="D599" t="str">
            <v>ARANDELA DE ENCODER</v>
          </cell>
          <cell r="E599" t="str">
            <v>ARANDELA AGP</v>
          </cell>
        </row>
        <row r="600">
          <cell r="A600" t="str">
            <v>W11392678</v>
          </cell>
          <cell r="B600" t="str">
            <v>UPPER SUSPENSION BALL</v>
          </cell>
          <cell r="C600" t="str">
            <v>PC</v>
          </cell>
          <cell r="D600" t="str">
            <v>APOYO SUSPENSIÓN SUPERIOR</v>
          </cell>
          <cell r="E600" t="str">
            <v>APOYO SUSPENSION</v>
          </cell>
        </row>
        <row r="601">
          <cell r="A601" t="str">
            <v>W11351950</v>
          </cell>
          <cell r="B601" t="str">
            <v>BRAKE BAND BRACKET ASSY</v>
          </cell>
          <cell r="C601" t="str">
            <v>PC</v>
          </cell>
          <cell r="D601" t="str">
            <v>APOYO BANDA FRENO</v>
          </cell>
          <cell r="E601" t="str">
            <v>APOYO BANDA FRENO</v>
          </cell>
        </row>
        <row r="602">
          <cell r="A602" t="str">
            <v>W11552073</v>
          </cell>
          <cell r="B602" t="str">
            <v>Anillo Deslizante</v>
          </cell>
          <cell r="C602" t="str">
            <v>PC</v>
          </cell>
          <cell r="D602" t="str">
            <v>ANILLO DESLIZANTE</v>
          </cell>
          <cell r="E602" t="str">
            <v>ANILLOS DESLIZANTE</v>
          </cell>
        </row>
        <row r="603">
          <cell r="A603" t="str">
            <v>W11433905</v>
          </cell>
          <cell r="B603" t="str">
            <v>ANEL DO TANQUE</v>
          </cell>
          <cell r="C603" t="str">
            <v>PC</v>
          </cell>
          <cell r="D603" t="str">
            <v>ANILLO TANQUE HCB 33 GRIS</v>
          </cell>
          <cell r="E603" t="str">
            <v>ANILLO TANQUE</v>
          </cell>
        </row>
        <row r="604">
          <cell r="A604" t="str">
            <v>W11477318</v>
          </cell>
          <cell r="B604" t="str">
            <v>TUB RING HCB 33</v>
          </cell>
          <cell r="C604" t="str">
            <v>PC</v>
          </cell>
          <cell r="D604" t="str">
            <v>ANILLO TANQUE HCB BEST GRIS COPA 2.0</v>
          </cell>
          <cell r="E604" t="str">
            <v>ANILLO TANQUE</v>
          </cell>
        </row>
        <row r="605">
          <cell r="A605" t="str">
            <v>W11477319</v>
          </cell>
          <cell r="B605" t="str">
            <v>TUB RING HCB 25</v>
          </cell>
          <cell r="C605" t="str">
            <v>PC</v>
          </cell>
          <cell r="D605" t="str">
            <v>ANILLO TANQUE HCB GOOD GRIS COPA 2.0</v>
          </cell>
          <cell r="E605" t="str">
            <v>ANILLO TANQUE</v>
          </cell>
        </row>
        <row r="606">
          <cell r="A606" t="str">
            <v>W10706398</v>
          </cell>
          <cell r="B606" t="str">
            <v>ANEL DO TANQUE CINZA</v>
          </cell>
          <cell r="C606" t="str">
            <v>PC</v>
          </cell>
          <cell r="D606" t="str">
            <v>ANILLO TANQUE WHP 28-30 GRIS</v>
          </cell>
          <cell r="E606" t="str">
            <v>ANILLO TANQUE</v>
          </cell>
        </row>
        <row r="607">
          <cell r="A607" t="str">
            <v>W10716069</v>
          </cell>
          <cell r="B607" t="str">
            <v>ANILLO TANQUE GRIS BEST</v>
          </cell>
          <cell r="C607" t="str">
            <v>PC</v>
          </cell>
          <cell r="D607" t="str">
            <v>ANILLO TANQUE WHP 33 GRIS</v>
          </cell>
          <cell r="E607" t="str">
            <v>ANILLO TANQUE</v>
          </cell>
        </row>
        <row r="608">
          <cell r="A608" t="str">
            <v>W11503274</v>
          </cell>
          <cell r="B608" t="str">
            <v>TUB RING WHP 33</v>
          </cell>
          <cell r="C608" t="str">
            <v>PC</v>
          </cell>
          <cell r="D608" t="str">
            <v>ANILLO TANQUE WHP BEST GRIS COPA 2.0</v>
          </cell>
          <cell r="E608" t="str">
            <v>ANILLO TANQUE</v>
          </cell>
        </row>
        <row r="609">
          <cell r="A609" t="str">
            <v>W11503273</v>
          </cell>
          <cell r="B609" t="str">
            <v>TUB RING WHP 25</v>
          </cell>
          <cell r="C609" t="str">
            <v>PC</v>
          </cell>
          <cell r="D609" t="str">
            <v>ANILLO TANQUE WHP GOOD GRIS COPA 2.0</v>
          </cell>
          <cell r="E609" t="str">
            <v>ANILLO TANQUE</v>
          </cell>
        </row>
        <row r="610">
          <cell r="A610" t="str">
            <v>000390510</v>
          </cell>
          <cell r="B610" t="str">
            <v>ANILLO RETENSOR AWR680/CWR600 &amp;</v>
          </cell>
          <cell r="C610" t="str">
            <v>PC</v>
          </cell>
          <cell r="D610" t="str">
            <v>ANILLO RETENEDOR</v>
          </cell>
          <cell r="E610" t="str">
            <v>ANILLO RETENEDOR</v>
          </cell>
        </row>
        <row r="611">
          <cell r="A611" t="str">
            <v>W11475770</v>
          </cell>
          <cell r="B611" t="str">
            <v>LOWER BALANCE RING 2</v>
          </cell>
          <cell r="C611" t="str">
            <v>PC</v>
          </cell>
          <cell r="D611" t="str">
            <v>ANEL HIDRO INFERIOR COPA 2.0</v>
          </cell>
          <cell r="E611" t="str">
            <v>ANEL HIDRO</v>
          </cell>
        </row>
        <row r="612">
          <cell r="A612" t="str">
            <v>W10686587</v>
          </cell>
          <cell r="B612" t="str">
            <v>ANEL HIDRO INF BLANCO HCB</v>
          </cell>
          <cell r="C612" t="str">
            <v>PC</v>
          </cell>
          <cell r="D612" t="str">
            <v>ANEL HIDRO INFERIOR HCB (BLANCO)</v>
          </cell>
          <cell r="E612" t="str">
            <v>ANEL HIDRO</v>
          </cell>
        </row>
        <row r="613">
          <cell r="A613" t="str">
            <v>W10716679</v>
          </cell>
          <cell r="B613" t="str">
            <v>ANEL HIDRO INF GRIS GR CHAGALL WHP</v>
          </cell>
          <cell r="C613" t="str">
            <v>PC</v>
          </cell>
          <cell r="D613" t="str">
            <v>ANEL HIDRO INFERIOR WHP (GRIS)</v>
          </cell>
          <cell r="E613" t="str">
            <v>ANEL HIDRO</v>
          </cell>
        </row>
        <row r="614">
          <cell r="A614" t="str">
            <v>W11475769</v>
          </cell>
          <cell r="B614" t="str">
            <v>UPPER BALANCE RING 2</v>
          </cell>
          <cell r="C614" t="str">
            <v>PC</v>
          </cell>
          <cell r="D614" t="str">
            <v>ANEL HIDRO SUPERIOR COPA 2.0</v>
          </cell>
          <cell r="E614" t="str">
            <v>ANEL HIDRO</v>
          </cell>
        </row>
        <row r="615">
          <cell r="A615" t="str">
            <v>W10686585</v>
          </cell>
          <cell r="B615" t="str">
            <v>ANEL HIDRO SUPERIOR</v>
          </cell>
          <cell r="C615" t="str">
            <v>PC</v>
          </cell>
          <cell r="D615" t="str">
            <v>ANEL HIDRO SUPERIOR HCB (BLANCO)</v>
          </cell>
          <cell r="E615" t="str">
            <v>ANEL HIDRO</v>
          </cell>
        </row>
        <row r="616">
          <cell r="A616" t="str">
            <v>W10716681</v>
          </cell>
          <cell r="B616" t="str">
            <v>ANEL HIDRO SUP GRIS GR CHAGALL WHP</v>
          </cell>
          <cell r="C616" t="str">
            <v>PC</v>
          </cell>
          <cell r="D616" t="str">
            <v>ANEL HIDRO SUPERIOR WHP (GRIS)</v>
          </cell>
          <cell r="E616" t="str">
            <v>ANEL HIDRO</v>
          </cell>
        </row>
        <row r="617">
          <cell r="A617" t="str">
            <v>W11575228</v>
          </cell>
          <cell r="B617" t="str">
            <v>Bumper Gray Haceb</v>
          </cell>
          <cell r="C617" t="str">
            <v>PC</v>
          </cell>
          <cell r="D617" t="str">
            <v>AMORTIGUADOR HCB COPA 2.0</v>
          </cell>
          <cell r="E617" t="str">
            <v>AMORTIGUADOR TAPA</v>
          </cell>
        </row>
        <row r="618">
          <cell r="A618" t="str">
            <v>W11491995</v>
          </cell>
          <cell r="B618" t="str">
            <v>BUMPER GRAY</v>
          </cell>
          <cell r="C618" t="str">
            <v>PC</v>
          </cell>
          <cell r="D618" t="str">
            <v>AMORTIGUADOR WHP COPA 2.0</v>
          </cell>
          <cell r="E618" t="str">
            <v>AMORTIGUADOR TAPA</v>
          </cell>
        </row>
        <row r="619">
          <cell r="A619" t="str">
            <v>W10817342</v>
          </cell>
          <cell r="B619" t="str">
            <v>AGIPELLER HCB</v>
          </cell>
          <cell r="C619" t="str">
            <v>PC</v>
          </cell>
          <cell r="D619" t="str">
            <v>AGIPELLER HCB BLANCO</v>
          </cell>
          <cell r="E619" t="str">
            <v>AGIPELLER</v>
          </cell>
        </row>
        <row r="620">
          <cell r="A620" t="str">
            <v>W11535808</v>
          </cell>
          <cell r="B620" t="str">
            <v>CAP ASSY AGITATOR</v>
          </cell>
          <cell r="C620" t="str">
            <v>PC</v>
          </cell>
          <cell r="D620" t="str">
            <v>FILTRO BOTERO 2</v>
          </cell>
          <cell r="E620" t="str">
            <v>FILTRO</v>
          </cell>
        </row>
        <row r="621">
          <cell r="A621" t="str">
            <v>W11428263</v>
          </cell>
          <cell r="B621" t="str">
            <v>BRAKE ACTUATOR 127V</v>
          </cell>
          <cell r="C621" t="str">
            <v>PC</v>
          </cell>
          <cell r="D621" t="str">
            <v>ACTUADOR DE FRENO 127V/60HZ</v>
          </cell>
          <cell r="E621" t="str">
            <v>ACTUADOR DE FRENO</v>
          </cell>
        </row>
        <row r="622">
          <cell r="A622" t="str">
            <v>W11428264</v>
          </cell>
          <cell r="B622" t="str">
            <v>BRAKE ACTUATOR 220V</v>
          </cell>
          <cell r="C622" t="str">
            <v>PC</v>
          </cell>
          <cell r="D622" t="str">
            <v>ACTUADOR DE FRENO 220V</v>
          </cell>
          <cell r="E622" t="str">
            <v>ACTUADOR DE FRENO</v>
          </cell>
        </row>
        <row r="623">
          <cell r="A623" t="str">
            <v>3357397</v>
          </cell>
          <cell r="B623" t="str">
            <v>NO VALUE ENTERED</v>
          </cell>
          <cell r="C623" t="str">
            <v>PC</v>
          </cell>
          <cell r="D623" t="str">
            <v>ACOPLE VALVULA COPA 2.0 (BOTERO)</v>
          </cell>
          <cell r="E623" t="str">
            <v>ACOPLE (BOTERO)</v>
          </cell>
        </row>
        <row r="624">
          <cell r="A624" t="str">
            <v>W11034433</v>
          </cell>
          <cell r="B624" t="str">
            <v>ABRAZADERA LAVADORA-COLOMBIA</v>
          </cell>
          <cell r="C624" t="str">
            <v>PC</v>
          </cell>
          <cell r="D624" t="str">
            <v>ABRAZADERA PLASTICA</v>
          </cell>
          <cell r="E624" t="str">
            <v>ABRAZADERA PLAST</v>
          </cell>
        </row>
        <row r="625">
          <cell r="A625" t="str">
            <v>326031815</v>
          </cell>
          <cell r="B625" t="str">
            <v>ABRAZADERA</v>
          </cell>
          <cell r="C625" t="str">
            <v>PC</v>
          </cell>
          <cell r="D625" t="str">
            <v>ABRAZADERA DE ELECTROBOMBA</v>
          </cell>
          <cell r="E625" t="str">
            <v>ABRAZADERA ELECTROB</v>
          </cell>
        </row>
        <row r="626">
          <cell r="A626" t="str">
            <v>W10777926</v>
          </cell>
          <cell r="B626" t="str">
            <v>ABRAZADERA DE CAPACITOR</v>
          </cell>
          <cell r="C626" t="str">
            <v>PC</v>
          </cell>
          <cell r="D626" t="str">
            <v>ABRAZADERA DE CAPACITOR</v>
          </cell>
          <cell r="E626" t="str">
            <v>ABRAZADERA CAPACIT</v>
          </cell>
        </row>
        <row r="627">
          <cell r="A627" t="str">
            <v>W11401376</v>
          </cell>
          <cell r="B627" t="str">
            <v>TOP LID GLOBALWHITE</v>
          </cell>
          <cell r="C627" t="str">
            <v>PC</v>
          </cell>
          <cell r="D627" t="str">
            <v>TAPA FIJA IMP WHP BLANCA</v>
          </cell>
          <cell r="E627" t="str">
            <v>TAPA FIJA</v>
          </cell>
        </row>
        <row r="628">
          <cell r="A628" t="str">
            <v>W11657121</v>
          </cell>
          <cell r="B628" t="str">
            <v>COVER RIGHT BLACK</v>
          </cell>
          <cell r="C628" t="str">
            <v>PC</v>
          </cell>
          <cell r="D628" t="str">
            <v>CUBIERTA  FRAME DERECHO BOTERO 2</v>
          </cell>
          <cell r="E628" t="str">
            <v>CUBIERTA FRAME</v>
          </cell>
        </row>
        <row r="629">
          <cell r="A629" t="str">
            <v>W11657125</v>
          </cell>
          <cell r="B629" t="str">
            <v>COVER LEFT BLACK</v>
          </cell>
          <cell r="C629" t="str">
            <v>PC</v>
          </cell>
          <cell r="D629" t="str">
            <v>CUBIERTA  FRAME IZQUIERDO BOTERO 2</v>
          </cell>
          <cell r="E629" t="str">
            <v>CUBIERTA FRAME</v>
          </cell>
        </row>
        <row r="630">
          <cell r="A630" t="str">
            <v>W11723528</v>
          </cell>
          <cell r="B630" t="str">
            <v>CONSOLE BLACK 9 KEYS</v>
          </cell>
          <cell r="C630" t="str">
            <v>PC</v>
          </cell>
          <cell r="D630" t="str">
            <v>CONSOLA   NEGRA BOTERO</v>
          </cell>
          <cell r="E630" t="str">
            <v>CONSOLAS</v>
          </cell>
        </row>
        <row r="631">
          <cell r="A631" t="str">
            <v>W11727213</v>
          </cell>
          <cell r="B631" t="str">
            <v>OVERLAY REDUZIDO BOTERO</v>
          </cell>
          <cell r="C631" t="str">
            <v>PC</v>
          </cell>
          <cell r="D631" t="str">
            <v>PANEL DECORARIVO BOTERO</v>
          </cell>
          <cell r="E631" t="str">
            <v>PANEL DECORATIVO</v>
          </cell>
        </row>
        <row r="632">
          <cell r="A632" t="str">
            <v>W11733713</v>
          </cell>
          <cell r="B632" t="str">
            <v>UPPER HARNESS COLD REED BOTERO 2.0</v>
          </cell>
          <cell r="C632" t="str">
            <v>PC</v>
          </cell>
          <cell r="D632" t="str">
            <v>ARNES SUP RED IMAN BOTERO</v>
          </cell>
          <cell r="E632" t="str">
            <v>CABLE SUPERIOR</v>
          </cell>
        </row>
        <row r="633">
          <cell r="A633" t="str">
            <v>W11762939</v>
          </cell>
          <cell r="B633" t="str">
            <v>VA SUSPENSION SIN GRASA BEST 2.0</v>
          </cell>
          <cell r="C633" t="str">
            <v>PC</v>
          </cell>
          <cell r="D633" t="str">
            <v>CJ VARILLA SUSPENSION SIN GRASA BEST 2.0</v>
          </cell>
          <cell r="E633" t="str">
            <v>CJ VARILLA SUSP</v>
          </cell>
        </row>
        <row r="634">
          <cell r="A634" t="str">
            <v>W11707207</v>
          </cell>
          <cell r="B634" t="str">
            <v>PAINEL DECORATIVO HACEB</v>
          </cell>
          <cell r="C634" t="str">
            <v>PC</v>
          </cell>
          <cell r="D634" t="str">
            <v>PAINEL DECORATIVO HCB 18 KG</v>
          </cell>
          <cell r="E634" t="str">
            <v>PANEL DECORATIVO</v>
          </cell>
        </row>
        <row r="635">
          <cell r="A635" t="str">
            <v>W11707210</v>
          </cell>
          <cell r="B635" t="str">
            <v>PAINEL DECORATIVO HACEB</v>
          </cell>
          <cell r="C635" t="str">
            <v>PC</v>
          </cell>
          <cell r="D635" t="str">
            <v>PAINEL DECORATIVO AGP HCB 18 KG</v>
          </cell>
          <cell r="E635" t="str">
            <v>PANEL DECORATIVO</v>
          </cell>
        </row>
        <row r="636">
          <cell r="A636" t="str">
            <v>W11749274</v>
          </cell>
          <cell r="B636" t="str">
            <v>3-1.4 X 6 PN LR TORNILLO</v>
          </cell>
          <cell r="C636" t="str">
            <v>PC</v>
          </cell>
          <cell r="D636" t="str">
            <v>TORNILLO NUEVO TARJETA</v>
          </cell>
          <cell r="E636" t="str">
            <v>TORNILLOS</v>
          </cell>
        </row>
        <row r="637">
          <cell r="A637" t="str">
            <v>W11763200</v>
          </cell>
          <cell r="B637" t="str">
            <v>TOP, BLACK</v>
          </cell>
          <cell r="C637" t="str">
            <v>PC</v>
          </cell>
          <cell r="D637" t="str">
            <v>TAPA FIJA WHP NEGRA</v>
          </cell>
          <cell r="E637" t="str">
            <v>TAPA FIJA</v>
          </cell>
        </row>
        <row r="638">
          <cell r="A638" t="str">
            <v>W11772768</v>
          </cell>
          <cell r="B638" t="str">
            <v>ENERGY EFFICIENCY WHP COL 20 KG AGI</v>
          </cell>
          <cell r="C638" t="str">
            <v>PC</v>
          </cell>
          <cell r="D638" t="str">
            <v>ETIQUETA ENERGIA (WW20ZBAHLA) 200</v>
          </cell>
          <cell r="E638" t="str">
            <v>ETIQUETAS ENERGIA (WHP)</v>
          </cell>
        </row>
        <row r="639">
          <cell r="A639" t="str">
            <v>W11772841</v>
          </cell>
          <cell r="B639" t="str">
            <v>ENERGY EFFICIENCY WHP COL 20 KG IMP</v>
          </cell>
          <cell r="C639" t="str">
            <v>PC</v>
          </cell>
          <cell r="D639" t="str">
            <v>ETIQUETA ENERGIA (WW20LSAHLA) 220</v>
          </cell>
          <cell r="E639" t="str">
            <v>ETIQUETAS ENERGIA (WHP)</v>
          </cell>
        </row>
        <row r="640">
          <cell r="A640" t="str">
            <v>W11772969</v>
          </cell>
          <cell r="B640" t="str">
            <v>ENERGY EFFICIENCY EQ 20 KG COPA EDGE AGI</v>
          </cell>
          <cell r="C640" t="str">
            <v>PC</v>
          </cell>
          <cell r="D640" t="str">
            <v>ETIQUETA EFIC WW20ZBAHLA</v>
          </cell>
          <cell r="E640" t="str">
            <v>ETIQUETAS EFICIENCIA ENERG (WHP)</v>
          </cell>
        </row>
        <row r="641">
          <cell r="A641" t="str">
            <v>W11361021</v>
          </cell>
          <cell r="B641" t="str">
            <v>FRAME PLATA HACEB</v>
          </cell>
          <cell r="C641" t="str">
            <v>PC</v>
          </cell>
          <cell r="D641" t="str">
            <v>TAPA MOVIL HCB (METALIZADA)</v>
          </cell>
          <cell r="E641" t="str">
            <v>TAPA MOVIL</v>
          </cell>
        </row>
        <row r="642">
          <cell r="A642" t="str">
            <v>W11733714</v>
          </cell>
          <cell r="B642" t="str">
            <v>HMI HARNESS MEGA</v>
          </cell>
          <cell r="C642" t="str">
            <v>PC</v>
          </cell>
          <cell r="D642" t="str">
            <v>ARNES HMI-MEGA BOTERO 2</v>
          </cell>
          <cell r="E642" t="str">
            <v>CABLE SUPERIOR</v>
          </cell>
        </row>
      </sheetData>
      <sheetData sheetId="3"/>
      <sheetData sheetId="4">
        <row r="1">
          <cell r="A1" t="str">
            <v>Material</v>
          </cell>
          <cell r="B1" t="str">
            <v>Texto breve de material</v>
          </cell>
          <cell r="C1" t="str">
            <v>Proveedor</v>
          </cell>
          <cell r="D1" t="str">
            <v>Txt.cab.doc.</v>
          </cell>
        </row>
        <row r="2">
          <cell r="A2" t="str">
            <v>W11486744</v>
          </cell>
          <cell r="B2" t="str">
            <v>BEARING BALL (RODAMIENTO) NUEVO</v>
          </cell>
          <cell r="C2" t="str">
            <v>8004889</v>
          </cell>
          <cell r="D2" t="str">
            <v>Ningbo WTOO Machinery And</v>
          </cell>
        </row>
        <row r="3">
          <cell r="A3" t="str">
            <v>W11491686</v>
          </cell>
          <cell r="B3" t="str">
            <v>TECH COVER, WITH SEN</v>
          </cell>
          <cell r="C3" t="str">
            <v>1023844</v>
          </cell>
          <cell r="D3" t="str">
            <v>Factorias &amp; Asociadas</v>
          </cell>
        </row>
        <row r="4">
          <cell r="A4" t="str">
            <v>W11515777</v>
          </cell>
          <cell r="B4" t="str">
            <v>LEVA EXTERNA 37°</v>
          </cell>
          <cell r="C4" t="str">
            <v>1018399</v>
          </cell>
          <cell r="D4" t="str">
            <v>Riduco S.A.</v>
          </cell>
        </row>
        <row r="5">
          <cell r="A5" t="str">
            <v>W11707208</v>
          </cell>
          <cell r="B5" t="str">
            <v>PAINEL DECORATIVO HACEB</v>
          </cell>
          <cell r="C5" t="str">
            <v>8002721</v>
          </cell>
          <cell r="D5" t="str">
            <v>SHANGHAI JINGSHI ELECTRIC</v>
          </cell>
        </row>
        <row r="6">
          <cell r="A6" t="str">
            <v>W11708037</v>
          </cell>
          <cell r="B6" t="str">
            <v>PAINEL DECORATIVO HACEB</v>
          </cell>
          <cell r="C6" t="str">
            <v>8002721</v>
          </cell>
          <cell r="D6" t="str">
            <v>SHANGHAI JINGSHI ELECTRIC</v>
          </cell>
        </row>
        <row r="7">
          <cell r="A7" t="str">
            <v>W11708038</v>
          </cell>
          <cell r="B7" t="str">
            <v>PAINEL DECORATIVO HACEB</v>
          </cell>
          <cell r="C7" t="str">
            <v>8002721</v>
          </cell>
          <cell r="D7" t="str">
            <v>SHANGHAI JINGSHI ELECTRIC</v>
          </cell>
        </row>
        <row r="8">
          <cell r="A8" t="str">
            <v>W11708042</v>
          </cell>
          <cell r="B8" t="str">
            <v>OVERLAY</v>
          </cell>
          <cell r="C8" t="str">
            <v>8002721</v>
          </cell>
          <cell r="D8" t="str">
            <v>SHANGHAI JINGSHI ELECTRIC</v>
          </cell>
        </row>
        <row r="9">
          <cell r="A9" t="str">
            <v>W11736155</v>
          </cell>
          <cell r="B9" t="str">
            <v>MOTOR SUPPORT 1.25</v>
          </cell>
          <cell r="C9" t="str">
            <v>1025251</v>
          </cell>
          <cell r="D9" t="str">
            <v>IBEROTECH S.A.S</v>
          </cell>
        </row>
        <row r="10">
          <cell r="A10" t="str">
            <v>W11736156</v>
          </cell>
          <cell r="B10" t="str">
            <v>LEVA  ARTICULADA  NUEVA 37°</v>
          </cell>
          <cell r="C10" t="str">
            <v>1018399</v>
          </cell>
          <cell r="D10" t="str">
            <v>Riduco S.A.</v>
          </cell>
        </row>
        <row r="11">
          <cell r="A11" t="str">
            <v>W11736595</v>
          </cell>
          <cell r="B11" t="str">
            <v>LAMINA GZ100 DX52D  1,55X337 (SOP MOTOR) ARME</v>
          </cell>
          <cell r="C11" t="str">
            <v>8003079</v>
          </cell>
          <cell r="D11" t="str">
            <v>BAMESA</v>
          </cell>
        </row>
        <row r="12">
          <cell r="A12" t="str">
            <v>W11759872</v>
          </cell>
          <cell r="B12" t="str">
            <v>ARNES INF BEST COPA 2.0 CONECT NUEVO</v>
          </cell>
          <cell r="C12" t="str">
            <v>8002719</v>
          </cell>
          <cell r="D12" t="str">
            <v>ECI (HUIZHOU) COMPANY LIMITED</v>
          </cell>
        </row>
        <row r="13">
          <cell r="A13" t="str">
            <v>W11761768</v>
          </cell>
          <cell r="B13" t="str">
            <v>ARNES INF GOOD COPA 2.0  CONECT NUEVO</v>
          </cell>
          <cell r="C13" t="str">
            <v>8002719</v>
          </cell>
          <cell r="D13" t="str">
            <v>ECI (HUIZHOU) COMPANY LIMITED</v>
          </cell>
        </row>
        <row r="14">
          <cell r="A14" t="str">
            <v>W11763981</v>
          </cell>
          <cell r="B14" t="str">
            <v>MANUAL COPA 2.0, QUICK WIN, ES</v>
          </cell>
          <cell r="C14" t="str">
            <v>1018761</v>
          </cell>
          <cell r="D14" t="str">
            <v>FUNDACION CIUDAD DON BOSCO</v>
          </cell>
        </row>
        <row r="15">
          <cell r="A15" t="str">
            <v>W11763989</v>
          </cell>
          <cell r="C15" t="str">
            <v>1018761</v>
          </cell>
          <cell r="D15" t="str">
            <v>FUNDACION CIUDAD DON BOSCO</v>
          </cell>
        </row>
        <row r="16">
          <cell r="A16" t="str">
            <v>W11775050</v>
          </cell>
          <cell r="C16" t="str">
            <v>1018636</v>
          </cell>
          <cell r="D16" t="str">
            <v>INDUSTRIAS CATO S.A.</v>
          </cell>
        </row>
        <row r="17">
          <cell r="A17" t="str">
            <v>W11775427</v>
          </cell>
          <cell r="B17" t="str">
            <v>AGITATOR PACKAGE ASSY (30 PARTS)</v>
          </cell>
          <cell r="C17" t="str">
            <v>8002684</v>
          </cell>
          <cell r="D17" t="str">
            <v>Whirlpool S/A</v>
          </cell>
        </row>
        <row r="18">
          <cell r="A18" t="str">
            <v>W11775050</v>
          </cell>
          <cell r="B18" t="str">
            <v>TORNILLO (SOPORTE MOTOR) NUEVO</v>
          </cell>
          <cell r="C18" t="str">
            <v>1018636</v>
          </cell>
          <cell r="D18" t="str">
            <v>INDUSTRIAS CATO S.A.</v>
          </cell>
        </row>
        <row r="19">
          <cell r="A19" t="str">
            <v>W11736595</v>
          </cell>
          <cell r="B19" t="str">
            <v>LAMINA GZ100 DX52D  1,55X337 (SOP MOTOR) ARME</v>
          </cell>
          <cell r="C19" t="str">
            <v>1025251</v>
          </cell>
          <cell r="D19" t="str">
            <v>IBEROTECH S.A.S</v>
          </cell>
        </row>
        <row r="20">
          <cell r="A20" t="str">
            <v>000028290</v>
          </cell>
          <cell r="B20" t="str">
            <v>TORNILLO</v>
          </cell>
          <cell r="C20" t="str">
            <v>8002761</v>
          </cell>
          <cell r="D20" t="str">
            <v>Continental Parafusos S/A</v>
          </cell>
        </row>
        <row r="21">
          <cell r="A21" t="str">
            <v>000306300</v>
          </cell>
          <cell r="B21" t="str">
            <v>POLIPROPILENO COMUM (H 503)</v>
          </cell>
          <cell r="C21" t="str">
            <v>1022799</v>
          </cell>
          <cell r="D21" t="str">
            <v>BRASKEM S.A.S SUCURSAL CO</v>
          </cell>
        </row>
        <row r="22">
          <cell r="A22" t="str">
            <v>000306301</v>
          </cell>
          <cell r="B22" t="str">
            <v>PP HOMO BAIXA FLUIDEZ</v>
          </cell>
          <cell r="C22" t="str">
            <v>1022799</v>
          </cell>
          <cell r="D22" t="str">
            <v>BRASKEM S.A.S SUCURSAL CO</v>
          </cell>
        </row>
        <row r="23">
          <cell r="A23" t="str">
            <v>000306302</v>
          </cell>
          <cell r="B23" t="str">
            <v>PP COPO ALTA FLUIDEZ MEDIO IMPACTO</v>
          </cell>
          <cell r="C23" t="str">
            <v>1022799</v>
          </cell>
          <cell r="D23" t="str">
            <v>BRASKEM S.A.S SUCURSAL CO</v>
          </cell>
        </row>
        <row r="24">
          <cell r="A24" t="str">
            <v>000306307</v>
          </cell>
          <cell r="B24" t="str">
            <v>POM COPOL#MERO COM TEFLON</v>
          </cell>
          <cell r="C24" t="str">
            <v>8002740</v>
          </cell>
          <cell r="D24" t="str">
            <v>TICONA POLYMERS LTDA.</v>
          </cell>
        </row>
        <row r="25">
          <cell r="A25" t="str">
            <v>000306308</v>
          </cell>
          <cell r="B25" t="str">
            <v>POM COPOLIMERO</v>
          </cell>
          <cell r="C25" t="str">
            <v>8002740</v>
          </cell>
          <cell r="D25" t="str">
            <v>TICONA POLYMERS LTDA.</v>
          </cell>
        </row>
        <row r="26">
          <cell r="A26" t="str">
            <v>000306309</v>
          </cell>
          <cell r="B26" t="str">
            <v>POM COPOL#MERO COM 25% DE FIBRA DE VIDRO</v>
          </cell>
          <cell r="C26" t="str">
            <v>8002740</v>
          </cell>
          <cell r="D26" t="str">
            <v>TICONA POLYMERS LTDA.</v>
          </cell>
        </row>
        <row r="27">
          <cell r="A27" t="str">
            <v>000360420</v>
          </cell>
          <cell r="B27" t="str">
            <v>EJE MECANISMO FRENO AWR680/3-CWR600 &amp;</v>
          </cell>
          <cell r="C27" t="str">
            <v>8002684</v>
          </cell>
          <cell r="D27" t="str">
            <v>Whirlpool S/A</v>
          </cell>
        </row>
        <row r="28">
          <cell r="A28" t="str">
            <v>000390510</v>
          </cell>
          <cell r="B28" t="str">
            <v>ANILLO RETENSOR AWR680/CWR600 &amp;</v>
          </cell>
          <cell r="C28" t="str">
            <v>8002761</v>
          </cell>
          <cell r="D28" t="str">
            <v>Continental Parafusos S/A</v>
          </cell>
        </row>
        <row r="29">
          <cell r="A29" t="str">
            <v>3357397</v>
          </cell>
          <cell r="B29" t="str">
            <v>NO VALUE ENTERED</v>
          </cell>
          <cell r="C29" t="str">
            <v>8004562</v>
          </cell>
          <cell r="D29" t="str">
            <v>TH PLASTICS INC</v>
          </cell>
        </row>
        <row r="30">
          <cell r="A30" t="str">
            <v>004259220</v>
          </cell>
          <cell r="B30" t="str">
            <v>PP HOMO 40% TALCO BAIXA FLUIDEZ</v>
          </cell>
          <cell r="C30" t="str">
            <v>8002716</v>
          </cell>
          <cell r="D30" t="str">
            <v>BOREALIS BRASIL S.A</v>
          </cell>
        </row>
        <row r="31">
          <cell r="A31" t="str">
            <v>004314824</v>
          </cell>
          <cell r="B31" t="str">
            <v>CINTA TRANSPARENTE EMBALAJE</v>
          </cell>
          <cell r="C31" t="str">
            <v>1019802</v>
          </cell>
          <cell r="D31" t="str">
            <v>TESA TAPE COLOMBIA LTDA</v>
          </cell>
        </row>
        <row r="32">
          <cell r="A32" t="str">
            <v>051002253</v>
          </cell>
          <cell r="B32" t="str">
            <v>POLIESTIRENO</v>
          </cell>
          <cell r="C32" t="str">
            <v>8002762</v>
          </cell>
          <cell r="D32" t="str">
            <v>VIDEOLAR - INNOVA S.A.</v>
          </cell>
        </row>
        <row r="33">
          <cell r="A33" t="str">
            <v>326000208</v>
          </cell>
          <cell r="B33" t="str">
            <v>BANDA FRENO LAVADORA/ WWQ22-24</v>
          </cell>
          <cell r="C33" t="str">
            <v>8002788</v>
          </cell>
          <cell r="D33" t="str">
            <v>Associated Spring Do Bras</v>
          </cell>
        </row>
        <row r="34">
          <cell r="A34" t="str">
            <v>326001101</v>
          </cell>
          <cell r="B34" t="str">
            <v>JUNTA ELECTROVÁLVULA EWH09AB CWC22B</v>
          </cell>
          <cell r="C34" t="str">
            <v>1019254</v>
          </cell>
          <cell r="D34" t="str">
            <v>ELASTOPLAST</v>
          </cell>
        </row>
        <row r="35">
          <cell r="A35" t="str">
            <v>326001560</v>
          </cell>
          <cell r="B35" t="str">
            <v>RESORTE FRENO (WWQ22)</v>
          </cell>
          <cell r="C35" t="str">
            <v>8002717</v>
          </cell>
          <cell r="D35" t="str">
            <v>METALURGICA GUAPORE LTDA</v>
          </cell>
        </row>
        <row r="36">
          <cell r="A36" t="str">
            <v>326006408</v>
          </cell>
          <cell r="B36" t="str">
            <v>CONC.COR PRETO P/ABS</v>
          </cell>
          <cell r="C36" t="str">
            <v>8002741</v>
          </cell>
          <cell r="D36" t="str">
            <v>CROMEX SA</v>
          </cell>
        </row>
        <row r="37">
          <cell r="A37" t="str">
            <v>326010544</v>
          </cell>
          <cell r="B37" t="str">
            <v>POLIAMIDA 6.6 WITH 33% GLASS REINFORCED</v>
          </cell>
          <cell r="C37" t="str">
            <v>1023936</v>
          </cell>
          <cell r="D37" t="str">
            <v>MSA DISTRIBUCIONES (DUPONT)</v>
          </cell>
        </row>
        <row r="38">
          <cell r="A38" t="str">
            <v>326012084</v>
          </cell>
          <cell r="B38" t="str">
            <v>3-1.4 X 6 PN LR SCREW</v>
          </cell>
          <cell r="C38" t="str">
            <v>8002761</v>
          </cell>
          <cell r="D38" t="str">
            <v>Continental Parafusos S/A</v>
          </cell>
        </row>
        <row r="39">
          <cell r="A39" t="str">
            <v>326025857</v>
          </cell>
          <cell r="B39" t="str">
            <v>ABS ALTO FLUXO NATURAL (GP22NATURAL)</v>
          </cell>
          <cell r="C39" t="str">
            <v>8003879</v>
          </cell>
          <cell r="D39" t="str">
            <v>STYROLUTION DO BRASIL POL</v>
          </cell>
        </row>
        <row r="40">
          <cell r="A40" t="str">
            <v>326028198</v>
          </cell>
          <cell r="B40" t="str">
            <v>COPOLIMERO DE PROPENO/ETENO (CP401HC)</v>
          </cell>
          <cell r="C40" t="str">
            <v>1022799</v>
          </cell>
          <cell r="D40" t="str">
            <v>BRASKEM S.A.S SUCURSAL CO</v>
          </cell>
        </row>
        <row r="41">
          <cell r="A41" t="str">
            <v>326028747</v>
          </cell>
          <cell r="B41" t="str">
            <v>RECICLADO DE TANQUE</v>
          </cell>
          <cell r="C41" t="str">
            <v>1021171</v>
          </cell>
          <cell r="D41" t="str">
            <v>PLASTIRIOS S.A.S</v>
          </cell>
        </row>
        <row r="42">
          <cell r="A42" t="str">
            <v>326031815</v>
          </cell>
          <cell r="B42" t="str">
            <v>ABRAZADERA</v>
          </cell>
          <cell r="C42" t="str">
            <v>8002684</v>
          </cell>
          <cell r="D42" t="str">
            <v>Whirlpool S/A</v>
          </cell>
        </row>
        <row r="43">
          <cell r="A43" t="str">
            <v>326032999</v>
          </cell>
          <cell r="B43" t="str">
            <v>ABS ALTO IMPACTO ALTA FLUIDEZ GW</v>
          </cell>
          <cell r="C43" t="str">
            <v>8002674</v>
          </cell>
          <cell r="D43" t="str">
            <v>LG CHEM AMERICA INC.</v>
          </cell>
        </row>
        <row r="44">
          <cell r="A44" t="str">
            <v>326033002</v>
          </cell>
          <cell r="B44" t="str">
            <v>CONC.COR PP GW</v>
          </cell>
          <cell r="C44" t="str">
            <v>8002741</v>
          </cell>
          <cell r="D44" t="str">
            <v>CROMEX SA</v>
          </cell>
        </row>
        <row r="45">
          <cell r="A45" t="str">
            <v>326037688</v>
          </cell>
          <cell r="B45" t="str">
            <v>ARANDELA SELLO TAPA VALVULA</v>
          </cell>
          <cell r="C45" t="str">
            <v>1018395</v>
          </cell>
          <cell r="D45" t="str">
            <v>PLASTICOS TRUHER S.A.</v>
          </cell>
        </row>
        <row r="46">
          <cell r="A46" t="str">
            <v>326039029</v>
          </cell>
          <cell r="B46" t="str">
            <v>ABS MEDIO IMPACTO ANTI CHAMA 5VA</v>
          </cell>
          <cell r="C46" t="str">
            <v>8002674</v>
          </cell>
          <cell r="D46" t="str">
            <v>LG CHEM AMERICA INC.</v>
          </cell>
        </row>
        <row r="47">
          <cell r="A47" t="str">
            <v>326041720</v>
          </cell>
          <cell r="B47" t="str">
            <v>TORNILLO HI-LOW</v>
          </cell>
          <cell r="C47" t="str">
            <v>8002761</v>
          </cell>
          <cell r="D47" t="str">
            <v>Continental Parafusos S/A</v>
          </cell>
        </row>
        <row r="48">
          <cell r="A48" t="str">
            <v>326041932</v>
          </cell>
          <cell r="B48" t="str">
            <v>polipropileno reciclado TANQUE</v>
          </cell>
          <cell r="C48" t="str">
            <v>1018467</v>
          </cell>
          <cell r="D48" t="str">
            <v>INDUSTRIAS HACEB S.A.</v>
          </cell>
        </row>
        <row r="49">
          <cell r="A49" t="str">
            <v>326059648</v>
          </cell>
          <cell r="B49" t="str">
            <v>GRAXA MULTIFAK EP2 00995</v>
          </cell>
          <cell r="C49" t="str">
            <v>1018830</v>
          </cell>
          <cell r="D49" t="str">
            <v>Oilred S.A</v>
          </cell>
        </row>
        <row r="50">
          <cell r="A50" t="str">
            <v>326066095</v>
          </cell>
          <cell r="B50" t="str">
            <v>TUERCA CONSOLA</v>
          </cell>
          <cell r="C50" t="str">
            <v>8002684</v>
          </cell>
          <cell r="D50" t="str">
            <v>Whirlpool S/A</v>
          </cell>
        </row>
        <row r="51">
          <cell r="A51" t="str">
            <v>W10233113</v>
          </cell>
          <cell r="B51" t="str">
            <v>ETIQUETA ADVERTENCIA CHOQUE ELETRICO</v>
          </cell>
          <cell r="C51" t="str">
            <v>1018786</v>
          </cell>
          <cell r="D51" t="str">
            <v>Marcazeta S.A.S</v>
          </cell>
        </row>
        <row r="52">
          <cell r="A52" t="str">
            <v>W10260856</v>
          </cell>
          <cell r="B52" t="str">
            <v>TORNILLO CAB. HEX FLANGE AP 3 X 7</v>
          </cell>
          <cell r="C52" t="str">
            <v>8002761</v>
          </cell>
          <cell r="D52" t="str">
            <v>Continental Parafusos S/A</v>
          </cell>
        </row>
        <row r="53">
          <cell r="A53" t="str">
            <v>W10261574</v>
          </cell>
          <cell r="B53" t="str">
            <v>PA66 NATURAL + 33% FG</v>
          </cell>
          <cell r="C53" t="str">
            <v>1023936</v>
          </cell>
          <cell r="D53" t="str">
            <v>MSA DISTRIBUCIONES (DUPONT)</v>
          </cell>
        </row>
        <row r="54">
          <cell r="A54" t="str">
            <v>W10335914</v>
          </cell>
          <cell r="B54" t="str">
            <v>HEX SERR FLAN HEAD METR SCREW 6X39</v>
          </cell>
          <cell r="C54" t="str">
            <v>8002761</v>
          </cell>
          <cell r="D54" t="str">
            <v>Continental Parafusos S/A</v>
          </cell>
        </row>
        <row r="55">
          <cell r="A55" t="str">
            <v>W10346385</v>
          </cell>
          <cell r="B55" t="str">
            <v>MASTER CINZA CHAGALL PP</v>
          </cell>
          <cell r="C55" t="str">
            <v>8002741</v>
          </cell>
          <cell r="D55" t="str">
            <v>CROMEX SA</v>
          </cell>
        </row>
        <row r="56">
          <cell r="A56" t="str">
            <v>W10351766</v>
          </cell>
          <cell r="B56" t="str">
            <v>M6-1.0 X 20 CHA S/R S.BLOQ. INOX 304</v>
          </cell>
          <cell r="C56" t="str">
            <v>8002761</v>
          </cell>
          <cell r="D56" t="str">
            <v>Continental Parafusos S/A</v>
          </cell>
        </row>
        <row r="57">
          <cell r="A57" t="str">
            <v>W10352978</v>
          </cell>
          <cell r="B57" t="str">
            <v>ABS ALTO IMPACTO ALTA FLUIDEZ GW C/ ADIT</v>
          </cell>
          <cell r="C57" t="str">
            <v>8002674</v>
          </cell>
          <cell r="D57" t="str">
            <v>LG CHEM AMERICA INC.</v>
          </cell>
        </row>
        <row r="58">
          <cell r="A58" t="str">
            <v>W10414411</v>
          </cell>
          <cell r="B58" t="str">
            <v>CODIFICADOR - ROTARIO, 5 POS</v>
          </cell>
          <cell r="C58" t="str">
            <v>8002760</v>
          </cell>
          <cell r="D58" t="str">
            <v>ILLINOIS TOOL WORKS, INC</v>
          </cell>
        </row>
        <row r="59">
          <cell r="A59" t="str">
            <v>W10463824</v>
          </cell>
          <cell r="B59" t="str">
            <v>MAGNET</v>
          </cell>
          <cell r="C59" t="str">
            <v>8004251</v>
          </cell>
          <cell r="D59" t="str">
            <v>IMAG IND COM COMP ELETR L</v>
          </cell>
        </row>
        <row r="60">
          <cell r="A60" t="str">
            <v>W10470951</v>
          </cell>
          <cell r="B60" t="str">
            <v>CORREA POLEA EN V CICLO RÁPIDO</v>
          </cell>
          <cell r="C60" t="str">
            <v>8002776</v>
          </cell>
          <cell r="D60" t="str">
            <v>HBA HUTCHINSON BRASIL AUT</v>
          </cell>
        </row>
        <row r="61">
          <cell r="A61" t="str">
            <v>W10472321</v>
          </cell>
          <cell r="B61" t="str">
            <v>Clip contra porta</v>
          </cell>
          <cell r="C61" t="str">
            <v>8002684</v>
          </cell>
          <cell r="D61" t="str">
            <v>Whirlpool S/A</v>
          </cell>
        </row>
        <row r="62">
          <cell r="A62" t="str">
            <v>W10486429</v>
          </cell>
          <cell r="B62" t="str">
            <v>POM COPOL#MERO ALTA FLUIDEZ</v>
          </cell>
          <cell r="C62" t="str">
            <v>8002740</v>
          </cell>
          <cell r="D62" t="str">
            <v>TICONA POLYMERS LTDA.</v>
          </cell>
        </row>
        <row r="63">
          <cell r="A63" t="str">
            <v>W10512641</v>
          </cell>
          <cell r="B63" t="str">
            <v>POM-W10271570 CLASSE 9- CINZA CHAGALL</v>
          </cell>
          <cell r="C63" t="str">
            <v>8002740</v>
          </cell>
          <cell r="D63" t="str">
            <v>TICONA POLYMERS LTDA.</v>
          </cell>
        </row>
        <row r="64">
          <cell r="A64" t="str">
            <v>W10516159</v>
          </cell>
          <cell r="B64" t="str">
            <v>ROLAMENTO- BALL 6006 2RS</v>
          </cell>
          <cell r="C64" t="str">
            <v>8002751</v>
          </cell>
          <cell r="D64" t="str">
            <v>ZHEJIANG BH BEARING CO.,L</v>
          </cell>
        </row>
        <row r="65">
          <cell r="A65" t="str">
            <v>W10517931</v>
          </cell>
          <cell r="B65" t="str">
            <v>Conagua Energy Label</v>
          </cell>
          <cell r="C65" t="str">
            <v>1018566</v>
          </cell>
          <cell r="D65" t="str">
            <v>LÍNEA ADHESIVA S.A.</v>
          </cell>
        </row>
        <row r="66">
          <cell r="A66" t="str">
            <v>W10548856</v>
          </cell>
          <cell r="B66" t="str">
            <v>TUERCA</v>
          </cell>
          <cell r="C66" t="str">
            <v>8002761</v>
          </cell>
          <cell r="D66" t="str">
            <v>Continental Parafusos S/A</v>
          </cell>
        </row>
        <row r="67">
          <cell r="A67" t="str">
            <v>W10638576</v>
          </cell>
          <cell r="B67" t="str">
            <v>MARCO DECORATIVO</v>
          </cell>
          <cell r="C67" t="str">
            <v>1025251</v>
          </cell>
          <cell r="D67" t="str">
            <v>IBEROTECH S.A.S</v>
          </cell>
        </row>
        <row r="68">
          <cell r="A68" t="str">
            <v>W10638603</v>
          </cell>
          <cell r="B68" t="str">
            <v>TRAVESSA GABINETE SUP</v>
          </cell>
          <cell r="C68" t="str">
            <v>1018467</v>
          </cell>
          <cell r="D68" t="str">
            <v>INDUSTRIAS HACEB S.A.</v>
          </cell>
        </row>
        <row r="69">
          <cell r="A69" t="str">
            <v>W10644238</v>
          </cell>
          <cell r="B69" t="str">
            <v>BUCHA DO FUNDO DO CESTO</v>
          </cell>
          <cell r="C69" t="str">
            <v>1018399</v>
          </cell>
          <cell r="D69" t="str">
            <v>Riduco S.A.</v>
          </cell>
        </row>
        <row r="70">
          <cell r="A70" t="str">
            <v>W10647949</v>
          </cell>
          <cell r="B70" t="str">
            <v>RETENEDOR - DRIVEBLOCK</v>
          </cell>
          <cell r="C70" t="str">
            <v>1018398</v>
          </cell>
          <cell r="D70" t="str">
            <v>Dicoplast S.A.</v>
          </cell>
        </row>
        <row r="71">
          <cell r="A71" t="str">
            <v>W10650429</v>
          </cell>
          <cell r="B71" t="str">
            <v>NO VALUE ENTERED</v>
          </cell>
          <cell r="C71" t="str">
            <v>1018566</v>
          </cell>
          <cell r="D71" t="str">
            <v>LÍNEA ADHESIVA S.A.</v>
          </cell>
        </row>
        <row r="72">
          <cell r="A72" t="str">
            <v>W10655120</v>
          </cell>
          <cell r="B72" t="str">
            <v>PALANCA  MICRO LLAVE</v>
          </cell>
          <cell r="C72" t="str">
            <v>8002717</v>
          </cell>
          <cell r="D72" t="str">
            <v>METALURGICA GUAPORE LTDA</v>
          </cell>
        </row>
        <row r="73">
          <cell r="A73" t="str">
            <v>W10655121</v>
          </cell>
          <cell r="B73" t="str">
            <v>SOPORTE MICRO LLAVE</v>
          </cell>
          <cell r="C73" t="str">
            <v>1018467</v>
          </cell>
          <cell r="D73" t="str">
            <v>INDUSTRIAS HACEB S.A.</v>
          </cell>
        </row>
        <row r="74">
          <cell r="A74" t="str">
            <v>W10661343</v>
          </cell>
          <cell r="B74" t="str">
            <v>TRAVESSA GABINETE INF</v>
          </cell>
          <cell r="C74" t="str">
            <v>1018467</v>
          </cell>
          <cell r="D74" t="str">
            <v>INDUSTRIAS HACEB S.A.</v>
          </cell>
        </row>
        <row r="75">
          <cell r="A75" t="str">
            <v>W10661829</v>
          </cell>
          <cell r="B75" t="str">
            <v>TAPA DEL CJ PLACA DE POTENCIA BAJA</v>
          </cell>
          <cell r="C75" t="str">
            <v>1018393</v>
          </cell>
          <cell r="D75" t="str">
            <v>Iprocom S.A.</v>
          </cell>
        </row>
        <row r="76">
          <cell r="A76" t="str">
            <v>W10672816</v>
          </cell>
          <cell r="B76" t="str">
            <v>CJ CUBIERTA SUPERIOR</v>
          </cell>
          <cell r="C76" t="str">
            <v>1018394</v>
          </cell>
          <cell r="D76" t="str">
            <v>Formapol S.A</v>
          </cell>
        </row>
        <row r="77">
          <cell r="A77" t="str">
            <v>W10672820</v>
          </cell>
          <cell r="B77" t="str">
            <v>BASE TRANSPORTE_BETTER</v>
          </cell>
          <cell r="C77" t="str">
            <v>1018394</v>
          </cell>
          <cell r="D77" t="str">
            <v>Formapol S.A</v>
          </cell>
        </row>
        <row r="78">
          <cell r="A78" t="str">
            <v>W10673299</v>
          </cell>
          <cell r="B78" t="str">
            <v>IMPELLER</v>
          </cell>
          <cell r="C78" t="str">
            <v>1018395</v>
          </cell>
          <cell r="D78" t="str">
            <v>PLASTICOS TRUHER S.A.</v>
          </cell>
        </row>
        <row r="79">
          <cell r="A79" t="str">
            <v>W10674850</v>
          </cell>
          <cell r="B79" t="str">
            <v>Bucha Impeller/Agipeller</v>
          </cell>
          <cell r="C79" t="str">
            <v>1018399</v>
          </cell>
          <cell r="D79" t="str">
            <v>Riduco S.A.</v>
          </cell>
        </row>
        <row r="80">
          <cell r="A80" t="str">
            <v>W10677260</v>
          </cell>
          <cell r="B80" t="str">
            <v>STEEL SS 430 2B 0.45X354XC</v>
          </cell>
          <cell r="C80" t="str">
            <v>8002699</v>
          </cell>
          <cell r="D80" t="str">
            <v>Aperam Inox América do Su</v>
          </cell>
        </row>
        <row r="81">
          <cell r="A81" t="str">
            <v>W10677261</v>
          </cell>
          <cell r="B81" t="str">
            <v>STEEL SS 430 2B 0.4X387,0XC</v>
          </cell>
          <cell r="C81" t="str">
            <v>8002699</v>
          </cell>
          <cell r="D81" t="str">
            <v>Aperam Inox América do Su</v>
          </cell>
        </row>
        <row r="82">
          <cell r="A82" t="str">
            <v>W10679136</v>
          </cell>
          <cell r="B82" t="str">
            <v>PIN DE BISAGRA</v>
          </cell>
          <cell r="C82" t="str">
            <v>1018399</v>
          </cell>
          <cell r="D82" t="str">
            <v>Riduco S.A.</v>
          </cell>
        </row>
        <row r="83">
          <cell r="A83" t="str">
            <v>W10682572</v>
          </cell>
          <cell r="B83" t="str">
            <v>Brake arm splutch</v>
          </cell>
          <cell r="C83" t="str">
            <v>1018395</v>
          </cell>
          <cell r="D83" t="str">
            <v>PLASTICOS TRUHER S.A.</v>
          </cell>
        </row>
        <row r="84">
          <cell r="A84" t="str">
            <v>W10686585</v>
          </cell>
          <cell r="B84" t="str">
            <v>ANEL HIDRO SUPERIOR</v>
          </cell>
          <cell r="C84" t="str">
            <v>1018467</v>
          </cell>
          <cell r="D84" t="str">
            <v>INDUSTRIAS HACEB S.A.</v>
          </cell>
        </row>
        <row r="85">
          <cell r="A85" t="str">
            <v>W10686587</v>
          </cell>
          <cell r="B85" t="str">
            <v>ANEL HIDRO INFERIOR</v>
          </cell>
          <cell r="C85" t="str">
            <v>1018467</v>
          </cell>
          <cell r="D85" t="str">
            <v>INDUSTRIAS HACEB S.A.</v>
          </cell>
        </row>
        <row r="86">
          <cell r="A86" t="str">
            <v>W10691654</v>
          </cell>
          <cell r="B86" t="str">
            <v>MICRO LLAVE</v>
          </cell>
          <cell r="C86" t="str">
            <v>8002723</v>
          </cell>
          <cell r="D86" t="str">
            <v>TONELUCK INTERNATIONAL IN</v>
          </cell>
        </row>
        <row r="87">
          <cell r="A87" t="str">
            <v>W10694416</v>
          </cell>
          <cell r="B87" t="str">
            <v>MINI PROPELLER WHP</v>
          </cell>
          <cell r="C87" t="str">
            <v>1018399</v>
          </cell>
          <cell r="D87" t="str">
            <v>Riduco S.A.</v>
          </cell>
        </row>
        <row r="88">
          <cell r="A88" t="str">
            <v>W10699981</v>
          </cell>
          <cell r="B88" t="str">
            <v>CONEXIÓN INTERMEDIA DE ALOJAMIENTO</v>
          </cell>
          <cell r="C88" t="str">
            <v>1018393</v>
          </cell>
          <cell r="D88" t="str">
            <v>Iprocom S.A.</v>
          </cell>
        </row>
        <row r="89">
          <cell r="A89" t="str">
            <v>W10702019</v>
          </cell>
          <cell r="B89" t="str">
            <v>FUNDO CESTO</v>
          </cell>
          <cell r="C89" t="str">
            <v>1018467</v>
          </cell>
          <cell r="D89" t="str">
            <v>INDUSTRIAS HACEB S.A.</v>
          </cell>
        </row>
        <row r="90">
          <cell r="A90" t="str">
            <v>W10703510</v>
          </cell>
          <cell r="B90" t="str">
            <v>PUXADOR AGIPELLER WHP WHITE</v>
          </cell>
          <cell r="C90" t="str">
            <v>1018393</v>
          </cell>
          <cell r="D90" t="str">
            <v>Iprocom S.A.</v>
          </cell>
        </row>
        <row r="91">
          <cell r="A91" t="str">
            <v>W10703613</v>
          </cell>
          <cell r="B91" t="str">
            <v>CJ BOTON DE CICLOS WHP</v>
          </cell>
          <cell r="C91" t="str">
            <v>1018393</v>
          </cell>
          <cell r="D91" t="str">
            <v>Iprocom S.A.</v>
          </cell>
        </row>
        <row r="92">
          <cell r="A92" t="str">
            <v>W10704106</v>
          </cell>
          <cell r="B92" t="str">
            <v>TARJETA ELECTRONICA IMPELLLER AZUL</v>
          </cell>
          <cell r="C92" t="str">
            <v>8002693</v>
          </cell>
          <cell r="D92" t="str">
            <v>Jabil Circuit India PVT L</v>
          </cell>
        </row>
        <row r="93">
          <cell r="A93" t="str">
            <v>W10704805</v>
          </cell>
          <cell r="B93" t="str">
            <v>TUB 24"</v>
          </cell>
          <cell r="C93" t="str">
            <v>1018467</v>
          </cell>
          <cell r="D93" t="str">
            <v>INDUSTRIAS HACEB S.A.</v>
          </cell>
        </row>
        <row r="94">
          <cell r="A94" t="str">
            <v>W10705255</v>
          </cell>
          <cell r="B94" t="str">
            <v>TAMPA ALMOFADA DE AR BEST</v>
          </cell>
          <cell r="C94" t="str">
            <v>1018399</v>
          </cell>
          <cell r="D94" t="str">
            <v>Riduco S.A.</v>
          </cell>
        </row>
        <row r="95">
          <cell r="A95" t="str">
            <v>W10705286</v>
          </cell>
          <cell r="B95" t="str">
            <v>FILTRO DE DRENAJE</v>
          </cell>
          <cell r="C95" t="str">
            <v>1018398</v>
          </cell>
          <cell r="D95" t="str">
            <v>Dicoplast S.A.</v>
          </cell>
        </row>
        <row r="96">
          <cell r="A96" t="str">
            <v>W10706398</v>
          </cell>
          <cell r="B96" t="str">
            <v>ANILLO DE TANQUE GOOD_BETTER HCB 25"</v>
          </cell>
          <cell r="C96" t="str">
            <v>1018467</v>
          </cell>
          <cell r="D96" t="str">
            <v>INDUSTRIAS HACEB S.A.</v>
          </cell>
        </row>
        <row r="97">
          <cell r="A97" t="str">
            <v>W10710121</v>
          </cell>
          <cell r="B97" t="str">
            <v>SOPORTE DE ALUMINIO</v>
          </cell>
          <cell r="C97" t="str">
            <v>1018406</v>
          </cell>
          <cell r="D97" t="str">
            <v>Fundalco</v>
          </cell>
        </row>
        <row r="98">
          <cell r="A98" t="str">
            <v>W10710606</v>
          </cell>
          <cell r="B98" t="str">
            <v>UI ASSY AGIPELLER GREEN</v>
          </cell>
          <cell r="C98" t="str">
            <v>8002758</v>
          </cell>
          <cell r="D98" t="str">
            <v>Shenzhen H&amp;T Intelligent</v>
          </cell>
        </row>
        <row r="99">
          <cell r="A99" t="str">
            <v>W10710904</v>
          </cell>
          <cell r="B99" t="str">
            <v>Master WP Tempest</v>
          </cell>
          <cell r="C99" t="str">
            <v>8002743</v>
          </cell>
          <cell r="D99" t="str">
            <v>WASHINGTON PENN</v>
          </cell>
        </row>
        <row r="100">
          <cell r="A100" t="str">
            <v>W10713714</v>
          </cell>
          <cell r="B100" t="str">
            <v>ISOLA##O PAD</v>
          </cell>
          <cell r="C100" t="str">
            <v>8002681</v>
          </cell>
          <cell r="D100" t="str">
            <v>TECNOPEÇAS PECAS TEC E FITAS</v>
          </cell>
        </row>
        <row r="101">
          <cell r="A101" t="str">
            <v>W10715814</v>
          </cell>
          <cell r="B101" t="str">
            <v>TORNILLO AGITADOR HLD - CAB. HEXA. M6X29</v>
          </cell>
          <cell r="C101" t="str">
            <v>8002761</v>
          </cell>
          <cell r="D101" t="str">
            <v>Continental Parafusos S/A</v>
          </cell>
        </row>
        <row r="102">
          <cell r="A102" t="str">
            <v>W10716069</v>
          </cell>
          <cell r="B102" t="str">
            <v>ANILLO HIDRO SUP</v>
          </cell>
          <cell r="C102" t="str">
            <v>1018467</v>
          </cell>
          <cell r="D102" t="str">
            <v>INDUSTRIAS HACEB S.A.</v>
          </cell>
        </row>
        <row r="103">
          <cell r="A103" t="str">
            <v>W10716679</v>
          </cell>
          <cell r="B103" t="str">
            <v>ANEL BALANCIAMIENTO INFERIOR GRIS</v>
          </cell>
          <cell r="C103" t="str">
            <v>1018467</v>
          </cell>
          <cell r="D103" t="str">
            <v>INDUSTRIAS HACEB S.A.</v>
          </cell>
        </row>
        <row r="104">
          <cell r="A104" t="str">
            <v>W10716681</v>
          </cell>
          <cell r="B104" t="str">
            <v>ANEL BALANCIAMIENTO SUPERIOR GRIS</v>
          </cell>
          <cell r="C104" t="str">
            <v>1018467</v>
          </cell>
          <cell r="D104" t="str">
            <v>INDUSTRIAS HACEB S.A.</v>
          </cell>
        </row>
        <row r="105">
          <cell r="A105" t="str">
            <v>W10717778</v>
          </cell>
          <cell r="B105" t="str">
            <v>CJ TAMPO IMP HCB</v>
          </cell>
          <cell r="C105" t="str">
            <v>1018394</v>
          </cell>
          <cell r="D105" t="str">
            <v>Formapol S.A</v>
          </cell>
        </row>
        <row r="106">
          <cell r="A106" t="str">
            <v>W10717791</v>
          </cell>
          <cell r="B106" t="str">
            <v>BASE TRANSPORTE</v>
          </cell>
          <cell r="C106" t="str">
            <v>1018394</v>
          </cell>
          <cell r="D106" t="str">
            <v>Formapol S.A</v>
          </cell>
        </row>
        <row r="107">
          <cell r="A107" t="str">
            <v>W10717792</v>
          </cell>
          <cell r="B107" t="str">
            <v>ESQUINERO FRONTAL</v>
          </cell>
          <cell r="C107" t="str">
            <v>1018394</v>
          </cell>
          <cell r="D107" t="str">
            <v>Formapol S.A</v>
          </cell>
        </row>
        <row r="108">
          <cell r="A108" t="str">
            <v>W10717793</v>
          </cell>
          <cell r="B108" t="str">
            <v>ESQUINERO TRASERO</v>
          </cell>
          <cell r="C108" t="str">
            <v>1018394</v>
          </cell>
          <cell r="D108" t="str">
            <v>Formapol S.A</v>
          </cell>
        </row>
        <row r="109">
          <cell r="A109" t="str">
            <v>W10718075</v>
          </cell>
          <cell r="B109" t="str">
            <v>LEVA EXTERNA</v>
          </cell>
          <cell r="C109" t="str">
            <v>1018399</v>
          </cell>
          <cell r="D109" t="str">
            <v>Riduco S.A.</v>
          </cell>
        </row>
        <row r="110">
          <cell r="A110" t="str">
            <v>W10718167</v>
          </cell>
          <cell r="B110" t="str">
            <v>VALVULA DE AGUA CALIENTE 120V 60HZ</v>
          </cell>
          <cell r="C110" t="str">
            <v>8002727</v>
          </cell>
          <cell r="D110" t="str">
            <v>Bitron Industry China CO</v>
          </cell>
        </row>
        <row r="111">
          <cell r="A111" t="str">
            <v>W10718173</v>
          </cell>
          <cell r="B111" t="str">
            <v>VALVULA SIMPLE ASSY 220V</v>
          </cell>
          <cell r="C111" t="str">
            <v>8002727</v>
          </cell>
          <cell r="D111" t="str">
            <v>Bitron Industry China CO</v>
          </cell>
        </row>
        <row r="112">
          <cell r="A112" t="str">
            <v>W10718177</v>
          </cell>
          <cell r="B112" t="str">
            <v>VALVULA DOBLE DE AGUA 127V - BITRON</v>
          </cell>
          <cell r="C112" t="str">
            <v>8002727</v>
          </cell>
          <cell r="D112" t="str">
            <v>Bitron Industry China CO</v>
          </cell>
        </row>
        <row r="113">
          <cell r="A113" t="str">
            <v>W10718178</v>
          </cell>
          <cell r="B113" t="str">
            <v>DOUBLE INLET VALV. 1 IN / 2OUT  220V</v>
          </cell>
          <cell r="C113" t="str">
            <v>8002727</v>
          </cell>
          <cell r="D113" t="str">
            <v>Bitron Industry China CO</v>
          </cell>
        </row>
        <row r="114">
          <cell r="A114" t="str">
            <v>W10719069</v>
          </cell>
          <cell r="B114" t="str">
            <v>DRIVE BLOCK</v>
          </cell>
          <cell r="C114" t="str">
            <v>1018399</v>
          </cell>
          <cell r="D114" t="str">
            <v>Riduco S.A.</v>
          </cell>
        </row>
        <row r="115">
          <cell r="A115" t="str">
            <v>W10724998</v>
          </cell>
          <cell r="B115" t="str">
            <v>CJ TAMPO AGP WHP</v>
          </cell>
          <cell r="C115" t="str">
            <v>1018394</v>
          </cell>
          <cell r="D115" t="str">
            <v>Formapol S.A</v>
          </cell>
        </row>
        <row r="116">
          <cell r="A116" t="str">
            <v>W10725000</v>
          </cell>
          <cell r="B116" t="str">
            <v>CJ TAMPO AGP HCB</v>
          </cell>
          <cell r="C116" t="str">
            <v>1018394</v>
          </cell>
          <cell r="D116" t="str">
            <v>Formapol S.A</v>
          </cell>
        </row>
        <row r="117">
          <cell r="A117" t="str">
            <v>W10725483</v>
          </cell>
          <cell r="B117" t="str">
            <v>AGIPELLER</v>
          </cell>
          <cell r="C117" t="str">
            <v>1018467</v>
          </cell>
          <cell r="D117" t="str">
            <v>INDUSTRIAS HACEB S.A.</v>
          </cell>
        </row>
        <row r="118">
          <cell r="A118" t="str">
            <v>W10733317</v>
          </cell>
          <cell r="B118" t="str">
            <v>PP - AZUL CRISTAL</v>
          </cell>
          <cell r="C118" t="str">
            <v>8002741</v>
          </cell>
          <cell r="D118" t="str">
            <v>CROMEX SA</v>
          </cell>
        </row>
        <row r="119">
          <cell r="A119" t="str">
            <v>W10734499</v>
          </cell>
          <cell r="B119" t="str">
            <v>LEVA PLASTICA  ARTICULADA LAVADOR/ CWD22</v>
          </cell>
          <cell r="C119" t="str">
            <v>1018399</v>
          </cell>
          <cell r="D119" t="str">
            <v>Riduco S.A.</v>
          </cell>
        </row>
        <row r="120">
          <cell r="A120" t="str">
            <v>W10741520</v>
          </cell>
          <cell r="B120" t="str">
            <v>PROTETOR DE TERMINAIS</v>
          </cell>
          <cell r="C120" t="str">
            <v>1025251</v>
          </cell>
          <cell r="D120" t="str">
            <v>IBEROTECH S.A.S</v>
          </cell>
        </row>
        <row r="121">
          <cell r="A121" t="str">
            <v>W10742395</v>
          </cell>
          <cell r="B121" t="str">
            <v>RESORTE</v>
          </cell>
          <cell r="C121" t="str">
            <v>8002717</v>
          </cell>
          <cell r="D121" t="str">
            <v>METALURGICA GUAPORE LTDA</v>
          </cell>
        </row>
        <row r="122">
          <cell r="A122" t="str">
            <v>W10748096</v>
          </cell>
          <cell r="B122" t="str">
            <v>GRAXA RS 34</v>
          </cell>
          <cell r="C122" t="str">
            <v>8004304</v>
          </cell>
          <cell r="D122" t="str">
            <v>CHEMEN IND E COM DE PRODU</v>
          </cell>
        </row>
        <row r="123">
          <cell r="A123" t="str">
            <v>W10749069</v>
          </cell>
          <cell r="B123" t="str">
            <v>IMPELLER HCB</v>
          </cell>
          <cell r="C123" t="str">
            <v>1018395</v>
          </cell>
          <cell r="D123" t="str">
            <v>PLASTICOS TRUHER S.A.</v>
          </cell>
        </row>
        <row r="124">
          <cell r="A124" t="str">
            <v>W10750540</v>
          </cell>
          <cell r="B124" t="str">
            <v>CREW  HEX HEAD 8-16X20</v>
          </cell>
          <cell r="C124" t="str">
            <v>1018636</v>
          </cell>
          <cell r="D124" t="str">
            <v>INDUSTRIAS CATO S.A.</v>
          </cell>
        </row>
        <row r="125">
          <cell r="A125" t="str">
            <v>W10751509</v>
          </cell>
          <cell r="B125" t="str">
            <v>RETEN LAVADORA /AWR680-3</v>
          </cell>
          <cell r="C125" t="str">
            <v>8002919</v>
          </cell>
          <cell r="D125" t="str">
            <v>PARKER</v>
          </cell>
        </row>
        <row r="126">
          <cell r="A126" t="str">
            <v>W10756449</v>
          </cell>
          <cell r="B126" t="str">
            <v>BOLSA PLASTICA STRETCH HOOD</v>
          </cell>
          <cell r="C126" t="str">
            <v>1020975</v>
          </cell>
          <cell r="D126" t="str">
            <v>PLASTILENE S.A</v>
          </cell>
        </row>
        <row r="127">
          <cell r="A127" t="str">
            <v>W10759651</v>
          </cell>
          <cell r="B127" t="str">
            <v>MASTER ABS CINZA DOLPHIN</v>
          </cell>
          <cell r="C127" t="str">
            <v>8002741</v>
          </cell>
          <cell r="D127" t="str">
            <v>CROMEX SA</v>
          </cell>
        </row>
        <row r="128">
          <cell r="A128" t="str">
            <v>W10760335</v>
          </cell>
          <cell r="B128" t="str">
            <v>EMPAQUE BOMBA FILTRO</v>
          </cell>
          <cell r="C128" t="str">
            <v>8002681</v>
          </cell>
          <cell r="D128" t="str">
            <v>TECNOPEÇAS PECAS TEC E FITAS</v>
          </cell>
        </row>
        <row r="129">
          <cell r="A129" t="str">
            <v>W10760337</v>
          </cell>
          <cell r="B129" t="str">
            <v>EMPAQUE BOMBA FILTRO - BEST</v>
          </cell>
          <cell r="C129" t="str">
            <v>8002681</v>
          </cell>
          <cell r="D129" t="str">
            <v>TECNOPEÇAS PECAS TEC E FITAS</v>
          </cell>
        </row>
        <row r="130">
          <cell r="A130" t="str">
            <v>W10760338</v>
          </cell>
          <cell r="B130" t="str">
            <v>EMPAQUE BOMBA JET</v>
          </cell>
          <cell r="C130" t="str">
            <v>8002681</v>
          </cell>
          <cell r="D130" t="str">
            <v>TECNOPEÇAS PECAS TEC E FITAS</v>
          </cell>
        </row>
        <row r="131">
          <cell r="A131" t="str">
            <v>W10760339</v>
          </cell>
          <cell r="B131" t="str">
            <v>BOMBA DE TORRE CON ESPONJA JET SEAL-BEST</v>
          </cell>
          <cell r="C131" t="str">
            <v>8002681</v>
          </cell>
          <cell r="D131" t="str">
            <v>TECNOPEÇAS PECAS TEC E FITAS</v>
          </cell>
        </row>
        <row r="132">
          <cell r="A132" t="str">
            <v>W10763062</v>
          </cell>
          <cell r="B132" t="str">
            <v>COPO DA SUSPENSAO 24"</v>
          </cell>
          <cell r="C132" t="str">
            <v>1018395</v>
          </cell>
          <cell r="D132" t="str">
            <v>PLASTICOS TRUHER S.A.</v>
          </cell>
        </row>
        <row r="133">
          <cell r="A133" t="str">
            <v>W10763437</v>
          </cell>
          <cell r="B133" t="str">
            <v>ESMALTE HIBRIDO PÓ GW</v>
          </cell>
          <cell r="C133" t="str">
            <v>1018444</v>
          </cell>
          <cell r="D133" t="str">
            <v>Pintuco de Colombia S.A.</v>
          </cell>
        </row>
        <row r="134">
          <cell r="A134" t="str">
            <v>W10763441</v>
          </cell>
          <cell r="B134" t="str">
            <v>ESMALTE HIBRIDO PÓ TEMPEST GRAY</v>
          </cell>
          <cell r="C134" t="str">
            <v>1018444</v>
          </cell>
          <cell r="D134" t="str">
            <v>Pintuco de Colombia S.A.</v>
          </cell>
        </row>
        <row r="135">
          <cell r="A135" t="str">
            <v>W10763489</v>
          </cell>
          <cell r="B135" t="str">
            <v>DESENGRAXANTE (P3 RYDOLINE 7163 CF5)</v>
          </cell>
          <cell r="C135" t="str">
            <v>1018445</v>
          </cell>
          <cell r="D135" t="str">
            <v>HENKEL COLOMBIANA S.A.S.</v>
          </cell>
        </row>
        <row r="136">
          <cell r="A136" t="str">
            <v>W10763490</v>
          </cell>
          <cell r="B136" t="str">
            <v>NANOCERÂMICO (TECTALIS MAKE UP A)</v>
          </cell>
          <cell r="C136" t="str">
            <v>1018445</v>
          </cell>
          <cell r="D136" t="str">
            <v>HENKEL COLOMBIANA S.A.S.</v>
          </cell>
        </row>
        <row r="137">
          <cell r="A137" t="str">
            <v>W10768386</v>
          </cell>
          <cell r="B137" t="str">
            <v>ABS ALTO IMPACTO TEMPEST GREY</v>
          </cell>
          <cell r="C137" t="str">
            <v>8002674</v>
          </cell>
          <cell r="D137" t="str">
            <v>LG CHEM AMERICA INC.</v>
          </cell>
        </row>
        <row r="138">
          <cell r="A138" t="str">
            <v>W10770058</v>
          </cell>
          <cell r="B138" t="str">
            <v>CJ FILTRO</v>
          </cell>
          <cell r="C138" t="str">
            <v>1018399</v>
          </cell>
          <cell r="D138" t="str">
            <v>Riduco S.A.</v>
          </cell>
        </row>
        <row r="139">
          <cell r="A139" t="str">
            <v>W10770062</v>
          </cell>
          <cell r="B139" t="str">
            <v>FILTRO HACEB VERDE</v>
          </cell>
          <cell r="C139" t="str">
            <v>1018399</v>
          </cell>
          <cell r="D139" t="str">
            <v>Riduco S.A.</v>
          </cell>
        </row>
        <row r="140">
          <cell r="A140" t="str">
            <v>W10772017</v>
          </cell>
          <cell r="B140" t="str">
            <v>TORNILLO LATERAL DE BOMBA</v>
          </cell>
          <cell r="C140" t="str">
            <v>1018636</v>
          </cell>
          <cell r="D140" t="str">
            <v>INDUSTRIAS CATO S.A.</v>
          </cell>
        </row>
        <row r="141">
          <cell r="A141" t="str">
            <v>W10772018</v>
          </cell>
          <cell r="B141" t="str">
            <v>TORNILLO BASE BOMBA</v>
          </cell>
          <cell r="C141" t="str">
            <v>1018636</v>
          </cell>
          <cell r="D141" t="str">
            <v>INDUSTRIAS CATO S.A.</v>
          </cell>
        </row>
        <row r="142">
          <cell r="A142" t="str">
            <v>W10777493</v>
          </cell>
          <cell r="B142" t="str">
            <v>CJ MECANISMO</v>
          </cell>
          <cell r="C142" t="str">
            <v>8002684</v>
          </cell>
          <cell r="D142" t="str">
            <v>Whirlpool S/A</v>
          </cell>
        </row>
        <row r="143">
          <cell r="A143" t="str">
            <v>W10777926</v>
          </cell>
          <cell r="B143" t="str">
            <v>ABRAZADERA DE CAPACITOR</v>
          </cell>
          <cell r="C143" t="str">
            <v>1025251</v>
          </cell>
          <cell r="D143" t="str">
            <v>IBEROTECH S.A.S</v>
          </cell>
        </row>
        <row r="144">
          <cell r="A144" t="str">
            <v>W10777932</v>
          </cell>
          <cell r="B144" t="str">
            <v>ADITIVO SURFACTANTE PRÉ TRATAMENT HENKE</v>
          </cell>
          <cell r="C144" t="str">
            <v>1018445</v>
          </cell>
          <cell r="D144" t="str">
            <v>HENKEL COLOMBIANA S.A.S.</v>
          </cell>
        </row>
        <row r="145">
          <cell r="A145" t="str">
            <v>W10777934</v>
          </cell>
          <cell r="B145" t="str">
            <v>BONDERITE M-NT 1200 MAKE UP B HENKEL</v>
          </cell>
          <cell r="C145" t="str">
            <v>1018445</v>
          </cell>
          <cell r="D145" t="str">
            <v>HENKEL COLOMBIANA S.A.S.</v>
          </cell>
        </row>
        <row r="146">
          <cell r="A146" t="str">
            <v>W10803373</v>
          </cell>
          <cell r="B146" t="str">
            <v>ETIQUETA ATENÇÃO</v>
          </cell>
          <cell r="C146" t="str">
            <v>1018786</v>
          </cell>
          <cell r="D146" t="str">
            <v>Marcazeta S.A.S</v>
          </cell>
        </row>
        <row r="147">
          <cell r="A147" t="str">
            <v>W10804239</v>
          </cell>
          <cell r="B147" t="str">
            <v>MB-PP W PENN UC2QO0 966170 DOVE GREY LT</v>
          </cell>
          <cell r="C147" t="str">
            <v>8002743</v>
          </cell>
          <cell r="D147" t="str">
            <v>WASHINGTON PENN</v>
          </cell>
        </row>
        <row r="148">
          <cell r="A148" t="str">
            <v>W10804305</v>
          </cell>
          <cell r="B148" t="str">
            <v>ETIQUETA PLACA POTENCIA</v>
          </cell>
          <cell r="C148" t="str">
            <v>8002914</v>
          </cell>
          <cell r="D148" t="str">
            <v>WEBER MARKING SYSTEMS, IN</v>
          </cell>
        </row>
        <row r="149">
          <cell r="A149" t="str">
            <v>W10804329</v>
          </cell>
          <cell r="B149" t="str">
            <v>CONCENTRADO</v>
          </cell>
          <cell r="C149" t="str">
            <v>8002741</v>
          </cell>
          <cell r="D149" t="str">
            <v>CROMEX SA</v>
          </cell>
        </row>
        <row r="150">
          <cell r="A150" t="str">
            <v>W10810425</v>
          </cell>
          <cell r="B150" t="str">
            <v>BI 430 #4 0,5X1220XC</v>
          </cell>
          <cell r="C150" t="str">
            <v>8002699</v>
          </cell>
          <cell r="D150" t="str">
            <v>Aperam Inox América do Su</v>
          </cell>
        </row>
        <row r="151">
          <cell r="A151" t="str">
            <v>W10817342</v>
          </cell>
          <cell r="B151" t="str">
            <v>AGIPELLER HCB</v>
          </cell>
          <cell r="C151" t="str">
            <v>1018467</v>
          </cell>
          <cell r="D151" t="str">
            <v>INDUSTRIAS HACEB S.A.</v>
          </cell>
        </row>
        <row r="152">
          <cell r="A152" t="str">
            <v>W10821148</v>
          </cell>
          <cell r="B152" t="str">
            <v>REMACHE ALUMINIO</v>
          </cell>
          <cell r="C152" t="str">
            <v>1018901</v>
          </cell>
          <cell r="D152" t="str">
            <v>Arcoli S.A.S</v>
          </cell>
        </row>
        <row r="153">
          <cell r="A153" t="str">
            <v>W10823957</v>
          </cell>
          <cell r="B153" t="str">
            <v>BORRACHA APOIO BANDE DE FREIO</v>
          </cell>
          <cell r="C153" t="str">
            <v>1019254</v>
          </cell>
          <cell r="D153" t="str">
            <v>ELASTOPLAST</v>
          </cell>
        </row>
        <row r="154">
          <cell r="A154" t="str">
            <v>W10826066</v>
          </cell>
          <cell r="B154" t="str">
            <v>CONJUNTO TAMPA DA VALVULA</v>
          </cell>
          <cell r="C154" t="str">
            <v>1018395</v>
          </cell>
          <cell r="D154" t="str">
            <v>PLASTICOS TRUHER S.A.</v>
          </cell>
        </row>
        <row r="155">
          <cell r="A155" t="str">
            <v>W10840431</v>
          </cell>
          <cell r="B155" t="str">
            <v>CJ TAMPA VALVULA 14 TPI</v>
          </cell>
          <cell r="C155" t="str">
            <v>1018395</v>
          </cell>
          <cell r="D155" t="str">
            <v>PLASTICOS TRUHER S.A.</v>
          </cell>
        </row>
        <row r="156">
          <cell r="A156" t="str">
            <v>W10845136</v>
          </cell>
          <cell r="B156" t="str">
            <v>TIRANTE</v>
          </cell>
          <cell r="C156" t="str">
            <v>1019254</v>
          </cell>
          <cell r="D156" t="str">
            <v>ELASTOPLAST</v>
          </cell>
        </row>
        <row r="157">
          <cell r="A157" t="str">
            <v>W10847201</v>
          </cell>
          <cell r="B157" t="str">
            <v>ARANDELA SUSPENSION</v>
          </cell>
          <cell r="C157" t="str">
            <v>1020636</v>
          </cell>
          <cell r="D157" t="str">
            <v>AUTOINDUSTRIAL CAMEL S.A</v>
          </cell>
        </row>
        <row r="158">
          <cell r="A158" t="str">
            <v>W10849164</v>
          </cell>
          <cell r="B158" t="str">
            <v>ETIQ MARKETING SISTEMA INTELLIDRIVE</v>
          </cell>
          <cell r="C158" t="str">
            <v>1018566</v>
          </cell>
          <cell r="D158" t="str">
            <v>LÍNEA ADHESIVA S.A.</v>
          </cell>
        </row>
        <row r="159">
          <cell r="A159" t="str">
            <v>W10850803</v>
          </cell>
          <cell r="B159" t="str">
            <v>PARAF SEXT METR S/FEN C/FLA 4,8X13</v>
          </cell>
          <cell r="C159" t="str">
            <v>1018636</v>
          </cell>
          <cell r="D159" t="str">
            <v>INDUSTRIAS CATO S.A.</v>
          </cell>
        </row>
        <row r="160">
          <cell r="A160" t="str">
            <v>W10851242</v>
          </cell>
          <cell r="B160" t="str">
            <v>PARAFUSO AACS M8 X 9,5 ROHS</v>
          </cell>
          <cell r="C160" t="str">
            <v>1018636</v>
          </cell>
          <cell r="D160" t="str">
            <v>INDUSTRIAS CATO S.A.</v>
          </cell>
        </row>
        <row r="161">
          <cell r="A161" t="str">
            <v>W10856689</v>
          </cell>
          <cell r="B161" t="str">
            <v>Etiqueta de Distribuidores</v>
          </cell>
          <cell r="C161" t="str">
            <v>1018566</v>
          </cell>
          <cell r="D161" t="str">
            <v>LÍNEA ADHESIVA S.A.</v>
          </cell>
        </row>
        <row r="162">
          <cell r="A162" t="str">
            <v>W10862937</v>
          </cell>
          <cell r="B162" t="str">
            <v>PARAF SEXT HI-LO S/FEN C/FLA 3,9X14</v>
          </cell>
          <cell r="C162" t="str">
            <v>1018636</v>
          </cell>
          <cell r="D162" t="str">
            <v>INDUSTRIAS CATO S.A.</v>
          </cell>
        </row>
        <row r="163">
          <cell r="A163" t="str">
            <v>W10863528</v>
          </cell>
          <cell r="B163" t="str">
            <v>PARAF SEXT HI-LO S/FEN C/FLA 7X30</v>
          </cell>
          <cell r="C163" t="str">
            <v>1018636</v>
          </cell>
          <cell r="D163" t="str">
            <v>INDUSTRIAS CATO S.A.</v>
          </cell>
        </row>
        <row r="164">
          <cell r="A164" t="str">
            <v>W10866946</v>
          </cell>
          <cell r="B164" t="str">
            <v>ETIQUETA DE ADVERTENCIA BRASTEMP</v>
          </cell>
          <cell r="C164" t="str">
            <v>1018566</v>
          </cell>
          <cell r="D164" t="str">
            <v>LÍNEA ADHESIVA S.A.</v>
          </cell>
        </row>
        <row r="165">
          <cell r="A165" t="str">
            <v>W10872231</v>
          </cell>
          <cell r="B165" t="str">
            <v>VIDRIO AGIPELELR WHP</v>
          </cell>
          <cell r="C165" t="str">
            <v>1019579</v>
          </cell>
          <cell r="D165" t="str">
            <v>TECNOGLASS S A</v>
          </cell>
        </row>
        <row r="166">
          <cell r="A166" t="str">
            <v>W10872849</v>
          </cell>
          <cell r="B166" t="str">
            <v>ELECTROBOMBA 220V 50 HZ</v>
          </cell>
          <cell r="C166" t="str">
            <v>8002683</v>
          </cell>
          <cell r="D166" t="str">
            <v>Askoll Brasil Ltda</v>
          </cell>
        </row>
        <row r="167">
          <cell r="A167" t="str">
            <v>W10872851</v>
          </cell>
          <cell r="B167" t="str">
            <v>ELETROBOMBA ALUMINIO 220V 60HZ</v>
          </cell>
          <cell r="C167" t="str">
            <v>8002683</v>
          </cell>
          <cell r="D167" t="str">
            <v>Askoll Brasil Ltda</v>
          </cell>
        </row>
        <row r="168">
          <cell r="A168" t="str">
            <v>W10872853</v>
          </cell>
          <cell r="B168" t="str">
            <v>ELETROBOMBA ALUMINIO 120V 60HZ</v>
          </cell>
          <cell r="C168" t="str">
            <v>8002683</v>
          </cell>
          <cell r="D168" t="str">
            <v>Askoll Brasil Ltda</v>
          </cell>
        </row>
        <row r="169">
          <cell r="A169" t="str">
            <v>W10873275</v>
          </cell>
          <cell r="B169" t="str">
            <v>EMBLEMA DO BOTAO DE CICLOS WHP</v>
          </cell>
          <cell r="C169" t="str">
            <v>1018786</v>
          </cell>
          <cell r="D169" t="str">
            <v>Marcazeta S.A.S</v>
          </cell>
        </row>
        <row r="170">
          <cell r="A170" t="str">
            <v>W10873928</v>
          </cell>
          <cell r="B170" t="str">
            <v>O'RING CLOSING ENCODER</v>
          </cell>
          <cell r="C170" t="str">
            <v>1019745</v>
          </cell>
          <cell r="D170" t="str">
            <v>EXTRUSIONES S.A</v>
          </cell>
        </row>
        <row r="171">
          <cell r="A171" t="str">
            <v>W10873962</v>
          </cell>
          <cell r="B171" t="str">
            <v>GASKET</v>
          </cell>
          <cell r="C171" t="str">
            <v>1019745</v>
          </cell>
          <cell r="D171" t="str">
            <v>EXTRUSIONES S.A</v>
          </cell>
        </row>
        <row r="172">
          <cell r="A172" t="str">
            <v>W10876922</v>
          </cell>
          <cell r="B172" t="str">
            <v>PRESSURE SWITCH SEALING</v>
          </cell>
          <cell r="C172" t="str">
            <v>1019254</v>
          </cell>
          <cell r="D172" t="str">
            <v>ELASTOPLAST</v>
          </cell>
        </row>
        <row r="173">
          <cell r="A173" t="str">
            <v>W10883720</v>
          </cell>
          <cell r="B173" t="str">
            <v>TORRE CIRCULACION C/F GOOD WHP+SEAL</v>
          </cell>
          <cell r="C173" t="str">
            <v>1018393</v>
          </cell>
          <cell r="D173" t="str">
            <v>Iprocom S.A.</v>
          </cell>
        </row>
        <row r="174">
          <cell r="A174" t="str">
            <v>W10883722</v>
          </cell>
          <cell r="B174" t="str">
            <v>PUMP TOWER GOOD HCB WITH FILTER +SEAL</v>
          </cell>
          <cell r="C174" t="str">
            <v>1018393</v>
          </cell>
          <cell r="D174" t="str">
            <v>Iprocom S.A.</v>
          </cell>
        </row>
        <row r="175">
          <cell r="A175" t="str">
            <v>W10883723</v>
          </cell>
          <cell r="B175" t="str">
            <v>TORRE C/ FILTRO BEST WHP + VEDAÇÃO</v>
          </cell>
          <cell r="C175" t="str">
            <v>1018393</v>
          </cell>
          <cell r="D175" t="str">
            <v>Iprocom S.A.</v>
          </cell>
        </row>
        <row r="176">
          <cell r="A176" t="str">
            <v>W10883724</v>
          </cell>
          <cell r="B176" t="str">
            <v>TORRE CIRCULACION C/F BEST HCB+SEAL</v>
          </cell>
          <cell r="C176" t="str">
            <v>1018393</v>
          </cell>
          <cell r="D176" t="str">
            <v>Iprocom S.A.</v>
          </cell>
        </row>
        <row r="177">
          <cell r="A177" t="str">
            <v>W10883727</v>
          </cell>
          <cell r="B177" t="str">
            <v>TORRE CIRCULACION S/F GOOD HCB+SEAL</v>
          </cell>
          <cell r="C177" t="str">
            <v>1018393</v>
          </cell>
          <cell r="D177" t="str">
            <v>Iprocom S.A.</v>
          </cell>
        </row>
        <row r="178">
          <cell r="A178" t="str">
            <v>W10883730</v>
          </cell>
          <cell r="B178" t="str">
            <v>TORRE C/ FILTRO GOOD WHP + VEDAÇÃO</v>
          </cell>
          <cell r="C178" t="str">
            <v>1018393</v>
          </cell>
          <cell r="D178" t="str">
            <v>Iprocom S.A.</v>
          </cell>
        </row>
        <row r="179">
          <cell r="A179" t="str">
            <v>W10885565</v>
          </cell>
          <cell r="B179" t="str">
            <v>SCREW HEX FLA HI-LO 3.9 X 18</v>
          </cell>
          <cell r="C179" t="str">
            <v>1018636</v>
          </cell>
          <cell r="D179" t="str">
            <v>INDUSTRIAS CATO S.A.</v>
          </cell>
        </row>
        <row r="180">
          <cell r="A180" t="str">
            <v>W10888140</v>
          </cell>
          <cell r="B180" t="str">
            <v>SIPHON HOUSING SCREW</v>
          </cell>
          <cell r="C180" t="str">
            <v>1018636</v>
          </cell>
          <cell r="D180" t="str">
            <v>INDUSTRIAS CATO S.A.</v>
          </cell>
        </row>
        <row r="181">
          <cell r="A181" t="str">
            <v>W10888142</v>
          </cell>
          <cell r="B181" t="str">
            <v>PARAF SEXT HI-LO S/FEN C/FLA 4,8X11</v>
          </cell>
          <cell r="C181" t="str">
            <v>1018636</v>
          </cell>
          <cell r="D181" t="str">
            <v>INDUSTRIAS CATO S.A.</v>
          </cell>
        </row>
        <row r="182">
          <cell r="A182" t="str">
            <v>W10888143</v>
          </cell>
          <cell r="B182" t="str">
            <v>SCREW HEX FLA HI-LO 3.9 X 18  INOX</v>
          </cell>
          <cell r="C182" t="str">
            <v>1018636</v>
          </cell>
          <cell r="D182" t="str">
            <v>INDUSTRIAS CATO S.A.</v>
          </cell>
        </row>
        <row r="183">
          <cell r="A183" t="str">
            <v>W10890629</v>
          </cell>
          <cell r="B183" t="str">
            <v>MOLA SUSPENSAO</v>
          </cell>
          <cell r="C183" t="str">
            <v>1021489</v>
          </cell>
          <cell r="D183" t="str">
            <v>RESORTES MANIZALES S.A.S</v>
          </cell>
        </row>
        <row r="184">
          <cell r="A184" t="str">
            <v>W10892218</v>
          </cell>
          <cell r="B184" t="str">
            <v>TORNILLO</v>
          </cell>
          <cell r="C184" t="str">
            <v>1018636</v>
          </cell>
          <cell r="D184" t="str">
            <v>INDUSTRIAS CATO S.A.</v>
          </cell>
        </row>
        <row r="185">
          <cell r="A185" t="str">
            <v>W10892220</v>
          </cell>
          <cell r="B185" t="str">
            <v>TORNILLO</v>
          </cell>
          <cell r="C185" t="str">
            <v>1018636</v>
          </cell>
          <cell r="D185" t="str">
            <v>INDUSTRIAS CATO S.A.</v>
          </cell>
        </row>
        <row r="186">
          <cell r="A186" t="str">
            <v>W10892221</v>
          </cell>
          <cell r="B186" t="str">
            <v>PARAF SEXT M5X11 FLANGE LISA ZINCADO</v>
          </cell>
          <cell r="C186" t="str">
            <v>1018636</v>
          </cell>
          <cell r="D186" t="str">
            <v>INDUSTRIAS CATO S.A.</v>
          </cell>
        </row>
        <row r="187">
          <cell r="A187" t="str">
            <v>W10915832</v>
          </cell>
          <cell r="B187" t="str">
            <v>MB-PP ARCOLOR 15444 967000 DOLPHIN GRAY</v>
          </cell>
          <cell r="C187" t="str">
            <v>1018556</v>
          </cell>
          <cell r="D187" t="str">
            <v>ARCOLOR S.A.S.</v>
          </cell>
        </row>
        <row r="188">
          <cell r="A188" t="str">
            <v>W10917031</v>
          </cell>
          <cell r="B188" t="str">
            <v>UI COVER AGIPELLER</v>
          </cell>
          <cell r="C188" t="str">
            <v>1019774</v>
          </cell>
          <cell r="D188" t="str">
            <v>COMPAÑIA DE EMPAQUES S.A</v>
          </cell>
        </row>
        <row r="189">
          <cell r="A189" t="str">
            <v>W10917421</v>
          </cell>
          <cell r="B189" t="str">
            <v>ABS ALTO IMPACTO GRIS TITANIO HACEB</v>
          </cell>
          <cell r="C189" t="str">
            <v>8002674</v>
          </cell>
          <cell r="D189" t="str">
            <v>LG CHEM AMERICA INC.</v>
          </cell>
        </row>
        <row r="190">
          <cell r="A190" t="str">
            <v>W10917614</v>
          </cell>
          <cell r="B190" t="str">
            <v>ETIQUETA DE IDENTIFICACAO</v>
          </cell>
          <cell r="C190" t="str">
            <v>1018566</v>
          </cell>
          <cell r="D190" t="str">
            <v>LÍNEA ADHESIVA S.A.</v>
          </cell>
        </row>
        <row r="191">
          <cell r="A191" t="str">
            <v>W11026576</v>
          </cell>
          <cell r="B191" t="str">
            <v>RED SUPERIOR IMPELLER MAKHAIRA</v>
          </cell>
          <cell r="C191" t="str">
            <v>1018468</v>
          </cell>
          <cell r="D191" t="str">
            <v>I.P.C. INDUSTRIA PARTISTA</v>
          </cell>
        </row>
        <row r="192">
          <cell r="A192" t="str">
            <v>W11034433</v>
          </cell>
          <cell r="B192" t="str">
            <v>ABRAZADERA LAVADORA - COLOMBIA</v>
          </cell>
          <cell r="C192" t="str">
            <v>1020051</v>
          </cell>
          <cell r="D192" t="str">
            <v>ARNESES Y GOMAS S.A</v>
          </cell>
        </row>
        <row r="193">
          <cell r="A193" t="str">
            <v>W11035715</v>
          </cell>
          <cell r="B193" t="str">
            <v>PANEL TRASERO WHP</v>
          </cell>
          <cell r="C193" t="str">
            <v>8002721</v>
          </cell>
          <cell r="D193" t="str">
            <v>SHANGHAI JINGSHI ELECTRIC</v>
          </cell>
        </row>
        <row r="194">
          <cell r="A194" t="str">
            <v>W11036799</v>
          </cell>
          <cell r="B194" t="str">
            <v>POWER BOARD ASSY COPACABANA</v>
          </cell>
          <cell r="C194" t="str">
            <v>8002758</v>
          </cell>
          <cell r="D194" t="str">
            <v>Shenzhen H&amp;T Intelligent</v>
          </cell>
        </row>
        <row r="195">
          <cell r="A195" t="str">
            <v>W11043931</v>
          </cell>
          <cell r="B195" t="str">
            <v>LABEL-WARN DISC PWR TRILINGUAL</v>
          </cell>
          <cell r="C195" t="str">
            <v>1018786</v>
          </cell>
          <cell r="D195" t="str">
            <v>Marcazeta S.A.S</v>
          </cell>
        </row>
        <row r="196">
          <cell r="A196" t="str">
            <v>W11094445</v>
          </cell>
          <cell r="B196" t="str">
            <v>FUNDO PROTETOR RESINA TANQUE</v>
          </cell>
          <cell r="C196" t="str">
            <v>1018467</v>
          </cell>
          <cell r="D196" t="str">
            <v>INDUSTRIAS HACEB S.A.</v>
          </cell>
        </row>
        <row r="197">
          <cell r="A197" t="str">
            <v>W11101821</v>
          </cell>
          <cell r="B197" t="str">
            <v>CJ ETIQ MARKETING IMPELLER BEST</v>
          </cell>
          <cell r="C197" t="str">
            <v>1018566</v>
          </cell>
          <cell r="D197" t="str">
            <v>LÍNEA ADHESIVA S.A.</v>
          </cell>
        </row>
        <row r="198">
          <cell r="A198" t="str">
            <v>W11104317</v>
          </cell>
          <cell r="B198" t="str">
            <v>RESORTE EMBRAGUE</v>
          </cell>
          <cell r="C198" t="str">
            <v>8002717</v>
          </cell>
          <cell r="D198" t="str">
            <v>METALURGICA GUAPORE LTDA</v>
          </cell>
        </row>
        <row r="199">
          <cell r="A199" t="str">
            <v>W11109356</v>
          </cell>
          <cell r="B199" t="str">
            <v>FALSE INLET VALVE</v>
          </cell>
          <cell r="C199" t="str">
            <v>1018399</v>
          </cell>
          <cell r="D199" t="str">
            <v>Riduco S.A.</v>
          </cell>
        </row>
        <row r="200">
          <cell r="A200" t="str">
            <v>W11117473</v>
          </cell>
          <cell r="B200" t="str">
            <v>Chagal Grey Masterbatch en ABS</v>
          </cell>
          <cell r="C200" t="str">
            <v>8002926</v>
          </cell>
          <cell r="D200" t="str">
            <v>TERMOCOLOR INDÚSTRIA E CO</v>
          </cell>
        </row>
        <row r="201">
          <cell r="A201" t="str">
            <v>W11121945</v>
          </cell>
          <cell r="B201" t="str">
            <v>STEEL GZ S250GD Z100 1,55X337</v>
          </cell>
          <cell r="C201" t="str">
            <v>1018578</v>
          </cell>
          <cell r="D201" t="str">
            <v>Arme S.A.</v>
          </cell>
        </row>
        <row r="202">
          <cell r="A202" t="str">
            <v>W11121952</v>
          </cell>
          <cell r="B202" t="str">
            <v>STEEL GZ DX52D Z100 1,25X109</v>
          </cell>
          <cell r="C202" t="str">
            <v>1018578</v>
          </cell>
          <cell r="D202" t="str">
            <v>Arme S.A.</v>
          </cell>
        </row>
        <row r="203">
          <cell r="A203" t="str">
            <v>W11121956</v>
          </cell>
          <cell r="B203" t="str">
            <v>STEEL GZ DX51D Z100 0,60X917X2171,5</v>
          </cell>
          <cell r="C203" t="str">
            <v>1018578</v>
          </cell>
          <cell r="D203" t="str">
            <v>Arme S.A.</v>
          </cell>
        </row>
        <row r="204">
          <cell r="A204" t="str">
            <v>W11121971</v>
          </cell>
          <cell r="B204" t="str">
            <v>STEEL GZ DX52D Z100 1,25X115</v>
          </cell>
          <cell r="C204" t="str">
            <v>1018578</v>
          </cell>
          <cell r="D204" t="str">
            <v>Arme S.A.</v>
          </cell>
        </row>
        <row r="205">
          <cell r="A205" t="str">
            <v>W11125005</v>
          </cell>
          <cell r="B205" t="str">
            <v>LUMINA LOW WHP</v>
          </cell>
          <cell r="C205" t="str">
            <v>8002693</v>
          </cell>
          <cell r="D205" t="str">
            <v>Jabil Circuit India PVT L</v>
          </cell>
        </row>
        <row r="206">
          <cell r="A206" t="str">
            <v>W11125022</v>
          </cell>
          <cell r="B206" t="str">
            <v>UPPER HARNESS IMPELLER II</v>
          </cell>
          <cell r="C206" t="str">
            <v>8002719</v>
          </cell>
          <cell r="D206" t="str">
            <v>I.P.C. INDUSTRIA PARTISTA</v>
          </cell>
        </row>
        <row r="207">
          <cell r="A207" t="str">
            <v>W11125205</v>
          </cell>
          <cell r="B207" t="str">
            <v>CONSOLE AGP WHP</v>
          </cell>
          <cell r="C207" t="str">
            <v>1018399</v>
          </cell>
          <cell r="D207" t="str">
            <v>Riduco S.A.</v>
          </cell>
        </row>
        <row r="208">
          <cell r="A208" t="str">
            <v>W11125956</v>
          </cell>
          <cell r="B208" t="str">
            <v>UI COVER AGIPELLER</v>
          </cell>
          <cell r="C208" t="str">
            <v>1019774</v>
          </cell>
          <cell r="D208" t="str">
            <v>COMPAÑIA DE EMPAQUES S.A</v>
          </cell>
        </row>
        <row r="209">
          <cell r="A209" t="str">
            <v>W11125982</v>
          </cell>
          <cell r="B209" t="str">
            <v>OVERLAY</v>
          </cell>
          <cell r="C209" t="str">
            <v>8002721</v>
          </cell>
          <cell r="D209" t="str">
            <v>SHANGHAI JINGSHI ELECTRIC</v>
          </cell>
        </row>
        <row r="210">
          <cell r="A210" t="str">
            <v>W11130596</v>
          </cell>
          <cell r="B210" t="str">
            <v>OFFBOARD ENCODER 16 POS</v>
          </cell>
          <cell r="C210" t="str">
            <v>8003530</v>
          </cell>
          <cell r="D210" t="str">
            <v>JABIL CIRCUIT (GUANGZHOU) LTD</v>
          </cell>
        </row>
        <row r="211">
          <cell r="A211" t="str">
            <v>W11131127</v>
          </cell>
          <cell r="B211" t="str">
            <v>CJ ESPALHADOR</v>
          </cell>
          <cell r="C211" t="str">
            <v>1018393</v>
          </cell>
          <cell r="D211" t="str">
            <v>Iprocom S.A.</v>
          </cell>
        </row>
        <row r="212">
          <cell r="A212" t="str">
            <v>W11133652</v>
          </cell>
          <cell r="B212" t="str">
            <v>POWER BOARD ASSY COPACABANA LOW</v>
          </cell>
          <cell r="C212" t="str">
            <v>8002758</v>
          </cell>
          <cell r="D212" t="str">
            <v>Shenzhen H&amp;T Intelligent</v>
          </cell>
        </row>
        <row r="213">
          <cell r="A213" t="str">
            <v>W11134060</v>
          </cell>
          <cell r="B213" t="str">
            <v>CJ UI IMPELLER VERDE HACEB</v>
          </cell>
          <cell r="C213" t="str">
            <v>8002693</v>
          </cell>
          <cell r="D213" t="str">
            <v>Jabil Circuit India PVT L</v>
          </cell>
        </row>
        <row r="214">
          <cell r="A214" t="str">
            <v>W11134859</v>
          </cell>
          <cell r="B214" t="str">
            <v xml:space="preserve">GUIA DE LUZ </v>
          </cell>
          <cell r="C214" t="str">
            <v>1018399</v>
          </cell>
          <cell r="D214" t="str">
            <v>Riduco S.A.</v>
          </cell>
        </row>
        <row r="215">
          <cell r="A215" t="str">
            <v>W11134931</v>
          </cell>
          <cell r="B215" t="str">
            <v>ETIQUETA GUIA DE LUZ</v>
          </cell>
          <cell r="C215" t="str">
            <v>1018786</v>
          </cell>
          <cell r="D215" t="str">
            <v>Marcazeta S.A.S</v>
          </cell>
        </row>
        <row r="216">
          <cell r="A216" t="str">
            <v>W11135576</v>
          </cell>
          <cell r="B216" t="str">
            <v>DAMPER BISAGRA IZQUIERDA</v>
          </cell>
          <cell r="C216" t="str">
            <v>8004234</v>
          </cell>
          <cell r="D216" t="str">
            <v>UNION INDUSTRY</v>
          </cell>
        </row>
        <row r="217">
          <cell r="A217" t="str">
            <v>W11156660</v>
          </cell>
          <cell r="B217" t="str">
            <v>ARANDELA ENCODER</v>
          </cell>
          <cell r="C217" t="str">
            <v>1020636</v>
          </cell>
          <cell r="D217" t="str">
            <v>AUTOINDUSTRIAL CAMEL S.A</v>
          </cell>
        </row>
        <row r="218">
          <cell r="A218" t="str">
            <v>W11160690</v>
          </cell>
          <cell r="B218" t="str">
            <v>PRESSURE SENSOR</v>
          </cell>
          <cell r="C218" t="str">
            <v>8004105</v>
          </cell>
          <cell r="D218" t="str">
            <v>ITW APPLIANCE COMPONENTS</v>
          </cell>
        </row>
        <row r="219">
          <cell r="A219" t="str">
            <v>W11161446</v>
          </cell>
          <cell r="B219" t="str">
            <v>IU COVER IMPELLER CON REMOLIDO</v>
          </cell>
          <cell r="C219" t="str">
            <v>1018395</v>
          </cell>
          <cell r="D219" t="str">
            <v>PLASTICOS TRUHER S.A.</v>
          </cell>
        </row>
        <row r="220">
          <cell r="A220" t="str">
            <v>W11161623</v>
          </cell>
          <cell r="B220" t="str">
            <v>MB -  CELCON M90-07 CD3068 K40 BLACK</v>
          </cell>
          <cell r="C220" t="str">
            <v>8002740</v>
          </cell>
          <cell r="D220" t="str">
            <v>TICONA POLYMERS LTDA.</v>
          </cell>
        </row>
        <row r="221">
          <cell r="A221" t="str">
            <v>W11175874</v>
          </cell>
          <cell r="B221" t="str">
            <v>ADESIVO REGUA DE NIVEL</v>
          </cell>
          <cell r="C221" t="str">
            <v>8003123</v>
          </cell>
          <cell r="D221" t="str">
            <v>IDENTCO DE MEXICO</v>
          </cell>
        </row>
        <row r="222">
          <cell r="A222" t="str">
            <v>W11175939</v>
          </cell>
          <cell r="B222" t="str">
            <v>ETIQUETA REGUA DE NIVEL</v>
          </cell>
          <cell r="C222" t="str">
            <v>8003123</v>
          </cell>
          <cell r="D222" t="str">
            <v>IDENTCO DE MEXICO</v>
          </cell>
        </row>
        <row r="223">
          <cell r="A223" t="str">
            <v>W11176258</v>
          </cell>
          <cell r="B223" t="str">
            <v>TARJETA ELECTRONICA AGIPELLER(NUEVA)</v>
          </cell>
          <cell r="C223" t="str">
            <v>8003530</v>
          </cell>
          <cell r="D223" t="str">
            <v>JABIL CIRCUIT (GUANGZHOU) LTD</v>
          </cell>
        </row>
        <row r="224">
          <cell r="A224" t="str">
            <v>W11176259</v>
          </cell>
          <cell r="B224" t="str">
            <v>TARJETA ELECTRONICA (NUEVA)</v>
          </cell>
          <cell r="C224" t="str">
            <v>8003769</v>
          </cell>
          <cell r="D224" t="str">
            <v>DIEHL CONTROLS MEXICO S.A</v>
          </cell>
        </row>
        <row r="225">
          <cell r="A225" t="str">
            <v>W11184185</v>
          </cell>
          <cell r="B225" t="str">
            <v>Lid Support</v>
          </cell>
          <cell r="C225" t="str">
            <v>8002684</v>
          </cell>
          <cell r="D225" t="str">
            <v>Whirlpool S/A</v>
          </cell>
        </row>
        <row r="226">
          <cell r="A226" t="str">
            <v>W11193830</v>
          </cell>
          <cell r="B226" t="str">
            <v>VIDRO AGIPELLER WHP</v>
          </cell>
          <cell r="C226" t="str">
            <v>8002669</v>
          </cell>
          <cell r="D226" t="str">
            <v>JIANGSU XIUQIANG GLASSWOR</v>
          </cell>
        </row>
        <row r="227">
          <cell r="A227" t="str">
            <v>W11195520</v>
          </cell>
          <cell r="B227" t="str">
            <v>MOTOR WELLING 127V 60HZ DIE CAST PULLEY</v>
          </cell>
          <cell r="C227" t="str">
            <v>8002775</v>
          </cell>
          <cell r="D227" t="str">
            <v>Welling</v>
          </cell>
        </row>
        <row r="228">
          <cell r="A228" t="str">
            <v>W11195521</v>
          </cell>
          <cell r="B228" t="str">
            <v>MOTOR WELLING 220V 60HZ DIE CAST PULLEY</v>
          </cell>
          <cell r="C228" t="str">
            <v>8002775</v>
          </cell>
          <cell r="D228" t="str">
            <v>Welling</v>
          </cell>
        </row>
        <row r="229">
          <cell r="A229" t="str">
            <v>W11195522</v>
          </cell>
          <cell r="B229" t="str">
            <v>MOTOR WELLING 1/4-127/60 DIECAST PULLEY</v>
          </cell>
          <cell r="C229" t="str">
            <v>8002775</v>
          </cell>
          <cell r="D229" t="str">
            <v>Welling</v>
          </cell>
        </row>
        <row r="230">
          <cell r="A230" t="str">
            <v>W11210490</v>
          </cell>
          <cell r="B230" t="str">
            <v>TORRE CIRCULACIÓN S/F GOOD S/R WHP</v>
          </cell>
          <cell r="C230" t="str">
            <v>1018393</v>
          </cell>
          <cell r="D230" t="str">
            <v>Iprocom S.A.</v>
          </cell>
        </row>
        <row r="231">
          <cell r="A231" t="str">
            <v>W11210491</v>
          </cell>
          <cell r="B231" t="str">
            <v>TORRE CIRCULACIÓN S/F BEST S/R WHP</v>
          </cell>
          <cell r="C231" t="str">
            <v>1018393</v>
          </cell>
          <cell r="D231" t="str">
            <v>Iprocom S.A.</v>
          </cell>
        </row>
        <row r="232">
          <cell r="A232" t="str">
            <v>W11223643</v>
          </cell>
          <cell r="B232" t="str">
            <v>Manguera de presostato - Best.</v>
          </cell>
          <cell r="C232" t="str">
            <v>1019745</v>
          </cell>
          <cell r="D232" t="str">
            <v>EXTRUSIONES S.A</v>
          </cell>
        </row>
        <row r="233">
          <cell r="A233" t="str">
            <v>W11223649</v>
          </cell>
          <cell r="B233" t="str">
            <v>Manguera presostato - Good</v>
          </cell>
          <cell r="C233" t="str">
            <v>1019745</v>
          </cell>
          <cell r="D233" t="str">
            <v>EXTRUSIONES S.A</v>
          </cell>
        </row>
        <row r="234">
          <cell r="A234" t="str">
            <v>W11225676</v>
          </cell>
          <cell r="B234" t="str">
            <v>Poste bisagra</v>
          </cell>
          <cell r="C234" t="str">
            <v>8002684</v>
          </cell>
          <cell r="D234" t="str">
            <v>Whirlpool S/A</v>
          </cell>
        </row>
        <row r="235">
          <cell r="A235" t="str">
            <v>W11230091</v>
          </cell>
          <cell r="B235" t="str">
            <v>Tapa trasera Blanca</v>
          </cell>
          <cell r="C235" t="str">
            <v>8002684</v>
          </cell>
          <cell r="D235" t="str">
            <v>Whirlpool S/A</v>
          </cell>
        </row>
        <row r="236">
          <cell r="A236" t="str">
            <v>W11230602</v>
          </cell>
          <cell r="B236" t="str">
            <v>CJ MOTOR/POLIA 230/50 HZ 1/4 HP</v>
          </cell>
          <cell r="C236" t="str">
            <v>8002775</v>
          </cell>
          <cell r="D236" t="str">
            <v>Welling</v>
          </cell>
        </row>
        <row r="237">
          <cell r="A237" t="str">
            <v>W11238767</v>
          </cell>
          <cell r="B237" t="str">
            <v>PUXADOR AGIPELLER  WHP SP</v>
          </cell>
          <cell r="C237" t="str">
            <v>1018393</v>
          </cell>
          <cell r="D237" t="str">
            <v>Iprocom S.A.</v>
          </cell>
        </row>
        <row r="238">
          <cell r="A238" t="str">
            <v>W11242970</v>
          </cell>
          <cell r="B238" t="str">
            <v>Valvula /Blanca</v>
          </cell>
          <cell r="C238" t="str">
            <v>8002684</v>
          </cell>
          <cell r="D238" t="str">
            <v>Whirlpool S/A</v>
          </cell>
        </row>
        <row r="239">
          <cell r="A239" t="str">
            <v>W11245133</v>
          </cell>
          <cell r="B239" t="str">
            <v>ARNES SUP IMPEELLER MAKHAIRA 220V ARG</v>
          </cell>
          <cell r="C239" t="str">
            <v>1018468</v>
          </cell>
          <cell r="D239" t="str">
            <v>I.P.C. INDUSTRIA PARTISTA</v>
          </cell>
        </row>
        <row r="240">
          <cell r="A240" t="str">
            <v>W11245143</v>
          </cell>
          <cell r="B240" t="str">
            <v>Tapa trasera Negra</v>
          </cell>
          <cell r="C240" t="str">
            <v>8002684</v>
          </cell>
          <cell r="D240" t="str">
            <v>Whirlpool S/A</v>
          </cell>
        </row>
        <row r="241">
          <cell r="A241" t="str">
            <v>W11246293</v>
          </cell>
          <cell r="B241" t="str">
            <v>Perilla</v>
          </cell>
          <cell r="C241" t="str">
            <v>1018399</v>
          </cell>
          <cell r="D241" t="str">
            <v>Riduco S.A.</v>
          </cell>
        </row>
        <row r="242">
          <cell r="A242" t="str">
            <v>W11250152</v>
          </cell>
          <cell r="B242" t="str">
            <v>CINTA</v>
          </cell>
          <cell r="C242" t="str">
            <v>1018566</v>
          </cell>
          <cell r="D242" t="str">
            <v>LÍNEA ADHESIVA S.A.</v>
          </cell>
        </row>
        <row r="243">
          <cell r="A243" t="str">
            <v>W11254879</v>
          </cell>
          <cell r="B243" t="str">
            <v>ESMALTE HIBRIDO PÓ NEGRO</v>
          </cell>
          <cell r="C243" t="str">
            <v>1018444</v>
          </cell>
          <cell r="D243" t="str">
            <v>Pintuco de Colombia S.A.</v>
          </cell>
        </row>
        <row r="244">
          <cell r="A244" t="str">
            <v>W11261457</v>
          </cell>
          <cell r="B244" t="str">
            <v>AGITATOR BOTERO</v>
          </cell>
          <cell r="C244" t="str">
            <v>8002684</v>
          </cell>
          <cell r="D244" t="str">
            <v>Whirlpool S/A</v>
          </cell>
        </row>
        <row r="245">
          <cell r="A245" t="str">
            <v>W11262421</v>
          </cell>
          <cell r="B245" t="str">
            <v>Consola </v>
          </cell>
          <cell r="C245" t="str">
            <v>8002684</v>
          </cell>
          <cell r="D245" t="str">
            <v>Whirlpool S/A</v>
          </cell>
        </row>
        <row r="246">
          <cell r="A246" t="str">
            <v>W11265178</v>
          </cell>
          <cell r="B246" t="str">
            <v>STEEL GZ S250GD Z100 1,55X337</v>
          </cell>
          <cell r="C246" t="str">
            <v>8003079</v>
          </cell>
          <cell r="D246" t="str">
            <v>BAMESA</v>
          </cell>
        </row>
        <row r="247">
          <cell r="A247" t="str">
            <v>W11265180</v>
          </cell>
          <cell r="B247" t="str">
            <v>STEEL GZ DX52D Z100 1,25X115</v>
          </cell>
          <cell r="C247" t="str">
            <v>8003079</v>
          </cell>
          <cell r="D247" t="str">
            <v>BAMESA</v>
          </cell>
        </row>
        <row r="248">
          <cell r="A248" t="str">
            <v>W11265186</v>
          </cell>
          <cell r="B248" t="str">
            <v>STEEL- GZ DX51D+BORO 0,60X406XC</v>
          </cell>
          <cell r="C248" t="str">
            <v>1018578</v>
          </cell>
          <cell r="D248" t="str">
            <v>Arme S.A.</v>
          </cell>
        </row>
        <row r="249">
          <cell r="A249" t="str">
            <v>W11265189</v>
          </cell>
          <cell r="B249" t="str">
            <v>TZCM Z90 CS 0,60X406XC</v>
          </cell>
          <cell r="C249" t="str">
            <v>8003079</v>
          </cell>
          <cell r="D249" t="str">
            <v>BAMESA</v>
          </cell>
        </row>
        <row r="250">
          <cell r="A250" t="str">
            <v>W11266042</v>
          </cell>
          <cell r="B250" t="str">
            <v>TZCM Z90 CS 1,25X192,0XC</v>
          </cell>
          <cell r="C250" t="str">
            <v>1018578</v>
          </cell>
          <cell r="D250" t="str">
            <v>Arme S.A.</v>
          </cell>
        </row>
        <row r="251">
          <cell r="A251" t="str">
            <v>W11266043</v>
          </cell>
          <cell r="B251" t="str">
            <v>TZCM Z90 CS 0,5X330XC</v>
          </cell>
          <cell r="C251" t="str">
            <v>1018578</v>
          </cell>
          <cell r="D251" t="str">
            <v>Arme S.A.</v>
          </cell>
        </row>
        <row r="252">
          <cell r="A252" t="str">
            <v>W11266047</v>
          </cell>
          <cell r="B252" t="str">
            <v>TZCM Z90 CS 0,5X330XC</v>
          </cell>
          <cell r="C252" t="str">
            <v>8003079</v>
          </cell>
          <cell r="D252" t="str">
            <v>BAMESA</v>
          </cell>
        </row>
        <row r="253">
          <cell r="A253" t="str">
            <v>W11287572</v>
          </cell>
          <cell r="B253" t="str">
            <v>BLANK ADHESIVE TAPE HANDLE 9.5X1.1</v>
          </cell>
          <cell r="C253" t="str">
            <v>1019802</v>
          </cell>
          <cell r="D253" t="str">
            <v>TESA TAPE COLOMBIA LTDA</v>
          </cell>
        </row>
        <row r="254">
          <cell r="A254" t="str">
            <v>W11287573</v>
          </cell>
          <cell r="B254" t="str">
            <v>BLANK ADHESIVE TAPE HANDLE 19X1.1</v>
          </cell>
          <cell r="C254" t="str">
            <v>1019802</v>
          </cell>
          <cell r="D254" t="str">
            <v>TESA TAPE COLOMBIA LTDA</v>
          </cell>
        </row>
        <row r="255">
          <cell r="A255" t="str">
            <v>W11287574</v>
          </cell>
          <cell r="B255" t="str">
            <v>PRIMER</v>
          </cell>
          <cell r="C255" t="str">
            <v>1019802</v>
          </cell>
          <cell r="D255" t="str">
            <v>TESA TAPE COLOMBIA LTDA</v>
          </cell>
        </row>
        <row r="256">
          <cell r="A256" t="str">
            <v>W11291871</v>
          </cell>
          <cell r="B256" t="str">
            <v>ABS Alto Impacto Black</v>
          </cell>
          <cell r="C256" t="str">
            <v>8002674</v>
          </cell>
          <cell r="D256" t="str">
            <v>LG CHEM AMERICA INC.</v>
          </cell>
        </row>
        <row r="257">
          <cell r="A257" t="str">
            <v>W11296042</v>
          </cell>
          <cell r="B257" t="str">
            <v>FITA ADESIVA AZUL 19MM</v>
          </cell>
          <cell r="C257" t="str">
            <v>1019802</v>
          </cell>
          <cell r="D257" t="str">
            <v>TESA TAPE COLOMBIA LTDA</v>
          </cell>
        </row>
        <row r="258">
          <cell r="A258" t="str">
            <v>W11316689</v>
          </cell>
          <cell r="B258" t="str">
            <v>ESQUINERO SUPERIOR</v>
          </cell>
          <cell r="C258" t="str">
            <v>1018467</v>
          </cell>
          <cell r="D258" t="str">
            <v>INDUSTRIAS HACEB S.A.</v>
          </cell>
        </row>
        <row r="259">
          <cell r="A259" t="str">
            <v>W11316690</v>
          </cell>
          <cell r="B259" t="str">
            <v>GUSSET BOTTOM</v>
          </cell>
          <cell r="C259" t="str">
            <v>1018467</v>
          </cell>
          <cell r="D259" t="str">
            <v>INDUSTRIAS HACEB S.A.</v>
          </cell>
        </row>
        <row r="260">
          <cell r="A260" t="str">
            <v>W11319301</v>
          </cell>
          <cell r="B260" t="str">
            <v>STEEL DX51D+BORO  0,5X330XC</v>
          </cell>
          <cell r="C260" t="str">
            <v>8003079</v>
          </cell>
          <cell r="D260" t="str">
            <v>BAMESA</v>
          </cell>
        </row>
        <row r="261">
          <cell r="A261" t="str">
            <v>W11324355</v>
          </cell>
          <cell r="B261" t="str">
            <v>ETIQUETA ATENÇÃO</v>
          </cell>
          <cell r="C261" t="str">
            <v>1018786</v>
          </cell>
          <cell r="D261" t="str">
            <v>Marcazeta S.A.S</v>
          </cell>
        </row>
        <row r="262">
          <cell r="A262" t="str">
            <v>W11337740</v>
          </cell>
          <cell r="B262" t="str">
            <v>ALUMINUM PUMP 220V 50 HZ</v>
          </cell>
          <cell r="C262" t="str">
            <v>8002683</v>
          </cell>
          <cell r="D262" t="str">
            <v>Askoll Brasil Ltda</v>
          </cell>
        </row>
        <row r="263">
          <cell r="A263" t="str">
            <v>W11344664</v>
          </cell>
          <cell r="B263" t="str">
            <v>INLET VALVE HIGH FLOW 127V, NEU</v>
          </cell>
          <cell r="C263" t="str">
            <v>8003479</v>
          </cell>
          <cell r="D263" t="str">
            <v>EMICOL ELETRÔNICA S.A.</v>
          </cell>
        </row>
        <row r="264">
          <cell r="A264" t="str">
            <v>W11345202</v>
          </cell>
          <cell r="B264" t="str">
            <v>SC HINGE PIN CIRCULAR</v>
          </cell>
          <cell r="C264" t="str">
            <v>1018393</v>
          </cell>
          <cell r="D264" t="str">
            <v>Iprocom S.A.</v>
          </cell>
        </row>
        <row r="265">
          <cell r="A265" t="str">
            <v>W11345203</v>
          </cell>
          <cell r="B265" t="str">
            <v>SC HINGE PIN RETANGULAR</v>
          </cell>
          <cell r="C265" t="str">
            <v>1018393</v>
          </cell>
          <cell r="D265" t="str">
            <v>Iprocom S.A.</v>
          </cell>
        </row>
        <row r="266">
          <cell r="A266" t="str">
            <v>W11345206</v>
          </cell>
          <cell r="B266" t="str">
            <v>SC FALSE DAMPER CIRCULAR</v>
          </cell>
          <cell r="C266" t="str">
            <v>1018393</v>
          </cell>
          <cell r="D266" t="str">
            <v>Iprocom S.A.</v>
          </cell>
        </row>
        <row r="267">
          <cell r="A267" t="str">
            <v>W11347692</v>
          </cell>
          <cell r="B267" t="str">
            <v>VIDRO HCB</v>
          </cell>
          <cell r="C267" t="str">
            <v>8002669</v>
          </cell>
          <cell r="D267" t="str">
            <v>JIANGSU XIUQIANG GLASSWOR</v>
          </cell>
        </row>
        <row r="268">
          <cell r="A268" t="str">
            <v>W11347795</v>
          </cell>
          <cell r="B268" t="str">
            <v>BACK COVER CORRUGATE POLYPROPILENE</v>
          </cell>
          <cell r="C268" t="str">
            <v>1019774</v>
          </cell>
          <cell r="D268" t="str">
            <v>COMPAÑIA DE EMPAQUES S.A</v>
          </cell>
        </row>
        <row r="269">
          <cell r="A269" t="str">
            <v>W11351742</v>
          </cell>
          <cell r="B269" t="str">
            <v>REDE SUPERIOR AGIPELLER MK LOW</v>
          </cell>
          <cell r="C269" t="str">
            <v>8002719</v>
          </cell>
          <cell r="D269" t="str">
            <v>ECI (HUIZHOU) COMPANY LIMITED</v>
          </cell>
        </row>
        <row r="270">
          <cell r="A270" t="str">
            <v>W11351945</v>
          </cell>
          <cell r="B270" t="str">
            <v>PLUG</v>
          </cell>
          <cell r="C270" t="str">
            <v>1018399</v>
          </cell>
          <cell r="D270" t="str">
            <v>Riduco S.A.</v>
          </cell>
        </row>
        <row r="271">
          <cell r="A271" t="str">
            <v>W11351948</v>
          </cell>
          <cell r="B271" t="str">
            <v>PLUG</v>
          </cell>
          <cell r="C271" t="str">
            <v>1018399</v>
          </cell>
          <cell r="D271" t="str">
            <v>Riduco S.A.</v>
          </cell>
        </row>
        <row r="272">
          <cell r="A272" t="str">
            <v>W11351950</v>
          </cell>
          <cell r="B272" t="str">
            <v>BRAKE BAND BRACKET ASSY(NUEVO)</v>
          </cell>
          <cell r="C272" t="str">
            <v>1018399</v>
          </cell>
          <cell r="D272" t="str">
            <v>Riduco S.A.</v>
          </cell>
        </row>
        <row r="273">
          <cell r="A273" t="str">
            <v>W11351954</v>
          </cell>
          <cell r="B273" t="str">
            <v>TAMPA IMPELLER/AGIPELLER</v>
          </cell>
          <cell r="C273" t="str">
            <v>1018399</v>
          </cell>
          <cell r="D273" t="str">
            <v>Riduco S.A.</v>
          </cell>
        </row>
        <row r="274">
          <cell r="A274" t="str">
            <v>W11351956</v>
          </cell>
          <cell r="B274" t="str">
            <v>TAMPA IMPELLER/AGIPELLER</v>
          </cell>
          <cell r="C274" t="str">
            <v>1018399</v>
          </cell>
          <cell r="D274" t="str">
            <v>Riduco S.A.</v>
          </cell>
        </row>
        <row r="275">
          <cell r="A275" t="str">
            <v>W11351958</v>
          </cell>
          <cell r="B275" t="str">
            <v>TAMPA IMPELLER/AGIPELLER</v>
          </cell>
          <cell r="C275" t="str">
            <v>1018399</v>
          </cell>
          <cell r="D275" t="str">
            <v>Riduco S.A.</v>
          </cell>
        </row>
        <row r="276">
          <cell r="A276" t="str">
            <v>W11352621</v>
          </cell>
          <cell r="B276" t="str">
            <v>PP - WPENN UP3F306 800043 WHITE LOW TIO2</v>
          </cell>
          <cell r="C276" t="str">
            <v>8002743</v>
          </cell>
          <cell r="D276" t="str">
            <v>WASHINGTON PENN</v>
          </cell>
        </row>
        <row r="277">
          <cell r="A277" t="str">
            <v>W11353094</v>
          </cell>
          <cell r="B277" t="str">
            <v>SUPORTE MOTOR</v>
          </cell>
          <cell r="C277" t="str">
            <v>1025251</v>
          </cell>
          <cell r="D277" t="str">
            <v>IBEROTECH S.A.S</v>
          </cell>
        </row>
        <row r="278">
          <cell r="A278" t="str">
            <v>W11361021</v>
          </cell>
          <cell r="B278" t="str">
            <v>TAPA MOVIL HCB (METALIZADA)</v>
          </cell>
          <cell r="C278" t="str">
            <v>1018393</v>
          </cell>
          <cell r="D278" t="str">
            <v>Iprocom S.A.</v>
          </cell>
        </row>
        <row r="279">
          <cell r="A279" t="str">
            <v>W11369694</v>
          </cell>
          <cell r="B279" t="str">
            <v>AGIPELLER UPPER WIRING HARNESS</v>
          </cell>
          <cell r="C279" t="str">
            <v>1018468</v>
          </cell>
          <cell r="D279" t="str">
            <v>I.P.C. INDUSTRIA PARTISTA</v>
          </cell>
        </row>
        <row r="280">
          <cell r="A280" t="str">
            <v>W11369695</v>
          </cell>
          <cell r="B280" t="str">
            <v>AGIPELLER UPPER WIRING HARNESS - UPB</v>
          </cell>
          <cell r="C280" t="str">
            <v>1018468</v>
          </cell>
          <cell r="D280" t="str">
            <v>I.P.C. INDUSTRIA PARTISTA</v>
          </cell>
        </row>
        <row r="281">
          <cell r="A281" t="str">
            <v>W11374778</v>
          </cell>
          <cell r="B281" t="str">
            <v>ENERGY EFFICIENCY TAG</v>
          </cell>
          <cell r="C281" t="str">
            <v>1018566</v>
          </cell>
          <cell r="D281" t="str">
            <v>LÍNEA ADHESIVA S.A.</v>
          </cell>
        </row>
        <row r="282">
          <cell r="A282" t="str">
            <v>W11374781</v>
          </cell>
          <cell r="B282" t="str">
            <v>ENERGY EFFICIENCY TAG</v>
          </cell>
          <cell r="C282" t="str">
            <v>1018566</v>
          </cell>
          <cell r="D282" t="str">
            <v>LÍNEA ADHESIVA S.A.</v>
          </cell>
        </row>
        <row r="283">
          <cell r="A283" t="str">
            <v>W11374800</v>
          </cell>
          <cell r="B283" t="str">
            <v>ENERGY EFFICIENCY TAG</v>
          </cell>
          <cell r="C283" t="str">
            <v>1018566</v>
          </cell>
          <cell r="D283" t="str">
            <v>LÍNEA ADHESIVA S.A.</v>
          </cell>
        </row>
        <row r="284">
          <cell r="A284" t="str">
            <v>W11382983</v>
          </cell>
          <cell r="B284" t="str">
            <v>OVERLAY</v>
          </cell>
          <cell r="C284" t="str">
            <v>8002721</v>
          </cell>
          <cell r="D284" t="str">
            <v>SHANGHAI JINGSHI ELECTRIC</v>
          </cell>
        </row>
        <row r="285">
          <cell r="A285" t="str">
            <v>W11383451</v>
          </cell>
          <cell r="B285" t="str">
            <v>DRAIN HOSE ASSY</v>
          </cell>
          <cell r="C285" t="str">
            <v>8003828</v>
          </cell>
          <cell r="D285" t="str">
            <v>SOL NAC</v>
          </cell>
        </row>
        <row r="286">
          <cell r="A286" t="str">
            <v>W11383452</v>
          </cell>
          <cell r="B286" t="str">
            <v>CJ MANGUEIRA DRENAGEM</v>
          </cell>
          <cell r="C286" t="str">
            <v>8003828</v>
          </cell>
          <cell r="D286" t="str">
            <v>SOL NAC</v>
          </cell>
        </row>
        <row r="287">
          <cell r="A287" t="str">
            <v>W11391512</v>
          </cell>
          <cell r="B287" t="str">
            <v>MAGNET - LID, STRIKE</v>
          </cell>
          <cell r="C287" t="str">
            <v>8004262</v>
          </cell>
          <cell r="D287" t="str">
            <v>Shenzhen Feller Magnets C</v>
          </cell>
        </row>
        <row r="288">
          <cell r="A288" t="str">
            <v>W11392678</v>
          </cell>
          <cell r="B288" t="str">
            <v>UPPER SUSPENSION BALL</v>
          </cell>
          <cell r="C288" t="str">
            <v>1018399</v>
          </cell>
          <cell r="D288" t="str">
            <v>Riduco S.A.</v>
          </cell>
        </row>
        <row r="289">
          <cell r="A289" t="str">
            <v>W11399409</v>
          </cell>
          <cell r="B289" t="str">
            <v>ENERGY EFFICIENCY G18CBHLA</v>
          </cell>
          <cell r="C289" t="str">
            <v>1018566</v>
          </cell>
          <cell r="D289" t="str">
            <v>LÍNEA ADHESIVA S.A.</v>
          </cell>
        </row>
        <row r="290">
          <cell r="A290" t="str">
            <v>W11401376</v>
          </cell>
          <cell r="B290" t="str">
            <v>TAPA FIJAIMP WHP BLANCA</v>
          </cell>
          <cell r="C290" t="str">
            <v>1018467</v>
          </cell>
          <cell r="D290" t="str">
            <v>INDUSTRIAS HACEB S.A.</v>
          </cell>
        </row>
        <row r="291">
          <cell r="A291" t="str">
            <v>W11401379</v>
          </cell>
          <cell r="B291" t="str">
            <v>TAPA FIJA NEGRA</v>
          </cell>
          <cell r="C291" t="str">
            <v>1018467</v>
          </cell>
          <cell r="D291" t="str">
            <v>INDUSTRIAS HACEB S.A.</v>
          </cell>
        </row>
        <row r="292">
          <cell r="A292" t="str">
            <v>W11401383</v>
          </cell>
          <cell r="B292" t="str">
            <v>TAMPA FIXA AGIPELLER TEMPEST WHP</v>
          </cell>
          <cell r="C292" t="str">
            <v>1018467</v>
          </cell>
          <cell r="D292" t="str">
            <v>INDUSTRIAS HACEB S.A.</v>
          </cell>
        </row>
        <row r="293">
          <cell r="A293" t="str">
            <v>W11401384</v>
          </cell>
          <cell r="B293" t="str">
            <v>TAMPA FIXA AGIPELLER TEMPEST WHP</v>
          </cell>
          <cell r="C293" t="str">
            <v>1018467</v>
          </cell>
          <cell r="D293" t="str">
            <v>INDUSTRIAS HACEB S.A.</v>
          </cell>
        </row>
        <row r="294">
          <cell r="A294" t="str">
            <v>W11401385</v>
          </cell>
          <cell r="B294" t="str">
            <v>TAMPA FIXA</v>
          </cell>
          <cell r="C294" t="str">
            <v>1018467</v>
          </cell>
          <cell r="D294" t="str">
            <v>INDUSTRIAS HACEB S.A.</v>
          </cell>
        </row>
        <row r="295">
          <cell r="A295" t="str">
            <v>W11401479</v>
          </cell>
          <cell r="B295" t="str">
            <v>FRAME SC</v>
          </cell>
          <cell r="C295" t="str">
            <v>1018393</v>
          </cell>
          <cell r="D295" t="str">
            <v>Iprocom S.A.</v>
          </cell>
        </row>
        <row r="296">
          <cell r="A296" t="str">
            <v>W11403890</v>
          </cell>
          <cell r="B296" t="str">
            <v>PNEUMATIC SUPENSION ROD "U" SHAPED</v>
          </cell>
          <cell r="C296" t="str">
            <v>1025251</v>
          </cell>
          <cell r="D296" t="str">
            <v>IBEROTECH S.A.S</v>
          </cell>
        </row>
        <row r="297">
          <cell r="A297" t="str">
            <v>W11403891</v>
          </cell>
          <cell r="B297" t="str">
            <v>PNEUMATIC SUPENSION ROD "U" SHAPED</v>
          </cell>
          <cell r="C297" t="str">
            <v>1025251</v>
          </cell>
          <cell r="D297" t="str">
            <v>IBEROTECH S.A.S</v>
          </cell>
        </row>
        <row r="298">
          <cell r="A298" t="str">
            <v>W11408917</v>
          </cell>
          <cell r="B298" t="str">
            <v>DAMPER LEFT OD 14 2.2Nm</v>
          </cell>
          <cell r="C298" t="str">
            <v>8003885</v>
          </cell>
          <cell r="D298" t="str">
            <v>Anhui Tian Yida (TYD)</v>
          </cell>
        </row>
        <row r="299">
          <cell r="A299" t="str">
            <v>W11411580</v>
          </cell>
          <cell r="B299" t="str">
            <v>DAMPER LEFT OD14  3.8Nm</v>
          </cell>
          <cell r="C299" t="str">
            <v>8003885</v>
          </cell>
          <cell r="D299" t="str">
            <v>Anhui Tian Yida (TYD)</v>
          </cell>
        </row>
        <row r="300">
          <cell r="A300" t="str">
            <v>W11416424</v>
          </cell>
          <cell r="B300" t="str">
            <v>LOWER HARNESS BEST</v>
          </cell>
          <cell r="C300" t="str">
            <v>8002719</v>
          </cell>
          <cell r="D300" t="str">
            <v>ECI (HUIZHOU) COMPANY LIMITED</v>
          </cell>
        </row>
        <row r="301">
          <cell r="A301" t="str">
            <v>W11416433</v>
          </cell>
          <cell r="B301" t="str">
            <v>LOWER HARNESS GOOD/BETTER</v>
          </cell>
          <cell r="C301" t="str">
            <v>8002719</v>
          </cell>
          <cell r="D301" t="str">
            <v>ECI (HUIZHOU) COMPANY LIMITED</v>
          </cell>
        </row>
        <row r="302">
          <cell r="A302" t="str">
            <v>W11428263</v>
          </cell>
          <cell r="B302" t="str">
            <v>BRAKE ACTUATOR 127V</v>
          </cell>
          <cell r="C302" t="str">
            <v>8002846</v>
          </cell>
          <cell r="D302" t="str">
            <v>Leshi Leili Trade Co.Ltd</v>
          </cell>
        </row>
        <row r="303">
          <cell r="A303" t="str">
            <v>W11428264</v>
          </cell>
          <cell r="B303" t="str">
            <v>BRAKE ACTUATOR 220V</v>
          </cell>
          <cell r="C303" t="str">
            <v>8002846</v>
          </cell>
          <cell r="D303" t="str">
            <v>Leshi Leili Trade Co.Ltd</v>
          </cell>
        </row>
        <row r="304">
          <cell r="A304" t="str">
            <v>W11432742</v>
          </cell>
          <cell r="B304" t="str">
            <v>STRAP GUIDE</v>
          </cell>
          <cell r="C304" t="str">
            <v>1018399</v>
          </cell>
          <cell r="D304" t="str">
            <v>Riduco S.A.</v>
          </cell>
        </row>
        <row r="305">
          <cell r="A305" t="str">
            <v>W11432747</v>
          </cell>
          <cell r="B305" t="str">
            <v>ENERGY EFFICIENCY TAG</v>
          </cell>
          <cell r="C305" t="str">
            <v>1018566</v>
          </cell>
          <cell r="D305" t="str">
            <v>LÍNEA ADHESIVA S.A.</v>
          </cell>
        </row>
        <row r="306">
          <cell r="A306" t="str">
            <v>W11432760</v>
          </cell>
          <cell r="B306" t="str">
            <v>ENERGY EFFICIENCY TAG</v>
          </cell>
          <cell r="C306" t="str">
            <v>1018566</v>
          </cell>
          <cell r="D306" t="str">
            <v>LÍNEA ADHESIVA S.A.</v>
          </cell>
        </row>
        <row r="307">
          <cell r="A307" t="str">
            <v>W11433901</v>
          </cell>
          <cell r="B307" t="str">
            <v>MINI PROPELLER HACEB</v>
          </cell>
          <cell r="C307" t="str">
            <v>1018399</v>
          </cell>
          <cell r="D307" t="str">
            <v>Riduco S.A.</v>
          </cell>
        </row>
        <row r="308">
          <cell r="A308" t="str">
            <v>W11433903</v>
          </cell>
          <cell r="B308" t="str">
            <v>CJ FILTRO HACEB</v>
          </cell>
          <cell r="C308" t="str">
            <v>1018399</v>
          </cell>
          <cell r="D308" t="str">
            <v>Riduco S.A.</v>
          </cell>
        </row>
        <row r="309">
          <cell r="A309" t="str">
            <v>W11433905</v>
          </cell>
          <cell r="B309" t="str">
            <v>ANEL DO TANQUE VERDE</v>
          </cell>
          <cell r="C309" t="str">
            <v>1018467</v>
          </cell>
          <cell r="D309" t="str">
            <v>INDUSTRIAS HACEB S.A.</v>
          </cell>
        </row>
        <row r="310">
          <cell r="A310" t="str">
            <v>W11434718</v>
          </cell>
          <cell r="B310" t="str">
            <v>LIGHT GUIDE QUASAR REAR 7 SEGMENTS J2</v>
          </cell>
          <cell r="C310" t="str">
            <v>1018399</v>
          </cell>
          <cell r="D310" t="str">
            <v>Riduco S.A.</v>
          </cell>
        </row>
        <row r="311">
          <cell r="A311" t="str">
            <v>W11435989</v>
          </cell>
          <cell r="B311" t="str">
            <v>ANEL DO TANQUE DOVE GREY</v>
          </cell>
          <cell r="C311" t="str">
            <v>1018467</v>
          </cell>
          <cell r="D311" t="str">
            <v>INDUSTRIAS HACEB S.A.</v>
          </cell>
        </row>
        <row r="312">
          <cell r="A312" t="str">
            <v>W11447785</v>
          </cell>
          <cell r="B312" t="str">
            <v>MEGA LOW COPA QUASAR</v>
          </cell>
          <cell r="C312" t="str">
            <v>8003530</v>
          </cell>
          <cell r="D312" t="str">
            <v>JABIL CIRCUIT (GUANGZHOU) LTD</v>
          </cell>
        </row>
        <row r="313">
          <cell r="A313" t="str">
            <v>W11448282</v>
          </cell>
          <cell r="B313" t="str">
            <v>CAPACITOR</v>
          </cell>
          <cell r="C313" t="str">
            <v>8004252</v>
          </cell>
          <cell r="D313" t="str">
            <v>SHENG YE ELECTRIC</v>
          </cell>
        </row>
        <row r="314">
          <cell r="A314" t="str">
            <v>W11448283</v>
          </cell>
          <cell r="B314" t="str">
            <v>CAPACITOR</v>
          </cell>
          <cell r="C314" t="str">
            <v>8004252</v>
          </cell>
          <cell r="D314" t="str">
            <v>SHENG YE ELECTRIC</v>
          </cell>
        </row>
        <row r="315">
          <cell r="A315" t="str">
            <v>W11448785</v>
          </cell>
          <cell r="B315" t="str">
            <v>OVERLAY</v>
          </cell>
          <cell r="C315" t="str">
            <v>1018786</v>
          </cell>
          <cell r="D315" t="str">
            <v>Marcazeta S.A.S</v>
          </cell>
        </row>
        <row r="316">
          <cell r="A316" t="str">
            <v>W11452385</v>
          </cell>
          <cell r="B316" t="str">
            <v>Tapa dumper </v>
          </cell>
          <cell r="C316" t="str">
            <v>8002684</v>
          </cell>
          <cell r="D316" t="str">
            <v>Whirlpool S/A</v>
          </cell>
        </row>
        <row r="317">
          <cell r="A317" t="str">
            <v>W11456172</v>
          </cell>
          <cell r="B317" t="str">
            <v>MB_ABS - POLYONE CC10322639WE 966170 DOV</v>
          </cell>
          <cell r="C317" t="str">
            <v>1023499</v>
          </cell>
          <cell r="D317" t="str">
            <v>AVIENT COLOMBIA S.A.S.</v>
          </cell>
        </row>
        <row r="318">
          <cell r="A318" t="str">
            <v>W11463922</v>
          </cell>
          <cell r="B318" t="str">
            <v>CJ ESPALHADOR RETIRO FALSA VALVULA</v>
          </cell>
          <cell r="C318" t="str">
            <v>1018393</v>
          </cell>
          <cell r="D318" t="str">
            <v>Iprocom S.A.</v>
          </cell>
        </row>
        <row r="319">
          <cell r="A319" t="str">
            <v>W11466974</v>
          </cell>
          <cell r="B319" t="str">
            <v>LIFTER</v>
          </cell>
          <cell r="C319" t="str">
            <v>1018399</v>
          </cell>
          <cell r="D319" t="str">
            <v>Riduco S.A.</v>
          </cell>
        </row>
        <row r="320">
          <cell r="A320" t="str">
            <v>W11475769</v>
          </cell>
          <cell r="B320" t="str">
            <v>UPPER BALANCE RING 2</v>
          </cell>
          <cell r="C320" t="str">
            <v>1018467</v>
          </cell>
          <cell r="D320" t="str">
            <v>INDUSTRIAS HACEB S.A.</v>
          </cell>
        </row>
        <row r="321">
          <cell r="A321" t="str">
            <v>W11475770</v>
          </cell>
          <cell r="B321" t="str">
            <v>LOWER BALANCE RING 2</v>
          </cell>
          <cell r="C321" t="str">
            <v>1018467</v>
          </cell>
          <cell r="D321" t="str">
            <v>INDUSTRIAS HACEB S.A.</v>
          </cell>
        </row>
        <row r="322">
          <cell r="A322" t="str">
            <v>W11477318</v>
          </cell>
          <cell r="B322" t="str">
            <v>TUB RING HCB 33</v>
          </cell>
          <cell r="C322" t="str">
            <v>1018467</v>
          </cell>
          <cell r="D322" t="str">
            <v>INDUSTRIAS HACEB S.A.</v>
          </cell>
        </row>
        <row r="323">
          <cell r="A323" t="str">
            <v>W11477319</v>
          </cell>
          <cell r="B323" t="str">
            <v>TUB RING HCB 25</v>
          </cell>
          <cell r="C323" t="str">
            <v>1018467</v>
          </cell>
          <cell r="D323" t="str">
            <v>INDUSTRIAS HACEB S.A.</v>
          </cell>
        </row>
        <row r="324">
          <cell r="A324" t="str">
            <v>W11483973</v>
          </cell>
          <cell r="B324" t="str">
            <v>LID SUPPORT WHP, NEU</v>
          </cell>
          <cell r="C324" t="str">
            <v>1018394</v>
          </cell>
          <cell r="D324" t="str">
            <v>Formapol S.A</v>
          </cell>
        </row>
        <row r="325">
          <cell r="A325" t="str">
            <v>W11483974</v>
          </cell>
          <cell r="B325" t="str">
            <v>EPS BASE, NEU</v>
          </cell>
          <cell r="C325" t="str">
            <v>1018394</v>
          </cell>
          <cell r="D325" t="str">
            <v>Formapol S.A</v>
          </cell>
        </row>
        <row r="326">
          <cell r="A326" t="str">
            <v>W11483975</v>
          </cell>
          <cell r="B326" t="str">
            <v>FRONT CORNER EPS, NE</v>
          </cell>
          <cell r="C326" t="str">
            <v>1018394</v>
          </cell>
          <cell r="D326" t="str">
            <v>Formapol S.A</v>
          </cell>
        </row>
        <row r="327">
          <cell r="A327" t="str">
            <v>W11483976</v>
          </cell>
          <cell r="B327" t="str">
            <v>REAR CORNER EPS, NEU</v>
          </cell>
          <cell r="C327" t="str">
            <v>1018394</v>
          </cell>
          <cell r="D327" t="str">
            <v>Formapol S.A</v>
          </cell>
        </row>
        <row r="328">
          <cell r="A328" t="str">
            <v>W11483986</v>
          </cell>
          <cell r="B328" t="str">
            <v>LID SUPPORT HCB, NEU</v>
          </cell>
          <cell r="C328" t="str">
            <v>1018394</v>
          </cell>
          <cell r="D328" t="str">
            <v>Formapol S.A</v>
          </cell>
        </row>
        <row r="329">
          <cell r="A329" t="str">
            <v>W11486068</v>
          </cell>
          <cell r="B329" t="str">
            <v>BASKET BASE 25</v>
          </cell>
          <cell r="C329" t="str">
            <v>1018395</v>
          </cell>
          <cell r="D329" t="str">
            <v>PLASTICOS TRUHER S.A.</v>
          </cell>
        </row>
        <row r="330">
          <cell r="A330" t="str">
            <v>W11486504</v>
          </cell>
          <cell r="B330" t="str">
            <v>STEEL-SS 430 0.45X398.8XC</v>
          </cell>
          <cell r="C330" t="str">
            <v>8002699</v>
          </cell>
          <cell r="D330" t="str">
            <v>Aperam Inox América do Su</v>
          </cell>
        </row>
        <row r="331">
          <cell r="A331" t="str">
            <v>W11486506</v>
          </cell>
          <cell r="B331" t="str">
            <v>STEEL-SS 430 0.45X448.6XC</v>
          </cell>
          <cell r="C331" t="str">
            <v>8002699</v>
          </cell>
          <cell r="D331" t="str">
            <v>Aperam Inox América do Su</v>
          </cell>
        </row>
        <row r="332">
          <cell r="A332" t="str">
            <v>W11486735</v>
          </cell>
          <cell r="B332" t="str">
            <v>PLUG BALANCE RING</v>
          </cell>
          <cell r="C332" t="str">
            <v>1018399</v>
          </cell>
          <cell r="D332" t="str">
            <v>Riduco S.A.</v>
          </cell>
        </row>
        <row r="333">
          <cell r="A333" t="str">
            <v>W11487591</v>
          </cell>
          <cell r="B333" t="str">
            <v>CJ CONSOLE + OVERLAY</v>
          </cell>
          <cell r="C333" t="str">
            <v>1018399</v>
          </cell>
          <cell r="D333" t="str">
            <v>Riduco S.A.</v>
          </cell>
        </row>
        <row r="334">
          <cell r="A334" t="str">
            <v>W11487592</v>
          </cell>
          <cell r="B334" t="str">
            <v>PAINEL DECORATIVO HACEB</v>
          </cell>
          <cell r="C334" t="str">
            <v>8002721</v>
          </cell>
          <cell r="D334" t="str">
            <v>SHANGHAI JINGSHI ELECTRIC</v>
          </cell>
        </row>
        <row r="335">
          <cell r="A335" t="str">
            <v>W11489397</v>
          </cell>
          <cell r="B335" t="str">
            <v>LOWER HARNESS GOOD SUP</v>
          </cell>
          <cell r="C335" t="str">
            <v>8002719</v>
          </cell>
          <cell r="D335" t="str">
            <v>ECI (HUIZHOU) COMPANY LIMITED</v>
          </cell>
        </row>
        <row r="336">
          <cell r="A336" t="str">
            <v>W11489398</v>
          </cell>
          <cell r="B336" t="str">
            <v>ARNES SUPERIOR</v>
          </cell>
          <cell r="C336" t="str">
            <v>8002719</v>
          </cell>
          <cell r="D336" t="str">
            <v>ECI (HUIZHOU) COMPANY LIMITED</v>
          </cell>
        </row>
        <row r="337">
          <cell r="A337" t="str">
            <v>W11489405</v>
          </cell>
          <cell r="B337" t="str">
            <v>REDE SUPERIOR AGUA FRIA</v>
          </cell>
          <cell r="C337" t="str">
            <v>8002719</v>
          </cell>
          <cell r="D337" t="str">
            <v>ECI (HUIZHOU) COMPANY LIMITED</v>
          </cell>
        </row>
        <row r="338">
          <cell r="A338" t="str">
            <v>W11489406</v>
          </cell>
          <cell r="B338" t="str">
            <v>REDE SUPERIOR AGIPELLER MK LOW</v>
          </cell>
          <cell r="C338" t="str">
            <v>8002719</v>
          </cell>
          <cell r="D338" t="str">
            <v>ECI (HUIZHOU) COMPANY LIMITED</v>
          </cell>
        </row>
        <row r="339">
          <cell r="A339" t="str">
            <v>W11489407</v>
          </cell>
          <cell r="B339" t="str">
            <v>WIRING HARNESS HMI -QUASAR</v>
          </cell>
          <cell r="C339" t="str">
            <v>8002719</v>
          </cell>
          <cell r="D339" t="str">
            <v>ECI (HUIZHOU) COMPANY LIMITED</v>
          </cell>
        </row>
        <row r="340">
          <cell r="A340" t="str">
            <v>W11489408</v>
          </cell>
          <cell r="B340" t="str">
            <v>WIRING HARNESS HMI -QUASAR</v>
          </cell>
          <cell r="C340" t="str">
            <v>8002719</v>
          </cell>
          <cell r="D340" t="str">
            <v>ECI (HUIZHOU) COMPANY LIMITED</v>
          </cell>
        </row>
        <row r="341">
          <cell r="A341" t="str">
            <v>W11490321</v>
          </cell>
          <cell r="B341" t="str">
            <v>FRONT CORNER EPS BES</v>
          </cell>
          <cell r="C341" t="str">
            <v>1018394</v>
          </cell>
          <cell r="D341" t="str">
            <v>Formapol S.A</v>
          </cell>
        </row>
        <row r="342">
          <cell r="A342" t="str">
            <v>W11490324</v>
          </cell>
          <cell r="B342" t="str">
            <v>REAR CORNER EPS BEST</v>
          </cell>
          <cell r="C342" t="str">
            <v>1018394</v>
          </cell>
          <cell r="D342" t="str">
            <v>Formapol S.A</v>
          </cell>
        </row>
        <row r="343">
          <cell r="A343" t="str">
            <v>W11491726</v>
          </cell>
          <cell r="B343" t="str">
            <v>ACU, ASSY, LAR COPA2</v>
          </cell>
          <cell r="C343" t="str">
            <v>8003530</v>
          </cell>
          <cell r="D343" t="str">
            <v>JABIL CIRCUIT (GUANGZHOU) LTD</v>
          </cell>
        </row>
        <row r="344">
          <cell r="A344" t="str">
            <v>W11491759</v>
          </cell>
          <cell r="B344" t="str">
            <v>PCBA, MEGA UI 2, COPA 2 HIGH</v>
          </cell>
          <cell r="C344" t="str">
            <v>8003530</v>
          </cell>
          <cell r="D344" t="str">
            <v>JABIL CIRCUIT (GUANGZHOU) LTD</v>
          </cell>
        </row>
        <row r="345">
          <cell r="A345" t="str">
            <v>W11491760</v>
          </cell>
          <cell r="B345" t="str">
            <v>PCBA, MEGA UI 2, COPA 2 LOW</v>
          </cell>
          <cell r="C345" t="str">
            <v>8003530</v>
          </cell>
          <cell r="D345" t="str">
            <v>JABIL CIRCUIT (GUANGZHOU) LTD</v>
          </cell>
        </row>
        <row r="346">
          <cell r="A346" t="str">
            <v>W11491761</v>
          </cell>
          <cell r="B346" t="str">
            <v>PCB ASSY - PROSTAR C</v>
          </cell>
          <cell r="C346" t="str">
            <v>8004124</v>
          </cell>
          <cell r="D346" t="str">
            <v>BITRON MEXICO</v>
          </cell>
        </row>
        <row r="347">
          <cell r="A347" t="str">
            <v>W11491763</v>
          </cell>
          <cell r="B347" t="str">
            <v>PCB ASSY - PROSTAR C</v>
          </cell>
          <cell r="C347" t="str">
            <v>8004124</v>
          </cell>
          <cell r="D347" t="str">
            <v>BITRON MEXICO</v>
          </cell>
        </row>
        <row r="348">
          <cell r="A348" t="str">
            <v>W11491987</v>
          </cell>
          <cell r="B348" t="str">
            <v>HINGE COVER RIGHT TE</v>
          </cell>
          <cell r="C348" t="str">
            <v>1018399</v>
          </cell>
          <cell r="D348" t="str">
            <v>Riduco S.A.</v>
          </cell>
        </row>
        <row r="349">
          <cell r="A349" t="str">
            <v>W11491988</v>
          </cell>
          <cell r="B349" t="str">
            <v>HINGE COVER RIGHT BL</v>
          </cell>
          <cell r="C349" t="str">
            <v>1018399</v>
          </cell>
          <cell r="D349" t="str">
            <v>Riduco S.A.</v>
          </cell>
        </row>
        <row r="350">
          <cell r="A350" t="str">
            <v>W11491990</v>
          </cell>
          <cell r="B350" t="str">
            <v>HINGE COVER LEFT TEM</v>
          </cell>
          <cell r="C350" t="str">
            <v>1018399</v>
          </cell>
          <cell r="D350" t="str">
            <v>Riduco S.A.</v>
          </cell>
        </row>
        <row r="351">
          <cell r="A351" t="str">
            <v>W11491991</v>
          </cell>
          <cell r="B351" t="str">
            <v>HINGE COVER LEFT BLA</v>
          </cell>
          <cell r="C351" t="str">
            <v>1018399</v>
          </cell>
          <cell r="D351" t="str">
            <v>Riduco S.A.</v>
          </cell>
        </row>
        <row r="352">
          <cell r="A352" t="str">
            <v>W11491992</v>
          </cell>
          <cell r="B352" t="str">
            <v>FRAME TEMPEST</v>
          </cell>
          <cell r="C352" t="str">
            <v>1023532</v>
          </cell>
          <cell r="D352" t="str">
            <v>SI-3</v>
          </cell>
        </row>
        <row r="353">
          <cell r="A353" t="str">
            <v>W11491993</v>
          </cell>
          <cell r="B353" t="str">
            <v>FRAME BLACK</v>
          </cell>
          <cell r="C353" t="str">
            <v>1023532</v>
          </cell>
          <cell r="D353" t="str">
            <v>SI-3</v>
          </cell>
        </row>
        <row r="354">
          <cell r="A354" t="str">
            <v>W11491994</v>
          </cell>
          <cell r="B354" t="str">
            <v>HINGE POST</v>
          </cell>
          <cell r="C354" t="str">
            <v>1018399</v>
          </cell>
          <cell r="D354" t="str">
            <v>Riduco S.A.</v>
          </cell>
        </row>
        <row r="355">
          <cell r="A355" t="str">
            <v>W11491995</v>
          </cell>
          <cell r="B355" t="str">
            <v>BUMPER GRAY</v>
          </cell>
          <cell r="C355" t="str">
            <v>1019254</v>
          </cell>
          <cell r="D355" t="str">
            <v>ELASTOPLAST</v>
          </cell>
        </row>
        <row r="356">
          <cell r="A356" t="str">
            <v>W11491997</v>
          </cell>
          <cell r="B356" t="str">
            <v>GLASS CLEAR TEMPEST,</v>
          </cell>
          <cell r="C356" t="str">
            <v>8002669</v>
          </cell>
          <cell r="D356" t="str">
            <v>JIANGSU XIUQIANG GLASSWOR</v>
          </cell>
        </row>
        <row r="357">
          <cell r="A357" t="str">
            <v>W11491999</v>
          </cell>
          <cell r="B357" t="str">
            <v>DAMPER COVER TEMPEST</v>
          </cell>
          <cell r="C357" t="str">
            <v>1018393</v>
          </cell>
          <cell r="D357" t="str">
            <v>Iprocom S.A.</v>
          </cell>
        </row>
        <row r="358">
          <cell r="A358" t="str">
            <v>W11492000</v>
          </cell>
          <cell r="B358" t="str">
            <v>DAMPER COVER BLACK</v>
          </cell>
          <cell r="C358" t="str">
            <v>1018393</v>
          </cell>
          <cell r="D358" t="str">
            <v>Iprocom S.A.</v>
          </cell>
        </row>
        <row r="359">
          <cell r="A359" t="str">
            <v>W11493046</v>
          </cell>
          <cell r="B359" t="str">
            <v>REDE INTERFACE HACEB</v>
          </cell>
          <cell r="C359" t="str">
            <v>8002719</v>
          </cell>
          <cell r="D359" t="str">
            <v>ECI (HUIZHOU) COMPANY LIMITED</v>
          </cell>
        </row>
        <row r="360">
          <cell r="A360" t="str">
            <v>W11496613</v>
          </cell>
          <cell r="B360" t="str">
            <v>IMPELLER</v>
          </cell>
          <cell r="C360" t="str">
            <v>1018395</v>
          </cell>
          <cell r="D360" t="str">
            <v>PLASTICOS TRUHER S.A.</v>
          </cell>
        </row>
        <row r="361">
          <cell r="A361" t="str">
            <v>W11496614</v>
          </cell>
          <cell r="B361" t="str">
            <v>MINI PROPELLER</v>
          </cell>
          <cell r="C361" t="str">
            <v>1018399</v>
          </cell>
          <cell r="D361" t="str">
            <v>Riduco S.A.</v>
          </cell>
        </row>
        <row r="362">
          <cell r="A362" t="str">
            <v>W11496615</v>
          </cell>
          <cell r="B362" t="str">
            <v>IMPELLER CAP</v>
          </cell>
          <cell r="C362" t="str">
            <v>1023532</v>
          </cell>
          <cell r="D362" t="str">
            <v>SI-3</v>
          </cell>
        </row>
        <row r="363">
          <cell r="A363" t="str">
            <v>W11496616</v>
          </cell>
          <cell r="B363" t="str">
            <v>IMPELLER</v>
          </cell>
          <cell r="C363" t="str">
            <v>1018395</v>
          </cell>
          <cell r="D363" t="str">
            <v>PLASTICOS TRUHER S.A.</v>
          </cell>
        </row>
        <row r="364">
          <cell r="A364" t="str">
            <v>W11497938</v>
          </cell>
          <cell r="B364" t="str">
            <v>PNEUMATIC SUSPENSION</v>
          </cell>
          <cell r="C364" t="str">
            <v>1025251</v>
          </cell>
          <cell r="D364" t="str">
            <v>IBEROTECH S.A.S</v>
          </cell>
        </row>
        <row r="365">
          <cell r="A365" t="str">
            <v>W11498561</v>
          </cell>
          <cell r="B365" t="str">
            <v>POWER CORD</v>
          </cell>
          <cell r="C365" t="str">
            <v>8002719</v>
          </cell>
          <cell r="D365" t="str">
            <v>ECI (HUIZHOU) COMPANY LIMITED</v>
          </cell>
        </row>
        <row r="366">
          <cell r="A366" t="str">
            <v>W11498562</v>
          </cell>
          <cell r="B366" t="str">
            <v>LOWER CORD</v>
          </cell>
          <cell r="C366" t="str">
            <v>8002719</v>
          </cell>
          <cell r="D366" t="str">
            <v>ECI (HUIZHOU) COMPANY LIMITED</v>
          </cell>
        </row>
        <row r="367">
          <cell r="A367" t="str">
            <v>W11499432</v>
          </cell>
          <cell r="B367" t="str">
            <v>CJ MECANISMO</v>
          </cell>
          <cell r="C367" t="str">
            <v>8002684</v>
          </cell>
          <cell r="D367" t="str">
            <v>Whirlpool S/A</v>
          </cell>
        </row>
        <row r="368">
          <cell r="A368" t="str">
            <v>W11500968</v>
          </cell>
          <cell r="B368" t="str">
            <v>UPPER FRAME,BLACK</v>
          </cell>
          <cell r="C368" t="str">
            <v>1018467</v>
          </cell>
          <cell r="D368" t="str">
            <v>INDUSTRIAS HACEB S.A.</v>
          </cell>
        </row>
        <row r="369">
          <cell r="A369" t="str">
            <v>W11500972</v>
          </cell>
          <cell r="B369" t="str">
            <v>UPPER FRAME,WHITE</v>
          </cell>
          <cell r="C369" t="str">
            <v>1018467</v>
          </cell>
          <cell r="D369" t="str">
            <v>INDUSTRIAS HACEB S.A.</v>
          </cell>
        </row>
        <row r="370">
          <cell r="A370" t="str">
            <v>W11500975</v>
          </cell>
          <cell r="B370" t="str">
            <v>LOWER FRAME,WHITE</v>
          </cell>
          <cell r="C370" t="str">
            <v>1018467</v>
          </cell>
          <cell r="D370" t="str">
            <v>INDUSTRIAS HACEB S.A.</v>
          </cell>
        </row>
        <row r="371">
          <cell r="A371" t="str">
            <v>W11500979</v>
          </cell>
          <cell r="B371" t="str">
            <v>DAMPER COVER,WHITE</v>
          </cell>
          <cell r="C371" t="str">
            <v>1018393</v>
          </cell>
          <cell r="D371" t="str">
            <v>Iprocom S.A.</v>
          </cell>
        </row>
        <row r="372">
          <cell r="A372" t="str">
            <v>W11500988</v>
          </cell>
          <cell r="B372" t="str">
            <v>HANDLE TRIM,CHR</v>
          </cell>
          <cell r="C372" t="str">
            <v>1023456</v>
          </cell>
          <cell r="D372" t="str">
            <v>MAZDEL PLAZAS R</v>
          </cell>
        </row>
        <row r="373">
          <cell r="A373" t="str">
            <v>W11501420</v>
          </cell>
          <cell r="B373" t="str">
            <v>REAR COVER GREY</v>
          </cell>
          <cell r="C373" t="str">
            <v>1018399</v>
          </cell>
          <cell r="D373" t="str">
            <v>Riduco S.A.</v>
          </cell>
        </row>
        <row r="374">
          <cell r="A374" t="str">
            <v>W11501424</v>
          </cell>
          <cell r="B374" t="str">
            <v>TOP WHITE</v>
          </cell>
          <cell r="C374" t="str">
            <v>1018467</v>
          </cell>
          <cell r="D374" t="str">
            <v>INDUSTRIAS HACEB S.A.</v>
          </cell>
        </row>
        <row r="375">
          <cell r="A375" t="str">
            <v>W11501470</v>
          </cell>
          <cell r="B375" t="str">
            <v>CONSOLE IMPELLER WHP</v>
          </cell>
          <cell r="C375" t="str">
            <v>8002721</v>
          </cell>
          <cell r="D375" t="str">
            <v>SHANGHAI JINGSHI ELECTRIC</v>
          </cell>
        </row>
        <row r="376">
          <cell r="A376" t="str">
            <v>W11501474</v>
          </cell>
          <cell r="B376" t="str">
            <v>CONSOLE IMPELLER WHP (PS)</v>
          </cell>
          <cell r="C376" t="str">
            <v>8002721</v>
          </cell>
          <cell r="D376" t="str">
            <v>SHANGHAI JINGSHI ELECTRIC</v>
          </cell>
        </row>
        <row r="377">
          <cell r="A377" t="str">
            <v>W11501475</v>
          </cell>
          <cell r="B377" t="str">
            <v>CONSOLE IMPELLER WHP (PS)</v>
          </cell>
          <cell r="C377" t="str">
            <v>8002721</v>
          </cell>
          <cell r="D377" t="str">
            <v>SHANGHAI JINGSHI ELECTRIC</v>
          </cell>
        </row>
        <row r="378">
          <cell r="A378" t="str">
            <v>W11501477</v>
          </cell>
          <cell r="B378" t="str">
            <v>CONSOLE IMPELLER WHP</v>
          </cell>
          <cell r="C378" t="str">
            <v>8002721</v>
          </cell>
          <cell r="D378" t="str">
            <v>SHANGHAI JINGSHI ELECTRIC</v>
          </cell>
        </row>
        <row r="379">
          <cell r="A379" t="str">
            <v>W11501478</v>
          </cell>
          <cell r="B379" t="str">
            <v>CONSOLE IMPELLER WHP (PS)</v>
          </cell>
          <cell r="C379" t="str">
            <v>8002721</v>
          </cell>
          <cell r="D379" t="str">
            <v>SHANGHAI JINGSHI ELECTRIC</v>
          </cell>
        </row>
        <row r="380">
          <cell r="A380" t="str">
            <v>W11501481</v>
          </cell>
          <cell r="B380" t="str">
            <v>CONSOLE IMPELLER WHP (PS)</v>
          </cell>
          <cell r="C380" t="str">
            <v>8002721</v>
          </cell>
          <cell r="D380" t="str">
            <v>SHANGHAI JINGSHI ELECTRIC</v>
          </cell>
        </row>
        <row r="381">
          <cell r="A381" t="str">
            <v>W11501485</v>
          </cell>
          <cell r="B381" t="str">
            <v>CONSOLE IMPELLER WHP</v>
          </cell>
          <cell r="C381" t="str">
            <v>8002721</v>
          </cell>
          <cell r="D381" t="str">
            <v>SHANGHAI JINGSHI ELECTRIC</v>
          </cell>
        </row>
        <row r="382">
          <cell r="A382" t="str">
            <v>W11501486</v>
          </cell>
          <cell r="B382" t="str">
            <v>CONSOLE IMPELLER WHP</v>
          </cell>
          <cell r="C382" t="str">
            <v>8002721</v>
          </cell>
          <cell r="D382" t="str">
            <v>SHANGHAI JINGSHI ELECTRIC</v>
          </cell>
        </row>
        <row r="383">
          <cell r="A383" t="str">
            <v>W11501490</v>
          </cell>
          <cell r="B383" t="str">
            <v>IMD Produto 11kg Argentina</v>
          </cell>
          <cell r="C383" t="str">
            <v>8002721</v>
          </cell>
          <cell r="D383" t="str">
            <v>SHANGHAI JINGSHI ELECTRIC</v>
          </cell>
        </row>
        <row r="384">
          <cell r="A384" t="str">
            <v>W11501566</v>
          </cell>
          <cell r="B384" t="str">
            <v>TOP WHITE</v>
          </cell>
          <cell r="C384" t="str">
            <v>1018467</v>
          </cell>
          <cell r="D384" t="str">
            <v>INDUSTRIAS HACEB S.A.</v>
          </cell>
        </row>
        <row r="385">
          <cell r="A385" t="str">
            <v>W11501567</v>
          </cell>
          <cell r="B385" t="str">
            <v>TOP WHITE HOT</v>
          </cell>
          <cell r="C385" t="str">
            <v>1018467</v>
          </cell>
          <cell r="D385" t="str">
            <v>INDUSTRIAS HACEB S.A.</v>
          </cell>
        </row>
        <row r="386">
          <cell r="A386" t="str">
            <v>W11501568</v>
          </cell>
          <cell r="B386" t="str">
            <v>REAR COVER TEMPEST</v>
          </cell>
          <cell r="C386" t="str">
            <v>1018399</v>
          </cell>
          <cell r="D386" t="str">
            <v>Riduco S.A.</v>
          </cell>
        </row>
        <row r="387">
          <cell r="A387" t="str">
            <v>W11501569</v>
          </cell>
          <cell r="B387" t="str">
            <v>TOP TEMPEST</v>
          </cell>
          <cell r="C387" t="str">
            <v>1018467</v>
          </cell>
          <cell r="D387" t="str">
            <v>INDUSTRIAS HACEB S.A.</v>
          </cell>
        </row>
        <row r="388">
          <cell r="A388" t="str">
            <v>W11501570</v>
          </cell>
          <cell r="B388" t="str">
            <v>TOP TEMPEST HOT</v>
          </cell>
          <cell r="C388" t="str">
            <v>1018467</v>
          </cell>
          <cell r="D388" t="str">
            <v>INDUSTRIAS HACEB S.A.</v>
          </cell>
        </row>
        <row r="389">
          <cell r="A389" t="str">
            <v>W11501571</v>
          </cell>
          <cell r="B389" t="str">
            <v>REAR COVER BLACK</v>
          </cell>
          <cell r="C389" t="str">
            <v>1018399</v>
          </cell>
          <cell r="D389" t="str">
            <v>Riduco S.A.</v>
          </cell>
        </row>
        <row r="390">
          <cell r="A390" t="str">
            <v>W11501577</v>
          </cell>
          <cell r="B390" t="str">
            <v>TOP CHROME HOT</v>
          </cell>
          <cell r="C390" t="str">
            <v>1018393</v>
          </cell>
          <cell r="D390" t="str">
            <v>Iprocom S.A.</v>
          </cell>
        </row>
        <row r="391">
          <cell r="A391" t="str">
            <v>W11501897</v>
          </cell>
          <cell r="B391" t="str">
            <v>PIE NIVELADOR NEGRO</v>
          </cell>
          <cell r="C391" t="str">
            <v>1023844</v>
          </cell>
          <cell r="D391" t="str">
            <v>Factorias &amp; Asociadas</v>
          </cell>
        </row>
        <row r="392">
          <cell r="A392" t="str">
            <v>W11501898</v>
          </cell>
          <cell r="B392" t="str">
            <v>LEVELER FOOT TEMPEST</v>
          </cell>
          <cell r="C392" t="str">
            <v>1023844</v>
          </cell>
          <cell r="D392" t="str">
            <v>Factorias &amp; Asociadas</v>
          </cell>
        </row>
        <row r="393">
          <cell r="A393" t="str">
            <v>W11502142</v>
          </cell>
          <cell r="B393" t="str">
            <v>PRESSURE SWITCH HOSE ASSY</v>
          </cell>
          <cell r="C393" t="str">
            <v>1019745</v>
          </cell>
          <cell r="D393" t="str">
            <v>EXTRUSIONES S.A</v>
          </cell>
        </row>
        <row r="394">
          <cell r="A394" t="str">
            <v>W11502144</v>
          </cell>
          <cell r="B394" t="str">
            <v>PRESSURE SWITCH HOSE ASSY</v>
          </cell>
          <cell r="C394" t="str">
            <v>1019745</v>
          </cell>
          <cell r="D394" t="str">
            <v>EXTRUSIONES S.A</v>
          </cell>
        </row>
        <row r="395">
          <cell r="A395" t="str">
            <v>W11502145</v>
          </cell>
          <cell r="B395" t="str">
            <v>INLET VALVE HIGH FLOW 127V</v>
          </cell>
          <cell r="C395" t="str">
            <v>8003479</v>
          </cell>
          <cell r="D395" t="str">
            <v>EMICOL ELETRÔNICA S.A.</v>
          </cell>
        </row>
        <row r="396">
          <cell r="A396" t="str">
            <v>W11502146</v>
          </cell>
          <cell r="B396" t="str">
            <v>INLET VALVE HIGH FLOW  220V COPA TRS</v>
          </cell>
          <cell r="C396" t="str">
            <v>8003479</v>
          </cell>
          <cell r="D396" t="str">
            <v>EMICOL ELETRÔNICA S.A.</v>
          </cell>
        </row>
        <row r="397">
          <cell r="A397" t="str">
            <v>W11502148</v>
          </cell>
          <cell r="B397" t="str">
            <v>VALVULA ROJA COPA 2.0</v>
          </cell>
          <cell r="C397" t="str">
            <v>8003479</v>
          </cell>
          <cell r="D397" t="str">
            <v>EMICOL ELETRÔNICA S.A.</v>
          </cell>
        </row>
        <row r="398">
          <cell r="A398" t="str">
            <v>W11502149</v>
          </cell>
          <cell r="B398" t="str">
            <v>VALVULA 220 ROSADA COPA 2.0</v>
          </cell>
          <cell r="C398" t="str">
            <v>8003479</v>
          </cell>
          <cell r="D398" t="str">
            <v>EMICOL ELETRÔNICA S.A.</v>
          </cell>
        </row>
        <row r="399">
          <cell r="A399" t="str">
            <v>W11502151</v>
          </cell>
          <cell r="B399" t="str">
            <v>FILL HOSE ASSY COPA COLD</v>
          </cell>
          <cell r="C399" t="str">
            <v>8002718</v>
          </cell>
          <cell r="D399" t="str">
            <v>WUXI JINHUA YIYUAN TECHNO</v>
          </cell>
        </row>
        <row r="400">
          <cell r="A400" t="str">
            <v>W11502152</v>
          </cell>
          <cell r="B400" t="str">
            <v>FILL HOSE ASSY COPA COLD TRS</v>
          </cell>
          <cell r="C400" t="str">
            <v>8002718</v>
          </cell>
          <cell r="D400" t="str">
            <v>WUXI JINHUA YIYUAN TECHNO</v>
          </cell>
        </row>
        <row r="401">
          <cell r="A401" t="str">
            <v>W11502153</v>
          </cell>
          <cell r="B401" t="str">
            <v>FILL HOSE ASSY COPA HOT</v>
          </cell>
          <cell r="C401" t="str">
            <v>8002718</v>
          </cell>
          <cell r="D401" t="str">
            <v>WUXI JINHUA YIYUAN TECHNO</v>
          </cell>
        </row>
        <row r="402">
          <cell r="A402" t="str">
            <v>W11502155</v>
          </cell>
          <cell r="B402" t="str">
            <v>FILL HOSE ASSY SUPER</v>
          </cell>
          <cell r="C402" t="str">
            <v>8002718</v>
          </cell>
          <cell r="D402" t="str">
            <v>WUXI JINHUA YIYUAN TECHNO</v>
          </cell>
        </row>
        <row r="403">
          <cell r="A403" t="str">
            <v>W11502215</v>
          </cell>
          <cell r="B403" t="str">
            <v>LINT FILTER HOUSING</v>
          </cell>
          <cell r="C403" t="str">
            <v>1018399</v>
          </cell>
          <cell r="D403" t="str">
            <v>Riduco S.A.</v>
          </cell>
        </row>
        <row r="404">
          <cell r="A404" t="str">
            <v>W11502216</v>
          </cell>
          <cell r="B404" t="str">
            <v>LINT FILTER COVER WH</v>
          </cell>
          <cell r="C404" t="str">
            <v>1018399</v>
          </cell>
          <cell r="D404" t="str">
            <v>Riduco S.A.</v>
          </cell>
        </row>
        <row r="405">
          <cell r="A405" t="str">
            <v>W11502219</v>
          </cell>
          <cell r="B405" t="str">
            <v>LINT FILTER HOUSING</v>
          </cell>
          <cell r="C405" t="str">
            <v>1018399</v>
          </cell>
          <cell r="D405" t="str">
            <v>Riduco S.A.</v>
          </cell>
        </row>
        <row r="406">
          <cell r="A406" t="str">
            <v>W11502220</v>
          </cell>
          <cell r="B406" t="str">
            <v>LINT FILTER COVER HC</v>
          </cell>
          <cell r="C406" t="str">
            <v>1018399</v>
          </cell>
          <cell r="D406" t="str">
            <v>Riduco S.A.</v>
          </cell>
        </row>
        <row r="407">
          <cell r="A407" t="str">
            <v>W11502600</v>
          </cell>
          <cell r="B407" t="str">
            <v>CJ CONSOLE + OVERLAY</v>
          </cell>
          <cell r="C407" t="str">
            <v>1018399</v>
          </cell>
          <cell r="D407" t="str">
            <v>Riduco S.A.</v>
          </cell>
        </row>
        <row r="408">
          <cell r="A408" t="str">
            <v>W11502601</v>
          </cell>
          <cell r="B408" t="str">
            <v>PAINEL DECORATIVO HACEB</v>
          </cell>
          <cell r="C408" t="str">
            <v>8002721</v>
          </cell>
          <cell r="D408" t="str">
            <v>SHANGHAI JINGSHI ELECTRIC</v>
          </cell>
        </row>
        <row r="409">
          <cell r="A409" t="str">
            <v>W11502608</v>
          </cell>
          <cell r="B409" t="str">
            <v>CJ CONSOLE + OVERLAY</v>
          </cell>
          <cell r="C409" t="str">
            <v>1018399</v>
          </cell>
          <cell r="D409" t="str">
            <v>Riduco S.A.</v>
          </cell>
        </row>
        <row r="410">
          <cell r="A410" t="str">
            <v>W11502616</v>
          </cell>
          <cell r="B410" t="str">
            <v>PAINEL DECORATIVO HACEB</v>
          </cell>
          <cell r="C410" t="str">
            <v>8002721</v>
          </cell>
          <cell r="D410" t="str">
            <v>SHANGHAI JINGSHI ELECTRIC</v>
          </cell>
        </row>
        <row r="411">
          <cell r="A411" t="str">
            <v>W11502760</v>
          </cell>
          <cell r="B411" t="str">
            <v>GLASS CLEAR BLACK, S</v>
          </cell>
          <cell r="C411" t="str">
            <v>8002669</v>
          </cell>
          <cell r="D411" t="str">
            <v>JIANGSU XIUQIANG GLASSWOR</v>
          </cell>
        </row>
        <row r="412">
          <cell r="A412" t="str">
            <v>W11503273</v>
          </cell>
          <cell r="B412" t="str">
            <v>TUB RING WHP 25</v>
          </cell>
          <cell r="C412" t="str">
            <v>1018467</v>
          </cell>
          <cell r="D412" t="str">
            <v>INDUSTRIAS HACEB S.A.</v>
          </cell>
        </row>
        <row r="413">
          <cell r="A413" t="str">
            <v>W11503274</v>
          </cell>
          <cell r="B413" t="str">
            <v>TUB RING WHP 33</v>
          </cell>
          <cell r="C413" t="str">
            <v>1018467</v>
          </cell>
          <cell r="D413" t="str">
            <v>INDUSTRIAS HACEB S.A.</v>
          </cell>
        </row>
        <row r="414">
          <cell r="A414" t="str">
            <v>W11503279</v>
          </cell>
          <cell r="B414" t="str">
            <v>LOWER FRAME,COAL GRA</v>
          </cell>
          <cell r="C414" t="str">
            <v>1018467</v>
          </cell>
          <cell r="D414" t="str">
            <v>INDUSTRIAS HACEB S.A.</v>
          </cell>
        </row>
        <row r="415">
          <cell r="A415" t="str">
            <v>W11503284</v>
          </cell>
          <cell r="B415" t="str">
            <v>DAMPER COVER,TITANIU</v>
          </cell>
          <cell r="C415" t="str">
            <v>1018393</v>
          </cell>
          <cell r="D415" t="str">
            <v>Iprocom S.A.</v>
          </cell>
        </row>
        <row r="416">
          <cell r="A416" t="str">
            <v>W11503285</v>
          </cell>
          <cell r="B416" t="str">
            <v>Damper Cover Haceb Coal</v>
          </cell>
          <cell r="C416" t="str">
            <v>1018393</v>
          </cell>
          <cell r="D416" t="str">
            <v>Iprocom S.A.</v>
          </cell>
        </row>
        <row r="417">
          <cell r="A417" t="str">
            <v>W11508264</v>
          </cell>
          <cell r="B417" t="str">
            <v>STEEL-GZ100 DX52D 1.25X192</v>
          </cell>
          <cell r="C417" t="str">
            <v>8003079</v>
          </cell>
          <cell r="D417" t="str">
            <v>BAMESA</v>
          </cell>
        </row>
        <row r="418">
          <cell r="A418" t="str">
            <v>W11514267</v>
          </cell>
          <cell r="B418" t="str">
            <v>STEEL-GZ100 S220GD 0.60X877X2114</v>
          </cell>
          <cell r="C418" t="str">
            <v>8003079</v>
          </cell>
          <cell r="D418" t="str">
            <v>BAMESA</v>
          </cell>
        </row>
        <row r="419">
          <cell r="A419" t="str">
            <v>W11514269</v>
          </cell>
          <cell r="B419" t="str">
            <v>STEEL-CFM S220GD 0.60X917X2114 969406</v>
          </cell>
          <cell r="C419" t="str">
            <v>8004158</v>
          </cell>
          <cell r="D419" t="str">
            <v>DONGKUK Steel Mexico SA d</v>
          </cell>
        </row>
        <row r="420">
          <cell r="A420" t="str">
            <v>W11514270</v>
          </cell>
          <cell r="B420" t="str">
            <v>STEEL-CFM S220GD 0.60X917X2114 968519</v>
          </cell>
          <cell r="C420" t="str">
            <v>8004158</v>
          </cell>
          <cell r="D420" t="str">
            <v>DONGKUK Steel Mexico SA d</v>
          </cell>
        </row>
        <row r="421">
          <cell r="A421" t="str">
            <v>W11514272</v>
          </cell>
          <cell r="B421" t="str">
            <v>STEEL-GZ100 S220GD 0.60X917X2114</v>
          </cell>
          <cell r="C421" t="str">
            <v>8003079</v>
          </cell>
          <cell r="D421" t="str">
            <v>BAMESA</v>
          </cell>
        </row>
        <row r="422">
          <cell r="A422" t="str">
            <v>W11519083</v>
          </cell>
          <cell r="B422" t="str">
            <v>TOP GRIS</v>
          </cell>
          <cell r="C422" t="str">
            <v>1018467</v>
          </cell>
          <cell r="D422" t="str">
            <v>INDUSTRIAS HACEB S.A.</v>
          </cell>
        </row>
        <row r="423">
          <cell r="A423" t="str">
            <v>W11519084</v>
          </cell>
          <cell r="B423" t="str">
            <v>TOP GRIS</v>
          </cell>
          <cell r="C423" t="str">
            <v>1018393</v>
          </cell>
          <cell r="D423" t="str">
            <v>Iprocom S.A.</v>
          </cell>
        </row>
        <row r="424">
          <cell r="A424" t="str">
            <v>W11519086</v>
          </cell>
          <cell r="B424" t="str">
            <v xml:space="preserve"> TOP Whirlpool</v>
          </cell>
          <cell r="C424" t="str">
            <v>1018393</v>
          </cell>
          <cell r="D424" t="str">
            <v>Iprocom S.A.</v>
          </cell>
        </row>
        <row r="425">
          <cell r="A425" t="str">
            <v>W11520036</v>
          </cell>
          <cell r="B425" t="str">
            <v>TAPA FIJA  GRIS COAL 2V</v>
          </cell>
          <cell r="C425" t="str">
            <v>1018467</v>
          </cell>
          <cell r="D425" t="str">
            <v>INDUSTRIAS HACEB S.A.</v>
          </cell>
        </row>
        <row r="426">
          <cell r="A426" t="str">
            <v>W11520671</v>
          </cell>
          <cell r="B426" t="str">
            <v>LIGHT GUIDE OVERLAY-</v>
          </cell>
          <cell r="C426" t="str">
            <v>8002721</v>
          </cell>
          <cell r="D426" t="str">
            <v>SHANGHAI JINGSHI ELECTRIC</v>
          </cell>
        </row>
        <row r="427">
          <cell r="A427" t="str">
            <v>W11521723</v>
          </cell>
          <cell r="B427" t="str">
            <v>LAMINA CESTO GOOD 0.45X 354 (POSCO)</v>
          </cell>
          <cell r="C427" t="str">
            <v>8004171</v>
          </cell>
          <cell r="D427" t="str">
            <v>POSCO INTERNATIONAL CORPO</v>
          </cell>
        </row>
        <row r="428">
          <cell r="A428" t="str">
            <v>W11521727</v>
          </cell>
          <cell r="B428" t="str">
            <v>LAMINA CESTO BEST 0.45X 384 (POSCO)</v>
          </cell>
          <cell r="C428" t="str">
            <v>8004171</v>
          </cell>
          <cell r="D428" t="str">
            <v>POSCO INTERNATIONAL CORPO</v>
          </cell>
        </row>
        <row r="429">
          <cell r="A429" t="str">
            <v>W11522618</v>
          </cell>
          <cell r="B429" t="str">
            <v>LOWER HARNESS BEST (brascabo)</v>
          </cell>
          <cell r="C429" t="str">
            <v>8002833</v>
          </cell>
          <cell r="D429" t="str">
            <v>BRASCABOS COMPONENTES ELE</v>
          </cell>
        </row>
        <row r="430">
          <cell r="A430" t="str">
            <v>W11522619</v>
          </cell>
          <cell r="B430" t="str">
            <v>LOWER HARNESS GOOD/BETTER (brascabo)</v>
          </cell>
          <cell r="C430" t="str">
            <v>8002833</v>
          </cell>
          <cell r="D430" t="str">
            <v>BRASCABOS COMPONENTES ELE</v>
          </cell>
        </row>
        <row r="431">
          <cell r="A431" t="str">
            <v>W11524506</v>
          </cell>
          <cell r="B431" t="str">
            <v>LINT FILTER BRUSH</v>
          </cell>
          <cell r="C431" t="str">
            <v>8004263</v>
          </cell>
          <cell r="D431" t="str">
            <v>Sanderson MacLeod Inc.</v>
          </cell>
        </row>
        <row r="432">
          <cell r="A432" t="str">
            <v>W11524675</v>
          </cell>
          <cell r="B432" t="str">
            <v>Housing Filtro Hcb Verde</v>
          </cell>
          <cell r="C432" t="str">
            <v>1018399</v>
          </cell>
          <cell r="D432" t="str">
            <v>Riduco S.A.</v>
          </cell>
        </row>
        <row r="433">
          <cell r="A433" t="str">
            <v>W11525592</v>
          </cell>
          <cell r="B433" t="str">
            <v>CONSOLE IMPELLER WHP</v>
          </cell>
          <cell r="C433" t="str">
            <v>8002721</v>
          </cell>
          <cell r="D433" t="str">
            <v>SHANGHAI JINGSHI ELECTRIC</v>
          </cell>
        </row>
        <row r="434">
          <cell r="A434" t="str">
            <v>W11525594</v>
          </cell>
          <cell r="B434" t="str">
            <v>CONSOLE IMPELLER WHP</v>
          </cell>
          <cell r="C434" t="str">
            <v>8002721</v>
          </cell>
          <cell r="D434" t="str">
            <v>SHANGHAI JINGSHI ELECTRIC</v>
          </cell>
        </row>
        <row r="435">
          <cell r="A435" t="str">
            <v>W11525916</v>
          </cell>
          <cell r="B435" t="str">
            <v>Lid Lock Label</v>
          </cell>
          <cell r="C435" t="str">
            <v>1018566</v>
          </cell>
          <cell r="D435" t="str">
            <v>LÍNEA ADHESIVA S.A.</v>
          </cell>
        </row>
        <row r="436">
          <cell r="A436" t="str">
            <v>W11526356</v>
          </cell>
          <cell r="B436" t="str">
            <v>LEVEL SCALE ASSY</v>
          </cell>
          <cell r="C436" t="str">
            <v>8004334</v>
          </cell>
          <cell r="D436" t="str">
            <v>INJEQUALY INDUSTRIA E COM</v>
          </cell>
        </row>
        <row r="437">
          <cell r="A437" t="str">
            <v>W11527436</v>
          </cell>
          <cell r="B437" t="str">
            <v>ABS - ABS HG173 968135 EE ANTRACITE DARK</v>
          </cell>
          <cell r="C437" t="str">
            <v>8002674</v>
          </cell>
          <cell r="D437" t="str">
            <v>LG CHEM AMERICA INC.</v>
          </cell>
        </row>
        <row r="438">
          <cell r="A438" t="str">
            <v>W11531804</v>
          </cell>
          <cell r="B438" t="str">
            <v>BRUSH</v>
          </cell>
          <cell r="C438" t="str">
            <v>1019254</v>
          </cell>
          <cell r="D438" t="str">
            <v>ELASTOPLAST</v>
          </cell>
        </row>
        <row r="439">
          <cell r="A439" t="str">
            <v>W11535808</v>
          </cell>
          <cell r="B439" t="str">
            <v>CJ TAPA AGIPELLER</v>
          </cell>
          <cell r="C439" t="str">
            <v>8002684</v>
          </cell>
          <cell r="D439" t="str">
            <v>Whirlpool S/A</v>
          </cell>
        </row>
        <row r="440">
          <cell r="A440" t="str">
            <v>W11535999</v>
          </cell>
          <cell r="B440" t="str">
            <v>Cj Tampo EPS Haceb</v>
          </cell>
          <cell r="C440" t="str">
            <v>1018394</v>
          </cell>
          <cell r="D440" t="str">
            <v>Formapol S.A</v>
          </cell>
        </row>
        <row r="441">
          <cell r="A441" t="str">
            <v>W11536005</v>
          </cell>
          <cell r="B441" t="str">
            <v>Cj Tampo EPS WHP Spanish</v>
          </cell>
          <cell r="C441" t="str">
            <v>1018394</v>
          </cell>
          <cell r="D441" t="str">
            <v>Formapol S.A</v>
          </cell>
        </row>
        <row r="442">
          <cell r="A442" t="str">
            <v>W11539825</v>
          </cell>
          <cell r="B442" t="str">
            <v>GVM-TOP HV LL</v>
          </cell>
          <cell r="C442" t="str">
            <v>1018467</v>
          </cell>
          <cell r="D442" t="str">
            <v>INDUSTRIAS HACEB S.A.</v>
          </cell>
        </row>
        <row r="443">
          <cell r="A443" t="str">
            <v>W11541521</v>
          </cell>
          <cell r="B443" t="str">
            <v>GLASS CLEAR, SM</v>
          </cell>
          <cell r="C443" t="str">
            <v>8002669</v>
          </cell>
          <cell r="D443" t="str">
            <v>JIANGSU XIUQIANG GLASSWOR</v>
          </cell>
        </row>
        <row r="444">
          <cell r="A444" t="str">
            <v>W11542236</v>
          </cell>
          <cell r="B444" t="str">
            <v>POWER CORD, 10A-3P, RAST7</v>
          </cell>
          <cell r="C444" t="str">
            <v>8002833</v>
          </cell>
          <cell r="D444" t="str">
            <v>BRASCABOS COMPONENTES ELE</v>
          </cell>
        </row>
        <row r="445">
          <cell r="A445" t="str">
            <v>W11543440</v>
          </cell>
          <cell r="B445" t="str">
            <v>CTRL-MEGA UI2 ENCODER, EDGE L26</v>
          </cell>
          <cell r="C445" t="str">
            <v>8003530</v>
          </cell>
          <cell r="D445" t="str">
            <v>JABIL CIRCUIT (GUANGZHOU) LTD</v>
          </cell>
        </row>
        <row r="446">
          <cell r="A446" t="str">
            <v>W11546471</v>
          </cell>
          <cell r="B446" t="str">
            <v>STEEL-GZ100 S220GD 0.60X877X2114</v>
          </cell>
          <cell r="C446" t="str">
            <v>1018578</v>
          </cell>
          <cell r="D446" t="str">
            <v>Arme S.A.</v>
          </cell>
        </row>
        <row r="447">
          <cell r="A447" t="str">
            <v>W11546472</v>
          </cell>
          <cell r="B447" t="str">
            <v>STEEL-GZ100 S220GD 0.60X917X2114</v>
          </cell>
          <cell r="C447" t="str">
            <v>1018578</v>
          </cell>
          <cell r="D447" t="str">
            <v>Arme S.A.</v>
          </cell>
        </row>
        <row r="448">
          <cell r="A448" t="str">
            <v>W11546473</v>
          </cell>
          <cell r="B448" t="str">
            <v>GRAXA MULTIFAK EP2 00995</v>
          </cell>
          <cell r="C448" t="str">
            <v>1018830</v>
          </cell>
          <cell r="D448" t="str">
            <v>Oilred S.A</v>
          </cell>
        </row>
        <row r="449">
          <cell r="A449" t="str">
            <v>W11547341</v>
          </cell>
          <cell r="B449" t="str">
            <v>OVERLAY</v>
          </cell>
          <cell r="C449" t="str">
            <v>8002721</v>
          </cell>
          <cell r="D449" t="str">
            <v>SHANGHAI JINGSHI ELECTRIC</v>
          </cell>
        </row>
        <row r="450">
          <cell r="A450" t="str">
            <v>W11547822</v>
          </cell>
          <cell r="B450" t="str">
            <v>STEEL-SS 430 0.45X452.0XC</v>
          </cell>
          <cell r="C450" t="str">
            <v>8004070</v>
          </cell>
          <cell r="D450" t="str">
            <v>MEXINOX S.A.</v>
          </cell>
        </row>
        <row r="451">
          <cell r="A451" t="str">
            <v>W11547823</v>
          </cell>
          <cell r="B451" t="str">
            <v>STEEL-SS EN1.4016 0.45X402XC</v>
          </cell>
          <cell r="C451" t="str">
            <v>8004171</v>
          </cell>
          <cell r="D451" t="str">
            <v>POSCO INTERNATIONAL CORPO</v>
          </cell>
        </row>
        <row r="452">
          <cell r="A452" t="str">
            <v>W11547824</v>
          </cell>
          <cell r="B452" t="str">
            <v>STEEL-SS EN1.4016 0.45X452.0XC</v>
          </cell>
          <cell r="C452" t="str">
            <v>8004171</v>
          </cell>
          <cell r="D452" t="str">
            <v>POSCO INTERNATIONAL CORPO</v>
          </cell>
        </row>
        <row r="453">
          <cell r="A453" t="str">
            <v>W11548046</v>
          </cell>
          <cell r="B453" t="str">
            <v>Tampo Traseiro Poliondas Best Blanco</v>
          </cell>
          <cell r="C453" t="str">
            <v>1019774</v>
          </cell>
          <cell r="D453" t="str">
            <v>COMPAÑIA DE EMPAQUES S.A</v>
          </cell>
        </row>
        <row r="454">
          <cell r="A454" t="str">
            <v>W11548049</v>
          </cell>
          <cell r="B454" t="str">
            <v>Tampo Traseiro Poliondas Good Blanco</v>
          </cell>
          <cell r="C454" t="str">
            <v>1019774</v>
          </cell>
          <cell r="D454" t="str">
            <v>COMPAÑIA DE EMPAQUES S.A</v>
          </cell>
        </row>
        <row r="455">
          <cell r="A455" t="str">
            <v>W11548301</v>
          </cell>
          <cell r="B455" t="str">
            <v>FRAME HCB COAL</v>
          </cell>
          <cell r="C455" t="str">
            <v>1018467</v>
          </cell>
          <cell r="D455" t="str">
            <v>INDUSTRIAS HACEB S.A.</v>
          </cell>
        </row>
        <row r="456">
          <cell r="A456" t="str">
            <v>W11548416</v>
          </cell>
          <cell r="B456" t="str">
            <v>PAINEL DECORATIVO HACEB HW13UOHCO</v>
          </cell>
          <cell r="C456" t="str">
            <v>8002721</v>
          </cell>
          <cell r="D456" t="str">
            <v>SHANGHAI JINGSHI ELECTRIC</v>
          </cell>
        </row>
        <row r="457">
          <cell r="A457" t="str">
            <v>W11548420</v>
          </cell>
          <cell r="B457" t="str">
            <v>PAINEL DECORATIVO HACEB</v>
          </cell>
          <cell r="C457" t="str">
            <v>8002721</v>
          </cell>
          <cell r="D457" t="str">
            <v>SHANGHAI JINGSHI ELECTRIC</v>
          </cell>
        </row>
        <row r="458">
          <cell r="A458" t="str">
            <v>W11548561</v>
          </cell>
          <cell r="B458" t="str">
            <v>ENERGY EFFICIENCY TAG</v>
          </cell>
          <cell r="C458" t="str">
            <v>1018566</v>
          </cell>
          <cell r="D458" t="str">
            <v>LÍNEA ADHESIVA S.A.</v>
          </cell>
        </row>
        <row r="459">
          <cell r="A459" t="str">
            <v>W11548563</v>
          </cell>
          <cell r="B459" t="str">
            <v>ENERGY EFFICIENCY TAG WWG15BN - BB</v>
          </cell>
          <cell r="C459" t="str">
            <v>1018566</v>
          </cell>
          <cell r="D459" t="str">
            <v>LÍNEA ADHESIVA S.A.</v>
          </cell>
        </row>
        <row r="460">
          <cell r="A460" t="str">
            <v>W11548651</v>
          </cell>
          <cell r="B460" t="str">
            <v>GLASS</v>
          </cell>
          <cell r="C460" t="str">
            <v>8002669</v>
          </cell>
          <cell r="D460" t="str">
            <v>JIANGSU XIUQIANG GLASSWOR</v>
          </cell>
        </row>
        <row r="461">
          <cell r="A461" t="str">
            <v>W11548729</v>
          </cell>
          <cell r="B461" t="str">
            <v>CONSOLE AGIPELLER COAL</v>
          </cell>
          <cell r="C461" t="str">
            <v>1018395</v>
          </cell>
          <cell r="D461" t="str">
            <v>PLASTICOS TRUHER S.A.</v>
          </cell>
        </row>
        <row r="462">
          <cell r="A462" t="str">
            <v>W11548734</v>
          </cell>
          <cell r="B462" t="str">
            <v>CYCLE KNOB HACEB SOLID SILVER ASSY</v>
          </cell>
          <cell r="C462" t="str">
            <v>1018393</v>
          </cell>
          <cell r="D462" t="str">
            <v>Iprocom S.A.</v>
          </cell>
        </row>
        <row r="463">
          <cell r="A463" t="str">
            <v>W11548735</v>
          </cell>
          <cell r="B463" t="str">
            <v>CYCLE KNOB HACEB SOLID SILVER ASSY</v>
          </cell>
          <cell r="C463" t="str">
            <v>1018393</v>
          </cell>
          <cell r="D463" t="str">
            <v>Iprocom S.A.</v>
          </cell>
        </row>
        <row r="464">
          <cell r="A464" t="str">
            <v>W11549869</v>
          </cell>
          <cell r="B464" t="str">
            <v>PAINEL DECORATIVO HACEB</v>
          </cell>
          <cell r="C464" t="str">
            <v>8002721</v>
          </cell>
          <cell r="D464" t="str">
            <v>SHANGHAI JINGSHI ELECTRIC</v>
          </cell>
        </row>
        <row r="465">
          <cell r="A465" t="str">
            <v>W11549870</v>
          </cell>
          <cell r="B465" t="str">
            <v>ACROS 16kg Front panel</v>
          </cell>
          <cell r="C465" t="str">
            <v>8002721</v>
          </cell>
          <cell r="D465" t="str">
            <v>SHANGHAI JINGSHI ELECTRIC</v>
          </cell>
        </row>
        <row r="466">
          <cell r="A466" t="str">
            <v>W11549871</v>
          </cell>
          <cell r="B466" t="str">
            <v>PAINEL DECORATIVO HACEB</v>
          </cell>
          <cell r="C466" t="str">
            <v>8002721</v>
          </cell>
          <cell r="D466" t="str">
            <v>SHANGHAI JINGSHI ELECTRIC</v>
          </cell>
        </row>
        <row r="467">
          <cell r="A467" t="str">
            <v>W11550829</v>
          </cell>
          <cell r="B467" t="str">
            <v>LEVEL SCALE STICKER</v>
          </cell>
          <cell r="C467" t="str">
            <v>8003123</v>
          </cell>
          <cell r="D467" t="str">
            <v>IDENTCO DE MEXICO</v>
          </cell>
        </row>
        <row r="468">
          <cell r="A468" t="str">
            <v>W11551254</v>
          </cell>
          <cell r="B468" t="str">
            <v>ENERGY EFFICIENCY TAG</v>
          </cell>
          <cell r="C468" t="str">
            <v>1018566</v>
          </cell>
          <cell r="D468" t="str">
            <v>LÍNEA ADHESIVA S.A.</v>
          </cell>
        </row>
        <row r="469">
          <cell r="A469" t="str">
            <v>W11552073</v>
          </cell>
          <cell r="B469" t="str">
            <v>Anillo Deslizante</v>
          </cell>
          <cell r="C469" t="str">
            <v>1018399</v>
          </cell>
          <cell r="D469" t="str">
            <v>Riduco S.A.</v>
          </cell>
        </row>
        <row r="470">
          <cell r="A470" t="str">
            <v>W11552554</v>
          </cell>
          <cell r="B470" t="str">
            <v>Polea 50Hz</v>
          </cell>
          <cell r="C470" t="str">
            <v>1018395</v>
          </cell>
          <cell r="D470" t="str">
            <v>PLASTICOS TRUHER S.A.</v>
          </cell>
        </row>
        <row r="471">
          <cell r="A471" t="str">
            <v>W11552555</v>
          </cell>
          <cell r="B471" t="str">
            <v>Polea 60Hz</v>
          </cell>
          <cell r="C471" t="str">
            <v>1018395</v>
          </cell>
          <cell r="D471" t="str">
            <v>PLASTICOS TRUHER S.A.</v>
          </cell>
        </row>
        <row r="472">
          <cell r="A472" t="str">
            <v>W11553515</v>
          </cell>
          <cell r="B472" t="str">
            <v>CTRL-LAR COPA2, BATMAN, PANASONIC</v>
          </cell>
          <cell r="C472" t="str">
            <v>8002758</v>
          </cell>
          <cell r="D472" t="str">
            <v>Shenzhen H&amp;T Intelligent</v>
          </cell>
        </row>
        <row r="473">
          <cell r="A473" t="str">
            <v>W11554561</v>
          </cell>
          <cell r="B473" t="str">
            <v>ETIQUETA HCB AGP ( LA13EVA16A-CC1HW)</v>
          </cell>
          <cell r="C473" t="str">
            <v>1018566</v>
          </cell>
          <cell r="D473" t="str">
            <v>LÍNEA ADHESIVA S.A.</v>
          </cell>
        </row>
        <row r="474">
          <cell r="A474" t="str">
            <v>W11554576</v>
          </cell>
          <cell r="B474" t="str">
            <v>ETIQUETA HCB AGP G (lLA18EVI16A-CC1HW)</v>
          </cell>
          <cell r="C474" t="str">
            <v>1018566</v>
          </cell>
          <cell r="D474" t="str">
            <v>LÍNEA ADHESIVA S.A.</v>
          </cell>
        </row>
        <row r="475">
          <cell r="A475" t="str">
            <v>W11561657</v>
          </cell>
          <cell r="B475" t="str">
            <v>SEGURO SOPORTE CESTO LAVA/ WWQ22-WWQ24</v>
          </cell>
          <cell r="C475" t="str">
            <v>1018406</v>
          </cell>
          <cell r="D475" t="str">
            <v>Fundalco</v>
          </cell>
        </row>
        <row r="476">
          <cell r="A476" t="str">
            <v>W11563286</v>
          </cell>
          <cell r="B476" t="str">
            <v>TAPA TRASERA NEGRA</v>
          </cell>
          <cell r="C476" t="str">
            <v>1018399</v>
          </cell>
          <cell r="D476" t="str">
            <v>Riduco S.A.</v>
          </cell>
        </row>
        <row r="477">
          <cell r="A477" t="str">
            <v>W11563288</v>
          </cell>
          <cell r="B477" t="str">
            <v>REDE SUPERIOR AGIPELLER MK LOW</v>
          </cell>
          <cell r="C477" t="str">
            <v>8002833</v>
          </cell>
          <cell r="D477" t="str">
            <v>BRASCABOS COMPONENTES ELE</v>
          </cell>
        </row>
        <row r="478">
          <cell r="A478" t="str">
            <v>W11566907</v>
          </cell>
          <cell r="B478" t="str">
            <v>OVERLAY TOP OVERLAY 0,38mm</v>
          </cell>
          <cell r="C478" t="str">
            <v>8002721</v>
          </cell>
          <cell r="D478" t="str">
            <v>SHANGHAI JINGSHI ELECTRIC</v>
          </cell>
        </row>
        <row r="479">
          <cell r="A479" t="str">
            <v>W11568113</v>
          </cell>
          <cell r="B479" t="str">
            <v>New Gabinet Pad</v>
          </cell>
          <cell r="C479" t="str">
            <v>8002681</v>
          </cell>
          <cell r="D479" t="str">
            <v>TECNOPEÇAS PECAS TEC E FITAS</v>
          </cell>
        </row>
        <row r="480">
          <cell r="A480" t="str">
            <v>W11570229</v>
          </cell>
          <cell r="B480" t="str">
            <v>USER GUIDE - COPA EDGE LARS</v>
          </cell>
          <cell r="C480" t="str">
            <v>1018761</v>
          </cell>
          <cell r="D480" t="str">
            <v>FUNDACION CIUDAD DON BOSCO</v>
          </cell>
        </row>
        <row r="481">
          <cell r="A481" t="str">
            <v>W11570230</v>
          </cell>
          <cell r="B481" t="str">
            <v>Guia rápido CAR- inglés</v>
          </cell>
          <cell r="C481" t="str">
            <v>1018761</v>
          </cell>
          <cell r="D481" t="str">
            <v>FUNDACION CIUDAD DON BOSCO</v>
          </cell>
        </row>
        <row r="482">
          <cell r="A482" t="str">
            <v>W11570231</v>
          </cell>
          <cell r="B482" t="str">
            <v>Manual - Lar S</v>
          </cell>
          <cell r="C482" t="str">
            <v>1018761</v>
          </cell>
          <cell r="D482" t="str">
            <v>FUNDACION CIUDAD DON BOSCO</v>
          </cell>
        </row>
        <row r="483">
          <cell r="A483" t="str">
            <v>W11570233</v>
          </cell>
          <cell r="B483" t="str">
            <v>Extended Warranty Label - Lar N &amp; CAR</v>
          </cell>
          <cell r="C483" t="str">
            <v>1018566</v>
          </cell>
          <cell r="D483" t="str">
            <v>LÍNEA ADHESIVA S.A.</v>
          </cell>
        </row>
        <row r="484">
          <cell r="A484" t="str">
            <v>W11570234</v>
          </cell>
          <cell r="B484" t="str">
            <v>Extended Warranty Label - Lar S</v>
          </cell>
          <cell r="C484" t="str">
            <v>1018566</v>
          </cell>
          <cell r="D484" t="str">
            <v>LÍNEA ADHESIVA S.A.</v>
          </cell>
        </row>
        <row r="485">
          <cell r="A485" t="str">
            <v>W11570242</v>
          </cell>
          <cell r="B485" t="str">
            <v>Energy Label WW20BLA9LA</v>
          </cell>
          <cell r="C485" t="str">
            <v>1018566</v>
          </cell>
          <cell r="D485" t="str">
            <v>LÍNEA ADHESIVA S.A.</v>
          </cell>
        </row>
        <row r="486">
          <cell r="A486" t="str">
            <v>W11570247</v>
          </cell>
          <cell r="B486" t="str">
            <v>Energy Label WW17KBAHLA</v>
          </cell>
          <cell r="C486" t="str">
            <v>1018566</v>
          </cell>
          <cell r="D486" t="str">
            <v>LÍNEA ADHESIVA S.A.</v>
          </cell>
        </row>
        <row r="487">
          <cell r="A487" t="str">
            <v>W11570249</v>
          </cell>
          <cell r="B487" t="str">
            <v>Energy Label WW19LBAHLA</v>
          </cell>
          <cell r="C487" t="str">
            <v>1018566</v>
          </cell>
          <cell r="D487" t="str">
            <v>LÍNEA ADHESIVA S.A.</v>
          </cell>
        </row>
        <row r="488">
          <cell r="A488" t="str">
            <v>W11570251</v>
          </cell>
          <cell r="B488" t="str">
            <v>Energy Label WW20BTAHLA</v>
          </cell>
          <cell r="C488" t="str">
            <v>1018566</v>
          </cell>
          <cell r="D488" t="str">
            <v>LÍNEA ADHESIVA S.A.</v>
          </cell>
        </row>
        <row r="489">
          <cell r="A489" t="str">
            <v>W11570252</v>
          </cell>
          <cell r="B489" t="str">
            <v>Energy Label WW17KTABLA</v>
          </cell>
          <cell r="C489" t="str">
            <v>1018566</v>
          </cell>
          <cell r="D489" t="str">
            <v>LÍNEA ADHESIVA S.A.</v>
          </cell>
        </row>
        <row r="490">
          <cell r="A490" t="str">
            <v>W11570253</v>
          </cell>
          <cell r="B490" t="str">
            <v>Energy Label WW19LBABLA</v>
          </cell>
          <cell r="C490" t="str">
            <v>1018566</v>
          </cell>
          <cell r="D490" t="str">
            <v>LÍNEA ADHESIVA S.A.</v>
          </cell>
        </row>
        <row r="491">
          <cell r="A491" t="str">
            <v>W11570254</v>
          </cell>
          <cell r="B491" t="str">
            <v>Energy Label WW20BTABLA</v>
          </cell>
          <cell r="C491" t="str">
            <v>1018566</v>
          </cell>
          <cell r="D491" t="str">
            <v>LÍNEA ADHESIVA S.A.</v>
          </cell>
        </row>
        <row r="492">
          <cell r="A492" t="str">
            <v>W11570256</v>
          </cell>
          <cell r="B492" t="str">
            <v>Energy Label WW17KBAHLA</v>
          </cell>
          <cell r="C492" t="str">
            <v>1018566</v>
          </cell>
          <cell r="D492" t="str">
            <v>LÍNEA ADHESIVA S.A.</v>
          </cell>
        </row>
        <row r="493">
          <cell r="A493" t="str">
            <v>W11570259</v>
          </cell>
          <cell r="B493" t="str">
            <v>Energy Label WW19BTAHLA</v>
          </cell>
          <cell r="C493" t="str">
            <v>1018566</v>
          </cell>
          <cell r="D493" t="str">
            <v>LÍNEA ADHESIVA S.A.</v>
          </cell>
        </row>
        <row r="494">
          <cell r="A494" t="str">
            <v>W11572466</v>
          </cell>
          <cell r="B494" t="str">
            <v>PUXADOR</v>
          </cell>
          <cell r="C494" t="str">
            <v>1018393</v>
          </cell>
          <cell r="D494" t="str">
            <v>Iprocom S.A.</v>
          </cell>
        </row>
        <row r="495">
          <cell r="A495" t="str">
            <v>W11572659</v>
          </cell>
          <cell r="B495" t="str">
            <v>LINT FILTER ASSY - WHIRLPOOL</v>
          </cell>
          <cell r="C495" t="str">
            <v>1018399</v>
          </cell>
          <cell r="D495" t="str">
            <v>Riduco S.A.</v>
          </cell>
        </row>
        <row r="496">
          <cell r="A496" t="str">
            <v>W11573928</v>
          </cell>
          <cell r="B496" t="str">
            <v>USER GUIDE ACROS</v>
          </cell>
          <cell r="C496" t="str">
            <v>1018761</v>
          </cell>
          <cell r="D496" t="str">
            <v>FUNDACION CIUDAD DON BOSCO</v>
          </cell>
        </row>
        <row r="497">
          <cell r="A497" t="str">
            <v>W11573931</v>
          </cell>
          <cell r="B497" t="str">
            <v>MANUAL COPA ACROS</v>
          </cell>
          <cell r="C497" t="str">
            <v>1018761</v>
          </cell>
          <cell r="D497" t="str">
            <v>FUNDACION CIUDAD DON BOSCO</v>
          </cell>
        </row>
        <row r="498">
          <cell r="A498" t="str">
            <v>W11573941</v>
          </cell>
          <cell r="B498" t="str">
            <v>ENERGY EFFICIENCY TAG</v>
          </cell>
          <cell r="C498" t="str">
            <v>1018566</v>
          </cell>
          <cell r="D498" t="str">
            <v>LÍNEA ADHESIVA S.A.</v>
          </cell>
        </row>
        <row r="499">
          <cell r="A499" t="str">
            <v>W11573947</v>
          </cell>
          <cell r="B499" t="str">
            <v>ENERGY EFFICIENCY TAG</v>
          </cell>
          <cell r="C499" t="str">
            <v>1018566</v>
          </cell>
          <cell r="D499" t="str">
            <v>LÍNEA ADHESIVA S.A.</v>
          </cell>
        </row>
        <row r="500">
          <cell r="A500" t="str">
            <v>W11573956</v>
          </cell>
          <cell r="B500" t="str">
            <v>ENERGY EFFICIENCY TAG</v>
          </cell>
          <cell r="C500" t="str">
            <v>1018566</v>
          </cell>
          <cell r="D500" t="str">
            <v>LÍNEA ADHESIVA S.A.</v>
          </cell>
        </row>
        <row r="501">
          <cell r="A501" t="str">
            <v>W11573958</v>
          </cell>
          <cell r="B501" t="str">
            <v>ENERGY EFFICIENCY TAG</v>
          </cell>
          <cell r="C501" t="str">
            <v>1018566</v>
          </cell>
          <cell r="D501" t="str">
            <v>LÍNEA ADHESIVA S.A.</v>
          </cell>
        </row>
        <row r="502">
          <cell r="A502" t="str">
            <v>W11575228</v>
          </cell>
          <cell r="B502" t="str">
            <v>Bumper Gray Haceb</v>
          </cell>
          <cell r="C502" t="str">
            <v>1019745</v>
          </cell>
          <cell r="D502" t="str">
            <v>EXTRUSIONES S.A</v>
          </cell>
        </row>
        <row r="503">
          <cell r="A503" t="str">
            <v>W11576381</v>
          </cell>
          <cell r="B503" t="str">
            <v>Lid Lock Label</v>
          </cell>
          <cell r="C503" t="str">
            <v>1018566</v>
          </cell>
          <cell r="D503" t="str">
            <v>LÍNEA ADHESIVA S.A.</v>
          </cell>
        </row>
        <row r="504">
          <cell r="A504" t="str">
            <v>W11576676</v>
          </cell>
          <cell r="B504" t="str">
            <v>Energy Label WW19BTAHLA</v>
          </cell>
          <cell r="C504" t="str">
            <v>1018566</v>
          </cell>
          <cell r="D504" t="str">
            <v>LÍNEA ADHESIVA S.A.</v>
          </cell>
        </row>
        <row r="505">
          <cell r="A505" t="str">
            <v>W11580132</v>
          </cell>
          <cell r="B505" t="str">
            <v>BS, BEST, GRAY  ST, GRAY</v>
          </cell>
          <cell r="C505" t="str">
            <v>1019774</v>
          </cell>
          <cell r="D505" t="str">
            <v>COMPAÑIA DE EMPAQUES S.A</v>
          </cell>
        </row>
        <row r="506">
          <cell r="A506" t="str">
            <v>W11580133</v>
          </cell>
          <cell r="B506" t="str">
            <v>BACK COVER WITH RIBS, BEST, GRAY</v>
          </cell>
          <cell r="C506" t="str">
            <v>1019774</v>
          </cell>
          <cell r="D506" t="str">
            <v>COMPAÑIA DE EMPAQUES S.A</v>
          </cell>
        </row>
        <row r="507">
          <cell r="A507" t="str">
            <v>W11580140</v>
          </cell>
          <cell r="B507" t="str">
            <v>Energy Label Hcb 14kg</v>
          </cell>
          <cell r="C507" t="str">
            <v>1018566</v>
          </cell>
          <cell r="D507" t="str">
            <v>LÍNEA ADHESIVA S.A.</v>
          </cell>
        </row>
        <row r="508">
          <cell r="A508" t="str">
            <v>W11580142</v>
          </cell>
          <cell r="B508" t="str">
            <v>Energy Label Hcb 16kg</v>
          </cell>
          <cell r="C508" t="str">
            <v>1018566</v>
          </cell>
          <cell r="D508" t="str">
            <v>LÍNEA ADHESIVA S.A.</v>
          </cell>
        </row>
        <row r="509">
          <cell r="A509" t="str">
            <v>W11580144</v>
          </cell>
          <cell r="B509" t="str">
            <v>Energy Label Hcb 19kg</v>
          </cell>
          <cell r="C509" t="str">
            <v>1018566</v>
          </cell>
          <cell r="D509" t="str">
            <v>LÍNEA ADHESIVA S.A.</v>
          </cell>
        </row>
        <row r="510">
          <cell r="A510" t="str">
            <v>W11580146</v>
          </cell>
          <cell r="B510" t="str">
            <v>Energy Label Hcb 20kg</v>
          </cell>
          <cell r="C510" t="str">
            <v>1018566</v>
          </cell>
          <cell r="D510" t="str">
            <v>LÍNEA ADHESIVA S.A.</v>
          </cell>
        </row>
        <row r="511">
          <cell r="A511" t="str">
            <v>W11580148</v>
          </cell>
          <cell r="B511" t="str">
            <v>Energy Label Hcb 20kg Hot</v>
          </cell>
          <cell r="C511" t="str">
            <v>1018566</v>
          </cell>
          <cell r="D511" t="str">
            <v>LÍNEA ADHESIVA S.A.</v>
          </cell>
        </row>
        <row r="512">
          <cell r="A512" t="str">
            <v>W11581234</v>
          </cell>
          <cell r="B512" t="str">
            <v>Frame Inferior Hcb Chrysler</v>
          </cell>
          <cell r="C512" t="str">
            <v>1018393</v>
          </cell>
          <cell r="D512" t="str">
            <v>Iprocom S.A.</v>
          </cell>
        </row>
        <row r="513">
          <cell r="A513" t="str">
            <v>W11581273</v>
          </cell>
          <cell r="B513" t="str">
            <v>Damper Cover Chrysler</v>
          </cell>
          <cell r="C513" t="str">
            <v>1018393</v>
          </cell>
          <cell r="D513" t="str">
            <v>Iprocom S.A.</v>
          </cell>
        </row>
        <row r="514">
          <cell r="A514" t="str">
            <v>W11594014</v>
          </cell>
          <cell r="B514" t="str">
            <v>ENERGY EFFICIENCY TAG</v>
          </cell>
          <cell r="C514" t="str">
            <v>1018566</v>
          </cell>
          <cell r="D514" t="str">
            <v>LÍNEA ADHESIVA S.A.</v>
          </cell>
        </row>
        <row r="515">
          <cell r="A515" t="str">
            <v>W11596380</v>
          </cell>
          <cell r="B515" t="str">
            <v>ENERGY EFFICIENCY LABEL</v>
          </cell>
          <cell r="C515" t="str">
            <v>1018566</v>
          </cell>
          <cell r="D515" t="str">
            <v>LÍNEA ADHESIVA S.A.</v>
          </cell>
        </row>
        <row r="516">
          <cell r="A516" t="str">
            <v>W11606776</v>
          </cell>
          <cell r="B516" t="str">
            <v>QR CODE LABEL</v>
          </cell>
          <cell r="C516" t="str">
            <v>1018566</v>
          </cell>
          <cell r="D516" t="str">
            <v>LÍNEA ADHESIVA S.A.</v>
          </cell>
        </row>
        <row r="517">
          <cell r="A517" t="str">
            <v>W11614673</v>
          </cell>
          <cell r="B517" t="str">
            <v>POM COPOLIMERO COM 25% GC25T</v>
          </cell>
          <cell r="C517" t="str">
            <v>8002740</v>
          </cell>
          <cell r="D517" t="str">
            <v>TICONA POLYMERS LTDA.</v>
          </cell>
        </row>
        <row r="518">
          <cell r="A518" t="str">
            <v>W11616007</v>
          </cell>
          <cell r="B518" t="str">
            <v>NO VALUE ENTERED</v>
          </cell>
          <cell r="C518" t="str">
            <v>1018566</v>
          </cell>
          <cell r="D518" t="str">
            <v>LÍNEA ADHESIVA S.A.</v>
          </cell>
        </row>
        <row r="519">
          <cell r="A519" t="str">
            <v>W11618773</v>
          </cell>
          <cell r="B519" t="str">
            <v>RAW DRIVE HUB</v>
          </cell>
          <cell r="C519" t="str">
            <v>1018406</v>
          </cell>
          <cell r="D519" t="str">
            <v>Fundalco</v>
          </cell>
        </row>
        <row r="520">
          <cell r="A520" t="str">
            <v>W11625463</v>
          </cell>
          <cell r="B520" t="str">
            <v>HANDLE TRIM,CHR</v>
          </cell>
          <cell r="C520" t="str">
            <v>1019254</v>
          </cell>
          <cell r="D520" t="str">
            <v>ELASTOPLAST</v>
          </cell>
        </row>
        <row r="521">
          <cell r="A521" t="str">
            <v>W11625464</v>
          </cell>
          <cell r="B521" t="str">
            <v>DAMPER COVER,COAL GRAY</v>
          </cell>
          <cell r="C521" t="str">
            <v>1018393</v>
          </cell>
          <cell r="D521" t="str">
            <v>Iprocom S.A.</v>
          </cell>
        </row>
        <row r="522">
          <cell r="A522" t="str">
            <v>W11625470</v>
          </cell>
          <cell r="B522" t="str">
            <v>LOWER FRAME, BLACK SHEEP</v>
          </cell>
          <cell r="C522" t="str">
            <v>1018467</v>
          </cell>
          <cell r="D522" t="str">
            <v>INDUSTRIAS HACEB S.A.</v>
          </cell>
        </row>
        <row r="523">
          <cell r="A523" t="str">
            <v>W11625722</v>
          </cell>
          <cell r="B523" t="str">
            <v>QR CODE LABEL</v>
          </cell>
          <cell r="C523" t="str">
            <v>1018566</v>
          </cell>
          <cell r="D523" t="str">
            <v>LÍNEA ADHESIVA S.A.</v>
          </cell>
        </row>
        <row r="524">
          <cell r="A524" t="str">
            <v>W11625724</v>
          </cell>
          <cell r="B524" t="str">
            <v>QR CODE LABEL</v>
          </cell>
          <cell r="C524" t="str">
            <v>1018566</v>
          </cell>
          <cell r="D524" t="str">
            <v>LÍNEA ADHESIVA S.A.</v>
          </cell>
        </row>
        <row r="525">
          <cell r="A525" t="str">
            <v>W11629027</v>
          </cell>
          <cell r="B525" t="str">
            <v>VIDRIO BOTERO</v>
          </cell>
          <cell r="C525" t="str">
            <v>8002669</v>
          </cell>
          <cell r="D525" t="str">
            <v>JIANGSU XIUQIANG GLASSWOR</v>
          </cell>
        </row>
        <row r="526">
          <cell r="A526" t="str">
            <v>W11634301</v>
          </cell>
          <cell r="B526" t="str">
            <v>NO VALUE ENTERED</v>
          </cell>
          <cell r="C526" t="str">
            <v>1024223</v>
          </cell>
          <cell r="D526" t="str">
            <v>SUMATEC S.A.S</v>
          </cell>
        </row>
        <row r="527">
          <cell r="A527" t="str">
            <v>W11634496</v>
          </cell>
          <cell r="B527" t="str">
            <v>ABS - TRUHER RECYCLED HG173 969127  GRAY</v>
          </cell>
          <cell r="C527" t="str">
            <v>1018467</v>
          </cell>
          <cell r="D527" t="str">
            <v>INDUSTRIAS HACEB S.A.</v>
          </cell>
        </row>
        <row r="528">
          <cell r="A528" t="str">
            <v>W11637412</v>
          </cell>
          <cell r="B528" t="str">
            <v>UPPER HARNESS IMPELLER II</v>
          </cell>
          <cell r="C528" t="str">
            <v>1018468</v>
          </cell>
          <cell r="D528" t="str">
            <v>I.P.C. INDUSTRIA PARTISTA</v>
          </cell>
        </row>
        <row r="529">
          <cell r="A529" t="str">
            <v>W11638748</v>
          </cell>
          <cell r="B529" t="str">
            <v>PAINEL DECORATIVO HACEB</v>
          </cell>
          <cell r="C529" t="str">
            <v>8002721</v>
          </cell>
          <cell r="D529" t="str">
            <v>SHANGHAI JINGSHI ELECTRIC</v>
          </cell>
        </row>
        <row r="530">
          <cell r="A530" t="str">
            <v>W11638815</v>
          </cell>
          <cell r="B530" t="str">
            <v>TAPA FIJA NEGRA</v>
          </cell>
          <cell r="C530" t="str">
            <v>1018467</v>
          </cell>
          <cell r="D530" t="str">
            <v>INDUSTRIAS HACEB S.A.</v>
          </cell>
        </row>
        <row r="531">
          <cell r="A531" t="str">
            <v>W11638826</v>
          </cell>
          <cell r="B531" t="str">
            <v>Frame Inferior Black Haceb</v>
          </cell>
          <cell r="C531" t="str">
            <v>1018467</v>
          </cell>
          <cell r="D531" t="str">
            <v>INDUSTRIAS HACEB S.A.</v>
          </cell>
        </row>
        <row r="532">
          <cell r="A532" t="str">
            <v>W11641188</v>
          </cell>
          <cell r="B532" t="str">
            <v>Consola Manual Black Haceb</v>
          </cell>
          <cell r="C532" t="str">
            <v>1018395</v>
          </cell>
          <cell r="D532" t="str">
            <v>PLASTICOS TRUHER S.A.</v>
          </cell>
        </row>
        <row r="533">
          <cell r="A533" t="str">
            <v>W11641191</v>
          </cell>
          <cell r="B533" t="str">
            <v>CYCLE KNOB HACEB BLACK ASSY</v>
          </cell>
          <cell r="C533" t="str">
            <v>1018393</v>
          </cell>
          <cell r="D533" t="str">
            <v>Iprocom S.A.</v>
          </cell>
        </row>
        <row r="534">
          <cell r="A534" t="str">
            <v>W11641196</v>
          </cell>
          <cell r="B534" t="str">
            <v>ENCODER KNOB ASSY BLACK</v>
          </cell>
          <cell r="C534" t="str">
            <v>1018393</v>
          </cell>
          <cell r="D534" t="str">
            <v>Iprocom S.A.</v>
          </cell>
        </row>
        <row r="535">
          <cell r="A535" t="str">
            <v>W11642094</v>
          </cell>
          <cell r="B535" t="str">
            <v>TAPA FIJA NEGRA</v>
          </cell>
          <cell r="C535" t="str">
            <v>1018467</v>
          </cell>
          <cell r="D535" t="str">
            <v>INDUSTRIAS HACEB S.A.</v>
          </cell>
        </row>
        <row r="536">
          <cell r="A536" t="str">
            <v>W11642306</v>
          </cell>
          <cell r="B536" t="str">
            <v>CJ CONSOLE + OVERLAY AGI GOOD - M13</v>
          </cell>
          <cell r="C536" t="str">
            <v>1018399</v>
          </cell>
          <cell r="D536" t="str">
            <v>Riduco S.A.</v>
          </cell>
        </row>
        <row r="537">
          <cell r="A537" t="str">
            <v>W11642308</v>
          </cell>
          <cell r="B537" t="str">
            <v>HANDLE TRIM,COAL GRA</v>
          </cell>
          <cell r="C537" t="str">
            <v>1019254</v>
          </cell>
          <cell r="D537" t="str">
            <v>ELASTOPLAST</v>
          </cell>
        </row>
        <row r="538">
          <cell r="A538" t="str">
            <v>W11642310</v>
          </cell>
          <cell r="B538" t="str">
            <v>Frame superior Coal Haceb</v>
          </cell>
          <cell r="C538" t="str">
            <v>1018467</v>
          </cell>
          <cell r="D538" t="str">
            <v>INDUSTRIAS HACEB S.A.</v>
          </cell>
        </row>
        <row r="539">
          <cell r="A539" t="str">
            <v>W11642866</v>
          </cell>
          <cell r="B539" t="str">
            <v>ENERGY EFFICIENCY TAG</v>
          </cell>
          <cell r="C539" t="str">
            <v>1018566</v>
          </cell>
          <cell r="D539" t="str">
            <v>LÍNEA ADHESIVA S.A.</v>
          </cell>
        </row>
        <row r="540">
          <cell r="A540" t="str">
            <v>W11647766</v>
          </cell>
          <cell r="B540" t="str">
            <v>ENERGY EFFICIENCY TAG</v>
          </cell>
          <cell r="C540" t="str">
            <v>1018566</v>
          </cell>
          <cell r="D540" t="str">
            <v>LÍNEA ADHESIVA S.A.</v>
          </cell>
        </row>
        <row r="541">
          <cell r="A541" t="str">
            <v>W11655335</v>
          </cell>
          <cell r="B541" t="str">
            <v>GUIA RAPIDA COPA 2</v>
          </cell>
          <cell r="C541" t="str">
            <v>1018761</v>
          </cell>
          <cell r="D541" t="str">
            <v>FUNDACION CIUDAD DON BOSCO</v>
          </cell>
        </row>
        <row r="542">
          <cell r="A542" t="str">
            <v>W11655338</v>
          </cell>
          <cell r="B542" t="str">
            <v>GUIA RAPIDA COPA 1</v>
          </cell>
          <cell r="C542" t="str">
            <v>1018761</v>
          </cell>
          <cell r="D542" t="str">
            <v>FUNDACION CIUDAD DON BOSCO</v>
          </cell>
        </row>
        <row r="543">
          <cell r="A543" t="str">
            <v>W11655488</v>
          </cell>
          <cell r="B543" t="str">
            <v>Esparcidor + Housing</v>
          </cell>
          <cell r="C543" t="str">
            <v>8002684</v>
          </cell>
          <cell r="D543" t="str">
            <v>Whirlpool S/A</v>
          </cell>
        </row>
        <row r="544">
          <cell r="A544" t="str">
            <v>W11657121</v>
          </cell>
          <cell r="B544" t="str">
            <v>CUBIERTA  FRAME DERECHO BOTERO</v>
          </cell>
          <cell r="C544" t="str">
            <v>1018395</v>
          </cell>
          <cell r="D544" t="str">
            <v>PLASTICOS TRUHER S.A.</v>
          </cell>
        </row>
        <row r="545">
          <cell r="A545" t="str">
            <v>W11657125</v>
          </cell>
          <cell r="B545" t="str">
            <v>CUBIERTA  FRAME IZQUIERDO BOTERO</v>
          </cell>
          <cell r="C545" t="str">
            <v>1018395</v>
          </cell>
          <cell r="D545" t="str">
            <v>PLASTICOS TRUHER S.A.</v>
          </cell>
        </row>
        <row r="546">
          <cell r="A546" t="str">
            <v>W11657368</v>
          </cell>
          <cell r="B546" t="str">
            <v>TECH COVER, WITH SENSOR</v>
          </cell>
          <cell r="C546" t="str">
            <v>1023844</v>
          </cell>
          <cell r="D546" t="str">
            <v>Factorias &amp; Asociadas</v>
          </cell>
        </row>
        <row r="547">
          <cell r="A547" t="str">
            <v>W11657637</v>
          </cell>
          <cell r="B547" t="str">
            <v>RETENTOR DA SUSPENSAO</v>
          </cell>
          <cell r="C547" t="str">
            <v>8003531</v>
          </cell>
          <cell r="D547" t="str">
            <v>Microjuntas Indústria e C</v>
          </cell>
        </row>
        <row r="548">
          <cell r="A548" t="str">
            <v>W11660525</v>
          </cell>
          <cell r="B548" t="str">
            <v>Pintura Nuevo Coal Gray</v>
          </cell>
          <cell r="C548" t="str">
            <v>1018444</v>
          </cell>
          <cell r="D548" t="str">
            <v>Pintuco de Colombia S.A.</v>
          </cell>
        </row>
        <row r="549">
          <cell r="A549" t="str">
            <v>W11661750</v>
          </cell>
          <cell r="B549" t="str">
            <v>LEVEL SCALE LABEL</v>
          </cell>
          <cell r="C549" t="str">
            <v>8003123</v>
          </cell>
          <cell r="D549" t="str">
            <v>IDENTCO DE MEXICO</v>
          </cell>
        </row>
        <row r="550">
          <cell r="A550" t="str">
            <v>W11662150</v>
          </cell>
          <cell r="B550" t="str">
            <v>ENERGY EFFICIENCY TAG</v>
          </cell>
          <cell r="C550" t="str">
            <v>1018566</v>
          </cell>
          <cell r="D550" t="str">
            <v>LÍNEA ADHESIVA S.A.</v>
          </cell>
        </row>
        <row r="551">
          <cell r="A551" t="str">
            <v>W11663210</v>
          </cell>
          <cell r="B551" t="str">
            <v>CABLE POTENCIA COPA 2.0 (BOTERO)</v>
          </cell>
          <cell r="C551" t="str">
            <v>8002719</v>
          </cell>
          <cell r="D551" t="str">
            <v>ECI (HUIZHOU) COMPANY LIMITED</v>
          </cell>
        </row>
        <row r="552">
          <cell r="A552" t="str">
            <v>W11667030</v>
          </cell>
          <cell r="B552" t="str">
            <v>MANUAL COPA CHILE</v>
          </cell>
          <cell r="C552" t="str">
            <v>1018761</v>
          </cell>
          <cell r="D552" t="str">
            <v>FUNDACION CIUDAD DON BOSCO</v>
          </cell>
        </row>
        <row r="553">
          <cell r="A553" t="str">
            <v>W11667041</v>
          </cell>
          <cell r="B553" t="str">
            <v>MANUAL CARIBE NUEVO</v>
          </cell>
          <cell r="C553" t="str">
            <v>1018761</v>
          </cell>
          <cell r="D553" t="str">
            <v>FUNDACION CIUDAD DON BOSCO</v>
          </cell>
        </row>
        <row r="554">
          <cell r="A554" t="str">
            <v>W11667597</v>
          </cell>
          <cell r="B554" t="str">
            <v>Caja engrenaje Copa 1.0 Qijing</v>
          </cell>
          <cell r="C554" t="str">
            <v>8004564</v>
          </cell>
          <cell r="D554" t="str">
            <v>Qijing Machinery Co.,Ltd</v>
          </cell>
        </row>
        <row r="555">
          <cell r="A555" t="str">
            <v>W11667598</v>
          </cell>
          <cell r="B555" t="str">
            <v>Caja Engrenaje Copa 2.0 Qijing</v>
          </cell>
          <cell r="C555" t="str">
            <v>8004564</v>
          </cell>
          <cell r="D555" t="str">
            <v>Qijing Machinery Co.,Ltd</v>
          </cell>
        </row>
        <row r="556">
          <cell r="A556" t="str">
            <v>W11672498</v>
          </cell>
          <cell r="B556" t="str">
            <v>ENERGY EFFICIENCY TAG</v>
          </cell>
          <cell r="C556" t="str">
            <v>1018566</v>
          </cell>
          <cell r="D556" t="str">
            <v>LÍNEA ADHESIVA S.A.</v>
          </cell>
        </row>
        <row r="557">
          <cell r="A557" t="str">
            <v>W11672696</v>
          </cell>
          <cell r="B557" t="str">
            <v>PANEL DECORATIVO 19KG BOTERO</v>
          </cell>
          <cell r="C557" t="str">
            <v>8003619</v>
          </cell>
          <cell r="D557" t="str">
            <v>INDEMETAL ETIQUETAS METÁLICAS LTD</v>
          </cell>
        </row>
        <row r="558">
          <cell r="A558" t="str">
            <v>W11672697</v>
          </cell>
          <cell r="B558" t="str">
            <v>OVERLAY BOTERO,20KG</v>
          </cell>
          <cell r="C558" t="str">
            <v>8003619</v>
          </cell>
          <cell r="D558" t="str">
            <v>INDEMETAL ETIQUETAS METÁLICAS LTD</v>
          </cell>
        </row>
        <row r="559">
          <cell r="A559" t="str">
            <v>W11673741</v>
          </cell>
          <cell r="B559" t="str">
            <v>Tapa movil </v>
          </cell>
          <cell r="C559" t="str">
            <v>8002684</v>
          </cell>
          <cell r="D559" t="str">
            <v>Whirlpool S/A</v>
          </cell>
        </row>
        <row r="560">
          <cell r="A560" t="str">
            <v>W11673742</v>
          </cell>
          <cell r="B560" t="str">
            <v>Tapa poron </v>
          </cell>
          <cell r="C560" t="str">
            <v>8002684</v>
          </cell>
          <cell r="D560" t="str">
            <v>Whirlpool S/A</v>
          </cell>
        </row>
        <row r="561">
          <cell r="A561" t="str">
            <v>W11674916</v>
          </cell>
          <cell r="B561" t="str">
            <v>ABS REMOLIDO ABS (Cod Plastirios)</v>
          </cell>
          <cell r="C561" t="str">
            <v>1018467</v>
          </cell>
          <cell r="D561" t="str">
            <v>INDUSTRIAS HACEB S.A.</v>
          </cell>
        </row>
        <row r="562">
          <cell r="A562" t="str">
            <v>W11675631</v>
          </cell>
          <cell r="B562" t="str">
            <v>CONSOLE IMPELLER WHP (PS)</v>
          </cell>
          <cell r="C562" t="str">
            <v>8002721</v>
          </cell>
          <cell r="D562" t="str">
            <v>SHANGHAI JINGSHI ELECTRIC</v>
          </cell>
        </row>
        <row r="563">
          <cell r="A563" t="str">
            <v>W11675892</v>
          </cell>
          <cell r="B563" t="str">
            <v>MANUAL LARN WHP BOTERO</v>
          </cell>
          <cell r="C563" t="str">
            <v>1018761</v>
          </cell>
          <cell r="D563" t="str">
            <v>FUNDACION CIUDAD DON BOSCO</v>
          </cell>
        </row>
        <row r="564">
          <cell r="A564" t="str">
            <v>W11677845</v>
          </cell>
          <cell r="B564" t="str">
            <v>GLASS SMOKED BLACK</v>
          </cell>
          <cell r="C564" t="str">
            <v>8002669</v>
          </cell>
          <cell r="D564" t="str">
            <v>JIANGSU XIUQIANG GLASSWOR</v>
          </cell>
        </row>
        <row r="565">
          <cell r="A565" t="str">
            <v>W11678817</v>
          </cell>
          <cell r="B565" t="str">
            <v>HACEB WARRANTY LABEL 10 AÑOS</v>
          </cell>
          <cell r="C565" t="str">
            <v>1018566</v>
          </cell>
          <cell r="D565" t="str">
            <v>LÍNEA ADHESIVA S.A.</v>
          </cell>
        </row>
        <row r="566">
          <cell r="A566" t="str">
            <v>W11679694</v>
          </cell>
          <cell r="B566" t="str">
            <v>ETIQ EFICIENCIA ENERGETICA WHP 220 WW19 /WW20</v>
          </cell>
          <cell r="C566" t="str">
            <v>1018566</v>
          </cell>
          <cell r="D566" t="str">
            <v>LÍNEA ADHESIVA S.A.</v>
          </cell>
        </row>
        <row r="567">
          <cell r="A567" t="str">
            <v>W11679698</v>
          </cell>
          <cell r="B567" t="str">
            <v>ETIQ EFIC ENERG 220 WW19NTAHLA/NBAHLA</v>
          </cell>
          <cell r="C567" t="str">
            <v>1018566</v>
          </cell>
          <cell r="D567" t="str">
            <v>LÍNEA ADHESIVA S.A.</v>
          </cell>
        </row>
        <row r="568">
          <cell r="A568" t="str">
            <v>W11679700</v>
          </cell>
          <cell r="B568" t="str">
            <v>ETIQ EFIC 220 WW20NTAHLA/NBAHLA</v>
          </cell>
          <cell r="C568" t="str">
            <v>1018566</v>
          </cell>
          <cell r="D568" t="str">
            <v>LÍNEA ADHESIVA S.A.</v>
          </cell>
        </row>
        <row r="569">
          <cell r="A569" t="str">
            <v>W11680116</v>
          </cell>
          <cell r="B569" t="str">
            <v>MANUAL COPA 2.0 BRASTEMP</v>
          </cell>
          <cell r="C569" t="str">
            <v>1018761</v>
          </cell>
          <cell r="D569" t="str">
            <v>FUNDACION CIUDAD DON BOSCO</v>
          </cell>
        </row>
        <row r="570">
          <cell r="A570" t="str">
            <v>W11680127</v>
          </cell>
          <cell r="B570" t="str">
            <v>GUIA DE USO BRASTEMP</v>
          </cell>
          <cell r="C570" t="str">
            <v>1018761</v>
          </cell>
          <cell r="D570" t="str">
            <v>FUNDACION CIUDAD DON BOSCO</v>
          </cell>
        </row>
        <row r="571">
          <cell r="A571" t="str">
            <v>W11680525</v>
          </cell>
          <cell r="B571" t="str">
            <v>ETIQUETAS GARANTIA PORTUGUES</v>
          </cell>
          <cell r="C571" t="str">
            <v>1018566</v>
          </cell>
          <cell r="D571" t="str">
            <v>LÍNEA ADHESIVA S.A.</v>
          </cell>
        </row>
        <row r="572">
          <cell r="A572" t="str">
            <v>W11680526</v>
          </cell>
          <cell r="B572" t="str">
            <v>ETIQUETA QR BRASTEMP</v>
          </cell>
          <cell r="C572" t="str">
            <v>1018566</v>
          </cell>
          <cell r="D572" t="str">
            <v>LÍNEA ADHESIVA S.A.</v>
          </cell>
        </row>
        <row r="573">
          <cell r="A573" t="str">
            <v>W11680567</v>
          </cell>
          <cell r="B573" t="str">
            <v>DISPENSER DRAWER ASSY COPA HCB COAL</v>
          </cell>
          <cell r="C573" t="str">
            <v>1018393</v>
          </cell>
          <cell r="D573" t="str">
            <v>Iprocom S.A.</v>
          </cell>
        </row>
        <row r="574">
          <cell r="A574" t="str">
            <v>W11680568</v>
          </cell>
          <cell r="B574" t="str">
            <v>DRAWER ASSY</v>
          </cell>
          <cell r="C574" t="str">
            <v>1018393</v>
          </cell>
          <cell r="D574" t="str">
            <v>Iprocom S.A.</v>
          </cell>
        </row>
        <row r="575">
          <cell r="A575" t="str">
            <v>W11680569</v>
          </cell>
          <cell r="B575" t="str">
            <v xml:space="preserve"> GAVERA HCB COAL  BLANCA COPA 2.0</v>
          </cell>
          <cell r="C575" t="str">
            <v>1018393</v>
          </cell>
          <cell r="D575" t="str">
            <v>Iprocom S.A.</v>
          </cell>
        </row>
        <row r="576">
          <cell r="A576" t="str">
            <v>W11680571</v>
          </cell>
          <cell r="B576" t="str">
            <v>GAVETA HCB STORM COPA 2.0 SIN ETIQ</v>
          </cell>
          <cell r="C576" t="str">
            <v>1018393</v>
          </cell>
          <cell r="D576" t="str">
            <v>Iprocom S.A.</v>
          </cell>
        </row>
        <row r="577">
          <cell r="A577" t="str">
            <v>W11680573</v>
          </cell>
          <cell r="B577" t="str">
            <v>GAVETA HACEB CHHRYSLER COPA 2.0 SIN ETIQ</v>
          </cell>
          <cell r="C577" t="str">
            <v>1018393</v>
          </cell>
          <cell r="D577" t="str">
            <v>Iprocom S.A.</v>
          </cell>
        </row>
        <row r="578">
          <cell r="A578" t="str">
            <v>W11680574</v>
          </cell>
          <cell r="B578" t="str">
            <v>DISPENSER DRAWER ASSY COPA WHP TEMPEST</v>
          </cell>
          <cell r="C578" t="str">
            <v>1018393</v>
          </cell>
          <cell r="D578" t="str">
            <v>Iprocom S.A.</v>
          </cell>
        </row>
        <row r="579">
          <cell r="A579" t="str">
            <v>W11680575</v>
          </cell>
          <cell r="B579" t="str">
            <v>GAVETA WHP SHADOW COPA 2.0 SIN ETIQUETA</v>
          </cell>
          <cell r="C579" t="str">
            <v>1018393</v>
          </cell>
          <cell r="D579" t="str">
            <v>Iprocom S.A.</v>
          </cell>
        </row>
        <row r="580">
          <cell r="A580" t="str">
            <v>W11680576</v>
          </cell>
          <cell r="B580" t="str">
            <v>DISPENSER DRAWER ASSY COPA WHP WHITE</v>
          </cell>
          <cell r="C580" t="str">
            <v>1018393</v>
          </cell>
          <cell r="D580" t="str">
            <v>Iprocom S.A.</v>
          </cell>
        </row>
        <row r="581">
          <cell r="A581" t="str">
            <v>W11681237</v>
          </cell>
          <cell r="B581" t="str">
            <v>MANUAL HCB COPA 2.0 NUEVO</v>
          </cell>
          <cell r="C581" t="str">
            <v>1018761</v>
          </cell>
          <cell r="D581" t="str">
            <v>FUNDACION CIUDAD DON BOSCO</v>
          </cell>
        </row>
        <row r="582">
          <cell r="A582" t="str">
            <v>W11681240</v>
          </cell>
          <cell r="B582" t="str">
            <v>MANUAL HCB SIN MANIJA COPA 2.0 NUEVO</v>
          </cell>
          <cell r="C582" t="str">
            <v>1018761</v>
          </cell>
          <cell r="D582" t="str">
            <v>FUNDACION CIUDAD DON BOSCO</v>
          </cell>
        </row>
        <row r="583">
          <cell r="A583" t="str">
            <v>W11682101</v>
          </cell>
          <cell r="B583" t="str">
            <v>CONSOLE IMPELLER WHP (PS)</v>
          </cell>
          <cell r="C583" t="str">
            <v>8002721</v>
          </cell>
          <cell r="D583" t="str">
            <v>SHANGHAI JINGSHI ELECTRIC</v>
          </cell>
        </row>
        <row r="584">
          <cell r="A584" t="str">
            <v>W11682961</v>
          </cell>
          <cell r="B584" t="str">
            <v>CJ GAVETA COAL</v>
          </cell>
          <cell r="C584" t="str">
            <v>1018393</v>
          </cell>
          <cell r="D584" t="str">
            <v>Iprocom S.A.</v>
          </cell>
        </row>
        <row r="585">
          <cell r="A585" t="str">
            <v>W11682962</v>
          </cell>
          <cell r="B585" t="str">
            <v>GAVETA HCB NEGRA</v>
          </cell>
          <cell r="C585" t="str">
            <v>1018393</v>
          </cell>
          <cell r="D585" t="str">
            <v>Iprocom S.A.</v>
          </cell>
        </row>
        <row r="586">
          <cell r="A586" t="str">
            <v>W11682963</v>
          </cell>
          <cell r="B586" t="str">
            <v>DRAWER ASSY</v>
          </cell>
          <cell r="C586" t="str">
            <v>1018393</v>
          </cell>
          <cell r="D586" t="str">
            <v>Iprocom S.A.</v>
          </cell>
        </row>
        <row r="587">
          <cell r="A587" t="str">
            <v>W11682964</v>
          </cell>
          <cell r="B587" t="str">
            <v>CJ GAVETA CINZA</v>
          </cell>
          <cell r="C587" t="str">
            <v>1018393</v>
          </cell>
          <cell r="D587" t="str">
            <v>Iprocom S.A.</v>
          </cell>
        </row>
        <row r="588">
          <cell r="A588" t="str">
            <v>W11682968</v>
          </cell>
          <cell r="B588" t="str">
            <v>CJ GAVETA CINZA</v>
          </cell>
          <cell r="C588" t="str">
            <v>1018393</v>
          </cell>
          <cell r="D588" t="str">
            <v>Iprocom S.A.</v>
          </cell>
        </row>
        <row r="589">
          <cell r="A589" t="str">
            <v>W11682997</v>
          </cell>
          <cell r="B589" t="str">
            <v>ETIQ EFIC ENERGÉTICA 127V BRASTEMP</v>
          </cell>
          <cell r="C589" t="str">
            <v>1018566</v>
          </cell>
          <cell r="D589" t="str">
            <v>LÍNEA ADHESIVA S.A.</v>
          </cell>
        </row>
        <row r="590">
          <cell r="A590" t="str">
            <v>W11683066</v>
          </cell>
          <cell r="B590" t="str">
            <v>ETIQ EFIC ENERGÉTICA  220V BRASTEMP</v>
          </cell>
          <cell r="C590" t="str">
            <v>1018566</v>
          </cell>
          <cell r="D590" t="str">
            <v>LÍNEA ADHESIVA S.A.</v>
          </cell>
        </row>
        <row r="591">
          <cell r="A591" t="str">
            <v>W11683999</v>
          </cell>
          <cell r="B591" t="str">
            <v xml:space="preserve">KIT TAPA TEMPES BOTERO </v>
          </cell>
          <cell r="C591" t="str">
            <v>8002684</v>
          </cell>
          <cell r="D591" t="str">
            <v>Whirlpool S/A</v>
          </cell>
        </row>
        <row r="592">
          <cell r="A592" t="str">
            <v>W11684000</v>
          </cell>
          <cell r="B592" t="str">
            <v>KIT TAPA BL BOTERO WW20</v>
          </cell>
          <cell r="C592" t="str">
            <v>8002684</v>
          </cell>
          <cell r="D592" t="str">
            <v>Whirlpool S/A</v>
          </cell>
        </row>
        <row r="593">
          <cell r="A593" t="str">
            <v>W11685272</v>
          </cell>
          <cell r="B593" t="str">
            <v>ETIQUETA DE IDENTIFICACIÓN BOTERO</v>
          </cell>
          <cell r="C593" t="str">
            <v>1018566</v>
          </cell>
          <cell r="D593" t="str">
            <v>LÍNEA ADHESIVA S.A.</v>
          </cell>
        </row>
        <row r="594">
          <cell r="A594" t="str">
            <v>W11687561</v>
          </cell>
          <cell r="B594" t="str">
            <v>Guia BOTERO</v>
          </cell>
          <cell r="C594" t="str">
            <v>1018761</v>
          </cell>
          <cell r="D594" t="str">
            <v>FUNDACION CIUDAD DON BOSCO</v>
          </cell>
        </row>
        <row r="595">
          <cell r="A595" t="str">
            <v>W11688388</v>
          </cell>
          <cell r="B595" t="str">
            <v>PAINEL DECORATIVO HACEB</v>
          </cell>
          <cell r="C595" t="str">
            <v>8002721</v>
          </cell>
          <cell r="D595" t="str">
            <v>SHANGHAI JINGSHI ELECTRIC</v>
          </cell>
        </row>
        <row r="596">
          <cell r="A596" t="str">
            <v>W11688390</v>
          </cell>
          <cell r="B596" t="str">
            <v>PAINEL DECORATIVO HACEB</v>
          </cell>
          <cell r="C596" t="str">
            <v>8002721</v>
          </cell>
          <cell r="D596" t="str">
            <v>SHANGHAI JINGSHI ELECTRIC</v>
          </cell>
        </row>
        <row r="597">
          <cell r="A597" t="str">
            <v>W11688393</v>
          </cell>
          <cell r="B597" t="str">
            <v>PANEL DECORATIVO  14KG</v>
          </cell>
          <cell r="C597" t="str">
            <v>8002721</v>
          </cell>
          <cell r="D597" t="str">
            <v>SHANGHAI JINGSHI ELECTRIC</v>
          </cell>
        </row>
        <row r="598">
          <cell r="A598" t="str">
            <v>W11690112</v>
          </cell>
          <cell r="B598" t="str">
            <v>Cj tapa fija+Poste bisagra Tempest</v>
          </cell>
          <cell r="C598" t="str">
            <v>8002684</v>
          </cell>
          <cell r="D598" t="str">
            <v>Whirlpool S/A</v>
          </cell>
        </row>
        <row r="599">
          <cell r="A599" t="str">
            <v>W11690118</v>
          </cell>
          <cell r="B599" t="str">
            <v>Cj tapa fija+Poste bisagra Blanco</v>
          </cell>
          <cell r="C599" t="str">
            <v>8002684</v>
          </cell>
          <cell r="D599" t="str">
            <v>Whirlpool S/A</v>
          </cell>
        </row>
        <row r="600">
          <cell r="A600" t="str">
            <v>W11690228</v>
          </cell>
          <cell r="B600" t="str">
            <v>PANEL DECORATIVO 16KG</v>
          </cell>
          <cell r="C600" t="str">
            <v>8002721</v>
          </cell>
          <cell r="D600" t="str">
            <v>SHANGHAI JINGSHI ELECTRIC</v>
          </cell>
        </row>
        <row r="601">
          <cell r="A601" t="str">
            <v>W11691104</v>
          </cell>
          <cell r="B601" t="str">
            <v xml:space="preserve">TAPA FIJA IMP WHP TEMPEST </v>
          </cell>
          <cell r="C601" t="str">
            <v>1018467</v>
          </cell>
          <cell r="D601" t="str">
            <v>INDUSTRIAS HACEB S.A.</v>
          </cell>
        </row>
        <row r="602">
          <cell r="A602" t="str">
            <v>W11691121</v>
          </cell>
          <cell r="B602" t="str">
            <v xml:space="preserve">TAPA PORON </v>
          </cell>
          <cell r="C602" t="str">
            <v>8002684</v>
          </cell>
          <cell r="D602" t="str">
            <v>Whirlpool S/A</v>
          </cell>
        </row>
        <row r="603">
          <cell r="A603" t="str">
            <v>W11691488</v>
          </cell>
          <cell r="B603" t="str">
            <v>ADESIVO REGUA DE NIVEL</v>
          </cell>
          <cell r="C603" t="str">
            <v>8003123</v>
          </cell>
          <cell r="D603" t="str">
            <v>IDENTCO DE MEXICO</v>
          </cell>
        </row>
        <row r="604">
          <cell r="A604" t="str">
            <v>W11693630</v>
          </cell>
          <cell r="B604" t="str">
            <v>ETIA EFICIENCIA ENERGETICA  WHP 220 WW14/WW16</v>
          </cell>
          <cell r="C604" t="str">
            <v>1018566</v>
          </cell>
          <cell r="D604" t="str">
            <v>LÍNEA ADHESIVA S.A.</v>
          </cell>
        </row>
        <row r="605">
          <cell r="A605" t="str">
            <v>W11693635</v>
          </cell>
          <cell r="B605" t="str">
            <v>ETIQ EFICIENCIA WHP  WW14RBAHLA/WW14RTAHLA</v>
          </cell>
          <cell r="C605" t="str">
            <v>1018566</v>
          </cell>
          <cell r="D605" t="str">
            <v>LÍNEA ADHESIVA S.A.</v>
          </cell>
        </row>
        <row r="606">
          <cell r="A606" t="str">
            <v>W11693743</v>
          </cell>
          <cell r="B606" t="str">
            <v>ETIQ EFICIENCIA ENERG WHP</v>
          </cell>
          <cell r="C606" t="str">
            <v>1018566</v>
          </cell>
          <cell r="D606" t="str">
            <v>LÍNEA ADHESIVA S.A.</v>
          </cell>
        </row>
        <row r="607">
          <cell r="A607" t="str">
            <v>W11696110</v>
          </cell>
          <cell r="B607" t="str">
            <v>ETIQUETA QR YOUTUBE</v>
          </cell>
          <cell r="C607" t="str">
            <v>1018566</v>
          </cell>
          <cell r="D607" t="str">
            <v>LÍNEA ADHESIVA S.A.</v>
          </cell>
        </row>
        <row r="608">
          <cell r="A608" t="str">
            <v>W11696413</v>
          </cell>
          <cell r="B608" t="str">
            <v>ETQ EFICIENCIA ENERGETICA WW20-WW21  ME</v>
          </cell>
          <cell r="C608" t="str">
            <v>1018566</v>
          </cell>
          <cell r="D608" t="str">
            <v>LÍNEA ADHESIVA S.A.</v>
          </cell>
        </row>
        <row r="609">
          <cell r="A609" t="str">
            <v>W11697467</v>
          </cell>
          <cell r="B609" t="str">
            <v>MANUAL WHP COPA 2.0</v>
          </cell>
          <cell r="C609" t="str">
            <v>1018761</v>
          </cell>
          <cell r="D609" t="str">
            <v>FUNDACION CIUDAD DON BOSCO</v>
          </cell>
        </row>
        <row r="610">
          <cell r="A610" t="str">
            <v>W11697717</v>
          </cell>
          <cell r="B610" t="str">
            <v>USER GUIDE - COL Y ARG FRONT PANEL</v>
          </cell>
          <cell r="C610" t="str">
            <v>1018761</v>
          </cell>
          <cell r="D610" t="str">
            <v>FUNDACION CIUDAD DON BOSCO</v>
          </cell>
        </row>
        <row r="611">
          <cell r="A611" t="str">
            <v>W11697752</v>
          </cell>
          <cell r="B611" t="str">
            <v xml:space="preserve">TARJETA DE CONT WHP BRASIL  (PROSTAR) </v>
          </cell>
          <cell r="C611" t="str">
            <v>8004124</v>
          </cell>
          <cell r="D611" t="str">
            <v>BITRON MEXICO</v>
          </cell>
        </row>
        <row r="612">
          <cell r="A612" t="str">
            <v>W11698671</v>
          </cell>
          <cell r="B612" t="str">
            <v>MANUAL COPA 1 - LAR N/ARG</v>
          </cell>
          <cell r="C612" t="str">
            <v>1018761</v>
          </cell>
          <cell r="D612" t="str">
            <v>FUNDACION CIUDAD DON BOSCO</v>
          </cell>
        </row>
        <row r="613">
          <cell r="A613" t="str">
            <v>W11700209</v>
          </cell>
          <cell r="B613" t="str">
            <v>TAPA PORON WHP MEX</v>
          </cell>
          <cell r="C613" t="str">
            <v>1018394</v>
          </cell>
          <cell r="D613" t="str">
            <v>Formapol S.A</v>
          </cell>
        </row>
        <row r="614">
          <cell r="A614" t="str">
            <v>W11701553</v>
          </cell>
          <cell r="B614" t="str">
            <v>STEEL-GZ100 S220GD 0,60X917X2171.5</v>
          </cell>
          <cell r="C614" t="str">
            <v>1018578</v>
          </cell>
          <cell r="D614" t="str">
            <v>Arme S.A.</v>
          </cell>
        </row>
        <row r="615">
          <cell r="A615" t="str">
            <v>W11703394</v>
          </cell>
          <cell r="B615" t="str">
            <v>CERTIFICADO DE GARANTIA ARG WHR</v>
          </cell>
          <cell r="C615" t="str">
            <v>1018761</v>
          </cell>
          <cell r="D615" t="str">
            <v>FUNDACION CIUDAD DON BOSCO</v>
          </cell>
        </row>
        <row r="616">
          <cell r="A616" t="str">
            <v>W11705447</v>
          </cell>
          <cell r="B616" t="str">
            <v>CONSOLE AGP WHP</v>
          </cell>
          <cell r="C616" t="str">
            <v>1018399</v>
          </cell>
          <cell r="D616" t="str">
            <v>Riduco S.A.</v>
          </cell>
        </row>
        <row r="617">
          <cell r="A617" t="str">
            <v>W11705448</v>
          </cell>
          <cell r="B617" t="str">
            <v>CONSOLE IMPELLER WHP (PS)</v>
          </cell>
          <cell r="C617" t="str">
            <v>1018395</v>
          </cell>
          <cell r="D617" t="str">
            <v>PLASTICOS TRUHER S.A.</v>
          </cell>
        </row>
        <row r="618">
          <cell r="A618" t="str">
            <v>W11705449</v>
          </cell>
          <cell r="B618" t="str">
            <v>CONSOLA HCB IMPELLER CON REMOL</v>
          </cell>
          <cell r="C618" t="str">
            <v>1018395</v>
          </cell>
          <cell r="D618" t="str">
            <v>PLASTICOS TRUHER S.A.</v>
          </cell>
        </row>
        <row r="619">
          <cell r="A619" t="str">
            <v>W11705450</v>
          </cell>
          <cell r="B619" t="str">
            <v>CONSOLA WHP IMPELLER COPA 2.0</v>
          </cell>
          <cell r="C619" t="str">
            <v>1018399</v>
          </cell>
          <cell r="D619" t="str">
            <v>Riduco S.A.</v>
          </cell>
        </row>
        <row r="620">
          <cell r="A620" t="str">
            <v>W11705885</v>
          </cell>
          <cell r="B620" t="str">
            <v>DAMPER LEFT</v>
          </cell>
          <cell r="C620" t="str">
            <v>8004234</v>
          </cell>
          <cell r="D620" t="str">
            <v>UNION INDUSTRY</v>
          </cell>
        </row>
        <row r="621">
          <cell r="A621" t="str">
            <v>W11707199</v>
          </cell>
          <cell r="B621" t="str">
            <v>PAINEL DECORATIVO HACEB</v>
          </cell>
          <cell r="C621" t="str">
            <v>8002721</v>
          </cell>
          <cell r="D621" t="str">
            <v>SHANGHAI JINGSHI ELECTRIC</v>
          </cell>
        </row>
        <row r="622">
          <cell r="A622" t="str">
            <v>W11707201</v>
          </cell>
          <cell r="B622" t="str">
            <v>PAINEL DECORATIVO HACEB</v>
          </cell>
          <cell r="C622" t="str">
            <v>8002721</v>
          </cell>
          <cell r="D622" t="str">
            <v>SHANGHAI JINGSHI ELECTRIC</v>
          </cell>
        </row>
        <row r="623">
          <cell r="A623" t="str">
            <v>W11707205</v>
          </cell>
          <cell r="B623" t="str">
            <v>PAINEL DECORATIVO HACEB</v>
          </cell>
          <cell r="C623" t="str">
            <v>8002721</v>
          </cell>
          <cell r="D623" t="str">
            <v>SHANGHAI JINGSHI ELECTRIC</v>
          </cell>
        </row>
        <row r="624">
          <cell r="A624" t="str">
            <v>W11707206</v>
          </cell>
          <cell r="B624" t="str">
            <v>PANEL DECORATIVO HCB HW14MOAHCO NUEVO</v>
          </cell>
          <cell r="C624" t="str">
            <v>8002721</v>
          </cell>
          <cell r="D624" t="str">
            <v>SHANGHAI JINGSHI ELECTRIC</v>
          </cell>
        </row>
        <row r="625">
          <cell r="A625" t="str">
            <v>W11707207</v>
          </cell>
          <cell r="B625" t="str">
            <v>PAINEL DECORATIVO HCB 18 KG</v>
          </cell>
          <cell r="C625" t="str">
            <v>8002721</v>
          </cell>
          <cell r="D625" t="str">
            <v>SHANGHAI JINGSHI ELECTRIC</v>
          </cell>
        </row>
        <row r="626">
          <cell r="A626" t="str">
            <v>W11707210</v>
          </cell>
          <cell r="B626" t="str">
            <v>PAINEL DECORATIVO AGP HCB 18 KG</v>
          </cell>
          <cell r="C626" t="str">
            <v>8002721</v>
          </cell>
          <cell r="D626" t="str">
            <v>SHANGHAI JINGSHI ELECTRIC</v>
          </cell>
        </row>
        <row r="627">
          <cell r="A627" t="str">
            <v>W11708323</v>
          </cell>
          <cell r="B627" t="str">
            <v>ABS PLASTIRIOS RECYCLED HG173 969127</v>
          </cell>
          <cell r="C627" t="str">
            <v>1021171</v>
          </cell>
          <cell r="D627" t="str">
            <v>PLASTIRIOS S.A.S</v>
          </cell>
        </row>
        <row r="628">
          <cell r="A628" t="str">
            <v>W11722195</v>
          </cell>
          <cell r="B628" t="str">
            <v>REDUCED DAMPER HACEB</v>
          </cell>
          <cell r="C628" t="str">
            <v>8004234</v>
          </cell>
          <cell r="D628" t="str">
            <v>UNION INDUSTRY</v>
          </cell>
        </row>
        <row r="629">
          <cell r="A629" t="str">
            <v>W11723528</v>
          </cell>
          <cell r="B629" t="str">
            <v>CONSOLA   NEGRA</v>
          </cell>
          <cell r="C629" t="str">
            <v>1023532</v>
          </cell>
          <cell r="D629" t="str">
            <v>SI-3</v>
          </cell>
        </row>
        <row r="630">
          <cell r="A630" t="str">
            <v>W11723618</v>
          </cell>
          <cell r="B630" t="str">
            <v xml:space="preserve">TAPA FIJA BOTERO TEMPES </v>
          </cell>
          <cell r="C630" t="str">
            <v>1018467</v>
          </cell>
          <cell r="D630" t="str">
            <v>INDUSTRIAS HACEB S.A.</v>
          </cell>
        </row>
        <row r="631">
          <cell r="A631" t="str">
            <v>W11727213</v>
          </cell>
          <cell r="B631" t="str">
            <v>PANEL DECORARIVO BOTERO</v>
          </cell>
          <cell r="C631" t="str">
            <v>8002721</v>
          </cell>
          <cell r="D631" t="str">
            <v>SHANGHAI JINGSHI ELECTRIC</v>
          </cell>
        </row>
        <row r="632">
          <cell r="A632" t="str">
            <v>W11728573</v>
          </cell>
          <cell r="B632" t="str">
            <v xml:space="preserve">DAMPER IZQUIERDO </v>
          </cell>
          <cell r="C632" t="str">
            <v>8004234</v>
          </cell>
          <cell r="D632" t="str">
            <v>UNION INDUSTRY</v>
          </cell>
        </row>
        <row r="633">
          <cell r="A633" t="str">
            <v>W11728575</v>
          </cell>
          <cell r="B633" t="str">
            <v xml:space="preserve">DAMPER DERECHO </v>
          </cell>
          <cell r="C633" t="str">
            <v>8004234</v>
          </cell>
          <cell r="D633" t="str">
            <v>UNION INDUSTRY</v>
          </cell>
        </row>
        <row r="634">
          <cell r="A634" t="str">
            <v>W11730254</v>
          </cell>
          <cell r="B634" t="str">
            <v>HOUSING WHIRLPOOOL</v>
          </cell>
          <cell r="C634" t="str">
            <v>1018395</v>
          </cell>
          <cell r="D634" t="str">
            <v>PLASTICOS TRUHER S.A.</v>
          </cell>
        </row>
        <row r="635">
          <cell r="A635" t="str">
            <v>W11730495</v>
          </cell>
          <cell r="B635" t="str">
            <v>FRAME BOTERO NE</v>
          </cell>
          <cell r="C635" t="str">
            <v>1018467</v>
          </cell>
          <cell r="D635" t="str">
            <v>INDUSTRIAS HACEB S.A.</v>
          </cell>
        </row>
        <row r="636">
          <cell r="A636" t="str">
            <v>W11730555</v>
          </cell>
          <cell r="B636" t="str">
            <v>TAPA FIJA BOTERO BLANCA</v>
          </cell>
          <cell r="C636" t="str">
            <v>1018467</v>
          </cell>
          <cell r="D636" t="str">
            <v>INDUSTRIAS HACEB S.A.</v>
          </cell>
        </row>
        <row r="637">
          <cell r="A637" t="str">
            <v>W11733416</v>
          </cell>
          <cell r="B637" t="str">
            <v>ESPARCIDOR AGUA CAL COPA 2.0 SIN MASTER</v>
          </cell>
          <cell r="C637" t="str">
            <v>1018393</v>
          </cell>
          <cell r="D637" t="str">
            <v>Iprocom S.A.</v>
          </cell>
        </row>
        <row r="638">
          <cell r="A638" t="str">
            <v>W11733417</v>
          </cell>
          <cell r="B638" t="str">
            <v>ESPARCIDOR AGUA FRIA COPA 2.0</v>
          </cell>
          <cell r="C638" t="str">
            <v>1018393</v>
          </cell>
          <cell r="D638" t="str">
            <v>Iprocom S.A.</v>
          </cell>
        </row>
        <row r="639">
          <cell r="A639" t="str">
            <v>W11733713</v>
          </cell>
          <cell r="B639" t="str">
            <v>ARNES SUP RED IMAN BOTERO</v>
          </cell>
          <cell r="C639" t="str">
            <v>8002833</v>
          </cell>
          <cell r="D639" t="str">
            <v>SHANGHAI JINGSHI ELECTRIC</v>
          </cell>
        </row>
        <row r="640">
          <cell r="A640" t="str">
            <v>W11733714</v>
          </cell>
          <cell r="B640" t="str">
            <v>ARNES HMI-MEGA BOTERO</v>
          </cell>
          <cell r="C640" t="str">
            <v>8002833</v>
          </cell>
          <cell r="D640" t="str">
            <v>SHANGHAI JINGSHI ELECTRIC</v>
          </cell>
        </row>
        <row r="641">
          <cell r="A641" t="str">
            <v>W11733727</v>
          </cell>
          <cell r="B641" t="str">
            <v>HOUSING HACEB</v>
          </cell>
          <cell r="C641" t="str">
            <v>1018395</v>
          </cell>
          <cell r="D641" t="str">
            <v>PLASTICOS TRUHER S.A.</v>
          </cell>
        </row>
        <row r="642">
          <cell r="A642" t="str">
            <v>W11733960</v>
          </cell>
          <cell r="B642" t="str">
            <v>CJ FILTRO BOTERO 2</v>
          </cell>
          <cell r="C642" t="str">
            <v>1018399</v>
          </cell>
          <cell r="D642" t="str">
            <v>Riduco S.A.</v>
          </cell>
        </row>
        <row r="643">
          <cell r="A643" t="str">
            <v>W11734874</v>
          </cell>
          <cell r="B643" t="str">
            <v>PROTECTOR DE POLEA ABS COPA</v>
          </cell>
          <cell r="C643" t="str">
            <v>1018395</v>
          </cell>
          <cell r="D643" t="str">
            <v>PLASTICOS TRUHER S.A.</v>
          </cell>
        </row>
        <row r="644">
          <cell r="A644" t="str">
            <v>W11735694</v>
          </cell>
          <cell r="B644" t="str">
            <v>PROTECTOR POLEA  EN ABS (FACTORIAS)</v>
          </cell>
          <cell r="C644" t="str">
            <v>1023844</v>
          </cell>
          <cell r="D644" t="str">
            <v>Factorias &amp; Asociadas</v>
          </cell>
        </row>
        <row r="645">
          <cell r="A645" t="str">
            <v>W11738559</v>
          </cell>
          <cell r="B645" t="str">
            <v>ETIQUETAS EFICIENCIA ENERGETICA WW11BTA</v>
          </cell>
          <cell r="C645" t="str">
            <v>1018566</v>
          </cell>
          <cell r="D645" t="str">
            <v>LÍNEA ADHESIVA S.A.</v>
          </cell>
        </row>
        <row r="646">
          <cell r="A646" t="str">
            <v>W11738562</v>
          </cell>
          <cell r="B646" t="str">
            <v>ETIQUETAS EFICIENCIA ENERGETICA WW11BLA</v>
          </cell>
          <cell r="C646" t="str">
            <v>1018566</v>
          </cell>
          <cell r="D646" t="str">
            <v>LÍNEA ADHESIVA S.A.</v>
          </cell>
        </row>
        <row r="647">
          <cell r="A647" t="str">
            <v>W11738565</v>
          </cell>
          <cell r="B647" t="str">
            <v>ENERGY EFFICIENCY LABEL WW09HBB</v>
          </cell>
          <cell r="C647" t="str">
            <v>1018566</v>
          </cell>
          <cell r="D647" t="str">
            <v>LÍNEA ADHESIVA S.A.</v>
          </cell>
        </row>
        <row r="648">
          <cell r="A648" t="str">
            <v>W11738567</v>
          </cell>
          <cell r="B648" t="str">
            <v>ETIQUETAS EFICIENCIA ENERGETICA WW10HTB</v>
          </cell>
          <cell r="C648" t="str">
            <v>1018566</v>
          </cell>
          <cell r="D648" t="str">
            <v>LÍNEA ADHESIVA S.A.</v>
          </cell>
        </row>
        <row r="649">
          <cell r="A649" t="str">
            <v>W11738780</v>
          </cell>
          <cell r="B649" t="str">
            <v>MANUAL COPA 1 ARGENTINA NUEVO</v>
          </cell>
          <cell r="C649" t="str">
            <v>1018761</v>
          </cell>
          <cell r="D649" t="str">
            <v>FUNDACION CIUDAD DON BOSCO</v>
          </cell>
        </row>
        <row r="650">
          <cell r="A650" t="str">
            <v>W11740052</v>
          </cell>
          <cell r="B650" t="str">
            <v>MANUAL COPA EDGE - SKU ARG</v>
          </cell>
          <cell r="C650" t="str">
            <v>1018761</v>
          </cell>
          <cell r="D650" t="str">
            <v>FUNDACION CIUDAD DON BOSCO</v>
          </cell>
        </row>
        <row r="651">
          <cell r="A651" t="str">
            <v>W11740236</v>
          </cell>
          <cell r="B651" t="str">
            <v>PANEL DECORATIVO BOTERO</v>
          </cell>
          <cell r="C651" t="str">
            <v>8002721</v>
          </cell>
          <cell r="D651" t="str">
            <v>SHANGHAI JINGSHI ELECTRIC</v>
          </cell>
        </row>
        <row r="652">
          <cell r="A652" t="str">
            <v>W11745625</v>
          </cell>
          <cell r="B652" t="str">
            <v>CINTA ADHESIVA BOTERO TM</v>
          </cell>
          <cell r="C652" t="str">
            <v>1019802</v>
          </cell>
          <cell r="D652" t="str">
            <v>TESA TAPE COLOMBIA LTDA</v>
          </cell>
        </row>
        <row r="653">
          <cell r="A653" t="str">
            <v>W11745884</v>
          </cell>
          <cell r="B653" t="str">
            <v>TARJETA +  ENCODER  BOTERO</v>
          </cell>
          <cell r="C653" t="str">
            <v>8003530</v>
          </cell>
          <cell r="D653" t="str">
            <v>JABIL CIRCUIT (GUANGZHOU) LTD</v>
          </cell>
        </row>
        <row r="654">
          <cell r="A654" t="str">
            <v>W11746905</v>
          </cell>
          <cell r="B654" t="str">
            <v>SILICONA SPRAY CRC</v>
          </cell>
          <cell r="C654" t="str">
            <v>1024909</v>
          </cell>
          <cell r="D654" t="str">
            <v>EMPAQUETADURAS Y EMPAQUES S.A</v>
          </cell>
        </row>
        <row r="655">
          <cell r="A655" t="str">
            <v>W11748855</v>
          </cell>
          <cell r="B655" t="str">
            <v>ETIQUETA DE CAPACIDAD  20kg BOTERO</v>
          </cell>
          <cell r="C655" t="str">
            <v>1018566</v>
          </cell>
          <cell r="D655" t="str">
            <v>LÍNEA ADHESIVA S.A.</v>
          </cell>
        </row>
        <row r="656">
          <cell r="A656" t="str">
            <v>W11748859</v>
          </cell>
          <cell r="B656" t="str">
            <v>ETIQUETA DE CAPACIDAD NUEVA 19KG</v>
          </cell>
          <cell r="C656" t="str">
            <v>1018566</v>
          </cell>
          <cell r="D656" t="str">
            <v>LÍNEA ADHESIVA S.A.</v>
          </cell>
        </row>
        <row r="657">
          <cell r="A657" t="str">
            <v>W11748861</v>
          </cell>
          <cell r="B657" t="str">
            <v>ETIQUETA DE CAPACIDAD NUEVA 17KG</v>
          </cell>
          <cell r="C657" t="str">
            <v>1018566</v>
          </cell>
          <cell r="D657" t="str">
            <v>LÍNEA ADHESIVA S.A.</v>
          </cell>
        </row>
        <row r="658">
          <cell r="A658" t="str">
            <v>W11749274</v>
          </cell>
          <cell r="B658" t="str">
            <v xml:space="preserve">TORNILLO NUEVO TARJETA </v>
          </cell>
          <cell r="C658" t="str">
            <v>1018636</v>
          </cell>
          <cell r="D658" t="str">
            <v>INDUSTRIAS CATO S.A.</v>
          </cell>
        </row>
        <row r="659">
          <cell r="A659" t="str">
            <v>W11750177</v>
          </cell>
          <cell r="B659" t="str">
            <v>TAPA FIJA BOTERO NEGRA</v>
          </cell>
          <cell r="C659" t="str">
            <v>1018467</v>
          </cell>
          <cell r="D659" t="str">
            <v>INDUSTRIAS HACEB S.A.</v>
          </cell>
        </row>
        <row r="660">
          <cell r="A660" t="str">
            <v>W11750319</v>
          </cell>
          <cell r="B660" t="str">
            <v>TAPA TRASERA TF NEGRA BOTERO</v>
          </cell>
          <cell r="C660" t="str">
            <v>1023844</v>
          </cell>
          <cell r="D660" t="str">
            <v>Factorias &amp; Asociadas</v>
          </cell>
        </row>
        <row r="661">
          <cell r="A661" t="str">
            <v>W11750496</v>
          </cell>
          <cell r="B661" t="str">
            <v xml:space="preserve">GAVETA </v>
          </cell>
          <cell r="C661" t="str">
            <v>1018393</v>
          </cell>
          <cell r="D661" t="str">
            <v>Iprocom S.A.</v>
          </cell>
        </row>
        <row r="662">
          <cell r="A662" t="str">
            <v>W11752433</v>
          </cell>
          <cell r="B662" t="str">
            <v>MANUAL HCB COPA 2.0 NUEVO</v>
          </cell>
          <cell r="C662" t="str">
            <v>1018761</v>
          </cell>
          <cell r="D662" t="str">
            <v>FUNDACION CIUDAD DON BOSCO</v>
          </cell>
        </row>
        <row r="663">
          <cell r="A663" t="str">
            <v>W11752435</v>
          </cell>
          <cell r="B663" t="str">
            <v>MANUAL HCB COPA 1.0 NUEVO</v>
          </cell>
          <cell r="C663" t="str">
            <v>1018761</v>
          </cell>
          <cell r="D663" t="str">
            <v>FUNDACION CIUDAD DON BOSCO</v>
          </cell>
        </row>
        <row r="664">
          <cell r="A664" t="str">
            <v>W11755368</v>
          </cell>
          <cell r="B664" t="str">
            <v>PANEL DECORATIVO BOTERO</v>
          </cell>
          <cell r="C664" t="str">
            <v>8002721</v>
          </cell>
          <cell r="D664" t="str">
            <v>SHANGHAI JINGSHI ELECTRIC</v>
          </cell>
        </row>
        <row r="665">
          <cell r="A665" t="str">
            <v>W11758441</v>
          </cell>
          <cell r="B665" t="str">
            <v>ENERGY EFFICIENCY WHP COL 20 KG</v>
          </cell>
          <cell r="C665" t="str">
            <v>1018566</v>
          </cell>
          <cell r="D665" t="str">
            <v>LÍNEA ADHESIVA S.A.</v>
          </cell>
        </row>
        <row r="666">
          <cell r="A666" t="str">
            <v>W11758565</v>
          </cell>
          <cell r="B666" t="str">
            <v>ENERGY EFFICIENCY WHP COL 20 KG IMP</v>
          </cell>
          <cell r="C666" t="str">
            <v>1018566</v>
          </cell>
          <cell r="D666" t="str">
            <v>LÍNEA ADHESIVA S.A.</v>
          </cell>
        </row>
        <row r="667">
          <cell r="A667" t="str">
            <v>W11759080</v>
          </cell>
          <cell r="B667" t="str">
            <v>ENERGY EFFICIENCY COL 20 KG IMP BOT 2.0</v>
          </cell>
          <cell r="C667" t="str">
            <v>1018566</v>
          </cell>
          <cell r="D667" t="str">
            <v>LÍNEA ADHESIVA S.A.</v>
          </cell>
        </row>
        <row r="668">
          <cell r="A668" t="str">
            <v>W11759082</v>
          </cell>
          <cell r="B668" t="str">
            <v>ENERGY EFFICIENCY COL 19 KG IMP BOT 2.0</v>
          </cell>
          <cell r="C668" t="str">
            <v>1018566</v>
          </cell>
          <cell r="D668" t="str">
            <v>LÍNEA ADHESIVA S.A.</v>
          </cell>
        </row>
        <row r="669">
          <cell r="A669" t="str">
            <v>W11759084</v>
          </cell>
          <cell r="B669" t="str">
            <v xml:space="preserve">ETIQUETA ENERGIA (WW19WTA-WW19ZNA) </v>
          </cell>
          <cell r="C669" t="str">
            <v>1018566</v>
          </cell>
          <cell r="D669" t="str">
            <v>LÍNEA ADHESIVA S.A.</v>
          </cell>
        </row>
        <row r="670">
          <cell r="A670" t="str">
            <v>W11759090</v>
          </cell>
          <cell r="B670" t="str">
            <v>ETIQUETA ENERGIA (WW17WTA-WW17WBA) BOTERO 2.0</v>
          </cell>
          <cell r="C670" t="str">
            <v>1018566</v>
          </cell>
          <cell r="D670" t="str">
            <v>LÍNEA ADHESIVA S.A.</v>
          </cell>
        </row>
        <row r="671">
          <cell r="A671" t="str">
            <v>W11759275</v>
          </cell>
          <cell r="B671" t="str">
            <v>ENERGY EFFICIENCY EQ 19 &amp; 20 KG IMP BOT</v>
          </cell>
          <cell r="C671" t="str">
            <v>1018566</v>
          </cell>
          <cell r="D671" t="str">
            <v>LÍNEA ADHESIVA S.A.</v>
          </cell>
        </row>
        <row r="672">
          <cell r="A672" t="str">
            <v>W11759277</v>
          </cell>
          <cell r="B672" t="str">
            <v>ENERGY EFFICIENCY EQ 19&amp;20 KG AGI  BOT</v>
          </cell>
          <cell r="C672" t="str">
            <v>1018566</v>
          </cell>
          <cell r="D672" t="str">
            <v>LÍNEA ADHESIVA S.A.</v>
          </cell>
        </row>
        <row r="673">
          <cell r="A673" t="str">
            <v>W11759279</v>
          </cell>
          <cell r="B673" t="str">
            <v>ETIQUETA EFIC  BOT 2 WW17WTA-WW17WBA</v>
          </cell>
          <cell r="C673" t="str">
            <v>1018566</v>
          </cell>
          <cell r="D673" t="str">
            <v>LÍNEA ADHESIVA S.A.</v>
          </cell>
        </row>
        <row r="674">
          <cell r="A674" t="str">
            <v>W11760032</v>
          </cell>
          <cell r="B674" t="str">
            <v xml:space="preserve">TAPA PORON BOTERO </v>
          </cell>
          <cell r="C674" t="str">
            <v>1018394</v>
          </cell>
          <cell r="D674" t="str">
            <v>Formapol S.A</v>
          </cell>
        </row>
        <row r="675">
          <cell r="A675" t="str">
            <v>W11760064</v>
          </cell>
          <cell r="B675" t="str">
            <v>GUIA DE USO BOTERO 2.0</v>
          </cell>
          <cell r="C675" t="str">
            <v>1018761</v>
          </cell>
          <cell r="D675" t="str">
            <v>FUNDACION CIUDAD DON BOSCO</v>
          </cell>
        </row>
        <row r="676">
          <cell r="A676" t="str">
            <v>W11760188</v>
          </cell>
          <cell r="B676" t="str">
            <v>MANUAL WHP BOTERO</v>
          </cell>
          <cell r="C676" t="str">
            <v>1018761</v>
          </cell>
          <cell r="D676" t="str">
            <v>FUNDACION CIUDAD DON BOSCO</v>
          </cell>
        </row>
        <row r="677">
          <cell r="A677" t="str">
            <v>W11762832</v>
          </cell>
          <cell r="B677" t="str">
            <v>ESPUMA COPA 2.0  NUEVA</v>
          </cell>
          <cell r="C677" t="str">
            <v>1025176</v>
          </cell>
          <cell r="D677" t="str">
            <v>VALVER COLOMBIA S.A.S</v>
          </cell>
        </row>
        <row r="678">
          <cell r="A678" t="str">
            <v>W11762939</v>
          </cell>
          <cell r="B678" t="str">
            <v>CJ VARILLA SUSPENSION SIN GRASA BEST 2.0</v>
          </cell>
          <cell r="C678" t="str">
            <v>1020636</v>
          </cell>
          <cell r="D678" t="str">
            <v>AUTOINDUSTRIAL CAMEL S.A</v>
          </cell>
        </row>
        <row r="679">
          <cell r="A679" t="str">
            <v>W11763200</v>
          </cell>
          <cell r="B679" t="str">
            <v xml:space="preserve">TAPA FIJA WHP NEGRA </v>
          </cell>
          <cell r="C679" t="str">
            <v>1018467</v>
          </cell>
          <cell r="D679" t="str">
            <v>INDUSTRIAS HACEB S.A.</v>
          </cell>
        </row>
        <row r="680">
          <cell r="A680" t="str">
            <v>W11769423</v>
          </cell>
          <cell r="B680" t="str">
            <v>ETIQUETA ENERGIA (WW17NNA-WW17NTA) BOTERO 2.0</v>
          </cell>
          <cell r="C680" t="str">
            <v>1018566</v>
          </cell>
          <cell r="D680" t="str">
            <v>LÍNEA ADHESIVA S.A.</v>
          </cell>
        </row>
        <row r="681">
          <cell r="A681" t="str">
            <v>W11769451</v>
          </cell>
          <cell r="B681" t="str">
            <v>ETIQUETA EFIC  BOT 2 WW17NNA-WW17NTA</v>
          </cell>
          <cell r="C681" t="str">
            <v>1018566</v>
          </cell>
          <cell r="D681" t="str">
            <v>LÍNEA ADHESIVA S.A.</v>
          </cell>
        </row>
        <row r="682">
          <cell r="A682" t="str">
            <v>W11769469</v>
          </cell>
          <cell r="B682" t="str">
            <v>MANUAL WHP BOTERO 2</v>
          </cell>
          <cell r="C682" t="str">
            <v>1018761</v>
          </cell>
          <cell r="D682" t="str">
            <v>FUNDACION CIUDAD DON BOSCO</v>
          </cell>
        </row>
        <row r="683">
          <cell r="A683" t="str">
            <v>W11772768</v>
          </cell>
          <cell r="B683" t="str">
            <v>ETIQUETA ENERGIA (WW20ZBAHLA)</v>
          </cell>
          <cell r="C683" t="str">
            <v>1018566</v>
          </cell>
          <cell r="D683" t="str">
            <v>LÍNEA ADHESIVA S.A.</v>
          </cell>
        </row>
        <row r="684">
          <cell r="A684" t="str">
            <v>W11772841</v>
          </cell>
          <cell r="B684" t="str">
            <v>ETIQUETA ENERGIA (WW20LSAHLA)</v>
          </cell>
          <cell r="C684" t="str">
            <v>1018566</v>
          </cell>
          <cell r="D684" t="str">
            <v>LÍNEA ADHESIVA S.A.</v>
          </cell>
        </row>
        <row r="685">
          <cell r="A685" t="str">
            <v>W11772969</v>
          </cell>
          <cell r="B685" t="str">
            <v>ETIQUETA EFIC WW20ZBAHLA</v>
          </cell>
          <cell r="C685" t="str">
            <v>1018566</v>
          </cell>
          <cell r="D685" t="str">
            <v>LÍNEA ADHESIVA S.A.</v>
          </cell>
        </row>
        <row r="686">
          <cell r="A686" t="str">
            <v>W11502214</v>
          </cell>
          <cell r="B686" t="str">
            <v>CJ FILTRO WHP COPA 2  NUEVO</v>
          </cell>
          <cell r="C686">
            <v>1018399</v>
          </cell>
          <cell r="D686" t="str">
            <v>Riduco S.A.</v>
          </cell>
        </row>
        <row r="687">
          <cell r="A687" t="str">
            <v>W11780501</v>
          </cell>
          <cell r="B687" t="str">
            <v>MANUAL COPA NIAGARA</v>
          </cell>
          <cell r="C687" t="str">
            <v>1018761</v>
          </cell>
          <cell r="D687" t="str">
            <v>FUNDACION CIUDAD DON BOSCO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Sheet1"/>
    </sheetNames>
    <sheetDataSet>
      <sheetData sheetId="0" refreshError="1">
        <row r="3">
          <cell r="A3" t="str">
            <v>Suma de Libre utilización</v>
          </cell>
        </row>
        <row r="4">
          <cell r="A4" t="str">
            <v>Material</v>
          </cell>
        </row>
        <row r="5">
          <cell r="A5" t="str">
            <v>000028290</v>
          </cell>
        </row>
        <row r="6">
          <cell r="A6" t="str">
            <v>000306300</v>
          </cell>
        </row>
        <row r="7">
          <cell r="A7" t="str">
            <v>000306302</v>
          </cell>
        </row>
        <row r="8">
          <cell r="A8" t="str">
            <v>000306308</v>
          </cell>
        </row>
        <row r="9">
          <cell r="A9" t="str">
            <v>000360420</v>
          </cell>
        </row>
        <row r="10">
          <cell r="A10" t="str">
            <v>000390510</v>
          </cell>
        </row>
        <row r="11">
          <cell r="A11" t="str">
            <v>004259220</v>
          </cell>
        </row>
        <row r="12">
          <cell r="A12" t="str">
            <v>004314824</v>
          </cell>
        </row>
        <row r="13">
          <cell r="A13" t="str">
            <v>051002253</v>
          </cell>
        </row>
        <row r="14">
          <cell r="A14" t="str">
            <v>326000208</v>
          </cell>
        </row>
        <row r="15">
          <cell r="A15" t="str">
            <v>326001101</v>
          </cell>
        </row>
        <row r="16">
          <cell r="A16" t="str">
            <v>326001560</v>
          </cell>
        </row>
        <row r="17">
          <cell r="A17" t="str">
            <v>326012084</v>
          </cell>
        </row>
        <row r="18">
          <cell r="A18" t="str">
            <v>326028198</v>
          </cell>
        </row>
        <row r="19">
          <cell r="A19" t="str">
            <v>326031815</v>
          </cell>
        </row>
        <row r="20">
          <cell r="A20" t="str">
            <v>326033002</v>
          </cell>
        </row>
        <row r="21">
          <cell r="A21" t="str">
            <v>326037688</v>
          </cell>
        </row>
        <row r="22">
          <cell r="A22" t="str">
            <v>326039029</v>
          </cell>
        </row>
        <row r="23">
          <cell r="A23" t="str">
            <v>326041720</v>
          </cell>
        </row>
        <row r="24">
          <cell r="A24" t="str">
            <v>326041932</v>
          </cell>
        </row>
        <row r="25">
          <cell r="A25" t="str">
            <v>326059648</v>
          </cell>
        </row>
        <row r="26">
          <cell r="A26" t="str">
            <v>326066095</v>
          </cell>
        </row>
        <row r="27">
          <cell r="A27" t="str">
            <v>3357397</v>
          </cell>
        </row>
        <row r="28">
          <cell r="A28" t="str">
            <v>W10233113</v>
          </cell>
        </row>
        <row r="29">
          <cell r="A29" t="str">
            <v>W10260856</v>
          </cell>
        </row>
        <row r="30">
          <cell r="A30" t="str">
            <v>W10335914</v>
          </cell>
        </row>
        <row r="31">
          <cell r="A31" t="str">
            <v>W10346385</v>
          </cell>
        </row>
        <row r="32">
          <cell r="A32" t="str">
            <v>W10351766</v>
          </cell>
        </row>
        <row r="33">
          <cell r="A33" t="str">
            <v>W10414411</v>
          </cell>
        </row>
        <row r="34">
          <cell r="A34" t="str">
            <v>W10463824</v>
          </cell>
        </row>
        <row r="35">
          <cell r="A35" t="str">
            <v>W10470951</v>
          </cell>
        </row>
        <row r="36">
          <cell r="A36" t="str">
            <v>W10472321</v>
          </cell>
        </row>
        <row r="37">
          <cell r="A37" t="str">
            <v>W10512641</v>
          </cell>
        </row>
        <row r="38">
          <cell r="A38" t="str">
            <v>W10516159</v>
          </cell>
        </row>
        <row r="39">
          <cell r="A39" t="str">
            <v>W10517931</v>
          </cell>
        </row>
        <row r="40">
          <cell r="A40" t="str">
            <v>W10548856</v>
          </cell>
        </row>
        <row r="41">
          <cell r="A41" t="str">
            <v>W10638576</v>
          </cell>
        </row>
        <row r="42">
          <cell r="A42" t="str">
            <v>W10638603</v>
          </cell>
        </row>
        <row r="43">
          <cell r="A43" t="str">
            <v>W10644238</v>
          </cell>
        </row>
        <row r="44">
          <cell r="A44" t="str">
            <v>W10647949</v>
          </cell>
        </row>
        <row r="45">
          <cell r="A45" t="str">
            <v>W10650429</v>
          </cell>
        </row>
        <row r="46">
          <cell r="A46" t="str">
            <v>W10655120</v>
          </cell>
        </row>
        <row r="47">
          <cell r="A47" t="str">
            <v>W10655121</v>
          </cell>
        </row>
        <row r="48">
          <cell r="A48" t="str">
            <v>W10661343</v>
          </cell>
        </row>
        <row r="49">
          <cell r="A49" t="str">
            <v>W10661829</v>
          </cell>
        </row>
        <row r="50">
          <cell r="A50" t="str">
            <v>W10672816</v>
          </cell>
        </row>
        <row r="51">
          <cell r="A51" t="str">
            <v>W10672820</v>
          </cell>
        </row>
        <row r="52">
          <cell r="A52" t="str">
            <v>W10673299</v>
          </cell>
        </row>
        <row r="53">
          <cell r="A53" t="str">
            <v>W10674850</v>
          </cell>
        </row>
        <row r="54">
          <cell r="A54" t="str">
            <v>W10677260</v>
          </cell>
        </row>
        <row r="55">
          <cell r="A55" t="str">
            <v>W10677261</v>
          </cell>
        </row>
        <row r="56">
          <cell r="A56" t="str">
            <v>W10679136</v>
          </cell>
        </row>
        <row r="57">
          <cell r="A57" t="str">
            <v>W10682572</v>
          </cell>
        </row>
        <row r="58">
          <cell r="A58" t="str">
            <v>W10686585</v>
          </cell>
        </row>
        <row r="59">
          <cell r="A59" t="str">
            <v>W10686587</v>
          </cell>
        </row>
        <row r="60">
          <cell r="A60" t="str">
            <v>W10691654</v>
          </cell>
        </row>
        <row r="61">
          <cell r="A61" t="str">
            <v>W10694416</v>
          </cell>
        </row>
        <row r="62">
          <cell r="A62" t="str">
            <v>W10699981</v>
          </cell>
        </row>
        <row r="63">
          <cell r="A63" t="str">
            <v>W10702019</v>
          </cell>
        </row>
        <row r="64">
          <cell r="A64" t="str">
            <v>W10703510</v>
          </cell>
        </row>
        <row r="65">
          <cell r="A65" t="str">
            <v>W10703613</v>
          </cell>
        </row>
        <row r="66">
          <cell r="A66" t="str">
            <v>W10704805</v>
          </cell>
        </row>
        <row r="67">
          <cell r="A67" t="str">
            <v>W10705255</v>
          </cell>
        </row>
        <row r="68">
          <cell r="A68" t="str">
            <v>W10705286</v>
          </cell>
        </row>
        <row r="69">
          <cell r="A69" t="str">
            <v>W10706398</v>
          </cell>
        </row>
        <row r="70">
          <cell r="A70" t="str">
            <v>W10710121</v>
          </cell>
        </row>
        <row r="71">
          <cell r="A71" t="str">
            <v>W10710606</v>
          </cell>
        </row>
        <row r="72">
          <cell r="A72" t="str">
            <v>W10713714</v>
          </cell>
        </row>
        <row r="73">
          <cell r="A73" t="str">
            <v>W10715814</v>
          </cell>
        </row>
        <row r="74">
          <cell r="A74" t="str">
            <v>W10716069</v>
          </cell>
        </row>
        <row r="75">
          <cell r="A75" t="str">
            <v>W10716679</v>
          </cell>
        </row>
        <row r="76">
          <cell r="A76" t="str">
            <v>W10716681</v>
          </cell>
        </row>
        <row r="77">
          <cell r="A77" t="str">
            <v>W10717791</v>
          </cell>
        </row>
        <row r="78">
          <cell r="A78" t="str">
            <v>W10717792</v>
          </cell>
        </row>
        <row r="79">
          <cell r="A79" t="str">
            <v>W10717793</v>
          </cell>
        </row>
        <row r="80">
          <cell r="A80" t="str">
            <v>W10718075</v>
          </cell>
        </row>
        <row r="81">
          <cell r="A81" t="str">
            <v>W10718167</v>
          </cell>
        </row>
        <row r="82">
          <cell r="A82" t="str">
            <v>W10718173</v>
          </cell>
        </row>
        <row r="83">
          <cell r="A83" t="str">
            <v>W10718177</v>
          </cell>
        </row>
        <row r="84">
          <cell r="A84" t="str">
            <v>W10718178</v>
          </cell>
        </row>
        <row r="85">
          <cell r="A85" t="str">
            <v>W10719069</v>
          </cell>
        </row>
        <row r="86">
          <cell r="A86" t="str">
            <v>W10724998</v>
          </cell>
        </row>
        <row r="87">
          <cell r="A87" t="str">
            <v>W10725000</v>
          </cell>
        </row>
        <row r="88">
          <cell r="A88" t="str">
            <v>W10725483</v>
          </cell>
        </row>
        <row r="89">
          <cell r="A89" t="str">
            <v>W10734499</v>
          </cell>
        </row>
        <row r="90">
          <cell r="A90" t="str">
            <v>W10741520</v>
          </cell>
        </row>
        <row r="91">
          <cell r="A91" t="str">
            <v>W10748096</v>
          </cell>
        </row>
        <row r="92">
          <cell r="A92" t="str">
            <v>W10749069</v>
          </cell>
        </row>
        <row r="93">
          <cell r="A93" t="str">
            <v>W10750540</v>
          </cell>
        </row>
        <row r="94">
          <cell r="A94" t="str">
            <v>W10751509</v>
          </cell>
        </row>
        <row r="95">
          <cell r="A95" t="str">
            <v>W10756449</v>
          </cell>
        </row>
        <row r="96">
          <cell r="A96" t="str">
            <v>W10760338</v>
          </cell>
        </row>
        <row r="97">
          <cell r="A97" t="str">
            <v>W10763062</v>
          </cell>
        </row>
        <row r="98">
          <cell r="A98" t="str">
            <v>W10763437</v>
          </cell>
        </row>
        <row r="99">
          <cell r="A99" t="str">
            <v>W10763441</v>
          </cell>
        </row>
        <row r="100">
          <cell r="A100" t="str">
            <v>W10763489</v>
          </cell>
        </row>
        <row r="101">
          <cell r="A101" t="str">
            <v>W10763490</v>
          </cell>
        </row>
        <row r="102">
          <cell r="A102" t="str">
            <v>W10770058</v>
          </cell>
        </row>
        <row r="103">
          <cell r="A103" t="str">
            <v>W10772017</v>
          </cell>
        </row>
        <row r="104">
          <cell r="A104" t="str">
            <v>W10772018</v>
          </cell>
        </row>
        <row r="105">
          <cell r="A105" t="str">
            <v>W10777493</v>
          </cell>
        </row>
        <row r="106">
          <cell r="A106" t="str">
            <v>W10777926</v>
          </cell>
        </row>
        <row r="107">
          <cell r="A107" t="str">
            <v>W10777932</v>
          </cell>
        </row>
        <row r="108">
          <cell r="A108" t="str">
            <v>W10777934</v>
          </cell>
        </row>
        <row r="109">
          <cell r="A109" t="str">
            <v>W10803373</v>
          </cell>
        </row>
        <row r="110">
          <cell r="A110" t="str">
            <v>W10804239</v>
          </cell>
        </row>
        <row r="111">
          <cell r="A111" t="str">
            <v>W10804305</v>
          </cell>
        </row>
        <row r="112">
          <cell r="A112" t="str">
            <v>W10804329</v>
          </cell>
        </row>
        <row r="113">
          <cell r="A113" t="str">
            <v>W10817342</v>
          </cell>
        </row>
        <row r="114">
          <cell r="A114" t="str">
            <v>W10821148</v>
          </cell>
        </row>
        <row r="115">
          <cell r="A115" t="str">
            <v>W10826066</v>
          </cell>
        </row>
        <row r="116">
          <cell r="A116" t="str">
            <v>W10840431</v>
          </cell>
        </row>
        <row r="117">
          <cell r="A117" t="str">
            <v>W10845136</v>
          </cell>
        </row>
        <row r="118">
          <cell r="A118" t="str">
            <v>W10847201</v>
          </cell>
        </row>
        <row r="119">
          <cell r="A119" t="str">
            <v>W10849164</v>
          </cell>
        </row>
        <row r="120">
          <cell r="A120" t="str">
            <v>W10850803</v>
          </cell>
        </row>
        <row r="121">
          <cell r="A121" t="str">
            <v>W10851242</v>
          </cell>
        </row>
        <row r="122">
          <cell r="A122" t="str">
            <v>W10856689</v>
          </cell>
        </row>
        <row r="123">
          <cell r="A123" t="str">
            <v>W10862937</v>
          </cell>
        </row>
        <row r="124">
          <cell r="A124" t="str">
            <v>W10863528</v>
          </cell>
        </row>
        <row r="125">
          <cell r="A125" t="str">
            <v>W10866946</v>
          </cell>
        </row>
        <row r="126">
          <cell r="A126" t="str">
            <v>W10872849</v>
          </cell>
        </row>
        <row r="127">
          <cell r="A127" t="str">
            <v>W10872851</v>
          </cell>
        </row>
        <row r="128">
          <cell r="A128" t="str">
            <v>W10872853</v>
          </cell>
        </row>
        <row r="129">
          <cell r="A129" t="str">
            <v>W10873928</v>
          </cell>
        </row>
        <row r="130">
          <cell r="A130" t="str">
            <v>W10873962</v>
          </cell>
        </row>
        <row r="131">
          <cell r="A131" t="str">
            <v>W10876922</v>
          </cell>
        </row>
        <row r="132">
          <cell r="A132" t="str">
            <v>W10883720</v>
          </cell>
        </row>
        <row r="133">
          <cell r="A133" t="str">
            <v>W10883722</v>
          </cell>
        </row>
        <row r="134">
          <cell r="A134" t="str">
            <v>W10883723</v>
          </cell>
        </row>
        <row r="135">
          <cell r="A135" t="str">
            <v>W10883724</v>
          </cell>
        </row>
        <row r="136">
          <cell r="A136" t="str">
            <v>W10883727</v>
          </cell>
        </row>
        <row r="137">
          <cell r="A137" t="str">
            <v>W10883730</v>
          </cell>
        </row>
        <row r="138">
          <cell r="A138" t="str">
            <v>W10885565</v>
          </cell>
        </row>
        <row r="139">
          <cell r="A139" t="str">
            <v>W10888140</v>
          </cell>
        </row>
        <row r="140">
          <cell r="A140" t="str">
            <v>W10888142</v>
          </cell>
        </row>
        <row r="141">
          <cell r="A141" t="str">
            <v>W10888143</v>
          </cell>
        </row>
        <row r="142">
          <cell r="A142" t="str">
            <v>W10890629</v>
          </cell>
        </row>
        <row r="143">
          <cell r="A143" t="str">
            <v>W10892218</v>
          </cell>
        </row>
        <row r="144">
          <cell r="A144" t="str">
            <v>W10892220</v>
          </cell>
        </row>
        <row r="145">
          <cell r="A145" t="str">
            <v>W10892221</v>
          </cell>
        </row>
        <row r="146">
          <cell r="A146" t="str">
            <v>W10915832</v>
          </cell>
        </row>
        <row r="147">
          <cell r="A147" t="str">
            <v>W10917031</v>
          </cell>
        </row>
        <row r="148">
          <cell r="A148" t="str">
            <v>W10917614</v>
          </cell>
        </row>
        <row r="149">
          <cell r="A149" t="str">
            <v>W11026576</v>
          </cell>
        </row>
        <row r="150">
          <cell r="A150" t="str">
            <v>W11034433</v>
          </cell>
        </row>
        <row r="151">
          <cell r="A151" t="str">
            <v>W11035715</v>
          </cell>
        </row>
        <row r="152">
          <cell r="A152" t="str">
            <v>W11036799</v>
          </cell>
        </row>
        <row r="153">
          <cell r="A153" t="str">
            <v>W11043931</v>
          </cell>
        </row>
        <row r="154">
          <cell r="A154" t="str">
            <v>W11094445</v>
          </cell>
        </row>
        <row r="155">
          <cell r="A155" t="str">
            <v>W11101821</v>
          </cell>
        </row>
        <row r="156">
          <cell r="A156" t="str">
            <v>W11104317</v>
          </cell>
        </row>
        <row r="157">
          <cell r="A157" t="str">
            <v>W11109356</v>
          </cell>
        </row>
        <row r="158">
          <cell r="A158" t="str">
            <v>W11121971</v>
          </cell>
        </row>
        <row r="159">
          <cell r="A159" t="str">
            <v>W11125005</v>
          </cell>
        </row>
        <row r="160">
          <cell r="A160" t="str">
            <v>W11125022</v>
          </cell>
        </row>
        <row r="161">
          <cell r="A161" t="str">
            <v>W11125956</v>
          </cell>
        </row>
        <row r="162">
          <cell r="A162" t="str">
            <v>W11125982</v>
          </cell>
        </row>
        <row r="163">
          <cell r="A163" t="str">
            <v>W11130596</v>
          </cell>
        </row>
        <row r="164">
          <cell r="A164" t="str">
            <v>W11131127</v>
          </cell>
        </row>
        <row r="165">
          <cell r="A165" t="str">
            <v>W11133233</v>
          </cell>
        </row>
        <row r="166">
          <cell r="A166" t="str">
            <v>W11133652</v>
          </cell>
        </row>
        <row r="167">
          <cell r="A167" t="str">
            <v>W11134060</v>
          </cell>
        </row>
        <row r="168">
          <cell r="A168" t="str">
            <v>W11134859</v>
          </cell>
        </row>
        <row r="169">
          <cell r="A169" t="str">
            <v>W11134931</v>
          </cell>
        </row>
        <row r="170">
          <cell r="A170" t="str">
            <v>W11135576</v>
          </cell>
        </row>
        <row r="171">
          <cell r="A171" t="str">
            <v>W11156660</v>
          </cell>
        </row>
        <row r="172">
          <cell r="A172" t="str">
            <v>W11160690</v>
          </cell>
        </row>
        <row r="173">
          <cell r="A173" t="str">
            <v>W11161446</v>
          </cell>
        </row>
        <row r="174">
          <cell r="A174" t="str">
            <v>W11175874</v>
          </cell>
        </row>
        <row r="175">
          <cell r="A175" t="str">
            <v>W11175939</v>
          </cell>
        </row>
        <row r="176">
          <cell r="A176" t="str">
            <v>W11176258</v>
          </cell>
        </row>
        <row r="177">
          <cell r="A177" t="str">
            <v>W11176259</v>
          </cell>
        </row>
        <row r="178">
          <cell r="A178" t="str">
            <v>W11184185</v>
          </cell>
        </row>
        <row r="179">
          <cell r="A179" t="str">
            <v>W11193830</v>
          </cell>
        </row>
        <row r="180">
          <cell r="A180" t="str">
            <v>W11195520</v>
          </cell>
        </row>
        <row r="181">
          <cell r="A181" t="str">
            <v>W11195521</v>
          </cell>
        </row>
        <row r="182">
          <cell r="A182" t="str">
            <v>W11195522</v>
          </cell>
        </row>
        <row r="183">
          <cell r="A183" t="str">
            <v>W11210490</v>
          </cell>
        </row>
        <row r="184">
          <cell r="A184" t="str">
            <v>W11210491</v>
          </cell>
        </row>
        <row r="185">
          <cell r="A185" t="str">
            <v>W11223643</v>
          </cell>
        </row>
        <row r="186">
          <cell r="A186" t="str">
            <v>W11223649</v>
          </cell>
        </row>
        <row r="187">
          <cell r="A187" t="str">
            <v>W11225676</v>
          </cell>
        </row>
        <row r="188">
          <cell r="A188" t="str">
            <v>W11230091</v>
          </cell>
        </row>
        <row r="189">
          <cell r="A189" t="str">
            <v>W11230602</v>
          </cell>
        </row>
        <row r="190">
          <cell r="A190" t="str">
            <v>W11238767</v>
          </cell>
        </row>
        <row r="191">
          <cell r="A191" t="str">
            <v>W11245133</v>
          </cell>
        </row>
        <row r="192">
          <cell r="A192" t="str">
            <v>W11245143</v>
          </cell>
        </row>
        <row r="193">
          <cell r="A193" t="str">
            <v>W11246293</v>
          </cell>
        </row>
        <row r="194">
          <cell r="A194" t="str">
            <v>W11250152</v>
          </cell>
        </row>
        <row r="195">
          <cell r="A195" t="str">
            <v>W11254879</v>
          </cell>
        </row>
        <row r="196">
          <cell r="A196" t="str">
            <v>W11262421</v>
          </cell>
        </row>
        <row r="197">
          <cell r="A197" t="str">
            <v>W11265178</v>
          </cell>
        </row>
        <row r="198">
          <cell r="A198" t="str">
            <v>W11266042</v>
          </cell>
        </row>
        <row r="199">
          <cell r="A199" t="str">
            <v>W11287572</v>
          </cell>
        </row>
        <row r="200">
          <cell r="A200" t="str">
            <v>W11287573</v>
          </cell>
        </row>
        <row r="201">
          <cell r="A201" t="str">
            <v>W11287574</v>
          </cell>
        </row>
        <row r="202">
          <cell r="A202" t="str">
            <v>W11296042</v>
          </cell>
        </row>
        <row r="203">
          <cell r="A203" t="str">
            <v>W11316689</v>
          </cell>
        </row>
        <row r="204">
          <cell r="A204" t="str">
            <v>W11316690</v>
          </cell>
        </row>
        <row r="205">
          <cell r="A205" t="str">
            <v>W11319301</v>
          </cell>
        </row>
        <row r="206">
          <cell r="A206" t="str">
            <v>W11324355</v>
          </cell>
        </row>
        <row r="207">
          <cell r="A207" t="str">
            <v>W11337740</v>
          </cell>
        </row>
        <row r="208">
          <cell r="A208" t="str">
            <v>W11344664</v>
          </cell>
        </row>
        <row r="209">
          <cell r="A209" t="str">
            <v>W11345202</v>
          </cell>
        </row>
        <row r="210">
          <cell r="A210" t="str">
            <v>W11345203</v>
          </cell>
        </row>
        <row r="211">
          <cell r="A211" t="str">
            <v>W11345206</v>
          </cell>
        </row>
        <row r="212">
          <cell r="A212" t="str">
            <v>W11347692</v>
          </cell>
        </row>
        <row r="213">
          <cell r="A213" t="str">
            <v>W11351742</v>
          </cell>
        </row>
        <row r="214">
          <cell r="A214" t="str">
            <v>W11351945</v>
          </cell>
        </row>
        <row r="215">
          <cell r="A215" t="str">
            <v>W11351948</v>
          </cell>
        </row>
        <row r="216">
          <cell r="A216" t="str">
            <v>W11351950</v>
          </cell>
        </row>
        <row r="217">
          <cell r="A217" t="str">
            <v>W11351954</v>
          </cell>
        </row>
        <row r="218">
          <cell r="A218" t="str">
            <v>W11351956</v>
          </cell>
        </row>
        <row r="219">
          <cell r="A219" t="str">
            <v>W11353094</v>
          </cell>
        </row>
        <row r="220">
          <cell r="A220" t="str">
            <v>W11361021</v>
          </cell>
        </row>
        <row r="221">
          <cell r="A221" t="str">
            <v>W11369694</v>
          </cell>
        </row>
        <row r="222">
          <cell r="A222" t="str">
            <v>W11369695</v>
          </cell>
        </row>
        <row r="223">
          <cell r="A223" t="str">
            <v>W11374778</v>
          </cell>
        </row>
        <row r="224">
          <cell r="A224" t="str">
            <v>W11374781</v>
          </cell>
        </row>
        <row r="225">
          <cell r="A225" t="str">
            <v>W11374800</v>
          </cell>
        </row>
        <row r="226">
          <cell r="A226" t="str">
            <v>W11382983</v>
          </cell>
        </row>
        <row r="227">
          <cell r="A227" t="str">
            <v>W11383451</v>
          </cell>
        </row>
        <row r="228">
          <cell r="A228" t="str">
            <v>W11383452</v>
          </cell>
        </row>
        <row r="229">
          <cell r="A229" t="str">
            <v>W11392678</v>
          </cell>
        </row>
        <row r="230">
          <cell r="A230" t="str">
            <v>W11399409</v>
          </cell>
        </row>
        <row r="231">
          <cell r="A231" t="str">
            <v>W11401376</v>
          </cell>
        </row>
        <row r="232">
          <cell r="A232" t="str">
            <v>W11401379</v>
          </cell>
        </row>
        <row r="233">
          <cell r="A233" t="str">
            <v>W11401383</v>
          </cell>
        </row>
        <row r="234">
          <cell r="A234" t="str">
            <v>W11401384</v>
          </cell>
        </row>
        <row r="235">
          <cell r="A235" t="str">
            <v>W11401479</v>
          </cell>
        </row>
        <row r="236">
          <cell r="A236" t="str">
            <v>W11403890</v>
          </cell>
        </row>
        <row r="237">
          <cell r="A237" t="str">
            <v>W11403891</v>
          </cell>
        </row>
        <row r="238">
          <cell r="A238" t="str">
            <v>W11411580</v>
          </cell>
        </row>
        <row r="239">
          <cell r="A239" t="str">
            <v>W11416424</v>
          </cell>
        </row>
        <row r="240">
          <cell r="A240" t="str">
            <v>W11416433</v>
          </cell>
        </row>
        <row r="241">
          <cell r="A241" t="str">
            <v>W11428263</v>
          </cell>
        </row>
        <row r="242">
          <cell r="A242" t="str">
            <v>W11428264</v>
          </cell>
        </row>
        <row r="243">
          <cell r="A243" t="str">
            <v>W11432742</v>
          </cell>
        </row>
        <row r="244">
          <cell r="A244" t="str">
            <v>W11432747</v>
          </cell>
        </row>
        <row r="245">
          <cell r="A245" t="str">
            <v>W11432760</v>
          </cell>
        </row>
        <row r="246">
          <cell r="A246" t="str">
            <v>W11433901</v>
          </cell>
        </row>
        <row r="247">
          <cell r="A247" t="str">
            <v>W11433903</v>
          </cell>
        </row>
        <row r="248">
          <cell r="A248" t="str">
            <v>W11433905</v>
          </cell>
        </row>
        <row r="249">
          <cell r="A249" t="str">
            <v>W11435989</v>
          </cell>
        </row>
        <row r="250">
          <cell r="A250" t="str">
            <v>W11447785</v>
          </cell>
        </row>
        <row r="251">
          <cell r="A251" t="str">
            <v>W11448282</v>
          </cell>
        </row>
        <row r="252">
          <cell r="A252" t="str">
            <v>W11448283</v>
          </cell>
        </row>
        <row r="253">
          <cell r="A253" t="str">
            <v>W11452385</v>
          </cell>
        </row>
        <row r="254">
          <cell r="A254" t="str">
            <v>W11456172</v>
          </cell>
        </row>
        <row r="255">
          <cell r="A255" t="str">
            <v>W11463922</v>
          </cell>
        </row>
        <row r="256">
          <cell r="A256" t="str">
            <v>W11466974</v>
          </cell>
        </row>
        <row r="257">
          <cell r="A257" t="str">
            <v>W11475769</v>
          </cell>
        </row>
        <row r="258">
          <cell r="A258" t="str">
            <v>W11475770</v>
          </cell>
        </row>
        <row r="259">
          <cell r="A259" t="str">
            <v>W11477318</v>
          </cell>
        </row>
        <row r="260">
          <cell r="A260" t="str">
            <v>W11477319</v>
          </cell>
        </row>
        <row r="261">
          <cell r="A261" t="str">
            <v>W11483973</v>
          </cell>
        </row>
        <row r="262">
          <cell r="A262" t="str">
            <v>W11483974</v>
          </cell>
        </row>
        <row r="263">
          <cell r="A263" t="str">
            <v>W11483975</v>
          </cell>
        </row>
        <row r="264">
          <cell r="A264" t="str">
            <v>W11483976</v>
          </cell>
        </row>
        <row r="265">
          <cell r="A265" t="str">
            <v>W11483986</v>
          </cell>
        </row>
        <row r="266">
          <cell r="A266" t="str">
            <v>W11486068</v>
          </cell>
        </row>
        <row r="267">
          <cell r="A267" t="str">
            <v>W11486504</v>
          </cell>
        </row>
        <row r="268">
          <cell r="A268" t="str">
            <v>W11486506</v>
          </cell>
        </row>
        <row r="269">
          <cell r="A269" t="str">
            <v>W11486735</v>
          </cell>
        </row>
        <row r="270">
          <cell r="A270" t="str">
            <v>W11486744</v>
          </cell>
        </row>
        <row r="271">
          <cell r="A271" t="str">
            <v>W11487591</v>
          </cell>
        </row>
        <row r="272">
          <cell r="A272" t="str">
            <v>W11487592</v>
          </cell>
        </row>
        <row r="273">
          <cell r="A273" t="str">
            <v>W11489405</v>
          </cell>
        </row>
        <row r="274">
          <cell r="A274" t="str">
            <v>W11489406</v>
          </cell>
        </row>
        <row r="275">
          <cell r="A275" t="str">
            <v>W11489407</v>
          </cell>
        </row>
        <row r="276">
          <cell r="A276" t="str">
            <v>W11489408</v>
          </cell>
        </row>
        <row r="277">
          <cell r="A277" t="str">
            <v>W11490321</v>
          </cell>
        </row>
        <row r="278">
          <cell r="A278" t="str">
            <v>W11490324</v>
          </cell>
        </row>
        <row r="279">
          <cell r="A279" t="str">
            <v>W11491686</v>
          </cell>
        </row>
        <row r="280">
          <cell r="A280" t="str">
            <v>W11491726</v>
          </cell>
        </row>
        <row r="281">
          <cell r="A281" t="str">
            <v>W11491759</v>
          </cell>
        </row>
        <row r="282">
          <cell r="A282" t="str">
            <v>W11491760</v>
          </cell>
        </row>
        <row r="283">
          <cell r="A283" t="str">
            <v>W11491761</v>
          </cell>
        </row>
        <row r="284">
          <cell r="A284" t="str">
            <v>W11491763</v>
          </cell>
        </row>
        <row r="285">
          <cell r="A285" t="str">
            <v>W11491987</v>
          </cell>
        </row>
        <row r="286">
          <cell r="A286" t="str">
            <v>W11491988</v>
          </cell>
        </row>
        <row r="287">
          <cell r="A287" t="str">
            <v>W11491990</v>
          </cell>
        </row>
        <row r="288">
          <cell r="A288" t="str">
            <v>W11491991</v>
          </cell>
        </row>
        <row r="289">
          <cell r="A289" t="str">
            <v>W11491992</v>
          </cell>
        </row>
        <row r="290">
          <cell r="A290" t="str">
            <v>W11491993</v>
          </cell>
        </row>
        <row r="291">
          <cell r="A291" t="str">
            <v>W11491994</v>
          </cell>
        </row>
        <row r="292">
          <cell r="A292" t="str">
            <v>W11491995</v>
          </cell>
        </row>
        <row r="293">
          <cell r="A293" t="str">
            <v>W11491997</v>
          </cell>
        </row>
        <row r="294">
          <cell r="A294" t="str">
            <v>W11491999</v>
          </cell>
        </row>
        <row r="295">
          <cell r="A295" t="str">
            <v>W11492000</v>
          </cell>
        </row>
        <row r="296">
          <cell r="A296" t="str">
            <v>W11493046</v>
          </cell>
        </row>
        <row r="297">
          <cell r="A297" t="str">
            <v>W11496613</v>
          </cell>
        </row>
        <row r="298">
          <cell r="A298" t="str">
            <v>W11496614</v>
          </cell>
        </row>
        <row r="299">
          <cell r="A299" t="str">
            <v>W11496615</v>
          </cell>
        </row>
        <row r="300">
          <cell r="A300" t="str">
            <v>W11496616</v>
          </cell>
        </row>
        <row r="301">
          <cell r="A301" t="str">
            <v>W11497938</v>
          </cell>
        </row>
        <row r="302">
          <cell r="A302" t="str">
            <v>W11498561</v>
          </cell>
        </row>
        <row r="303">
          <cell r="A303" t="str">
            <v>W11498562</v>
          </cell>
        </row>
        <row r="304">
          <cell r="A304" t="str">
            <v>W11499432</v>
          </cell>
        </row>
        <row r="305">
          <cell r="A305" t="str">
            <v>W11500968</v>
          </cell>
        </row>
        <row r="306">
          <cell r="A306" t="str">
            <v>W11500972</v>
          </cell>
        </row>
        <row r="307">
          <cell r="A307" t="str">
            <v>W11500975</v>
          </cell>
        </row>
        <row r="308">
          <cell r="A308" t="str">
            <v>W11500979</v>
          </cell>
        </row>
        <row r="309">
          <cell r="A309" t="str">
            <v>W11500988</v>
          </cell>
        </row>
        <row r="310">
          <cell r="A310" t="str">
            <v>W11501420</v>
          </cell>
        </row>
        <row r="311">
          <cell r="A311" t="str">
            <v>W11501424</v>
          </cell>
        </row>
        <row r="312">
          <cell r="A312" t="str">
            <v>W11501470</v>
          </cell>
        </row>
        <row r="313">
          <cell r="A313" t="str">
            <v>W11501474</v>
          </cell>
        </row>
        <row r="314">
          <cell r="A314" t="str">
            <v>W11501475</v>
          </cell>
        </row>
        <row r="315">
          <cell r="A315" t="str">
            <v>W11501477</v>
          </cell>
        </row>
        <row r="316">
          <cell r="A316" t="str">
            <v>W11501478</v>
          </cell>
        </row>
        <row r="317">
          <cell r="A317" t="str">
            <v>W11501481</v>
          </cell>
        </row>
        <row r="318">
          <cell r="A318" t="str">
            <v>W11501485</v>
          </cell>
        </row>
        <row r="319">
          <cell r="A319" t="str">
            <v>W11501486</v>
          </cell>
        </row>
        <row r="320">
          <cell r="A320" t="str">
            <v>W11501490</v>
          </cell>
        </row>
        <row r="321">
          <cell r="A321" t="str">
            <v>W11501566</v>
          </cell>
        </row>
        <row r="322">
          <cell r="A322" t="str">
            <v>W11501567</v>
          </cell>
        </row>
        <row r="323">
          <cell r="A323" t="str">
            <v>W11501568</v>
          </cell>
        </row>
        <row r="324">
          <cell r="A324" t="str">
            <v>W11501569</v>
          </cell>
        </row>
        <row r="325">
          <cell r="A325" t="str">
            <v>W11501570</v>
          </cell>
        </row>
        <row r="326">
          <cell r="A326" t="str">
            <v>W11501571</v>
          </cell>
        </row>
        <row r="327">
          <cell r="A327" t="str">
            <v>W11501577</v>
          </cell>
        </row>
        <row r="328">
          <cell r="A328" t="str">
            <v>W11501897</v>
          </cell>
        </row>
        <row r="329">
          <cell r="A329" t="str">
            <v>W11501898</v>
          </cell>
        </row>
        <row r="330">
          <cell r="A330" t="str">
            <v>W11502142</v>
          </cell>
        </row>
        <row r="331">
          <cell r="A331" t="str">
            <v>W11502144</v>
          </cell>
        </row>
        <row r="332">
          <cell r="A332" t="str">
            <v>W11502145</v>
          </cell>
        </row>
        <row r="333">
          <cell r="A333" t="str">
            <v>W11502146</v>
          </cell>
        </row>
        <row r="334">
          <cell r="A334" t="str">
            <v>W11502148</v>
          </cell>
        </row>
        <row r="335">
          <cell r="A335" t="str">
            <v>W11502149</v>
          </cell>
        </row>
        <row r="336">
          <cell r="A336" t="str">
            <v>W11502151</v>
          </cell>
        </row>
        <row r="337">
          <cell r="A337" t="str">
            <v>W11502152</v>
          </cell>
        </row>
        <row r="338">
          <cell r="A338" t="str">
            <v>W11502153</v>
          </cell>
        </row>
        <row r="339">
          <cell r="A339" t="str">
            <v>W11502155</v>
          </cell>
        </row>
        <row r="340">
          <cell r="A340" t="str">
            <v>W11502214</v>
          </cell>
        </row>
        <row r="341">
          <cell r="A341" t="str">
            <v>W11502215</v>
          </cell>
        </row>
        <row r="342">
          <cell r="A342" t="str">
            <v>W11502216</v>
          </cell>
        </row>
        <row r="343">
          <cell r="A343" t="str">
            <v>W11502219</v>
          </cell>
        </row>
        <row r="344">
          <cell r="A344" t="str">
            <v>W11502220</v>
          </cell>
        </row>
        <row r="345">
          <cell r="A345" t="str">
            <v>W11502600</v>
          </cell>
        </row>
        <row r="346">
          <cell r="A346" t="str">
            <v>W11502601</v>
          </cell>
        </row>
        <row r="347">
          <cell r="A347" t="str">
            <v>W11502608</v>
          </cell>
        </row>
        <row r="348">
          <cell r="A348" t="str">
            <v>W11502616</v>
          </cell>
        </row>
        <row r="349">
          <cell r="A349" t="str">
            <v>W11502760</v>
          </cell>
        </row>
        <row r="350">
          <cell r="A350" t="str">
            <v>W11503273</v>
          </cell>
        </row>
        <row r="351">
          <cell r="A351" t="str">
            <v>W11503274</v>
          </cell>
        </row>
        <row r="352">
          <cell r="A352" t="str">
            <v>W11503279</v>
          </cell>
        </row>
        <row r="353">
          <cell r="A353" t="str">
            <v>W11503285</v>
          </cell>
        </row>
        <row r="354">
          <cell r="A354" t="str">
            <v>W11514267</v>
          </cell>
        </row>
        <row r="355">
          <cell r="A355" t="str">
            <v>W11514269</v>
          </cell>
        </row>
        <row r="356">
          <cell r="A356" t="str">
            <v>W11514270</v>
          </cell>
        </row>
        <row r="357">
          <cell r="A357" t="str">
            <v>W11514272</v>
          </cell>
        </row>
        <row r="358">
          <cell r="A358" t="str">
            <v>W11515777</v>
          </cell>
        </row>
        <row r="359">
          <cell r="A359" t="str">
            <v>W11519083</v>
          </cell>
        </row>
        <row r="360">
          <cell r="A360" t="str">
            <v>W11519084</v>
          </cell>
        </row>
        <row r="361">
          <cell r="A361" t="str">
            <v>W11519086</v>
          </cell>
        </row>
        <row r="362">
          <cell r="A362" t="str">
            <v>W11520036</v>
          </cell>
        </row>
        <row r="363">
          <cell r="A363" t="str">
            <v>W11520671</v>
          </cell>
        </row>
        <row r="364">
          <cell r="A364" t="str">
            <v>W11521723</v>
          </cell>
        </row>
        <row r="365">
          <cell r="A365" t="str">
            <v>W11521727</v>
          </cell>
        </row>
        <row r="366">
          <cell r="A366" t="str">
            <v>W11522618</v>
          </cell>
        </row>
        <row r="367">
          <cell r="A367" t="str">
            <v>W11522619</v>
          </cell>
        </row>
        <row r="368">
          <cell r="A368" t="str">
            <v>W11524506</v>
          </cell>
        </row>
        <row r="369">
          <cell r="A369" t="str">
            <v>W11524675</v>
          </cell>
        </row>
        <row r="370">
          <cell r="A370" t="str">
            <v>W11525592</v>
          </cell>
        </row>
        <row r="371">
          <cell r="A371" t="str">
            <v>W11525594</v>
          </cell>
        </row>
        <row r="372">
          <cell r="A372" t="str">
            <v>W11525916</v>
          </cell>
        </row>
        <row r="373">
          <cell r="A373" t="str">
            <v>W11526356</v>
          </cell>
        </row>
        <row r="374">
          <cell r="A374" t="str">
            <v>W11531804</v>
          </cell>
        </row>
        <row r="375">
          <cell r="A375" t="str">
            <v>W11535808</v>
          </cell>
        </row>
        <row r="376">
          <cell r="A376" t="str">
            <v>W11535999</v>
          </cell>
        </row>
        <row r="377">
          <cell r="A377" t="str">
            <v>W11536005</v>
          </cell>
        </row>
        <row r="378">
          <cell r="A378" t="str">
            <v>W11539825</v>
          </cell>
        </row>
        <row r="379">
          <cell r="A379" t="str">
            <v>W11541521</v>
          </cell>
        </row>
        <row r="380">
          <cell r="A380" t="str">
            <v>W11542236</v>
          </cell>
        </row>
        <row r="381">
          <cell r="A381" t="str">
            <v>W11543440</v>
          </cell>
        </row>
        <row r="382">
          <cell r="A382" t="str">
            <v>W11546471</v>
          </cell>
        </row>
        <row r="383">
          <cell r="A383" t="str">
            <v>W11546472</v>
          </cell>
        </row>
        <row r="384">
          <cell r="A384" t="str">
            <v>W11546473</v>
          </cell>
        </row>
        <row r="385">
          <cell r="A385" t="str">
            <v>W11547341</v>
          </cell>
        </row>
        <row r="386">
          <cell r="A386" t="str">
            <v>W11547823</v>
          </cell>
        </row>
        <row r="387">
          <cell r="A387" t="str">
            <v>W11547824</v>
          </cell>
        </row>
        <row r="388">
          <cell r="A388" t="str">
            <v>W11548046</v>
          </cell>
        </row>
        <row r="389">
          <cell r="A389" t="str">
            <v>W11548049</v>
          </cell>
        </row>
        <row r="390">
          <cell r="A390" t="str">
            <v>W11548416</v>
          </cell>
        </row>
        <row r="391">
          <cell r="A391" t="str">
            <v>W11548420</v>
          </cell>
        </row>
        <row r="392">
          <cell r="A392" t="str">
            <v>W11548561</v>
          </cell>
        </row>
        <row r="393">
          <cell r="A393" t="str">
            <v>W11548563</v>
          </cell>
        </row>
        <row r="394">
          <cell r="A394" t="str">
            <v>W11548651</v>
          </cell>
        </row>
        <row r="395">
          <cell r="A395" t="str">
            <v>W11548729</v>
          </cell>
        </row>
        <row r="396">
          <cell r="A396" t="str">
            <v>W11548734</v>
          </cell>
        </row>
        <row r="397">
          <cell r="A397" t="str">
            <v>W11548735</v>
          </cell>
        </row>
        <row r="398">
          <cell r="A398" t="str">
            <v>W11550829</v>
          </cell>
        </row>
        <row r="399">
          <cell r="A399" t="str">
            <v>W11551254</v>
          </cell>
        </row>
        <row r="400">
          <cell r="A400" t="str">
            <v>W11552073</v>
          </cell>
        </row>
        <row r="401">
          <cell r="A401" t="str">
            <v>W11552554</v>
          </cell>
        </row>
        <row r="402">
          <cell r="A402" t="str">
            <v>W11552555</v>
          </cell>
        </row>
        <row r="403">
          <cell r="A403" t="str">
            <v>W11553515</v>
          </cell>
        </row>
        <row r="404">
          <cell r="A404" t="str">
            <v>W11554561</v>
          </cell>
        </row>
        <row r="405">
          <cell r="A405" t="str">
            <v>W11554576</v>
          </cell>
        </row>
        <row r="406">
          <cell r="A406" t="str">
            <v>W11561657</v>
          </cell>
        </row>
        <row r="407">
          <cell r="A407" t="str">
            <v>W11563286</v>
          </cell>
        </row>
        <row r="408">
          <cell r="A408" t="str">
            <v>W11563288</v>
          </cell>
        </row>
        <row r="409">
          <cell r="A409" t="str">
            <v>W11568113</v>
          </cell>
        </row>
        <row r="410">
          <cell r="A410" t="str">
            <v>W11570229</v>
          </cell>
        </row>
        <row r="411">
          <cell r="A411" t="str">
            <v>W11570230</v>
          </cell>
        </row>
        <row r="412">
          <cell r="A412" t="str">
            <v>W11570231</v>
          </cell>
        </row>
        <row r="413">
          <cell r="A413" t="str">
            <v>W11570233</v>
          </cell>
        </row>
        <row r="414">
          <cell r="A414" t="str">
            <v>W11570234</v>
          </cell>
        </row>
        <row r="415">
          <cell r="A415" t="str">
            <v>W11570242</v>
          </cell>
        </row>
        <row r="416">
          <cell r="A416" t="str">
            <v>W11570247</v>
          </cell>
        </row>
        <row r="417">
          <cell r="A417" t="str">
            <v>W11570249</v>
          </cell>
        </row>
        <row r="418">
          <cell r="A418" t="str">
            <v>W11570251</v>
          </cell>
        </row>
        <row r="419">
          <cell r="A419" t="str">
            <v>W11570256</v>
          </cell>
        </row>
        <row r="420">
          <cell r="A420" t="str">
            <v>W11570259</v>
          </cell>
        </row>
        <row r="421">
          <cell r="A421" t="str">
            <v>W11572466</v>
          </cell>
        </row>
        <row r="422">
          <cell r="A422" t="str">
            <v>W11572659</v>
          </cell>
        </row>
        <row r="423">
          <cell r="A423" t="str">
            <v>W11575228</v>
          </cell>
        </row>
        <row r="424">
          <cell r="A424" t="str">
            <v>W11576381</v>
          </cell>
        </row>
        <row r="425">
          <cell r="A425" t="str">
            <v>W11576676</v>
          </cell>
        </row>
        <row r="426">
          <cell r="A426" t="str">
            <v>W11580132</v>
          </cell>
        </row>
        <row r="427">
          <cell r="A427" t="str">
            <v>W11580133</v>
          </cell>
        </row>
        <row r="428">
          <cell r="A428" t="str">
            <v>W11580140</v>
          </cell>
        </row>
        <row r="429">
          <cell r="A429" t="str">
            <v>W11580142</v>
          </cell>
        </row>
        <row r="430">
          <cell r="A430" t="str">
            <v>W11580144</v>
          </cell>
        </row>
        <row r="431">
          <cell r="A431" t="str">
            <v>W11580146</v>
          </cell>
        </row>
        <row r="432">
          <cell r="A432" t="str">
            <v>W11580148</v>
          </cell>
        </row>
        <row r="433">
          <cell r="A433" t="str">
            <v>W11581234</v>
          </cell>
        </row>
        <row r="434">
          <cell r="A434" t="str">
            <v>W11581273</v>
          </cell>
        </row>
        <row r="435">
          <cell r="A435" t="str">
            <v>W11596380</v>
          </cell>
        </row>
        <row r="436">
          <cell r="A436" t="str">
            <v>W11606776</v>
          </cell>
        </row>
        <row r="437">
          <cell r="A437" t="str">
            <v>W11616007</v>
          </cell>
        </row>
        <row r="438">
          <cell r="A438" t="str">
            <v>W11618773</v>
          </cell>
        </row>
        <row r="439">
          <cell r="A439" t="str">
            <v>W11625463</v>
          </cell>
        </row>
        <row r="440">
          <cell r="A440" t="str">
            <v>W11625464</v>
          </cell>
        </row>
        <row r="441">
          <cell r="A441" t="str">
            <v>W11625470</v>
          </cell>
        </row>
        <row r="442">
          <cell r="A442" t="str">
            <v>W11625722</v>
          </cell>
        </row>
        <row r="443">
          <cell r="A443" t="str">
            <v>W11625724</v>
          </cell>
        </row>
        <row r="444">
          <cell r="A444" t="str">
            <v>W11629027</v>
          </cell>
        </row>
        <row r="445">
          <cell r="A445" t="str">
            <v>W11637412</v>
          </cell>
        </row>
        <row r="446">
          <cell r="A446" t="str">
            <v>W11638748</v>
          </cell>
        </row>
        <row r="447">
          <cell r="A447" t="str">
            <v>W11638815</v>
          </cell>
        </row>
        <row r="448">
          <cell r="A448" t="str">
            <v>W11638826</v>
          </cell>
        </row>
        <row r="449">
          <cell r="A449" t="str">
            <v>W11641188</v>
          </cell>
        </row>
        <row r="450">
          <cell r="A450" t="str">
            <v>W11641191</v>
          </cell>
        </row>
        <row r="451">
          <cell r="A451" t="str">
            <v>W11641196</v>
          </cell>
        </row>
        <row r="452">
          <cell r="A452" t="str">
            <v>W11642094</v>
          </cell>
        </row>
        <row r="453">
          <cell r="A453" t="str">
            <v>W11642306</v>
          </cell>
        </row>
        <row r="454">
          <cell r="A454" t="str">
            <v>W11642308</v>
          </cell>
        </row>
        <row r="455">
          <cell r="A455" t="str">
            <v>W11642310</v>
          </cell>
        </row>
        <row r="456">
          <cell r="A456" t="str">
            <v>W11642866</v>
          </cell>
        </row>
        <row r="457">
          <cell r="A457" t="str">
            <v>W11647766</v>
          </cell>
        </row>
        <row r="458">
          <cell r="A458" t="str">
            <v>W11655335</v>
          </cell>
        </row>
        <row r="459">
          <cell r="A459" t="str">
            <v>W11655338</v>
          </cell>
        </row>
        <row r="460">
          <cell r="A460" t="str">
            <v>W11657121</v>
          </cell>
        </row>
        <row r="461">
          <cell r="A461" t="str">
            <v>W11657125</v>
          </cell>
        </row>
        <row r="462">
          <cell r="A462" t="str">
            <v>W11657637</v>
          </cell>
        </row>
        <row r="463">
          <cell r="A463" t="str">
            <v>W11660525</v>
          </cell>
        </row>
        <row r="464">
          <cell r="A464" t="str">
            <v>W11661750</v>
          </cell>
        </row>
        <row r="465">
          <cell r="A465" t="str">
            <v>W11662150</v>
          </cell>
        </row>
        <row r="466">
          <cell r="A466" t="str">
            <v>W11663210</v>
          </cell>
        </row>
        <row r="467">
          <cell r="A467" t="str">
            <v>W11667030</v>
          </cell>
        </row>
        <row r="468">
          <cell r="A468" t="str">
            <v>W11667041</v>
          </cell>
        </row>
        <row r="469">
          <cell r="A469" t="str">
            <v>W11667597</v>
          </cell>
        </row>
        <row r="470">
          <cell r="A470" t="str">
            <v>W11667598</v>
          </cell>
        </row>
        <row r="471">
          <cell r="A471" t="str">
            <v>W11672498</v>
          </cell>
        </row>
        <row r="472">
          <cell r="A472" t="str">
            <v>W11672696</v>
          </cell>
        </row>
        <row r="473">
          <cell r="A473" t="str">
            <v>W11672697</v>
          </cell>
        </row>
        <row r="474">
          <cell r="A474" t="str">
            <v>W11673741</v>
          </cell>
        </row>
        <row r="475">
          <cell r="A475" t="str">
            <v>W11675631</v>
          </cell>
        </row>
        <row r="476">
          <cell r="A476" t="str">
            <v>W11675892</v>
          </cell>
        </row>
        <row r="477">
          <cell r="A477" t="str">
            <v>W11677845</v>
          </cell>
        </row>
        <row r="478">
          <cell r="A478" t="str">
            <v>W11678817</v>
          </cell>
        </row>
        <row r="479">
          <cell r="A479" t="str">
            <v>W11679694</v>
          </cell>
        </row>
        <row r="480">
          <cell r="A480" t="str">
            <v>W11679698</v>
          </cell>
        </row>
        <row r="481">
          <cell r="A481" t="str">
            <v>W11679700</v>
          </cell>
        </row>
        <row r="482">
          <cell r="A482" t="str">
            <v>W11680116</v>
          </cell>
        </row>
        <row r="483">
          <cell r="A483" t="str">
            <v>W11680127</v>
          </cell>
        </row>
        <row r="484">
          <cell r="A484" t="str">
            <v>W11680525</v>
          </cell>
        </row>
        <row r="485">
          <cell r="A485" t="str">
            <v>W11680526</v>
          </cell>
        </row>
        <row r="486">
          <cell r="A486" t="str">
            <v>W11680567</v>
          </cell>
        </row>
        <row r="487">
          <cell r="A487" t="str">
            <v>W11680568</v>
          </cell>
        </row>
        <row r="488">
          <cell r="A488" t="str">
            <v>W11680569</v>
          </cell>
        </row>
        <row r="489">
          <cell r="A489" t="str">
            <v>W11680571</v>
          </cell>
        </row>
        <row r="490">
          <cell r="A490" t="str">
            <v>W11680573</v>
          </cell>
        </row>
        <row r="491">
          <cell r="A491" t="str">
            <v>W11680574</v>
          </cell>
        </row>
        <row r="492">
          <cell r="A492" t="str">
            <v>W11680575</v>
          </cell>
        </row>
        <row r="493">
          <cell r="A493" t="str">
            <v>W11680576</v>
          </cell>
        </row>
        <row r="494">
          <cell r="A494" t="str">
            <v>W11682101</v>
          </cell>
        </row>
        <row r="495">
          <cell r="A495" t="str">
            <v>W11682961</v>
          </cell>
        </row>
        <row r="496">
          <cell r="A496" t="str">
            <v>W11682962</v>
          </cell>
        </row>
        <row r="497">
          <cell r="A497" t="str">
            <v>W11682963</v>
          </cell>
        </row>
        <row r="498">
          <cell r="A498" t="str">
            <v>W11682964</v>
          </cell>
        </row>
        <row r="499">
          <cell r="A499" t="str">
            <v>W11682968</v>
          </cell>
        </row>
        <row r="500">
          <cell r="A500" t="str">
            <v>W11682997</v>
          </cell>
        </row>
        <row r="501">
          <cell r="A501" t="str">
            <v>W11683066</v>
          </cell>
        </row>
        <row r="502">
          <cell r="A502" t="str">
            <v>W11683999</v>
          </cell>
        </row>
        <row r="503">
          <cell r="A503" t="str">
            <v>W11684000</v>
          </cell>
        </row>
        <row r="504">
          <cell r="A504" t="str">
            <v>W11685272</v>
          </cell>
        </row>
        <row r="505">
          <cell r="A505" t="str">
            <v>W11687561</v>
          </cell>
        </row>
        <row r="506">
          <cell r="A506" t="str">
            <v>W11688390</v>
          </cell>
        </row>
        <row r="507">
          <cell r="A507" t="str">
            <v>W11688393</v>
          </cell>
        </row>
        <row r="508">
          <cell r="A508" t="str">
            <v>W11690112</v>
          </cell>
        </row>
        <row r="509">
          <cell r="A509" t="str">
            <v>W11690118</v>
          </cell>
        </row>
        <row r="510">
          <cell r="A510" t="str">
            <v>W11690228</v>
          </cell>
        </row>
        <row r="511">
          <cell r="A511" t="str">
            <v>W11691104</v>
          </cell>
        </row>
        <row r="512">
          <cell r="A512" t="str">
            <v>W11691121</v>
          </cell>
        </row>
        <row r="513">
          <cell r="A513" t="str">
            <v>W11691488</v>
          </cell>
        </row>
        <row r="514">
          <cell r="A514" t="str">
            <v>W11693630</v>
          </cell>
        </row>
        <row r="515">
          <cell r="A515" t="str">
            <v>W11693635</v>
          </cell>
        </row>
        <row r="516">
          <cell r="A516" t="str">
            <v>W11693743</v>
          </cell>
        </row>
        <row r="517">
          <cell r="A517" t="str">
            <v>W11696110</v>
          </cell>
        </row>
        <row r="518">
          <cell r="A518" t="str">
            <v>W11696413</v>
          </cell>
        </row>
        <row r="519">
          <cell r="A519" t="str">
            <v>W11697717</v>
          </cell>
        </row>
        <row r="520">
          <cell r="A520" t="str">
            <v>W11697752</v>
          </cell>
        </row>
        <row r="521">
          <cell r="A521" t="str">
            <v>W11698671</v>
          </cell>
        </row>
        <row r="522">
          <cell r="A522" t="str">
            <v>W11700209</v>
          </cell>
        </row>
        <row r="523">
          <cell r="A523" t="str">
            <v>W11701553</v>
          </cell>
        </row>
        <row r="524">
          <cell r="A524" t="str">
            <v>W11703394</v>
          </cell>
        </row>
        <row r="525">
          <cell r="A525" t="str">
            <v>W11705447</v>
          </cell>
        </row>
        <row r="526">
          <cell r="A526" t="str">
            <v>W11705448</v>
          </cell>
        </row>
        <row r="527">
          <cell r="A527" t="str">
            <v>W11705449</v>
          </cell>
        </row>
        <row r="528">
          <cell r="A528" t="str">
            <v>W11705450</v>
          </cell>
        </row>
        <row r="529">
          <cell r="A529" t="str">
            <v>W11705885</v>
          </cell>
        </row>
        <row r="530">
          <cell r="A530" t="str">
            <v>W11707199</v>
          </cell>
        </row>
        <row r="531">
          <cell r="A531" t="str">
            <v>W11707201</v>
          </cell>
        </row>
        <row r="532">
          <cell r="A532" t="str">
            <v>W11707205</v>
          </cell>
        </row>
        <row r="533">
          <cell r="A533" t="str">
            <v>W11707206</v>
          </cell>
        </row>
        <row r="534">
          <cell r="A534" t="str">
            <v>W11707207</v>
          </cell>
        </row>
        <row r="535">
          <cell r="A535" t="str">
            <v>W11707208</v>
          </cell>
        </row>
        <row r="536">
          <cell r="A536" t="str">
            <v>W11707210</v>
          </cell>
        </row>
        <row r="537">
          <cell r="A537" t="str">
            <v>W11708037</v>
          </cell>
        </row>
        <row r="538">
          <cell r="A538" t="str">
            <v>W11708038</v>
          </cell>
        </row>
        <row r="539">
          <cell r="A539" t="str">
            <v>W11708042</v>
          </cell>
        </row>
        <row r="540">
          <cell r="A540" t="str">
            <v>W11708323</v>
          </cell>
        </row>
        <row r="541">
          <cell r="A541" t="str">
            <v>W11722195</v>
          </cell>
        </row>
        <row r="542">
          <cell r="A542" t="str">
            <v>W11723528</v>
          </cell>
        </row>
        <row r="543">
          <cell r="A543" t="str">
            <v>W11723618</v>
          </cell>
        </row>
        <row r="544">
          <cell r="A544" t="str">
            <v>W11727213</v>
          </cell>
        </row>
        <row r="545">
          <cell r="A545" t="str">
            <v>W11728573</v>
          </cell>
        </row>
        <row r="546">
          <cell r="A546" t="str">
            <v>W11728575</v>
          </cell>
        </row>
        <row r="547">
          <cell r="A547" t="str">
            <v>W11730254</v>
          </cell>
        </row>
        <row r="548">
          <cell r="A548" t="str">
            <v>W11730495</v>
          </cell>
        </row>
        <row r="549">
          <cell r="A549" t="str">
            <v>W11730555</v>
          </cell>
        </row>
        <row r="550">
          <cell r="A550" t="str">
            <v>W11733416</v>
          </cell>
        </row>
        <row r="551">
          <cell r="A551" t="str">
            <v>W11733417</v>
          </cell>
        </row>
        <row r="552">
          <cell r="A552" t="str">
            <v>W11733713</v>
          </cell>
        </row>
        <row r="553">
          <cell r="A553" t="str">
            <v>W11733714</v>
          </cell>
        </row>
        <row r="554">
          <cell r="A554" t="str">
            <v>W11733727</v>
          </cell>
        </row>
        <row r="555">
          <cell r="A555" t="str">
            <v>W11733960</v>
          </cell>
        </row>
        <row r="556">
          <cell r="A556" t="str">
            <v>W11734874</v>
          </cell>
        </row>
        <row r="557">
          <cell r="A557" t="str">
            <v>W11735694</v>
          </cell>
        </row>
        <row r="558">
          <cell r="A558" t="str">
            <v>W11736155</v>
          </cell>
        </row>
        <row r="559">
          <cell r="A559" t="str">
            <v>W11736156</v>
          </cell>
        </row>
        <row r="560">
          <cell r="A560" t="str">
            <v>W11738559</v>
          </cell>
        </row>
        <row r="561">
          <cell r="A561" t="str">
            <v>W11738562</v>
          </cell>
        </row>
        <row r="562">
          <cell r="A562" t="str">
            <v>W11738565</v>
          </cell>
        </row>
        <row r="563">
          <cell r="A563" t="str">
            <v>W11738567</v>
          </cell>
        </row>
        <row r="564">
          <cell r="A564" t="str">
            <v>W11738780</v>
          </cell>
        </row>
        <row r="565">
          <cell r="A565" t="str">
            <v>W11740052</v>
          </cell>
        </row>
        <row r="566">
          <cell r="A566" t="str">
            <v>W11740236</v>
          </cell>
        </row>
        <row r="567">
          <cell r="A567" t="str">
            <v>W11745625</v>
          </cell>
        </row>
        <row r="568">
          <cell r="A568" t="str">
            <v>W11745884</v>
          </cell>
        </row>
        <row r="569">
          <cell r="A569" t="str">
            <v>W11746905</v>
          </cell>
        </row>
        <row r="570">
          <cell r="A570" t="str">
            <v>W11748855</v>
          </cell>
        </row>
        <row r="571">
          <cell r="A571" t="str">
            <v>W11748859</v>
          </cell>
        </row>
        <row r="572">
          <cell r="A572" t="str">
            <v>W11748861</v>
          </cell>
        </row>
        <row r="573">
          <cell r="A573" t="str">
            <v>W11749274</v>
          </cell>
        </row>
        <row r="574">
          <cell r="A574" t="str">
            <v>W11750177</v>
          </cell>
        </row>
        <row r="575">
          <cell r="A575" t="str">
            <v>W11750319</v>
          </cell>
        </row>
        <row r="576">
          <cell r="A576" t="str">
            <v>W11750496</v>
          </cell>
        </row>
        <row r="577">
          <cell r="A577" t="str">
            <v>W11752433</v>
          </cell>
        </row>
        <row r="578">
          <cell r="A578" t="str">
            <v>W11752435</v>
          </cell>
        </row>
        <row r="579">
          <cell r="A579" t="str">
            <v>W11755368</v>
          </cell>
        </row>
        <row r="580">
          <cell r="A580" t="str">
            <v>W11758441</v>
          </cell>
        </row>
        <row r="581">
          <cell r="A581" t="str">
            <v>W11758565</v>
          </cell>
        </row>
        <row r="582">
          <cell r="A582" t="str">
            <v>W11759080</v>
          </cell>
        </row>
        <row r="583">
          <cell r="A583" t="str">
            <v>W11759082</v>
          </cell>
        </row>
        <row r="584">
          <cell r="A584" t="str">
            <v>W11759084</v>
          </cell>
        </row>
        <row r="585">
          <cell r="A585" t="str">
            <v>W11759090</v>
          </cell>
        </row>
        <row r="586">
          <cell r="A586" t="str">
            <v>W11759275</v>
          </cell>
        </row>
        <row r="587">
          <cell r="A587" t="str">
            <v>W11759277</v>
          </cell>
        </row>
        <row r="588">
          <cell r="A588" t="str">
            <v>W11759279</v>
          </cell>
        </row>
        <row r="589">
          <cell r="A589" t="str">
            <v>W11759872</v>
          </cell>
        </row>
        <row r="590">
          <cell r="A590" t="str">
            <v>W11760032</v>
          </cell>
        </row>
        <row r="591">
          <cell r="A591" t="str">
            <v>W11760064</v>
          </cell>
        </row>
        <row r="592">
          <cell r="A592" t="str">
            <v>W11761768</v>
          </cell>
        </row>
        <row r="593">
          <cell r="A593" t="str">
            <v>W11762832</v>
          </cell>
        </row>
        <row r="594">
          <cell r="A594" t="str">
            <v>W11762939</v>
          </cell>
        </row>
        <row r="595">
          <cell r="A595" t="str">
            <v>W11763200</v>
          </cell>
        </row>
        <row r="596">
          <cell r="A596" t="str">
            <v>W11763981</v>
          </cell>
        </row>
        <row r="597">
          <cell r="A597" t="str">
            <v>W11763989</v>
          </cell>
        </row>
        <row r="598">
          <cell r="A598" t="str">
            <v>W11769423</v>
          </cell>
        </row>
        <row r="599">
          <cell r="A599" t="str">
            <v>W11769451</v>
          </cell>
        </row>
        <row r="600">
          <cell r="A600" t="str">
            <v>W11769469</v>
          </cell>
        </row>
        <row r="601">
          <cell r="A601" t="str">
            <v>W11772768</v>
          </cell>
        </row>
        <row r="602">
          <cell r="A602" t="str">
            <v>W11772841</v>
          </cell>
        </row>
        <row r="603">
          <cell r="A603" t="str">
            <v>W11772969</v>
          </cell>
        </row>
        <row r="604">
          <cell r="A604" t="str">
            <v>W11775050</v>
          </cell>
        </row>
        <row r="605">
          <cell r="A605" t="str">
            <v>W11775427</v>
          </cell>
        </row>
        <row r="606">
          <cell r="A606" t="str">
            <v>W11780501</v>
          </cell>
        </row>
        <row r="607">
          <cell r="A607" t="str">
            <v>Total general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627A-5667-4BC9-B610-4F9F08FF5E31}">
  <dimension ref="A1:I642"/>
  <sheetViews>
    <sheetView workbookViewId="0">
      <selection activeCell="H10" sqref="H10"/>
    </sheetView>
  </sheetViews>
  <sheetFormatPr baseColWidth="10" defaultRowHeight="12.75" x14ac:dyDescent="0.2"/>
  <cols>
    <col min="2" max="2" width="35" customWidth="1"/>
    <col min="4" max="4" width="43.5703125" customWidth="1"/>
    <col min="5" max="5" width="32.42578125" style="46" customWidth="1"/>
    <col min="6" max="6" width="30.5703125" customWidth="1"/>
    <col min="7" max="7" width="13" customWidth="1"/>
  </cols>
  <sheetData>
    <row r="1" spans="1:9" x14ac:dyDescent="0.2">
      <c r="A1" s="16" t="s">
        <v>212</v>
      </c>
      <c r="B1" s="16" t="s">
        <v>238</v>
      </c>
      <c r="C1" s="16" t="s">
        <v>239</v>
      </c>
      <c r="D1" s="16" t="s">
        <v>240</v>
      </c>
      <c r="E1" s="42" t="s">
        <v>241</v>
      </c>
      <c r="F1" s="16" t="s">
        <v>242</v>
      </c>
      <c r="G1" s="16" t="s">
        <v>243</v>
      </c>
      <c r="H1" s="17" t="s">
        <v>244</v>
      </c>
      <c r="I1" s="17" t="s">
        <v>245</v>
      </c>
    </row>
    <row r="2" spans="1:9" ht="15.75" customHeight="1" x14ac:dyDescent="0.2">
      <c r="A2" s="18" t="s">
        <v>246</v>
      </c>
      <c r="B2" s="19" t="s">
        <v>247</v>
      </c>
      <c r="C2" s="20" t="s">
        <v>248</v>
      </c>
      <c r="D2" s="21" t="s">
        <v>249</v>
      </c>
      <c r="E2" s="43" t="s">
        <v>250</v>
      </c>
      <c r="F2" s="22" t="str">
        <f>+VLOOKUP(A2,'[1]Proveedor-Comprador'!A:D,4,0)</f>
        <v>Arme S.A.</v>
      </c>
      <c r="G2" s="18" t="s">
        <v>251</v>
      </c>
      <c r="H2" s="23" t="s">
        <v>252</v>
      </c>
      <c r="I2" s="24" t="s">
        <v>253</v>
      </c>
    </row>
    <row r="3" spans="1:9" ht="15.75" customHeight="1" x14ac:dyDescent="0.2">
      <c r="A3" s="18" t="s">
        <v>254</v>
      </c>
      <c r="B3" s="19" t="s">
        <v>255</v>
      </c>
      <c r="C3" s="20" t="s">
        <v>256</v>
      </c>
      <c r="D3" s="21" t="s">
        <v>257</v>
      </c>
      <c r="E3" s="43" t="s">
        <v>258</v>
      </c>
      <c r="F3" s="24" t="str">
        <f>+VLOOKUP(A3,'[1]Proveedor-Comprador'!A:D,4,0)</f>
        <v>Whirlpool S/A</v>
      </c>
      <c r="G3" s="18" t="s">
        <v>259</v>
      </c>
      <c r="H3" s="23" t="s">
        <v>252</v>
      </c>
      <c r="I3" s="24" t="s">
        <v>253</v>
      </c>
    </row>
    <row r="4" spans="1:9" ht="15.75" customHeight="1" x14ac:dyDescent="0.2">
      <c r="A4" s="25" t="s">
        <v>260</v>
      </c>
      <c r="B4" s="26" t="s">
        <v>258</v>
      </c>
      <c r="C4" s="27" t="s">
        <v>261</v>
      </c>
      <c r="D4" s="28" t="s">
        <v>262</v>
      </c>
      <c r="E4" s="44" t="s">
        <v>258</v>
      </c>
      <c r="F4" s="29" t="str">
        <f>+VLOOKUP(A4,'[1]Proveedor-Comprador'!A:D,4,0)</f>
        <v>INDUSTRIAS HACEB S.A.</v>
      </c>
      <c r="G4" s="30"/>
      <c r="H4" s="30"/>
      <c r="I4" s="31" t="str">
        <f>+VLOOKUP(A4,[2]Hoja1!$A:$A,1,0)</f>
        <v>W10725483</v>
      </c>
    </row>
    <row r="5" spans="1:9" ht="15.75" customHeight="1" x14ac:dyDescent="0.2">
      <c r="A5" s="32" t="s">
        <v>263</v>
      </c>
      <c r="B5" s="33" t="s">
        <v>264</v>
      </c>
      <c r="C5" s="34" t="s">
        <v>256</v>
      </c>
      <c r="D5" s="35" t="s">
        <v>265</v>
      </c>
      <c r="E5" s="45" t="s">
        <v>266</v>
      </c>
      <c r="F5" s="22" t="str">
        <f>+VLOOKUP(A5,'[1]Proveedor-Comprador'!A:D,4,0)</f>
        <v>FUNDACION CIUDAD DON BOSCO</v>
      </c>
      <c r="G5" s="36" t="s">
        <v>267</v>
      </c>
      <c r="H5" s="37"/>
      <c r="I5" s="24" t="str">
        <f>+VLOOKUP(A5,[2]Hoja1!$A:$A,1,0)</f>
        <v>W11780501</v>
      </c>
    </row>
    <row r="6" spans="1:9" ht="15.75" customHeight="1" x14ac:dyDescent="0.2">
      <c r="A6" s="32" t="s">
        <v>268</v>
      </c>
      <c r="B6" s="33" t="s">
        <v>269</v>
      </c>
      <c r="C6" s="34" t="s">
        <v>256</v>
      </c>
      <c r="D6" s="35" t="s">
        <v>270</v>
      </c>
      <c r="E6" s="45" t="s">
        <v>271</v>
      </c>
      <c r="F6" s="22" t="str">
        <f>+VLOOKUP(A6,'[1]Proveedor-Comprador'!A:D,4,0)</f>
        <v>Riduco S.A.</v>
      </c>
      <c r="G6" s="36" t="s">
        <v>267</v>
      </c>
      <c r="H6" s="37"/>
      <c r="I6" s="24" t="str">
        <f>+VLOOKUP(A6,[2]Hoja1!$A:$A,1,0)</f>
        <v>W11502214</v>
      </c>
    </row>
    <row r="7" spans="1:9" ht="15.75" customHeight="1" x14ac:dyDescent="0.2">
      <c r="A7" s="36" t="s">
        <v>272</v>
      </c>
      <c r="B7" s="38" t="s">
        <v>273</v>
      </c>
      <c r="C7" s="34" t="s">
        <v>256</v>
      </c>
      <c r="D7" s="38" t="s">
        <v>274</v>
      </c>
      <c r="E7" s="45" t="s">
        <v>275</v>
      </c>
      <c r="F7" s="22" t="str">
        <f>+VLOOKUP(A7,'[1]Proveedor-Comprador'!A:D,4,0)</f>
        <v>FUNDACION CIUDAD DON BOSCO</v>
      </c>
      <c r="G7" s="36" t="s">
        <v>267</v>
      </c>
      <c r="H7" s="36"/>
      <c r="I7" s="24" t="str">
        <f>+VLOOKUP(A7,[2]Hoja1!$A:$A,1,0)</f>
        <v>W11763981</v>
      </c>
    </row>
    <row r="8" spans="1:9" ht="15.75" customHeight="1" x14ac:dyDescent="0.2">
      <c r="A8" s="36" t="s">
        <v>276</v>
      </c>
      <c r="B8" s="38" t="s">
        <v>277</v>
      </c>
      <c r="C8" s="34" t="s">
        <v>248</v>
      </c>
      <c r="D8" s="35" t="s">
        <v>278</v>
      </c>
      <c r="E8" s="45" t="s">
        <v>250</v>
      </c>
      <c r="F8" s="22" t="str">
        <f>+VLOOKUP(A8,'[1]Proveedor-Comprador'!A:D,4,0)</f>
        <v>BAMESA</v>
      </c>
      <c r="G8" s="36" t="s">
        <v>251</v>
      </c>
      <c r="H8" s="39" t="s">
        <v>279</v>
      </c>
      <c r="I8" s="24" t="s">
        <v>253</v>
      </c>
    </row>
    <row r="9" spans="1:9" ht="15.75" customHeight="1" x14ac:dyDescent="0.2">
      <c r="A9" s="36" t="s">
        <v>280</v>
      </c>
      <c r="B9" s="38" t="s">
        <v>281</v>
      </c>
      <c r="C9" s="34" t="s">
        <v>256</v>
      </c>
      <c r="D9" s="35" t="s">
        <v>282</v>
      </c>
      <c r="E9" s="45" t="s">
        <v>283</v>
      </c>
      <c r="F9" s="22" t="str">
        <f>+VLOOKUP(A9,'[1]Proveedor-Comprador'!A:D,4,0)</f>
        <v>INDUSTRIAS CATO S.A.</v>
      </c>
      <c r="G9" s="36" t="s">
        <v>284</v>
      </c>
      <c r="H9" s="36"/>
      <c r="I9" s="24" t="str">
        <f>+VLOOKUP(A9,[2]Hoja1!$A:$A,1,0)</f>
        <v>W11775050</v>
      </c>
    </row>
    <row r="10" spans="1:9" ht="15.75" customHeight="1" x14ac:dyDescent="0.2">
      <c r="A10" s="36" t="s">
        <v>285</v>
      </c>
      <c r="B10" s="38" t="s">
        <v>286</v>
      </c>
      <c r="C10" s="34" t="s">
        <v>256</v>
      </c>
      <c r="D10" s="35" t="s">
        <v>287</v>
      </c>
      <c r="E10" s="45" t="s">
        <v>258</v>
      </c>
      <c r="F10" s="22" t="str">
        <f>+VLOOKUP(A10,'[1]Proveedor-Comprador'!A:D,4,0)</f>
        <v>Whirlpool S/A</v>
      </c>
      <c r="G10" s="36" t="s">
        <v>259</v>
      </c>
      <c r="H10" s="36"/>
      <c r="I10" s="24" t="str">
        <f>+VLOOKUP(A10,[2]Hoja1!$A:$A,1,0)</f>
        <v>W11775427</v>
      </c>
    </row>
    <row r="11" spans="1:9" ht="15.75" customHeight="1" x14ac:dyDescent="0.2">
      <c r="A11" s="36" t="s">
        <v>288</v>
      </c>
      <c r="B11" s="38" t="s">
        <v>289</v>
      </c>
      <c r="C11" s="34" t="s">
        <v>256</v>
      </c>
      <c r="D11" s="35" t="s">
        <v>290</v>
      </c>
      <c r="E11" s="45" t="s">
        <v>291</v>
      </c>
      <c r="F11" s="22" t="str">
        <f>+VLOOKUP(A11,'[1]Proveedor-Comprador'!A:D,4,0)</f>
        <v>Factorias &amp; Asociadas</v>
      </c>
      <c r="G11" s="36" t="s">
        <v>267</v>
      </c>
      <c r="H11" s="36"/>
      <c r="I11" s="24" t="str">
        <f>+VLOOKUP(A11,[2]Hoja1!$A:$A,1,0)</f>
        <v>W11491686</v>
      </c>
    </row>
    <row r="12" spans="1:9" ht="15.75" customHeight="1" x14ac:dyDescent="0.2">
      <c r="A12" s="36" t="s">
        <v>292</v>
      </c>
      <c r="B12" s="38" t="s">
        <v>293</v>
      </c>
      <c r="C12" s="34" t="s">
        <v>256</v>
      </c>
      <c r="D12" s="35" t="s">
        <v>294</v>
      </c>
      <c r="E12" s="45" t="s">
        <v>295</v>
      </c>
      <c r="F12" s="22" t="str">
        <f>+VLOOKUP(A12,'[1]Proveedor-Comprador'!A:D,4,0)</f>
        <v>Iprocom S.A.</v>
      </c>
      <c r="G12" s="36" t="s">
        <v>267</v>
      </c>
      <c r="H12" s="39"/>
      <c r="I12" s="24" t="str">
        <f>+VLOOKUP(A12,[2]Hoja1!$A:$A,1,0)</f>
        <v>W11519084</v>
      </c>
    </row>
    <row r="13" spans="1:9" ht="15.75" customHeight="1" x14ac:dyDescent="0.2">
      <c r="A13" s="36" t="s">
        <v>296</v>
      </c>
      <c r="B13" s="36" t="s">
        <v>297</v>
      </c>
      <c r="C13" s="34" t="s">
        <v>256</v>
      </c>
      <c r="D13" s="35" t="s">
        <v>298</v>
      </c>
      <c r="E13" s="45" t="s">
        <v>299</v>
      </c>
      <c r="F13" s="22" t="str">
        <f>+VLOOKUP(A13,'[1]Proveedor-Comprador'!A:D,4,0)</f>
        <v>IBEROTECH S.A.S</v>
      </c>
      <c r="G13" s="36" t="s">
        <v>284</v>
      </c>
      <c r="H13" s="40"/>
      <c r="I13" s="24" t="str">
        <f>+VLOOKUP(A13,[2]Hoja1!$A:$A,1,0)</f>
        <v>W11736155</v>
      </c>
    </row>
    <row r="14" spans="1:9" ht="15.75" customHeight="1" x14ac:dyDescent="0.2">
      <c r="A14" s="36" t="s">
        <v>300</v>
      </c>
      <c r="B14" s="38" t="s">
        <v>301</v>
      </c>
      <c r="C14" s="34" t="s">
        <v>256</v>
      </c>
      <c r="D14" s="35" t="s">
        <v>302</v>
      </c>
      <c r="E14" s="45" t="s">
        <v>303</v>
      </c>
      <c r="F14" s="22" t="str">
        <f>+VLOOKUP(A14,'[1]Proveedor-Comprador'!A:D,4,0)</f>
        <v>Ningbo WTOO Machinery And</v>
      </c>
      <c r="G14" s="36" t="s">
        <v>284</v>
      </c>
      <c r="H14" s="36"/>
      <c r="I14" s="24" t="str">
        <f>+VLOOKUP(A14,[2]Hoja1!$A:$A,1,0)</f>
        <v>W11486744</v>
      </c>
    </row>
    <row r="15" spans="1:9" ht="15.75" customHeight="1" x14ac:dyDescent="0.2">
      <c r="A15" s="36" t="s">
        <v>304</v>
      </c>
      <c r="B15" s="38" t="s">
        <v>305</v>
      </c>
      <c r="C15" s="34" t="s">
        <v>256</v>
      </c>
      <c r="D15" s="38" t="s">
        <v>306</v>
      </c>
      <c r="E15" s="45" t="s">
        <v>307</v>
      </c>
      <c r="F15" s="22" t="str">
        <f>+VLOOKUP(A15,'[1]Proveedor-Comprador'!A:D,4,0)</f>
        <v>Riduco S.A.</v>
      </c>
      <c r="G15" s="36" t="s">
        <v>284</v>
      </c>
      <c r="H15" s="36"/>
      <c r="I15" s="24" t="str">
        <f>+VLOOKUP(A15,[2]Hoja1!$A:$A,1,0)</f>
        <v>W11515777</v>
      </c>
    </row>
    <row r="16" spans="1:9" ht="15.75" customHeight="1" x14ac:dyDescent="0.2">
      <c r="A16" s="36" t="s">
        <v>308</v>
      </c>
      <c r="B16" s="38" t="s">
        <v>309</v>
      </c>
      <c r="C16" s="34" t="s">
        <v>256</v>
      </c>
      <c r="D16" s="38" t="s">
        <v>310</v>
      </c>
      <c r="E16" s="45" t="s">
        <v>311</v>
      </c>
      <c r="F16" s="22" t="str">
        <f>+VLOOKUP(A16,'[1]Proveedor-Comprador'!A:D,4,0)</f>
        <v>SHANGHAI JINGSHI ELECTRIC</v>
      </c>
      <c r="G16" s="36" t="s">
        <v>312</v>
      </c>
      <c r="H16" s="36"/>
      <c r="I16" s="24" t="str">
        <f>+VLOOKUP(A16,[2]Hoja1!$A:$A,1,0)</f>
        <v>W11707208</v>
      </c>
    </row>
    <row r="17" spans="1:9" ht="15.75" customHeight="1" x14ac:dyDescent="0.2">
      <c r="A17" s="36" t="s">
        <v>313</v>
      </c>
      <c r="B17" s="38" t="s">
        <v>309</v>
      </c>
      <c r="C17" s="34" t="s">
        <v>256</v>
      </c>
      <c r="D17" s="38" t="s">
        <v>314</v>
      </c>
      <c r="E17" s="45" t="s">
        <v>311</v>
      </c>
      <c r="F17" s="22" t="str">
        <f>+VLOOKUP(A17,'[1]Proveedor-Comprador'!A:D,4,0)</f>
        <v>SHANGHAI JINGSHI ELECTRIC</v>
      </c>
      <c r="G17" s="36" t="s">
        <v>312</v>
      </c>
      <c r="H17" s="36"/>
      <c r="I17" s="24" t="str">
        <f>+VLOOKUP(A17,[2]Hoja1!$A:$A,1,0)</f>
        <v>W11708037</v>
      </c>
    </row>
    <row r="18" spans="1:9" ht="15.75" customHeight="1" x14ac:dyDescent="0.2">
      <c r="A18" s="36" t="s">
        <v>315</v>
      </c>
      <c r="B18" s="38" t="s">
        <v>309</v>
      </c>
      <c r="C18" s="34" t="s">
        <v>256</v>
      </c>
      <c r="D18" s="38" t="s">
        <v>316</v>
      </c>
      <c r="E18" s="45" t="s">
        <v>311</v>
      </c>
      <c r="F18" s="22" t="str">
        <f>+VLOOKUP(A18,'[1]Proveedor-Comprador'!A:D,4,0)</f>
        <v>SHANGHAI JINGSHI ELECTRIC</v>
      </c>
      <c r="G18" s="36" t="s">
        <v>312</v>
      </c>
      <c r="H18" s="36"/>
      <c r="I18" s="24" t="str">
        <f>+VLOOKUP(A18,[2]Hoja1!$A:$A,1,0)</f>
        <v>W11708038</v>
      </c>
    </row>
    <row r="19" spans="1:9" ht="15.75" customHeight="1" x14ac:dyDescent="0.2">
      <c r="A19" s="36" t="s">
        <v>317</v>
      </c>
      <c r="B19" s="38" t="s">
        <v>318</v>
      </c>
      <c r="C19" s="34" t="s">
        <v>256</v>
      </c>
      <c r="D19" s="35" t="s">
        <v>319</v>
      </c>
      <c r="E19" s="45" t="s">
        <v>311</v>
      </c>
      <c r="F19" s="22" t="str">
        <f>+VLOOKUP(A19,'[1]Proveedor-Comprador'!A:D,4,0)</f>
        <v>SHANGHAI JINGSHI ELECTRIC</v>
      </c>
      <c r="G19" s="36" t="s">
        <v>312</v>
      </c>
      <c r="H19" s="36"/>
      <c r="I19" s="24" t="str">
        <f>+VLOOKUP(A19,[2]Hoja1!$A:$A,1,0)</f>
        <v>W11708042</v>
      </c>
    </row>
    <row r="20" spans="1:9" ht="15.75" customHeight="1" x14ac:dyDescent="0.2">
      <c r="A20" s="36" t="s">
        <v>320</v>
      </c>
      <c r="B20" s="38" t="s">
        <v>321</v>
      </c>
      <c r="C20" s="34" t="s">
        <v>256</v>
      </c>
      <c r="D20" s="38" t="s">
        <v>322</v>
      </c>
      <c r="E20" s="45" t="s">
        <v>323</v>
      </c>
      <c r="F20" s="22" t="str">
        <f>+VLOOKUP(A20,'[1]Proveedor-Comprador'!A:D,4,0)</f>
        <v>Riduco S.A.</v>
      </c>
      <c r="G20" s="36" t="s">
        <v>284</v>
      </c>
      <c r="H20" s="36"/>
      <c r="I20" s="24" t="str">
        <f>+VLOOKUP(A20,[2]Hoja1!$A:$A,1,0)</f>
        <v>W11736156</v>
      </c>
    </row>
    <row r="21" spans="1:9" ht="15.75" customHeight="1" x14ac:dyDescent="0.2">
      <c r="A21" s="36" t="s">
        <v>324</v>
      </c>
      <c r="B21" s="38" t="s">
        <v>325</v>
      </c>
      <c r="C21" s="34" t="s">
        <v>256</v>
      </c>
      <c r="D21" s="38" t="s">
        <v>326</v>
      </c>
      <c r="E21" s="45" t="s">
        <v>275</v>
      </c>
      <c r="F21" s="22" t="str">
        <f>+VLOOKUP(A21,'[1]Proveedor-Comprador'!A:D,4,0)</f>
        <v>FUNDACION CIUDAD DON BOSCO</v>
      </c>
      <c r="G21" s="36" t="s">
        <v>267</v>
      </c>
      <c r="H21" s="36"/>
      <c r="I21" s="24" t="str">
        <f>+VLOOKUP(A21,[2]Hoja1!$A:$A,1,0)</f>
        <v>W11763989</v>
      </c>
    </row>
    <row r="22" spans="1:9" ht="15.75" customHeight="1" x14ac:dyDescent="0.2">
      <c r="A22" s="36" t="s">
        <v>327</v>
      </c>
      <c r="B22" s="38" t="s">
        <v>328</v>
      </c>
      <c r="C22" s="34" t="s">
        <v>256</v>
      </c>
      <c r="D22" s="35" t="s">
        <v>329</v>
      </c>
      <c r="E22" s="45" t="s">
        <v>330</v>
      </c>
      <c r="F22" s="22" t="str">
        <f>+VLOOKUP(A22,'[1]Proveedor-Comprador'!A:D,4,0)</f>
        <v>ECI (HUIZHOU) COMPANY LIMITED</v>
      </c>
      <c r="G22" s="36" t="s">
        <v>267</v>
      </c>
      <c r="H22" s="36"/>
      <c r="I22" s="24" t="str">
        <f>+VLOOKUP(A22,[2]Hoja1!$A:$A,1,0)</f>
        <v>W11761768</v>
      </c>
    </row>
    <row r="23" spans="1:9" ht="15.75" customHeight="1" x14ac:dyDescent="0.2">
      <c r="A23" s="36" t="s">
        <v>331</v>
      </c>
      <c r="B23" s="38" t="s">
        <v>332</v>
      </c>
      <c r="C23" s="34" t="s">
        <v>256</v>
      </c>
      <c r="D23" s="35" t="s">
        <v>333</v>
      </c>
      <c r="E23" s="45" t="s">
        <v>330</v>
      </c>
      <c r="F23" s="22" t="str">
        <f>+VLOOKUP(A23,'[1]Proveedor-Comprador'!A:D,4,0)</f>
        <v>ECI (HUIZHOU) COMPANY LIMITED</v>
      </c>
      <c r="G23" s="36" t="s">
        <v>267</v>
      </c>
      <c r="H23" s="36"/>
      <c r="I23" s="24" t="str">
        <f>+VLOOKUP(A23,[2]Hoja1!$A:$A,1,0)</f>
        <v>W11759872</v>
      </c>
    </row>
    <row r="24" spans="1:9" ht="15.75" customHeight="1" x14ac:dyDescent="0.2">
      <c r="A24" s="36" t="s">
        <v>334</v>
      </c>
      <c r="B24" s="38" t="s">
        <v>335</v>
      </c>
      <c r="C24" s="34" t="s">
        <v>256</v>
      </c>
      <c r="D24" s="35" t="s">
        <v>336</v>
      </c>
      <c r="E24" s="45" t="s">
        <v>337</v>
      </c>
      <c r="F24" s="22" t="str">
        <f>+VLOOKUP(A24,'[1]Proveedor-Comprador'!A:D,4,0)</f>
        <v>VALVER COLOMBIA S.A.S</v>
      </c>
      <c r="G24" s="36" t="s">
        <v>267</v>
      </c>
      <c r="H24" s="39"/>
      <c r="I24" s="24" t="str">
        <f>+VLOOKUP(A24,[2]Hoja1!$A:$A,1,0)</f>
        <v>W11762832</v>
      </c>
    </row>
    <row r="25" spans="1:9" ht="15.75" customHeight="1" x14ac:dyDescent="0.2">
      <c r="A25" s="36" t="s">
        <v>338</v>
      </c>
      <c r="B25" s="38" t="s">
        <v>339</v>
      </c>
      <c r="C25" s="34" t="s">
        <v>256</v>
      </c>
      <c r="D25" s="35" t="s">
        <v>340</v>
      </c>
      <c r="E25" s="45" t="s">
        <v>341</v>
      </c>
      <c r="F25" s="22" t="str">
        <f>+VLOOKUP(A25,'[1]Proveedor-Comprador'!A:D,4,0)</f>
        <v>LÍNEA ADHESIVA S.A.</v>
      </c>
      <c r="G25" s="36" t="s">
        <v>342</v>
      </c>
      <c r="H25" s="39"/>
      <c r="I25" s="24" t="str">
        <f>+VLOOKUP(A25,[2]Hoja1!$A:$A,1,0)</f>
        <v>W11759084</v>
      </c>
    </row>
    <row r="26" spans="1:9" ht="15.75" customHeight="1" x14ac:dyDescent="0.2">
      <c r="A26" s="36" t="s">
        <v>343</v>
      </c>
      <c r="B26" s="38" t="s">
        <v>344</v>
      </c>
      <c r="C26" s="34" t="s">
        <v>256</v>
      </c>
      <c r="D26" s="35" t="s">
        <v>345</v>
      </c>
      <c r="E26" s="45" t="s">
        <v>341</v>
      </c>
      <c r="F26" s="22" t="str">
        <f>+VLOOKUP(A26,'[1]Proveedor-Comprador'!A:D,4,0)</f>
        <v>LÍNEA ADHESIVA S.A.</v>
      </c>
      <c r="G26" s="36" t="s">
        <v>342</v>
      </c>
      <c r="H26" s="39"/>
      <c r="I26" s="24" t="str">
        <f>+VLOOKUP(A26,[2]Hoja1!$A:$A,1,0)</f>
        <v>W11759090</v>
      </c>
    </row>
    <row r="27" spans="1:9" ht="15.75" customHeight="1" x14ac:dyDescent="0.2">
      <c r="A27" s="36" t="s">
        <v>346</v>
      </c>
      <c r="B27" s="38" t="s">
        <v>347</v>
      </c>
      <c r="C27" s="34" t="s">
        <v>256</v>
      </c>
      <c r="D27" s="35" t="s">
        <v>348</v>
      </c>
      <c r="E27" s="45" t="s">
        <v>349</v>
      </c>
      <c r="F27" s="22" t="str">
        <f>+VLOOKUP(A27,'[1]Proveedor-Comprador'!A:D,4,0)</f>
        <v>LÍNEA ADHESIVA S.A.</v>
      </c>
      <c r="G27" s="36" t="s">
        <v>342</v>
      </c>
      <c r="H27" s="39"/>
      <c r="I27" s="24" t="str">
        <f>+VLOOKUP(A27,[2]Hoja1!$A:$A,1,0)</f>
        <v>W11759279</v>
      </c>
    </row>
    <row r="28" spans="1:9" ht="15.75" customHeight="1" x14ac:dyDescent="0.2">
      <c r="A28" s="36" t="s">
        <v>350</v>
      </c>
      <c r="B28" s="38" t="s">
        <v>351</v>
      </c>
      <c r="C28" s="34" t="s">
        <v>256</v>
      </c>
      <c r="D28" s="35" t="s">
        <v>352</v>
      </c>
      <c r="E28" s="45" t="s">
        <v>353</v>
      </c>
      <c r="F28" s="22" t="str">
        <f>+VLOOKUP(A28,'[1]Proveedor-Comprador'!A:D,4,0)</f>
        <v>FUNDACION CIUDAD DON BOSCO</v>
      </c>
      <c r="G28" s="36" t="s">
        <v>259</v>
      </c>
      <c r="H28" s="39"/>
      <c r="I28" s="24" t="str">
        <f>+VLOOKUP(A28,[2]Hoja1!$A:$A,1,0)</f>
        <v>W11769469</v>
      </c>
    </row>
    <row r="29" spans="1:9" ht="15.75" customHeight="1" x14ac:dyDescent="0.2">
      <c r="A29" s="36" t="s">
        <v>354</v>
      </c>
      <c r="B29" s="38" t="s">
        <v>355</v>
      </c>
      <c r="C29" s="34" t="s">
        <v>256</v>
      </c>
      <c r="D29" s="35" t="s">
        <v>356</v>
      </c>
      <c r="E29" s="45" t="s">
        <v>341</v>
      </c>
      <c r="F29" s="22" t="str">
        <f>+VLOOKUP(A29,'[1]Proveedor-Comprador'!A:D,4,0)</f>
        <v>LÍNEA ADHESIVA S.A.</v>
      </c>
      <c r="G29" s="36" t="s">
        <v>259</v>
      </c>
      <c r="H29" s="39"/>
      <c r="I29" s="24" t="str">
        <f>+VLOOKUP(A29,[2]Hoja1!$A:$A,1,0)</f>
        <v>W11769423</v>
      </c>
    </row>
    <row r="30" spans="1:9" ht="15.75" customHeight="1" x14ac:dyDescent="0.2">
      <c r="A30" s="36" t="s">
        <v>357</v>
      </c>
      <c r="B30" s="38" t="s">
        <v>358</v>
      </c>
      <c r="C30" s="34" t="s">
        <v>256</v>
      </c>
      <c r="D30" s="35" t="s">
        <v>359</v>
      </c>
      <c r="E30" s="45" t="s">
        <v>349</v>
      </c>
      <c r="F30" s="22" t="str">
        <f>+VLOOKUP(A30,'[1]Proveedor-Comprador'!A:D,4,0)</f>
        <v>LÍNEA ADHESIVA S.A.</v>
      </c>
      <c r="G30" s="36" t="s">
        <v>259</v>
      </c>
      <c r="H30" s="39"/>
      <c r="I30" s="24" t="str">
        <f>+VLOOKUP(A30,[2]Hoja1!$A:$A,1,0)</f>
        <v>W11769451</v>
      </c>
    </row>
    <row r="31" spans="1:9" ht="15.75" customHeight="1" x14ac:dyDescent="0.2">
      <c r="A31" s="36" t="s">
        <v>360</v>
      </c>
      <c r="B31" s="38" t="s">
        <v>361</v>
      </c>
      <c r="C31" s="34" t="s">
        <v>256</v>
      </c>
      <c r="D31" s="35" t="s">
        <v>362</v>
      </c>
      <c r="E31" s="45" t="s">
        <v>363</v>
      </c>
      <c r="F31" s="22" t="str">
        <f>+VLOOKUP(A31,'[1]Proveedor-Comprador'!A:D,4,0)</f>
        <v>INDUSTRIAS HACEB S.A.</v>
      </c>
      <c r="G31" s="36" t="s">
        <v>312</v>
      </c>
      <c r="H31" s="39"/>
      <c r="I31" s="24" t="str">
        <f>+VLOOKUP(A31,[2]Hoja1!$A:$A,1,0)</f>
        <v>W11435989</v>
      </c>
    </row>
    <row r="32" spans="1:9" ht="15.75" customHeight="1" x14ac:dyDescent="0.2">
      <c r="A32" s="36" t="s">
        <v>364</v>
      </c>
      <c r="B32" s="38" t="s">
        <v>365</v>
      </c>
      <c r="C32" s="34" t="s">
        <v>256</v>
      </c>
      <c r="D32" s="35" t="s">
        <v>366</v>
      </c>
      <c r="E32" s="45" t="s">
        <v>367</v>
      </c>
      <c r="F32" s="22" t="str">
        <f>+VLOOKUP(A32,'[1]Proveedor-Comprador'!A:D,4,0)</f>
        <v>BAMESA</v>
      </c>
      <c r="G32" s="36" t="s">
        <v>267</v>
      </c>
      <c r="H32" s="39"/>
      <c r="I32" s="24" t="str">
        <f>+VLOOKUP(A32,[2]Hoja1!$A:$A,1,0)</f>
        <v>W11514272</v>
      </c>
    </row>
    <row r="33" spans="1:9" ht="15.75" customHeight="1" x14ac:dyDescent="0.2">
      <c r="A33" s="36" t="s">
        <v>368</v>
      </c>
      <c r="B33" s="38" t="s">
        <v>369</v>
      </c>
      <c r="C33" s="34" t="s">
        <v>256</v>
      </c>
      <c r="D33" s="35" t="s">
        <v>370</v>
      </c>
      <c r="E33" s="45" t="s">
        <v>367</v>
      </c>
      <c r="F33" s="22" t="str">
        <f>+VLOOKUP(A33,'[1]Proveedor-Comprador'!A:D,4,0)</f>
        <v>BAMESA</v>
      </c>
      <c r="G33" s="36" t="s">
        <v>267</v>
      </c>
      <c r="H33" s="39"/>
      <c r="I33" s="24" t="str">
        <f>+VLOOKUP(A33,[2]Hoja1!$A:$A,1,0)</f>
        <v>W11514267</v>
      </c>
    </row>
    <row r="34" spans="1:9" ht="15.75" customHeight="1" x14ac:dyDescent="0.2">
      <c r="A34" s="36" t="s">
        <v>371</v>
      </c>
      <c r="B34" s="38" t="s">
        <v>372</v>
      </c>
      <c r="C34" s="34" t="s">
        <v>248</v>
      </c>
      <c r="D34" s="35" t="s">
        <v>373</v>
      </c>
      <c r="E34" s="45" t="s">
        <v>374</v>
      </c>
      <c r="F34" s="22" t="str">
        <f>+VLOOKUP(A34,'[1]Proveedor-Comprador'!A:D,4,0)</f>
        <v>Aperam Inox América do Su</v>
      </c>
      <c r="G34" s="36" t="s">
        <v>267</v>
      </c>
      <c r="H34" s="39"/>
      <c r="I34" s="24" t="str">
        <f>+VLOOKUP(A34,[2]Hoja1!$A:$A,1,0)</f>
        <v>W11486506</v>
      </c>
    </row>
    <row r="35" spans="1:9" ht="15.75" customHeight="1" x14ac:dyDescent="0.2">
      <c r="A35" s="36" t="s">
        <v>375</v>
      </c>
      <c r="B35" s="38" t="s">
        <v>376</v>
      </c>
      <c r="C35" s="34" t="s">
        <v>248</v>
      </c>
      <c r="D35" s="35" t="s">
        <v>377</v>
      </c>
      <c r="E35" s="45" t="s">
        <v>378</v>
      </c>
      <c r="F35" s="22" t="str">
        <f>+VLOOKUP(A35,'[1]Proveedor-Comprador'!A:D,4,0)</f>
        <v>Aperam Inox América do Su</v>
      </c>
      <c r="G35" s="36" t="s">
        <v>312</v>
      </c>
      <c r="H35" s="39"/>
      <c r="I35" s="24" t="str">
        <f>+VLOOKUP(A35,[2]Hoja1!$A:$A,1,0)</f>
        <v>W10677261</v>
      </c>
    </row>
    <row r="36" spans="1:9" ht="15.75" customHeight="1" x14ac:dyDescent="0.2">
      <c r="A36" s="36" t="s">
        <v>379</v>
      </c>
      <c r="B36" s="38" t="s">
        <v>380</v>
      </c>
      <c r="C36" s="34" t="s">
        <v>248</v>
      </c>
      <c r="D36" s="35" t="s">
        <v>381</v>
      </c>
      <c r="E36" s="45" t="s">
        <v>378</v>
      </c>
      <c r="F36" s="22" t="str">
        <f>+VLOOKUP(A36,'[1]Proveedor-Comprador'!A:D,4,0)</f>
        <v>Aperam Inox América do Su</v>
      </c>
      <c r="G36" s="36" t="s">
        <v>312</v>
      </c>
      <c r="H36" s="39"/>
      <c r="I36" s="24" t="str">
        <f>+VLOOKUP(A36,[2]Hoja1!$A:$A,1,0)</f>
        <v>W10677260</v>
      </c>
    </row>
    <row r="37" spans="1:9" ht="15.75" customHeight="1" x14ac:dyDescent="0.2">
      <c r="A37" s="36" t="s">
        <v>382</v>
      </c>
      <c r="B37" s="38" t="s">
        <v>383</v>
      </c>
      <c r="C37" s="34" t="s">
        <v>256</v>
      </c>
      <c r="D37" s="35" t="s">
        <v>384</v>
      </c>
      <c r="E37" s="45" t="s">
        <v>385</v>
      </c>
      <c r="F37" s="22" t="str">
        <f>+VLOOKUP(A37,'[1]Proveedor-Comprador'!A:D,4,0)</f>
        <v>Whirlpool S/A</v>
      </c>
      <c r="G37" s="36" t="s">
        <v>342</v>
      </c>
      <c r="H37" s="39"/>
      <c r="I37" s="24" t="s">
        <v>253</v>
      </c>
    </row>
    <row r="38" spans="1:9" ht="15.75" customHeight="1" x14ac:dyDescent="0.2">
      <c r="A38" s="36" t="s">
        <v>386</v>
      </c>
      <c r="B38" s="38" t="s">
        <v>387</v>
      </c>
      <c r="C38" s="34" t="s">
        <v>256</v>
      </c>
      <c r="D38" s="35" t="s">
        <v>388</v>
      </c>
      <c r="E38" s="45" t="s">
        <v>332</v>
      </c>
      <c r="F38" s="22" t="str">
        <f>+VLOOKUP(A38,'[1]Proveedor-Comprador'!A:D,4,0)</f>
        <v>ECI (HUIZHOU) COMPANY LIMITED</v>
      </c>
      <c r="G38" s="36" t="s">
        <v>312</v>
      </c>
      <c r="H38" s="39"/>
      <c r="I38" s="24" t="str">
        <f>+VLOOKUP(A38,[2]Hoja1!$A:$A,1,0)</f>
        <v>W11351742</v>
      </c>
    </row>
    <row r="39" spans="1:9" ht="15.75" customHeight="1" x14ac:dyDescent="0.2">
      <c r="A39" s="36" t="s">
        <v>389</v>
      </c>
      <c r="B39" s="38" t="s">
        <v>390</v>
      </c>
      <c r="C39" s="34" t="s">
        <v>256</v>
      </c>
      <c r="D39" s="35" t="s">
        <v>391</v>
      </c>
      <c r="E39" s="45" t="s">
        <v>392</v>
      </c>
      <c r="F39" s="22" t="str">
        <f>+VLOOKUP(A39,'[1]Proveedor-Comprador'!A:D,4,0)</f>
        <v>Riduco S.A.</v>
      </c>
      <c r="G39" s="36" t="s">
        <v>259</v>
      </c>
      <c r="H39" s="39"/>
      <c r="I39" s="24" t="str">
        <f>+VLOOKUP(A39,[2]Hoja1!$A:$A,1,0)</f>
        <v>W11733960</v>
      </c>
    </row>
    <row r="40" spans="1:9" ht="15.75" customHeight="1" x14ac:dyDescent="0.2">
      <c r="A40" s="36" t="s">
        <v>393</v>
      </c>
      <c r="B40" s="38" t="s">
        <v>394</v>
      </c>
      <c r="C40" s="34" t="s">
        <v>256</v>
      </c>
      <c r="D40" s="35" t="s">
        <v>395</v>
      </c>
      <c r="E40" s="45" t="s">
        <v>311</v>
      </c>
      <c r="F40" s="22" t="str">
        <f>+VLOOKUP(A40,'[1]Proveedor-Comprador'!A:D,4,0)</f>
        <v>SHANGHAI JINGSHI ELECTRIC</v>
      </c>
      <c r="G40" s="36" t="s">
        <v>259</v>
      </c>
      <c r="H40" s="39"/>
      <c r="I40" s="24" t="str">
        <f>+VLOOKUP(A40,[2]Hoja1!$A:$A,1,0)</f>
        <v>W11740236</v>
      </c>
    </row>
    <row r="41" spans="1:9" ht="15.75" customHeight="1" x14ac:dyDescent="0.2">
      <c r="A41" s="36" t="s">
        <v>396</v>
      </c>
      <c r="B41" s="38" t="s">
        <v>397</v>
      </c>
      <c r="C41" s="34" t="s">
        <v>256</v>
      </c>
      <c r="D41" s="35" t="s">
        <v>398</v>
      </c>
      <c r="E41" s="45" t="s">
        <v>399</v>
      </c>
      <c r="F41" s="22" t="str">
        <f>+VLOOKUP(A41,'[1]Proveedor-Comprador'!A:D,4,0)</f>
        <v>JABIL CIRCUIT (GUANGZHOU) LTD</v>
      </c>
      <c r="G41" s="36" t="s">
        <v>259</v>
      </c>
      <c r="H41" s="39"/>
      <c r="I41" s="24" t="str">
        <f>+VLOOKUP(A41,[2]Hoja1!$A:$A,1,0)</f>
        <v>W11745884</v>
      </c>
    </row>
    <row r="42" spans="1:9" ht="15.75" customHeight="1" x14ac:dyDescent="0.2">
      <c r="A42" s="36" t="s">
        <v>400</v>
      </c>
      <c r="B42" s="38" t="s">
        <v>401</v>
      </c>
      <c r="C42" s="34" t="s">
        <v>256</v>
      </c>
      <c r="D42" s="35" t="s">
        <v>402</v>
      </c>
      <c r="E42" s="45" t="s">
        <v>403</v>
      </c>
      <c r="F42" s="22" t="str">
        <f>+VLOOKUP(A42,'[1]Proveedor-Comprador'!A:D,4,0)</f>
        <v>LÍNEA ADHESIVA S.A.</v>
      </c>
      <c r="G42" s="36" t="s">
        <v>259</v>
      </c>
      <c r="H42" s="39"/>
      <c r="I42" s="24" t="str">
        <f>+VLOOKUP(A42,[2]Hoja1!$A:$A,1,0)</f>
        <v>W11748855</v>
      </c>
    </row>
    <row r="43" spans="1:9" ht="15.75" customHeight="1" x14ac:dyDescent="0.2">
      <c r="A43" s="36" t="s">
        <v>404</v>
      </c>
      <c r="B43" s="38" t="s">
        <v>405</v>
      </c>
      <c r="C43" s="34" t="s">
        <v>256</v>
      </c>
      <c r="D43" s="35" t="s">
        <v>406</v>
      </c>
      <c r="E43" s="45" t="s">
        <v>407</v>
      </c>
      <c r="F43" s="22" t="str">
        <f>+VLOOKUP(A43,'[1]Proveedor-Comprador'!A:D,4,0)</f>
        <v>Factorias &amp; Asociadas</v>
      </c>
      <c r="G43" s="36" t="s">
        <v>259</v>
      </c>
      <c r="H43" s="39"/>
      <c r="I43" s="24" t="str">
        <f>+VLOOKUP(A43,[2]Hoja1!$A:$A,1,0)</f>
        <v>W11750319</v>
      </c>
    </row>
    <row r="44" spans="1:9" ht="15.75" customHeight="1" x14ac:dyDescent="0.2">
      <c r="A44" s="36" t="s">
        <v>408</v>
      </c>
      <c r="B44" s="38" t="s">
        <v>409</v>
      </c>
      <c r="C44" s="34" t="s">
        <v>256</v>
      </c>
      <c r="D44" s="35" t="s">
        <v>410</v>
      </c>
      <c r="E44" s="45" t="s">
        <v>311</v>
      </c>
      <c r="F44" s="22" t="str">
        <f>+VLOOKUP(A44,'[1]Proveedor-Comprador'!A:D,4,0)</f>
        <v>SHANGHAI JINGSHI ELECTRIC</v>
      </c>
      <c r="G44" s="36" t="s">
        <v>259</v>
      </c>
      <c r="H44" s="39"/>
      <c r="I44" s="24" t="str">
        <f>+VLOOKUP(A44,[2]Hoja1!$A:$A,1,0)</f>
        <v>W11755368</v>
      </c>
    </row>
    <row r="45" spans="1:9" ht="15.75" customHeight="1" x14ac:dyDescent="0.2">
      <c r="A45" s="36" t="s">
        <v>411</v>
      </c>
      <c r="B45" s="38" t="s">
        <v>412</v>
      </c>
      <c r="C45" s="34" t="s">
        <v>256</v>
      </c>
      <c r="D45" s="35" t="s">
        <v>413</v>
      </c>
      <c r="E45" s="45" t="s">
        <v>414</v>
      </c>
      <c r="F45" s="22" t="str">
        <f>+VLOOKUP(A45,'[1]Proveedor-Comprador'!A:D,4,0)</f>
        <v>LÍNEA ADHESIVA S.A.</v>
      </c>
      <c r="G45" s="36" t="s">
        <v>259</v>
      </c>
      <c r="H45" s="39"/>
      <c r="I45" s="24" t="str">
        <f>+VLOOKUP(A45,[2]Hoja1!$A:$A,1,0)</f>
        <v>W11758441</v>
      </c>
    </row>
    <row r="46" spans="1:9" ht="15.75" customHeight="1" x14ac:dyDescent="0.2">
      <c r="A46" s="36" t="s">
        <v>415</v>
      </c>
      <c r="B46" s="38" t="s">
        <v>416</v>
      </c>
      <c r="C46" s="34" t="s">
        <v>256</v>
      </c>
      <c r="D46" s="35" t="s">
        <v>417</v>
      </c>
      <c r="E46" s="45" t="s">
        <v>414</v>
      </c>
      <c r="F46" s="22" t="str">
        <f>+VLOOKUP(A46,'[1]Proveedor-Comprador'!A:D,4,0)</f>
        <v>LÍNEA ADHESIVA S.A.</v>
      </c>
      <c r="G46" s="36" t="s">
        <v>342</v>
      </c>
      <c r="H46" s="39"/>
      <c r="I46" s="24" t="str">
        <f>+VLOOKUP(A46,[2]Hoja1!$A:$A,1,0)</f>
        <v>W11758565</v>
      </c>
    </row>
    <row r="47" spans="1:9" ht="15.75" customHeight="1" x14ac:dyDescent="0.2">
      <c r="A47" s="36" t="s">
        <v>418</v>
      </c>
      <c r="B47" s="38" t="s">
        <v>419</v>
      </c>
      <c r="C47" s="34" t="s">
        <v>256</v>
      </c>
      <c r="D47" s="35" t="s">
        <v>420</v>
      </c>
      <c r="E47" s="45" t="s">
        <v>414</v>
      </c>
      <c r="F47" s="22" t="str">
        <f>+VLOOKUP(A47,'[1]Proveedor-Comprador'!A:D,4,0)</f>
        <v>LÍNEA ADHESIVA S.A.</v>
      </c>
      <c r="G47" s="36" t="s">
        <v>342</v>
      </c>
      <c r="H47" s="39"/>
      <c r="I47" s="24" t="str">
        <f>+VLOOKUP(A47,[2]Hoja1!$A:$A,1,0)</f>
        <v>W11759080</v>
      </c>
    </row>
    <row r="48" spans="1:9" ht="15.75" customHeight="1" x14ac:dyDescent="0.2">
      <c r="A48" s="36" t="s">
        <v>421</v>
      </c>
      <c r="B48" s="38" t="s">
        <v>422</v>
      </c>
      <c r="C48" s="34" t="s">
        <v>256</v>
      </c>
      <c r="D48" s="35" t="s">
        <v>423</v>
      </c>
      <c r="E48" s="45" t="s">
        <v>414</v>
      </c>
      <c r="F48" s="22" t="str">
        <f>+VLOOKUP(A48,'[1]Proveedor-Comprador'!A:D,4,0)</f>
        <v>LÍNEA ADHESIVA S.A.</v>
      </c>
      <c r="G48" s="36" t="s">
        <v>342</v>
      </c>
      <c r="H48" s="39"/>
      <c r="I48" s="24" t="str">
        <f>+VLOOKUP(A48,[2]Hoja1!$A:$A,1,0)</f>
        <v>W11759082</v>
      </c>
    </row>
    <row r="49" spans="1:9" ht="15.75" customHeight="1" x14ac:dyDescent="0.2">
      <c r="A49" s="36" t="s">
        <v>424</v>
      </c>
      <c r="B49" s="38" t="s">
        <v>425</v>
      </c>
      <c r="C49" s="34" t="s">
        <v>256</v>
      </c>
      <c r="D49" s="35" t="s">
        <v>426</v>
      </c>
      <c r="E49" s="45" t="s">
        <v>427</v>
      </c>
      <c r="F49" s="22" t="str">
        <f>+VLOOKUP(A49,'[1]Proveedor-Comprador'!A:D,4,0)</f>
        <v>LÍNEA ADHESIVA S.A.</v>
      </c>
      <c r="G49" s="36" t="s">
        <v>342</v>
      </c>
      <c r="H49" s="39"/>
      <c r="I49" s="24" t="str">
        <f>+VLOOKUP(A49,[2]Hoja1!$A:$A,1,0)</f>
        <v>W11759275</v>
      </c>
    </row>
    <row r="50" spans="1:9" ht="15.75" customHeight="1" x14ac:dyDescent="0.2">
      <c r="A50" s="36" t="s">
        <v>428</v>
      </c>
      <c r="B50" s="38" t="s">
        <v>429</v>
      </c>
      <c r="C50" s="34" t="s">
        <v>256</v>
      </c>
      <c r="D50" s="35" t="s">
        <v>430</v>
      </c>
      <c r="E50" s="45" t="s">
        <v>427</v>
      </c>
      <c r="F50" s="22" t="str">
        <f>+VLOOKUP(A50,'[1]Proveedor-Comprador'!A:D,4,0)</f>
        <v>LÍNEA ADHESIVA S.A.</v>
      </c>
      <c r="G50" s="36" t="s">
        <v>342</v>
      </c>
      <c r="H50" s="39"/>
      <c r="I50" s="24" t="str">
        <f>+VLOOKUP(A50,[2]Hoja1!$A:$A,1,0)</f>
        <v>W11759277</v>
      </c>
    </row>
    <row r="51" spans="1:9" ht="15.75" customHeight="1" x14ac:dyDescent="0.2">
      <c r="A51" s="36" t="s">
        <v>431</v>
      </c>
      <c r="B51" s="38" t="s">
        <v>432</v>
      </c>
      <c r="C51" s="34" t="s">
        <v>248</v>
      </c>
      <c r="D51" s="35" t="s">
        <v>433</v>
      </c>
      <c r="E51" s="45" t="s">
        <v>434</v>
      </c>
      <c r="F51" s="22" t="str">
        <f>+VLOOKUP(A51,'[1]Proveedor-Comprador'!A:D,4,0)</f>
        <v>TICONA POLYMERS LTDA.</v>
      </c>
      <c r="G51" s="36" t="s">
        <v>251</v>
      </c>
      <c r="H51" s="39" t="s">
        <v>279</v>
      </c>
      <c r="I51" s="24" t="s">
        <v>253</v>
      </c>
    </row>
    <row r="52" spans="1:9" ht="15.75" customHeight="1" x14ac:dyDescent="0.2">
      <c r="A52" s="36" t="s">
        <v>435</v>
      </c>
      <c r="B52" s="38" t="s">
        <v>436</v>
      </c>
      <c r="C52" s="34" t="s">
        <v>256</v>
      </c>
      <c r="D52" s="35" t="s">
        <v>437</v>
      </c>
      <c r="E52" s="45" t="s">
        <v>330</v>
      </c>
      <c r="F52" s="22" t="str">
        <f>+VLOOKUP(A52,'[1]Proveedor-Comprador'!A:D,4,0)</f>
        <v>BRASCABOS COMPONENTES ELE</v>
      </c>
      <c r="G52" s="36" t="s">
        <v>312</v>
      </c>
      <c r="H52" s="39"/>
      <c r="I52" s="24" t="str">
        <f>+VLOOKUP(A52,[2]Hoja1!$A:$A,1,0)</f>
        <v>W11522619</v>
      </c>
    </row>
    <row r="53" spans="1:9" ht="15.75" customHeight="1" x14ac:dyDescent="0.2">
      <c r="A53" s="36" t="s">
        <v>438</v>
      </c>
      <c r="B53" s="38" t="s">
        <v>439</v>
      </c>
      <c r="C53" s="34" t="s">
        <v>256</v>
      </c>
      <c r="D53" s="35" t="s">
        <v>440</v>
      </c>
      <c r="E53" s="45" t="s">
        <v>441</v>
      </c>
      <c r="F53" s="22" t="str">
        <f>+VLOOKUP(A53,'[1]Proveedor-Comprador'!A:D,4,0)</f>
        <v>JIANGSU XIUQIANG GLASSWOR</v>
      </c>
      <c r="G53" s="36" t="s">
        <v>259</v>
      </c>
      <c r="H53" s="39"/>
      <c r="I53" s="24" t="str">
        <f>+VLOOKUP(A53,[2]Hoja1!$A:$A,1,0)</f>
        <v>W11629027</v>
      </c>
    </row>
    <row r="54" spans="1:9" ht="15.75" customHeight="1" x14ac:dyDescent="0.2">
      <c r="A54" s="36" t="s">
        <v>442</v>
      </c>
      <c r="B54" s="38" t="s">
        <v>443</v>
      </c>
      <c r="C54" s="34" t="s">
        <v>256</v>
      </c>
      <c r="D54" s="35" t="s">
        <v>444</v>
      </c>
      <c r="E54" s="45" t="s">
        <v>441</v>
      </c>
      <c r="F54" s="22" t="str">
        <f>+VLOOKUP(A54,'[1]Proveedor-Comprador'!A:D,4,0)</f>
        <v>JIANGSU XIUQIANG GLASSWOR</v>
      </c>
      <c r="G54" s="36" t="s">
        <v>267</v>
      </c>
      <c r="H54" s="39"/>
      <c r="I54" s="24" t="str">
        <f>+VLOOKUP(A54,[2]Hoja1!$A:$A,1,0)</f>
        <v>W11677845</v>
      </c>
    </row>
    <row r="55" spans="1:9" ht="15.75" customHeight="1" x14ac:dyDescent="0.2">
      <c r="A55" s="36" t="s">
        <v>445</v>
      </c>
      <c r="B55" s="38" t="s">
        <v>446</v>
      </c>
      <c r="C55" s="34" t="s">
        <v>256</v>
      </c>
      <c r="D55" s="35" t="s">
        <v>447</v>
      </c>
      <c r="E55" s="45" t="s">
        <v>441</v>
      </c>
      <c r="F55" s="22" t="str">
        <f>+VLOOKUP(A55,'[1]Proveedor-Comprador'!A:D,4,0)</f>
        <v>JIANGSU XIUQIANG GLASSWOR</v>
      </c>
      <c r="G55" s="36" t="s">
        <v>267</v>
      </c>
      <c r="H55" s="39"/>
      <c r="I55" s="24" t="str">
        <f>+VLOOKUP(A55,[2]Hoja1!$A:$A,1,0)</f>
        <v>W11541521</v>
      </c>
    </row>
    <row r="56" spans="1:9" ht="15.75" customHeight="1" x14ac:dyDescent="0.2">
      <c r="A56" s="36" t="s">
        <v>448</v>
      </c>
      <c r="B56" s="38" t="s">
        <v>449</v>
      </c>
      <c r="C56" s="34" t="s">
        <v>256</v>
      </c>
      <c r="D56" s="35" t="s">
        <v>450</v>
      </c>
      <c r="E56" s="45" t="s">
        <v>441</v>
      </c>
      <c r="F56" s="22" t="str">
        <f>+VLOOKUP(A56,'[1]Proveedor-Comprador'!A:D,4,0)</f>
        <v>JIANGSU XIUQIANG GLASSWOR</v>
      </c>
      <c r="G56" s="36" t="s">
        <v>267</v>
      </c>
      <c r="H56" s="39"/>
      <c r="I56" s="24" t="str">
        <f>+VLOOKUP(A56,[2]Hoja1!$A:$A,1,0)</f>
        <v>W11502760</v>
      </c>
    </row>
    <row r="57" spans="1:9" ht="15.75" customHeight="1" x14ac:dyDescent="0.2">
      <c r="A57" s="36" t="s">
        <v>451</v>
      </c>
      <c r="B57" s="38" t="s">
        <v>452</v>
      </c>
      <c r="C57" s="34" t="s">
        <v>256</v>
      </c>
      <c r="D57" s="35" t="s">
        <v>453</v>
      </c>
      <c r="E57" s="45" t="s">
        <v>441</v>
      </c>
      <c r="F57" s="22" t="str">
        <f>+VLOOKUP(A57,'[1]Proveedor-Comprador'!A:D,4,0)</f>
        <v>JIANGSU XIUQIANG GLASSWOR</v>
      </c>
      <c r="G57" s="36" t="s">
        <v>267</v>
      </c>
      <c r="H57" s="39"/>
      <c r="I57" s="24" t="str">
        <f>+VLOOKUP(A57,[2]Hoja1!$A:$A,1,0)</f>
        <v>W11491997</v>
      </c>
    </row>
    <row r="58" spans="1:9" ht="15.75" customHeight="1" x14ac:dyDescent="0.2">
      <c r="A58" s="36" t="s">
        <v>454</v>
      </c>
      <c r="B58" s="38" t="s">
        <v>455</v>
      </c>
      <c r="C58" s="34" t="s">
        <v>256</v>
      </c>
      <c r="D58" s="35" t="s">
        <v>456</v>
      </c>
      <c r="E58" s="45" t="s">
        <v>441</v>
      </c>
      <c r="F58" s="22" t="str">
        <f>+VLOOKUP(A58,'[1]Proveedor-Comprador'!A:D,4,0)</f>
        <v>JIANGSU XIUQIANG GLASSWOR</v>
      </c>
      <c r="G58" s="36" t="s">
        <v>312</v>
      </c>
      <c r="H58" s="39"/>
      <c r="I58" s="24" t="str">
        <f>+VLOOKUP(A58,[2]Hoja1!$A:$A,1,0)</f>
        <v>W11548651</v>
      </c>
    </row>
    <row r="59" spans="1:9" ht="15.75" customHeight="1" x14ac:dyDescent="0.2">
      <c r="A59" s="36" t="s">
        <v>457</v>
      </c>
      <c r="B59" s="38" t="s">
        <v>458</v>
      </c>
      <c r="C59" s="34" t="s">
        <v>256</v>
      </c>
      <c r="D59" s="35" t="s">
        <v>459</v>
      </c>
      <c r="E59" s="45" t="s">
        <v>441</v>
      </c>
      <c r="F59" s="22" t="str">
        <f>+VLOOKUP(A59,'[1]Proveedor-Comprador'!A:D,4,0)</f>
        <v>JIANGSU XIUQIANG GLASSWOR</v>
      </c>
      <c r="G59" s="36" t="s">
        <v>312</v>
      </c>
      <c r="H59" s="39"/>
      <c r="I59" s="24" t="str">
        <f>+VLOOKUP(A59,[2]Hoja1!$A:$A,1,0)</f>
        <v>W11193830</v>
      </c>
    </row>
    <row r="60" spans="1:9" ht="15.75" customHeight="1" x14ac:dyDescent="0.2">
      <c r="A60" s="36" t="s">
        <v>460</v>
      </c>
      <c r="B60" s="38" t="s">
        <v>461</v>
      </c>
      <c r="C60" s="34" t="s">
        <v>256</v>
      </c>
      <c r="D60" s="35" t="s">
        <v>462</v>
      </c>
      <c r="E60" s="45" t="s">
        <v>441</v>
      </c>
      <c r="F60" s="22" t="str">
        <f>+VLOOKUP(A60,'[1]Proveedor-Comprador'!A:D,4,0)</f>
        <v>JIANGSU XIUQIANG GLASSWOR</v>
      </c>
      <c r="G60" s="36" t="s">
        <v>312</v>
      </c>
      <c r="H60" s="39"/>
      <c r="I60" s="24" t="str">
        <f>+VLOOKUP(A60,[2]Hoja1!$A:$A,1,0)</f>
        <v>W11347692</v>
      </c>
    </row>
    <row r="61" spans="1:9" ht="15.75" customHeight="1" x14ac:dyDescent="0.2">
      <c r="A61" s="36" t="s">
        <v>463</v>
      </c>
      <c r="B61" s="38" t="s">
        <v>464</v>
      </c>
      <c r="C61" s="34" t="s">
        <v>256</v>
      </c>
      <c r="D61" s="35" t="s">
        <v>465</v>
      </c>
      <c r="E61" s="45" t="s">
        <v>466</v>
      </c>
      <c r="F61" s="22" t="str">
        <f>+VLOOKUP(A61,'[1]Proveedor-Comprador'!A:D,4,0)</f>
        <v>IBEROTECH S.A.S</v>
      </c>
      <c r="G61" s="36" t="s">
        <v>312</v>
      </c>
      <c r="H61" s="39"/>
      <c r="I61" s="24" t="str">
        <f>+VLOOKUP(A61,[2]Hoja1!$A:$A,1,0)</f>
        <v>W11403891</v>
      </c>
    </row>
    <row r="62" spans="1:9" ht="15.75" customHeight="1" x14ac:dyDescent="0.2">
      <c r="A62" s="36" t="s">
        <v>467</v>
      </c>
      <c r="B62" s="38" t="s">
        <v>468</v>
      </c>
      <c r="C62" s="34" t="s">
        <v>256</v>
      </c>
      <c r="D62" s="35" t="s">
        <v>469</v>
      </c>
      <c r="E62" s="45" t="s">
        <v>466</v>
      </c>
      <c r="F62" s="22" t="str">
        <f>+VLOOKUP(A62,'[1]Proveedor-Comprador'!A:D,4,0)</f>
        <v>IBEROTECH S.A.S</v>
      </c>
      <c r="G62" s="36" t="s">
        <v>267</v>
      </c>
      <c r="H62" s="39"/>
      <c r="I62" s="24" t="str">
        <f>+VLOOKUP(A62,[2]Hoja1!$A:$A,1,0)</f>
        <v>W11497938</v>
      </c>
    </row>
    <row r="63" spans="1:9" ht="15.75" customHeight="1" x14ac:dyDescent="0.2">
      <c r="A63" s="36" t="s">
        <v>470</v>
      </c>
      <c r="B63" s="38" t="s">
        <v>464</v>
      </c>
      <c r="C63" s="34" t="s">
        <v>256</v>
      </c>
      <c r="D63" s="35" t="s">
        <v>471</v>
      </c>
      <c r="E63" s="45" t="s">
        <v>466</v>
      </c>
      <c r="F63" s="22" t="str">
        <f>+VLOOKUP(A63,'[1]Proveedor-Comprador'!A:D,4,0)</f>
        <v>IBEROTECH S.A.S</v>
      </c>
      <c r="G63" s="36" t="s">
        <v>284</v>
      </c>
      <c r="H63" s="39"/>
      <c r="I63" s="24" t="str">
        <f>+VLOOKUP(A63,[2]Hoja1!$A:$A,1,0)</f>
        <v>W11403890</v>
      </c>
    </row>
    <row r="64" spans="1:9" ht="15.75" customHeight="1" x14ac:dyDescent="0.2">
      <c r="A64" s="36" t="s">
        <v>472</v>
      </c>
      <c r="B64" s="38" t="s">
        <v>473</v>
      </c>
      <c r="C64" s="34" t="s">
        <v>256</v>
      </c>
      <c r="D64" s="35" t="s">
        <v>474</v>
      </c>
      <c r="E64" s="45" t="s">
        <v>475</v>
      </c>
      <c r="F64" s="22" t="str">
        <f>+VLOOKUP(A64,'[1]Proveedor-Comprador'!A:D,4,0)</f>
        <v>Riduco S.A.</v>
      </c>
      <c r="G64" s="36" t="s">
        <v>312</v>
      </c>
      <c r="H64" s="39"/>
      <c r="I64" s="24" t="str">
        <f>+VLOOKUP(A64,[2]Hoja1!$A:$A,1,0)</f>
        <v>W11109356</v>
      </c>
    </row>
    <row r="65" spans="1:9" ht="15.75" customHeight="1" x14ac:dyDescent="0.2">
      <c r="A65" s="36" t="s">
        <v>476</v>
      </c>
      <c r="B65" s="38" t="s">
        <v>477</v>
      </c>
      <c r="C65" s="34" t="s">
        <v>256</v>
      </c>
      <c r="D65" s="35" t="s">
        <v>478</v>
      </c>
      <c r="E65" s="45" t="s">
        <v>475</v>
      </c>
      <c r="F65" s="22" t="str">
        <f>+VLOOKUP(A65,'[1]Proveedor-Comprador'!A:D,4,0)</f>
        <v>EMICOL ELETRÔNICA S.A.</v>
      </c>
      <c r="G65" s="36" t="s">
        <v>267</v>
      </c>
      <c r="H65" s="39"/>
      <c r="I65" s="24" t="str">
        <f>+VLOOKUP(A65,[2]Hoja1!$A:$A,1,0)</f>
        <v>W11502149</v>
      </c>
    </row>
    <row r="66" spans="1:9" ht="15.75" customHeight="1" x14ac:dyDescent="0.2">
      <c r="A66" s="36" t="s">
        <v>479</v>
      </c>
      <c r="B66" s="38" t="s">
        <v>480</v>
      </c>
      <c r="C66" s="34" t="s">
        <v>256</v>
      </c>
      <c r="D66" s="35" t="s">
        <v>481</v>
      </c>
      <c r="E66" s="45" t="s">
        <v>475</v>
      </c>
      <c r="F66" s="22" t="str">
        <f>+VLOOKUP(A66,'[1]Proveedor-Comprador'!A:D,4,0)</f>
        <v>EMICOL ELETRÔNICA S.A.</v>
      </c>
      <c r="G66" s="36" t="s">
        <v>267</v>
      </c>
      <c r="H66" s="39"/>
      <c r="I66" s="24" t="str">
        <f>+VLOOKUP(A66,[2]Hoja1!$A:$A,1,0)</f>
        <v>W11502146</v>
      </c>
    </row>
    <row r="67" spans="1:9" ht="15.75" customHeight="1" x14ac:dyDescent="0.2">
      <c r="A67" s="36" t="s">
        <v>482</v>
      </c>
      <c r="B67" s="38" t="s">
        <v>483</v>
      </c>
      <c r="C67" s="34" t="s">
        <v>256</v>
      </c>
      <c r="D67" s="35" t="s">
        <v>484</v>
      </c>
      <c r="E67" s="45" t="s">
        <v>475</v>
      </c>
      <c r="F67" s="22" t="str">
        <f>+VLOOKUP(A67,'[1]Proveedor-Comprador'!A:D,4,0)</f>
        <v>EMICOL ELETRÔNICA S.A.</v>
      </c>
      <c r="G67" s="36" t="s">
        <v>267</v>
      </c>
      <c r="H67" s="39"/>
      <c r="I67" s="24" t="str">
        <f>+VLOOKUP(A67,[2]Hoja1!$A:$A,1,0)</f>
        <v>W11502148</v>
      </c>
    </row>
    <row r="68" spans="1:9" ht="15.75" customHeight="1" x14ac:dyDescent="0.2">
      <c r="A68" s="36" t="s">
        <v>485</v>
      </c>
      <c r="B68" s="38" t="s">
        <v>486</v>
      </c>
      <c r="C68" s="34" t="s">
        <v>256</v>
      </c>
      <c r="D68" s="35" t="s">
        <v>487</v>
      </c>
      <c r="E68" s="45" t="s">
        <v>475</v>
      </c>
      <c r="F68" s="22" t="str">
        <f>+VLOOKUP(A68,'[1]Proveedor-Comprador'!A:D,4,0)</f>
        <v>Bitron Industry China CO</v>
      </c>
      <c r="G68" s="36" t="s">
        <v>312</v>
      </c>
      <c r="H68" s="39"/>
      <c r="I68" s="24" t="str">
        <f>+VLOOKUP(A68,[2]Hoja1!$A:$A,1,0)</f>
        <v>W10718167</v>
      </c>
    </row>
    <row r="69" spans="1:9" ht="15.75" customHeight="1" x14ac:dyDescent="0.2">
      <c r="A69" s="36" t="s">
        <v>488</v>
      </c>
      <c r="B69" s="38" t="s">
        <v>489</v>
      </c>
      <c r="C69" s="34" t="s">
        <v>256</v>
      </c>
      <c r="D69" s="35" t="s">
        <v>490</v>
      </c>
      <c r="E69" s="45" t="s">
        <v>475</v>
      </c>
      <c r="F69" s="22" t="str">
        <f>+VLOOKUP(A69,'[1]Proveedor-Comprador'!A:D,4,0)</f>
        <v>Bitron Industry China CO</v>
      </c>
      <c r="G69" s="36" t="s">
        <v>312</v>
      </c>
      <c r="H69" s="39"/>
      <c r="I69" s="24" t="str">
        <f>+VLOOKUP(A69,[2]Hoja1!$A:$A,1,0)</f>
        <v>W10718173</v>
      </c>
    </row>
    <row r="70" spans="1:9" ht="15.75" customHeight="1" x14ac:dyDescent="0.2">
      <c r="A70" s="36" t="s">
        <v>491</v>
      </c>
      <c r="B70" s="38" t="s">
        <v>492</v>
      </c>
      <c r="C70" s="34" t="s">
        <v>256</v>
      </c>
      <c r="D70" s="35" t="s">
        <v>493</v>
      </c>
      <c r="E70" s="45" t="s">
        <v>475</v>
      </c>
      <c r="F70" s="22" t="str">
        <f>+VLOOKUP(A70,'[1]Proveedor-Comprador'!A:D,4,0)</f>
        <v>EMICOL ELETRÔNICA S.A.</v>
      </c>
      <c r="G70" s="36" t="s">
        <v>267</v>
      </c>
      <c r="H70" s="39"/>
      <c r="I70" s="24" t="str">
        <f>+VLOOKUP(A70,[2]Hoja1!$A:$A,1,0)</f>
        <v>W11502145</v>
      </c>
    </row>
    <row r="71" spans="1:9" ht="15.75" customHeight="1" x14ac:dyDescent="0.2">
      <c r="A71" s="36" t="s">
        <v>494</v>
      </c>
      <c r="B71" s="38" t="s">
        <v>495</v>
      </c>
      <c r="C71" s="34" t="s">
        <v>256</v>
      </c>
      <c r="D71" s="35" t="s">
        <v>496</v>
      </c>
      <c r="E71" s="45" t="s">
        <v>475</v>
      </c>
      <c r="F71" s="22" t="str">
        <f>+VLOOKUP(A71,'[1]Proveedor-Comprador'!A:D,4,0)</f>
        <v>Bitron Industry China CO</v>
      </c>
      <c r="G71" s="36" t="s">
        <v>312</v>
      </c>
      <c r="H71" s="39"/>
      <c r="I71" s="24" t="str">
        <f>+VLOOKUP(A71,[2]Hoja1!$A:$A,1,0)</f>
        <v>W10718177</v>
      </c>
    </row>
    <row r="72" spans="1:9" ht="15.75" customHeight="1" x14ac:dyDescent="0.2">
      <c r="A72" s="36" t="s">
        <v>497</v>
      </c>
      <c r="B72" s="38" t="s">
        <v>498</v>
      </c>
      <c r="C72" s="34" t="s">
        <v>256</v>
      </c>
      <c r="D72" s="35" t="s">
        <v>499</v>
      </c>
      <c r="E72" s="45" t="s">
        <v>475</v>
      </c>
      <c r="F72" s="22" t="str">
        <f>+VLOOKUP(A72,'[1]Proveedor-Comprador'!A:D,4,0)</f>
        <v>EMICOL ELETRÔNICA S.A.</v>
      </c>
      <c r="G72" s="36" t="s">
        <v>267</v>
      </c>
      <c r="H72" s="39"/>
      <c r="I72" s="24" t="str">
        <f>+VLOOKUP(A72,[2]Hoja1!$A:$A,1,0)</f>
        <v>W11344664</v>
      </c>
    </row>
    <row r="73" spans="1:9" ht="15.75" customHeight="1" x14ac:dyDescent="0.2">
      <c r="A73" s="36" t="s">
        <v>500</v>
      </c>
      <c r="B73" s="38" t="s">
        <v>501</v>
      </c>
      <c r="C73" s="34" t="s">
        <v>256</v>
      </c>
      <c r="D73" s="35" t="s">
        <v>502</v>
      </c>
      <c r="E73" s="45" t="s">
        <v>475</v>
      </c>
      <c r="F73" s="22" t="str">
        <f>+VLOOKUP(A73,'[1]Proveedor-Comprador'!A:D,4,0)</f>
        <v>Bitron Industry China CO</v>
      </c>
      <c r="G73" s="36" t="s">
        <v>312</v>
      </c>
      <c r="H73" s="39"/>
      <c r="I73" s="24" t="str">
        <f>+VLOOKUP(A73,[2]Hoja1!$A:$A,1,0)</f>
        <v>W10718178</v>
      </c>
    </row>
    <row r="74" spans="1:9" ht="15.75" customHeight="1" x14ac:dyDescent="0.2">
      <c r="A74" s="36" t="s">
        <v>503</v>
      </c>
      <c r="B74" s="38" t="s">
        <v>504</v>
      </c>
      <c r="C74" s="34" t="s">
        <v>256</v>
      </c>
      <c r="D74" s="35" t="s">
        <v>505</v>
      </c>
      <c r="E74" s="45" t="s">
        <v>506</v>
      </c>
      <c r="F74" s="22" t="str">
        <f>+VLOOKUP(A74,'[1]Proveedor-Comprador'!A:D,4,0)</f>
        <v>PLASTICOS TRUHER S.A.</v>
      </c>
      <c r="G74" s="36" t="s">
        <v>312</v>
      </c>
      <c r="H74" s="39"/>
      <c r="I74" s="24" t="str">
        <f>+VLOOKUP(A74,[2]Hoja1!$A:$A,1,0)</f>
        <v>W11161446</v>
      </c>
    </row>
    <row r="75" spans="1:9" ht="15.75" customHeight="1" x14ac:dyDescent="0.2">
      <c r="A75" s="36" t="s">
        <v>507</v>
      </c>
      <c r="B75" s="38" t="s">
        <v>508</v>
      </c>
      <c r="C75" s="34" t="s">
        <v>256</v>
      </c>
      <c r="D75" s="35" t="s">
        <v>508</v>
      </c>
      <c r="E75" s="45" t="s">
        <v>506</v>
      </c>
      <c r="F75" s="22" t="str">
        <f>+VLOOKUP(A75,'[1]Proveedor-Comprador'!A:D,4,0)</f>
        <v>COMPAÑIA DE EMPAQUES S.A</v>
      </c>
      <c r="G75" s="36" t="s">
        <v>312</v>
      </c>
      <c r="H75" s="39"/>
      <c r="I75" s="24" t="str">
        <f>+VLOOKUP(A75,[2]Hoja1!$A:$A,1,0)</f>
        <v>W11125956</v>
      </c>
    </row>
    <row r="76" spans="1:9" ht="15.75" customHeight="1" x14ac:dyDescent="0.2">
      <c r="A76" s="36" t="s">
        <v>509</v>
      </c>
      <c r="B76" s="38" t="s">
        <v>508</v>
      </c>
      <c r="C76" s="34" t="s">
        <v>256</v>
      </c>
      <c r="D76" s="35" t="s">
        <v>510</v>
      </c>
      <c r="E76" s="45" t="s">
        <v>506</v>
      </c>
      <c r="F76" s="22" t="str">
        <f>+VLOOKUP(A76,'[1]Proveedor-Comprador'!A:D,4,0)</f>
        <v>COMPAÑIA DE EMPAQUES S.A</v>
      </c>
      <c r="G76" s="36" t="s">
        <v>312</v>
      </c>
      <c r="H76" s="39"/>
      <c r="I76" s="24" t="str">
        <f>+VLOOKUP(A76,[2]Hoja1!$A:$A,1,0)</f>
        <v>W10917031</v>
      </c>
    </row>
    <row r="77" spans="1:9" ht="15.75" customHeight="1" x14ac:dyDescent="0.2">
      <c r="A77" s="36" t="s">
        <v>511</v>
      </c>
      <c r="B77" s="38" t="s">
        <v>512</v>
      </c>
      <c r="C77" s="34" t="s">
        <v>256</v>
      </c>
      <c r="D77" s="35" t="s">
        <v>512</v>
      </c>
      <c r="E77" s="45" t="s">
        <v>513</v>
      </c>
      <c r="F77" s="22" t="str">
        <f>+VLOOKUP(A77,'[1]Proveedor-Comprador'!A:D,4,0)</f>
        <v>Whirlpool S/A</v>
      </c>
      <c r="G77" s="36" t="s">
        <v>312</v>
      </c>
      <c r="H77" s="39"/>
      <c r="I77" s="24" t="str">
        <f>+VLOOKUP(A77,[2]Hoja1!$A:$A,1,0)</f>
        <v>326066095</v>
      </c>
    </row>
    <row r="78" spans="1:9" ht="15.75" customHeight="1" x14ac:dyDescent="0.2">
      <c r="A78" s="36" t="s">
        <v>514</v>
      </c>
      <c r="B78" s="38" t="s">
        <v>515</v>
      </c>
      <c r="C78" s="34" t="s">
        <v>256</v>
      </c>
      <c r="D78" s="35" t="s">
        <v>516</v>
      </c>
      <c r="E78" s="45" t="s">
        <v>517</v>
      </c>
      <c r="F78" s="22" t="str">
        <f>+VLOOKUP(A78,'[1]Proveedor-Comprador'!A:D,4,0)</f>
        <v>Continental Parafusos S/A</v>
      </c>
      <c r="G78" s="36" t="s">
        <v>284</v>
      </c>
      <c r="H78" s="39"/>
      <c r="I78" s="24" t="str">
        <f>+VLOOKUP(A78,[2]Hoja1!$A:$A,1,0)</f>
        <v>W10548856</v>
      </c>
    </row>
    <row r="79" spans="1:9" ht="15.75" customHeight="1" x14ac:dyDescent="0.2">
      <c r="A79" s="36" t="s">
        <v>518</v>
      </c>
      <c r="B79" s="38" t="s">
        <v>519</v>
      </c>
      <c r="C79" s="34" t="s">
        <v>256</v>
      </c>
      <c r="D79" s="35" t="s">
        <v>520</v>
      </c>
      <c r="E79" s="45" t="s">
        <v>521</v>
      </c>
      <c r="F79" s="22" t="str">
        <f>+VLOOKUP(A79,'[1]Proveedor-Comprador'!A:D,4,0)</f>
        <v>INDUSTRIAS HACEB S.A.</v>
      </c>
      <c r="G79" s="36" t="s">
        <v>284</v>
      </c>
      <c r="H79" s="39"/>
      <c r="I79" s="24" t="str">
        <f>+VLOOKUP(A79,[2]Hoja1!$A:$A,1,0)</f>
        <v>W10661343</v>
      </c>
    </row>
    <row r="80" spans="1:9" ht="15.75" customHeight="1" x14ac:dyDescent="0.2">
      <c r="A80" s="36" t="s">
        <v>522</v>
      </c>
      <c r="B80" s="38" t="s">
        <v>523</v>
      </c>
      <c r="C80" s="34" t="s">
        <v>256</v>
      </c>
      <c r="D80" s="35" t="s">
        <v>524</v>
      </c>
      <c r="E80" s="45" t="s">
        <v>521</v>
      </c>
      <c r="F80" s="22" t="str">
        <f>+VLOOKUP(A80,'[1]Proveedor-Comprador'!A:D,4,0)</f>
        <v>INDUSTRIAS HACEB S.A.</v>
      </c>
      <c r="G80" s="36" t="s">
        <v>284</v>
      </c>
      <c r="H80" s="39"/>
      <c r="I80" s="24" t="str">
        <f>+VLOOKUP(A80,[2]Hoja1!$A:$A,1,0)</f>
        <v>W10638603</v>
      </c>
    </row>
    <row r="81" spans="1:9" ht="15.75" customHeight="1" x14ac:dyDescent="0.2">
      <c r="A81" s="36" t="s">
        <v>525</v>
      </c>
      <c r="B81" s="38" t="s">
        <v>526</v>
      </c>
      <c r="C81" s="34" t="s">
        <v>256</v>
      </c>
      <c r="D81" s="35" t="s">
        <v>527</v>
      </c>
      <c r="E81" s="45" t="s">
        <v>528</v>
      </c>
      <c r="F81" s="22" t="str">
        <f>+VLOOKUP(A81,'[1]Proveedor-Comprador'!A:D,4,0)</f>
        <v>Iprocom S.A.</v>
      </c>
      <c r="G81" s="36" t="s">
        <v>312</v>
      </c>
      <c r="H81" s="39"/>
      <c r="I81" s="24" t="str">
        <f>+VLOOKUP(A81,[2]Hoja1!$A:$A,1,0)</f>
        <v>W10883724</v>
      </c>
    </row>
    <row r="82" spans="1:9" ht="15.75" customHeight="1" x14ac:dyDescent="0.2">
      <c r="A82" s="36" t="s">
        <v>529</v>
      </c>
      <c r="B82" s="38" t="s">
        <v>530</v>
      </c>
      <c r="C82" s="34" t="s">
        <v>256</v>
      </c>
      <c r="D82" s="35" t="s">
        <v>531</v>
      </c>
      <c r="E82" s="45" t="s">
        <v>528</v>
      </c>
      <c r="F82" s="22" t="str">
        <f>+VLOOKUP(A82,'[1]Proveedor-Comprador'!A:D,4,0)</f>
        <v>Iprocom S.A.</v>
      </c>
      <c r="G82" s="36" t="s">
        <v>312</v>
      </c>
      <c r="H82" s="39"/>
      <c r="I82" s="24" t="str">
        <f>+VLOOKUP(A82,[2]Hoja1!$A:$A,1,0)</f>
        <v>W10883723</v>
      </c>
    </row>
    <row r="83" spans="1:9" ht="15.75" customHeight="1" x14ac:dyDescent="0.2">
      <c r="A83" s="36" t="s">
        <v>532</v>
      </c>
      <c r="B83" s="38" t="s">
        <v>533</v>
      </c>
      <c r="C83" s="34" t="s">
        <v>256</v>
      </c>
      <c r="D83" s="35" t="s">
        <v>534</v>
      </c>
      <c r="E83" s="45" t="s">
        <v>528</v>
      </c>
      <c r="F83" s="22" t="str">
        <f>+VLOOKUP(A83,'[1]Proveedor-Comprador'!A:D,4,0)</f>
        <v>Iprocom S.A.</v>
      </c>
      <c r="G83" s="36" t="s">
        <v>312</v>
      </c>
      <c r="H83" s="39"/>
      <c r="I83" s="24" t="str">
        <f>+VLOOKUP(A83,[2]Hoja1!$A:$A,1,0)</f>
        <v>W10883722</v>
      </c>
    </row>
    <row r="84" spans="1:9" ht="15.75" customHeight="1" x14ac:dyDescent="0.2">
      <c r="A84" s="36" t="s">
        <v>535</v>
      </c>
      <c r="B84" s="38" t="s">
        <v>536</v>
      </c>
      <c r="C84" s="34" t="s">
        <v>256</v>
      </c>
      <c r="D84" s="35" t="s">
        <v>537</v>
      </c>
      <c r="E84" s="45" t="s">
        <v>528</v>
      </c>
      <c r="F84" s="22" t="str">
        <f>+VLOOKUP(A84,'[1]Proveedor-Comprador'!A:D,4,0)</f>
        <v>Iprocom S.A.</v>
      </c>
      <c r="G84" s="36" t="s">
        <v>312</v>
      </c>
      <c r="H84" s="39"/>
      <c r="I84" s="24" t="str">
        <f>+VLOOKUP(A84,[2]Hoja1!$A:$A,1,0)</f>
        <v>W10883720</v>
      </c>
    </row>
    <row r="85" spans="1:9" ht="15.75" customHeight="1" x14ac:dyDescent="0.2">
      <c r="A85" s="36" t="s">
        <v>538</v>
      </c>
      <c r="B85" s="38" t="s">
        <v>539</v>
      </c>
      <c r="C85" s="34" t="s">
        <v>256</v>
      </c>
      <c r="D85" s="35" t="s">
        <v>540</v>
      </c>
      <c r="E85" s="45" t="s">
        <v>528</v>
      </c>
      <c r="F85" s="22" t="str">
        <f>+VLOOKUP(A85,'[1]Proveedor-Comprador'!A:D,4,0)</f>
        <v>Iprocom S.A.</v>
      </c>
      <c r="G85" s="36" t="s">
        <v>312</v>
      </c>
      <c r="H85" s="39"/>
      <c r="I85" s="24" t="str">
        <f>+VLOOKUP(A85,[2]Hoja1!$A:$A,1,0)</f>
        <v>W10883730</v>
      </c>
    </row>
    <row r="86" spans="1:9" ht="15.75" customHeight="1" x14ac:dyDescent="0.2">
      <c r="A86" s="36" t="s">
        <v>541</v>
      </c>
      <c r="B86" s="38" t="s">
        <v>542</v>
      </c>
      <c r="C86" s="34" t="s">
        <v>256</v>
      </c>
      <c r="D86" s="35" t="s">
        <v>543</v>
      </c>
      <c r="E86" s="45" t="s">
        <v>528</v>
      </c>
      <c r="F86" s="22" t="str">
        <f>+VLOOKUP(A86,'[1]Proveedor-Comprador'!A:D,4,0)</f>
        <v>Iprocom S.A.</v>
      </c>
      <c r="G86" s="36" t="s">
        <v>312</v>
      </c>
      <c r="H86" s="39"/>
      <c r="I86" s="24" t="str">
        <f>+VLOOKUP(A86,[2]Hoja1!$A:$A,1,0)</f>
        <v>W11210491</v>
      </c>
    </row>
    <row r="87" spans="1:9" ht="15.75" customHeight="1" x14ac:dyDescent="0.2">
      <c r="A87" s="36" t="s">
        <v>544</v>
      </c>
      <c r="B87" s="38" t="s">
        <v>545</v>
      </c>
      <c r="C87" s="34" t="s">
        <v>256</v>
      </c>
      <c r="D87" s="35" t="s">
        <v>546</v>
      </c>
      <c r="E87" s="45" t="s">
        <v>528</v>
      </c>
      <c r="F87" s="22" t="str">
        <f>+VLOOKUP(A87,'[1]Proveedor-Comprador'!A:D,4,0)</f>
        <v>Iprocom S.A.</v>
      </c>
      <c r="G87" s="36" t="s">
        <v>312</v>
      </c>
      <c r="H87" s="39"/>
      <c r="I87" s="24" t="str">
        <f>+VLOOKUP(A87,[2]Hoja1!$A:$A,1,0)</f>
        <v>W10883727</v>
      </c>
    </row>
    <row r="88" spans="1:9" ht="15.75" customHeight="1" x14ac:dyDescent="0.2">
      <c r="A88" s="36" t="s">
        <v>547</v>
      </c>
      <c r="B88" s="38" t="s">
        <v>548</v>
      </c>
      <c r="C88" s="34" t="s">
        <v>256</v>
      </c>
      <c r="D88" s="35" t="s">
        <v>549</v>
      </c>
      <c r="E88" s="45" t="s">
        <v>528</v>
      </c>
      <c r="F88" s="22" t="str">
        <f>+VLOOKUP(A88,'[1]Proveedor-Comprador'!A:D,4,0)</f>
        <v>Iprocom S.A.</v>
      </c>
      <c r="G88" s="36" t="s">
        <v>312</v>
      </c>
      <c r="H88" s="39"/>
      <c r="I88" s="24" t="str">
        <f>+VLOOKUP(A88,[2]Hoja1!$A:$A,1,0)</f>
        <v>W11210490</v>
      </c>
    </row>
    <row r="89" spans="1:9" ht="15.75" customHeight="1" x14ac:dyDescent="0.2">
      <c r="A89" s="36" t="s">
        <v>550</v>
      </c>
      <c r="B89" s="38" t="s">
        <v>551</v>
      </c>
      <c r="C89" s="34" t="s">
        <v>256</v>
      </c>
      <c r="D89" s="35" t="s">
        <v>552</v>
      </c>
      <c r="E89" s="45" t="s">
        <v>283</v>
      </c>
      <c r="F89" s="22" t="str">
        <f>+VLOOKUP(A89,'[1]Proveedor-Comprador'!A:D,4,0)</f>
        <v>INDUSTRIAS CATO S.A.</v>
      </c>
      <c r="G89" s="36" t="s">
        <v>284</v>
      </c>
      <c r="H89" s="39"/>
      <c r="I89" s="24" t="str">
        <f>+VLOOKUP(A89,[2]Hoja1!$A:$A,1,0)</f>
        <v>W10888142</v>
      </c>
    </row>
    <row r="90" spans="1:9" ht="15.75" customHeight="1" x14ac:dyDescent="0.2">
      <c r="A90" s="36" t="s">
        <v>553</v>
      </c>
      <c r="B90" s="38" t="s">
        <v>554</v>
      </c>
      <c r="C90" s="34" t="s">
        <v>256</v>
      </c>
      <c r="D90" s="35" t="s">
        <v>555</v>
      </c>
      <c r="E90" s="45" t="s">
        <v>283</v>
      </c>
      <c r="F90" s="22" t="str">
        <f>+VLOOKUP(A90,'[1]Proveedor-Comprador'!A:D,4,0)</f>
        <v>INDUSTRIAS CATO S.A.</v>
      </c>
      <c r="G90" s="36" t="s">
        <v>284</v>
      </c>
      <c r="H90" s="39"/>
      <c r="I90" s="24" t="str">
        <f>+VLOOKUP(A90,[2]Hoja1!$A:$A,1,0)</f>
        <v>W10850803</v>
      </c>
    </row>
    <row r="91" spans="1:9" ht="15.75" customHeight="1" x14ac:dyDescent="0.2">
      <c r="A91" s="36" t="s">
        <v>556</v>
      </c>
      <c r="B91" s="38" t="s">
        <v>557</v>
      </c>
      <c r="C91" s="34" t="s">
        <v>256</v>
      </c>
      <c r="D91" s="35" t="s">
        <v>558</v>
      </c>
      <c r="E91" s="45" t="s">
        <v>283</v>
      </c>
      <c r="F91" s="22" t="str">
        <f>+VLOOKUP(A91,'[1]Proveedor-Comprador'!A:D,4,0)</f>
        <v>INDUSTRIAS CATO S.A.</v>
      </c>
      <c r="G91" s="36" t="s">
        <v>312</v>
      </c>
      <c r="H91" s="39"/>
      <c r="I91" s="24" t="str">
        <f>+VLOOKUP(A91,[2]Hoja1!$A:$A,1,0)</f>
        <v>W10750540</v>
      </c>
    </row>
    <row r="92" spans="1:9" ht="15.75" customHeight="1" x14ac:dyDescent="0.2">
      <c r="A92" s="36" t="s">
        <v>559</v>
      </c>
      <c r="B92" s="38" t="s">
        <v>560</v>
      </c>
      <c r="C92" s="34" t="s">
        <v>256</v>
      </c>
      <c r="D92" s="35" t="s">
        <v>561</v>
      </c>
      <c r="E92" s="45" t="s">
        <v>283</v>
      </c>
      <c r="F92" s="22" t="str">
        <f>+VLOOKUP(A92,'[1]Proveedor-Comprador'!A:D,4,0)</f>
        <v>INDUSTRIAS CATO S.A.</v>
      </c>
      <c r="G92" s="36" t="s">
        <v>284</v>
      </c>
      <c r="H92" s="39"/>
      <c r="I92" s="24" t="str">
        <f>+VLOOKUP(A92,[2]Hoja1!$A:$A,1,0)</f>
        <v>W10888140</v>
      </c>
    </row>
    <row r="93" spans="1:9" ht="15.75" customHeight="1" x14ac:dyDescent="0.2">
      <c r="A93" s="36" t="s">
        <v>562</v>
      </c>
      <c r="B93" s="38" t="s">
        <v>563</v>
      </c>
      <c r="C93" s="34" t="s">
        <v>256</v>
      </c>
      <c r="D93" s="35" t="s">
        <v>564</v>
      </c>
      <c r="E93" s="45" t="s">
        <v>283</v>
      </c>
      <c r="F93" s="22" t="str">
        <f>+VLOOKUP(A93,'[1]Proveedor-Comprador'!A:D,4,0)</f>
        <v>INDUSTRIAS CATO S.A.</v>
      </c>
      <c r="G93" s="36" t="s">
        <v>284</v>
      </c>
      <c r="H93" s="39"/>
      <c r="I93" s="24" t="str">
        <f>+VLOOKUP(A93,[2]Hoja1!$A:$A,1,0)</f>
        <v>W10888143</v>
      </c>
    </row>
    <row r="94" spans="1:9" ht="15.75" customHeight="1" x14ac:dyDescent="0.2">
      <c r="A94" s="36" t="s">
        <v>565</v>
      </c>
      <c r="B94" s="38" t="s">
        <v>566</v>
      </c>
      <c r="C94" s="34" t="s">
        <v>256</v>
      </c>
      <c r="D94" s="35" t="s">
        <v>567</v>
      </c>
      <c r="E94" s="45" t="s">
        <v>283</v>
      </c>
      <c r="F94" s="22" t="str">
        <f>+VLOOKUP(A94,'[1]Proveedor-Comprador'!A:D,4,0)</f>
        <v>Continental Parafusos S/A</v>
      </c>
      <c r="G94" s="36" t="s">
        <v>312</v>
      </c>
      <c r="H94" s="39"/>
      <c r="I94" s="24" t="str">
        <f>+VLOOKUP(A94,[2]Hoja1!$A:$A,1,0)</f>
        <v>W10715814</v>
      </c>
    </row>
    <row r="95" spans="1:9" ht="15.75" customHeight="1" x14ac:dyDescent="0.2">
      <c r="A95" s="36" t="s">
        <v>568</v>
      </c>
      <c r="B95" s="38" t="s">
        <v>569</v>
      </c>
      <c r="C95" s="34" t="s">
        <v>256</v>
      </c>
      <c r="D95" s="35" t="s">
        <v>570</v>
      </c>
      <c r="E95" s="45" t="s">
        <v>283</v>
      </c>
      <c r="F95" s="22" t="str">
        <f>+VLOOKUP(A95,'[1]Proveedor-Comprador'!A:D,4,0)</f>
        <v>INDUSTRIAS CATO S.A.</v>
      </c>
      <c r="G95" s="36" t="s">
        <v>284</v>
      </c>
      <c r="H95" s="39"/>
      <c r="I95" s="24" t="str">
        <f>+VLOOKUP(A95,[2]Hoja1!$A:$A,1,0)</f>
        <v>W10892220</v>
      </c>
    </row>
    <row r="96" spans="1:9" ht="15.75" customHeight="1" x14ac:dyDescent="0.2">
      <c r="A96" s="36" t="s">
        <v>571</v>
      </c>
      <c r="B96" s="38" t="s">
        <v>569</v>
      </c>
      <c r="C96" s="34" t="s">
        <v>256</v>
      </c>
      <c r="D96" s="35" t="s">
        <v>572</v>
      </c>
      <c r="E96" s="45" t="s">
        <v>283</v>
      </c>
      <c r="F96" s="22" t="str">
        <f>+VLOOKUP(A96,'[1]Proveedor-Comprador'!A:D,4,0)</f>
        <v>INDUSTRIAS CATO S.A.</v>
      </c>
      <c r="G96" s="36" t="s">
        <v>284</v>
      </c>
      <c r="H96" s="39"/>
      <c r="I96" s="24" t="str">
        <f>+VLOOKUP(A96,[2]Hoja1!$A:$A,1,0)</f>
        <v>W10892218</v>
      </c>
    </row>
    <row r="97" spans="1:9" ht="15.75" customHeight="1" x14ac:dyDescent="0.2">
      <c r="A97" s="36" t="s">
        <v>573</v>
      </c>
      <c r="B97" s="38" t="s">
        <v>574</v>
      </c>
      <c r="C97" s="34" t="s">
        <v>256</v>
      </c>
      <c r="D97" s="35" t="s">
        <v>575</v>
      </c>
      <c r="E97" s="45" t="s">
        <v>283</v>
      </c>
      <c r="F97" s="22" t="str">
        <f>+VLOOKUP(A97,'[1]Proveedor-Comprador'!A:D,4,0)</f>
        <v>Continental Parafusos S/A</v>
      </c>
      <c r="G97" s="36" t="s">
        <v>284</v>
      </c>
      <c r="H97" s="39"/>
      <c r="I97" s="24" t="str">
        <f>+VLOOKUP(A97,[2]Hoja1!$A:$A,1,0)</f>
        <v>W10260856</v>
      </c>
    </row>
    <row r="98" spans="1:9" ht="15.75" customHeight="1" x14ac:dyDescent="0.2">
      <c r="A98" s="36" t="s">
        <v>576</v>
      </c>
      <c r="B98" s="38" t="s">
        <v>577</v>
      </c>
      <c r="C98" s="34" t="s">
        <v>256</v>
      </c>
      <c r="D98" s="35" t="s">
        <v>578</v>
      </c>
      <c r="E98" s="45" t="s">
        <v>283</v>
      </c>
      <c r="F98" s="22" t="str">
        <f>+VLOOKUP(A98,'[1]Proveedor-Comprador'!A:D,4,0)</f>
        <v>INDUSTRIAS CATO S.A.</v>
      </c>
      <c r="G98" s="36" t="s">
        <v>284</v>
      </c>
      <c r="H98" s="39"/>
      <c r="I98" s="24" t="str">
        <f>+VLOOKUP(A98,[2]Hoja1!$A:$A,1,0)</f>
        <v>W10885565</v>
      </c>
    </row>
    <row r="99" spans="1:9" ht="15.75" customHeight="1" x14ac:dyDescent="0.2">
      <c r="A99" s="36" t="s">
        <v>579</v>
      </c>
      <c r="B99" s="38" t="s">
        <v>569</v>
      </c>
      <c r="C99" s="34" t="s">
        <v>256</v>
      </c>
      <c r="D99" s="35" t="s">
        <v>580</v>
      </c>
      <c r="E99" s="45" t="s">
        <v>283</v>
      </c>
      <c r="F99" s="22" t="str">
        <f>+VLOOKUP(A99,'[1]Proveedor-Comprador'!A:D,4,0)</f>
        <v>Continental Parafusos S/A</v>
      </c>
      <c r="G99" s="36" t="s">
        <v>284</v>
      </c>
      <c r="H99" s="39"/>
      <c r="I99" s="24" t="str">
        <f>+VLOOKUP(A99,[2]Hoja1!$A:$A,1,0)</f>
        <v>000028290</v>
      </c>
    </row>
    <row r="100" spans="1:9" ht="15.75" customHeight="1" x14ac:dyDescent="0.2">
      <c r="A100" s="36" t="s">
        <v>581</v>
      </c>
      <c r="B100" s="38" t="s">
        <v>582</v>
      </c>
      <c r="C100" s="34" t="s">
        <v>256</v>
      </c>
      <c r="D100" s="35" t="s">
        <v>583</v>
      </c>
      <c r="E100" s="45" t="s">
        <v>283</v>
      </c>
      <c r="F100" s="22" t="str">
        <f>+VLOOKUP(A100,'[1]Proveedor-Comprador'!A:D,4,0)</f>
        <v>INDUSTRIAS CATO S.A.</v>
      </c>
      <c r="G100" s="36" t="s">
        <v>284</v>
      </c>
      <c r="H100" s="39"/>
      <c r="I100" s="24" t="str">
        <f>+VLOOKUP(A100,[2]Hoja1!$A:$A,1,0)</f>
        <v>W10863528</v>
      </c>
    </row>
    <row r="101" spans="1:9" ht="15.75" customHeight="1" x14ac:dyDescent="0.2">
      <c r="A101" s="36" t="s">
        <v>584</v>
      </c>
      <c r="B101" s="38" t="s">
        <v>585</v>
      </c>
      <c r="C101" s="34" t="s">
        <v>256</v>
      </c>
      <c r="D101" s="35" t="s">
        <v>586</v>
      </c>
      <c r="E101" s="45" t="s">
        <v>283</v>
      </c>
      <c r="F101" s="22" t="str">
        <f>+VLOOKUP(A101,'[1]Proveedor-Comprador'!A:D,4,0)</f>
        <v>INDUSTRIAS CATO S.A.</v>
      </c>
      <c r="G101" s="36" t="s">
        <v>284</v>
      </c>
      <c r="H101" s="39"/>
      <c r="I101" s="24" t="str">
        <f>+VLOOKUP(A101,[2]Hoja1!$A:$A,1,0)</f>
        <v>W10851242</v>
      </c>
    </row>
    <row r="102" spans="1:9" ht="15.75" customHeight="1" x14ac:dyDescent="0.2">
      <c r="A102" s="36" t="s">
        <v>587</v>
      </c>
      <c r="B102" s="38" t="s">
        <v>588</v>
      </c>
      <c r="C102" s="34" t="s">
        <v>256</v>
      </c>
      <c r="D102" s="35" t="s">
        <v>589</v>
      </c>
      <c r="E102" s="45" t="s">
        <v>283</v>
      </c>
      <c r="F102" s="22" t="str">
        <f>+VLOOKUP(A102,'[1]Proveedor-Comprador'!A:D,4,0)</f>
        <v>INDUSTRIAS CATO S.A.</v>
      </c>
      <c r="G102" s="36" t="s">
        <v>312</v>
      </c>
      <c r="H102" s="39"/>
      <c r="I102" s="24" t="str">
        <f>+VLOOKUP(A102,[2]Hoja1!$A:$A,1,0)</f>
        <v>W10772018</v>
      </c>
    </row>
    <row r="103" spans="1:9" ht="15.75" customHeight="1" x14ac:dyDescent="0.2">
      <c r="A103" s="36" t="s">
        <v>590</v>
      </c>
      <c r="B103" s="38" t="s">
        <v>591</v>
      </c>
      <c r="C103" s="34" t="s">
        <v>256</v>
      </c>
      <c r="D103" s="35" t="s">
        <v>592</v>
      </c>
      <c r="E103" s="45" t="s">
        <v>283</v>
      </c>
      <c r="F103" s="22" t="str">
        <f>+VLOOKUP(A103,'[1]Proveedor-Comprador'!A:D,4,0)</f>
        <v>INDUSTRIAS CATO S.A.</v>
      </c>
      <c r="G103" s="36" t="s">
        <v>312</v>
      </c>
      <c r="H103" s="39"/>
      <c r="I103" s="24" t="str">
        <f>+VLOOKUP(A103,[2]Hoja1!$A:$A,1,0)</f>
        <v>W10772017</v>
      </c>
    </row>
    <row r="104" spans="1:9" ht="15.75" customHeight="1" x14ac:dyDescent="0.2">
      <c r="A104" s="36" t="s">
        <v>593</v>
      </c>
      <c r="B104" s="38" t="s">
        <v>594</v>
      </c>
      <c r="C104" s="34" t="s">
        <v>256</v>
      </c>
      <c r="D104" s="35" t="s">
        <v>595</v>
      </c>
      <c r="E104" s="45" t="s">
        <v>283</v>
      </c>
      <c r="F104" s="22" t="str">
        <f>+VLOOKUP(A104,'[1]Proveedor-Comprador'!A:D,4,0)</f>
        <v>INDUSTRIAS CATO S.A.</v>
      </c>
      <c r="G104" s="36" t="s">
        <v>284</v>
      </c>
      <c r="H104" s="39"/>
      <c r="I104" s="24" t="str">
        <f>+VLOOKUP(A104,[2]Hoja1!$A:$A,1,0)</f>
        <v>W10862937</v>
      </c>
    </row>
    <row r="105" spans="1:9" ht="15.75" customHeight="1" x14ac:dyDescent="0.2">
      <c r="A105" s="36" t="s">
        <v>596</v>
      </c>
      <c r="B105" s="38" t="s">
        <v>597</v>
      </c>
      <c r="C105" s="34" t="s">
        <v>256</v>
      </c>
      <c r="D105" s="35" t="s">
        <v>598</v>
      </c>
      <c r="E105" s="45" t="s">
        <v>283</v>
      </c>
      <c r="F105" s="22" t="str">
        <f>+VLOOKUP(A105,'[1]Proveedor-Comprador'!A:D,4,0)</f>
        <v>Continental Parafusos S/A</v>
      </c>
      <c r="G105" s="36" t="s">
        <v>284</v>
      </c>
      <c r="H105" s="39"/>
      <c r="I105" s="24" t="str">
        <f>+VLOOKUP(A105,[2]Hoja1!$A:$A,1,0)</f>
        <v>W10335914</v>
      </c>
    </row>
    <row r="106" spans="1:9" ht="15.75" customHeight="1" x14ac:dyDescent="0.2">
      <c r="A106" s="36" t="s">
        <v>599</v>
      </c>
      <c r="B106" s="38" t="s">
        <v>600</v>
      </c>
      <c r="C106" s="34" t="s">
        <v>256</v>
      </c>
      <c r="D106" s="35" t="s">
        <v>601</v>
      </c>
      <c r="E106" s="45" t="s">
        <v>283</v>
      </c>
      <c r="F106" s="22" t="str">
        <f>+VLOOKUP(A106,'[1]Proveedor-Comprador'!A:D,4,0)</f>
        <v>Continental Parafusos S/A</v>
      </c>
      <c r="G106" s="36" t="s">
        <v>267</v>
      </c>
      <c r="H106" s="39"/>
      <c r="I106" s="24" t="str">
        <f>+VLOOKUP(A106,[2]Hoja1!$A:$A,1,0)</f>
        <v>326041720</v>
      </c>
    </row>
    <row r="107" spans="1:9" ht="15.75" customHeight="1" x14ac:dyDescent="0.2">
      <c r="A107" s="36" t="s">
        <v>602</v>
      </c>
      <c r="B107" s="38" t="s">
        <v>603</v>
      </c>
      <c r="C107" s="34" t="s">
        <v>256</v>
      </c>
      <c r="D107" s="35" t="s">
        <v>604</v>
      </c>
      <c r="E107" s="45" t="s">
        <v>283</v>
      </c>
      <c r="F107" s="22" t="str">
        <f>+VLOOKUP(A107,'[1]Proveedor-Comprador'!A:D,4,0)</f>
        <v>INDUSTRIAS CATO S.A.</v>
      </c>
      <c r="G107" s="36" t="s">
        <v>284</v>
      </c>
      <c r="H107" s="39"/>
      <c r="I107" s="24" t="str">
        <f>+VLOOKUP(A107,[2]Hoja1!$A:$A,1,0)</f>
        <v>W10892221</v>
      </c>
    </row>
    <row r="108" spans="1:9" ht="15.75" customHeight="1" x14ac:dyDescent="0.2">
      <c r="A108" s="36" t="s">
        <v>605</v>
      </c>
      <c r="B108" s="38" t="s">
        <v>606</v>
      </c>
      <c r="C108" s="34" t="s">
        <v>256</v>
      </c>
      <c r="D108" s="35" t="s">
        <v>607</v>
      </c>
      <c r="E108" s="45" t="s">
        <v>283</v>
      </c>
      <c r="F108" s="22" t="str">
        <f>+VLOOKUP(A108,'[1]Proveedor-Comprador'!A:D,4,0)</f>
        <v>Continental Parafusos S/A</v>
      </c>
      <c r="G108" s="36" t="s">
        <v>267</v>
      </c>
      <c r="H108" s="39"/>
      <c r="I108" s="24" t="str">
        <f>+VLOOKUP(A108,[2]Hoja1!$A:$A,1,0)</f>
        <v>W10351766</v>
      </c>
    </row>
    <row r="109" spans="1:9" ht="15.75" customHeight="1" x14ac:dyDescent="0.2">
      <c r="A109" s="36" t="s">
        <v>608</v>
      </c>
      <c r="B109" s="38" t="s">
        <v>609</v>
      </c>
      <c r="C109" s="34" t="s">
        <v>256</v>
      </c>
      <c r="D109" s="35" t="s">
        <v>610</v>
      </c>
      <c r="E109" s="45" t="s">
        <v>283</v>
      </c>
      <c r="F109" s="22" t="str">
        <f>+VLOOKUP(A109,'[1]Proveedor-Comprador'!A:D,4,0)</f>
        <v>Continental Parafusos S/A</v>
      </c>
      <c r="G109" s="36" t="s">
        <v>267</v>
      </c>
      <c r="H109" s="39"/>
      <c r="I109" s="24" t="str">
        <f>+VLOOKUP(A109,[2]Hoja1!$A:$A,1,0)</f>
        <v>326012084</v>
      </c>
    </row>
    <row r="110" spans="1:9" ht="15.75" customHeight="1" x14ac:dyDescent="0.2">
      <c r="A110" s="36" t="s">
        <v>611</v>
      </c>
      <c r="B110" s="38" t="s">
        <v>612</v>
      </c>
      <c r="C110" s="34" t="s">
        <v>256</v>
      </c>
      <c r="D110" s="35" t="s">
        <v>612</v>
      </c>
      <c r="E110" s="45" t="s">
        <v>613</v>
      </c>
      <c r="F110" s="22" t="str">
        <f>+VLOOKUP(A110,'[1]Proveedor-Comprador'!A:D,4,0)</f>
        <v>ELASTOPLAST</v>
      </c>
      <c r="G110" s="36" t="s">
        <v>312</v>
      </c>
      <c r="H110" s="39"/>
      <c r="I110" s="24" t="str">
        <f>+VLOOKUP(A110,[2]Hoja1!$A:$A,1,0)</f>
        <v>W10845136</v>
      </c>
    </row>
    <row r="111" spans="1:9" ht="15.75" customHeight="1" x14ac:dyDescent="0.2">
      <c r="A111" s="36" t="s">
        <v>614</v>
      </c>
      <c r="B111" s="38" t="s">
        <v>615</v>
      </c>
      <c r="C111" s="34" t="s">
        <v>256</v>
      </c>
      <c r="D111" s="35" t="s">
        <v>616</v>
      </c>
      <c r="E111" s="45" t="s">
        <v>399</v>
      </c>
      <c r="F111" s="22" t="str">
        <f>+VLOOKUP(A111,'[1]Proveedor-Comprador'!A:D,4,0)</f>
        <v>DIEHL CONTROLS MEXICO S.A</v>
      </c>
      <c r="G111" s="36" t="s">
        <v>312</v>
      </c>
      <c r="H111" s="39"/>
      <c r="I111" s="24" t="str">
        <f>+VLOOKUP(A111,[2]Hoja1!$A:$A,1,0)</f>
        <v>W11176259</v>
      </c>
    </row>
    <row r="112" spans="1:9" ht="15.75" customHeight="1" x14ac:dyDescent="0.2">
      <c r="A112" s="36" t="s">
        <v>617</v>
      </c>
      <c r="B112" s="38" t="s">
        <v>618</v>
      </c>
      <c r="C112" s="34" t="s">
        <v>256</v>
      </c>
      <c r="D112" s="35" t="s">
        <v>619</v>
      </c>
      <c r="E112" s="45" t="s">
        <v>399</v>
      </c>
      <c r="F112" s="22" t="str">
        <f>+VLOOKUP(A112,'[1]Proveedor-Comprador'!A:D,4,0)</f>
        <v>JABIL CIRCUIT (GUANGZHOU) LTD</v>
      </c>
      <c r="G112" s="36" t="s">
        <v>312</v>
      </c>
      <c r="H112" s="39"/>
      <c r="I112" s="24" t="str">
        <f>+VLOOKUP(A112,[2]Hoja1!$A:$A,1,0)</f>
        <v>W11176258</v>
      </c>
    </row>
    <row r="113" spans="1:9" ht="15.75" customHeight="1" x14ac:dyDescent="0.2">
      <c r="A113" s="36" t="s">
        <v>620</v>
      </c>
      <c r="B113" s="38" t="s">
        <v>621</v>
      </c>
      <c r="C113" s="34" t="s">
        <v>256</v>
      </c>
      <c r="D113" s="35" t="s">
        <v>622</v>
      </c>
      <c r="E113" s="45" t="s">
        <v>399</v>
      </c>
      <c r="F113" s="22" t="str">
        <f>+VLOOKUP(A113,'[1]Proveedor-Comprador'!A:D,4,0)</f>
        <v>JABIL CIRCUIT (GUANGZHOU) LTD</v>
      </c>
      <c r="G113" s="36" t="s">
        <v>267</v>
      </c>
      <c r="H113" s="39"/>
      <c r="I113" s="24" t="str">
        <f>+VLOOKUP(A113,[2]Hoja1!$A:$A,1,0)</f>
        <v>W11491760</v>
      </c>
    </row>
    <row r="114" spans="1:9" ht="15.75" customHeight="1" x14ac:dyDescent="0.2">
      <c r="A114" s="36" t="s">
        <v>623</v>
      </c>
      <c r="B114" s="38" t="s">
        <v>624</v>
      </c>
      <c r="C114" s="34" t="s">
        <v>256</v>
      </c>
      <c r="D114" s="35" t="s">
        <v>625</v>
      </c>
      <c r="E114" s="45" t="s">
        <v>399</v>
      </c>
      <c r="F114" s="22" t="str">
        <f>+VLOOKUP(A114,'[1]Proveedor-Comprador'!A:D,4,0)</f>
        <v>JABIL CIRCUIT (GUANGZHOU) LTD</v>
      </c>
      <c r="G114" s="36" t="s">
        <v>267</v>
      </c>
      <c r="H114" s="39"/>
      <c r="I114" s="24" t="str">
        <f>+VLOOKUP(A114,[2]Hoja1!$A:$A,1,0)</f>
        <v>W11491759</v>
      </c>
    </row>
    <row r="115" spans="1:9" ht="15.75" customHeight="1" x14ac:dyDescent="0.2">
      <c r="A115" s="36" t="s">
        <v>626</v>
      </c>
      <c r="B115" s="38" t="s">
        <v>627</v>
      </c>
      <c r="C115" s="34" t="s">
        <v>256</v>
      </c>
      <c r="D115" s="35" t="s">
        <v>628</v>
      </c>
      <c r="E115" s="45" t="s">
        <v>399</v>
      </c>
      <c r="F115" s="22" t="str">
        <f>+VLOOKUP(A115,'[1]Proveedor-Comprador'!A:D,4,0)</f>
        <v>BITRON MEXICO</v>
      </c>
      <c r="G115" s="36" t="s">
        <v>267</v>
      </c>
      <c r="H115" s="39"/>
      <c r="I115" s="24" t="str">
        <f>+VLOOKUP(A115,[2]Hoja1!$A:$A,1,0)</f>
        <v>W11697752</v>
      </c>
    </row>
    <row r="116" spans="1:9" ht="15.75" customHeight="1" x14ac:dyDescent="0.2">
      <c r="A116" s="36" t="s">
        <v>629</v>
      </c>
      <c r="B116" s="38" t="s">
        <v>630</v>
      </c>
      <c r="C116" s="34" t="s">
        <v>256</v>
      </c>
      <c r="D116" s="35" t="s">
        <v>631</v>
      </c>
      <c r="E116" s="45" t="s">
        <v>399</v>
      </c>
      <c r="F116" s="22" t="str">
        <f>+VLOOKUP(A116,'[1]Proveedor-Comprador'!A:D,4,0)</f>
        <v>Jabil Circuit India PVT L</v>
      </c>
      <c r="G116" s="36" t="s">
        <v>312</v>
      </c>
      <c r="H116" s="39"/>
      <c r="I116" s="24" t="str">
        <f>+VLOOKUP(A116,[2]Hoja1!$A:$A,1,0)</f>
        <v>W11134060</v>
      </c>
    </row>
    <row r="117" spans="1:9" ht="15.75" customHeight="1" x14ac:dyDescent="0.2">
      <c r="A117" s="36" t="s">
        <v>632</v>
      </c>
      <c r="B117" s="38" t="s">
        <v>633</v>
      </c>
      <c r="C117" s="34" t="s">
        <v>256</v>
      </c>
      <c r="D117" s="35" t="s">
        <v>634</v>
      </c>
      <c r="E117" s="45" t="s">
        <v>399</v>
      </c>
      <c r="F117" s="22" t="str">
        <f>+VLOOKUP(A117,'[1]Proveedor-Comprador'!A:D,4,0)</f>
        <v>BITRON MEXICO</v>
      </c>
      <c r="G117" s="36" t="s">
        <v>267</v>
      </c>
      <c r="H117" s="39"/>
      <c r="I117" s="24" t="str">
        <f>+VLOOKUP(A117,[2]Hoja1!$A:$A,1,0)</f>
        <v>W11491763</v>
      </c>
    </row>
    <row r="118" spans="1:9" ht="15.75" customHeight="1" x14ac:dyDescent="0.2">
      <c r="A118" s="36" t="s">
        <v>635</v>
      </c>
      <c r="B118" s="38" t="s">
        <v>636</v>
      </c>
      <c r="C118" s="34" t="s">
        <v>261</v>
      </c>
      <c r="D118" s="35" t="s">
        <v>637</v>
      </c>
      <c r="E118" s="45" t="s">
        <v>399</v>
      </c>
      <c r="F118" s="22" t="str">
        <f>+VLOOKUP(A118,'[1]Proveedor-Comprador'!A:D,4,0)</f>
        <v>Shenzhen H&amp;T Intelligent</v>
      </c>
      <c r="G118" s="36" t="s">
        <v>312</v>
      </c>
      <c r="H118" s="39"/>
      <c r="I118" s="24" t="str">
        <f>+VLOOKUP(A118,[2]Hoja1!$A:$A,1,0)</f>
        <v>W10710606</v>
      </c>
    </row>
    <row r="119" spans="1:9" ht="15.75" customHeight="1" x14ac:dyDescent="0.2">
      <c r="A119" s="36" t="s">
        <v>638</v>
      </c>
      <c r="B119" s="38" t="s">
        <v>639</v>
      </c>
      <c r="C119" s="34" t="s">
        <v>256</v>
      </c>
      <c r="D119" s="35" t="s">
        <v>640</v>
      </c>
      <c r="E119" s="45" t="s">
        <v>399</v>
      </c>
      <c r="F119" s="22" t="str">
        <f>+VLOOKUP(A119,'[1]Proveedor-Comprador'!A:D,4,0)</f>
        <v>Jabil Circuit India PVT L</v>
      </c>
      <c r="G119" s="36" t="s">
        <v>312</v>
      </c>
      <c r="H119" s="39"/>
      <c r="I119" s="24" t="str">
        <f>+VLOOKUP(A119,[2]Hoja1!$A:$A,1,0)</f>
        <v>W11125005</v>
      </c>
    </row>
    <row r="120" spans="1:9" ht="15.75" customHeight="1" x14ac:dyDescent="0.2">
      <c r="A120" s="36" t="s">
        <v>641</v>
      </c>
      <c r="B120" s="38" t="s">
        <v>633</v>
      </c>
      <c r="C120" s="34" t="s">
        <v>256</v>
      </c>
      <c r="D120" s="35" t="s">
        <v>642</v>
      </c>
      <c r="E120" s="45" t="s">
        <v>399</v>
      </c>
      <c r="F120" s="22" t="str">
        <f>+VLOOKUP(A120,'[1]Proveedor-Comprador'!A:D,4,0)</f>
        <v>BITRON MEXICO</v>
      </c>
      <c r="G120" s="36" t="s">
        <v>267</v>
      </c>
      <c r="H120" s="39"/>
      <c r="I120" s="24" t="str">
        <f>+VLOOKUP(A120,[2]Hoja1!$A:$A,1,0)</f>
        <v>W11491761</v>
      </c>
    </row>
    <row r="121" spans="1:9" ht="15.75" customHeight="1" x14ac:dyDescent="0.2">
      <c r="A121" s="36" t="s">
        <v>643</v>
      </c>
      <c r="B121" s="38" t="s">
        <v>644</v>
      </c>
      <c r="C121" s="34" t="s">
        <v>256</v>
      </c>
      <c r="D121" s="35" t="s">
        <v>645</v>
      </c>
      <c r="E121" s="45" t="s">
        <v>399</v>
      </c>
      <c r="F121" s="22" t="str">
        <f>+VLOOKUP(A121,'[1]Proveedor-Comprador'!A:D,4,0)</f>
        <v>JABIL CIRCUIT (GUANGZHOU) LTD</v>
      </c>
      <c r="G121" s="36" t="s">
        <v>267</v>
      </c>
      <c r="H121" s="39"/>
      <c r="I121" s="24" t="str">
        <f>+VLOOKUP(A121,[2]Hoja1!$A:$A,1,0)</f>
        <v>W11543440</v>
      </c>
    </row>
    <row r="122" spans="1:9" ht="15.75" customHeight="1" x14ac:dyDescent="0.2">
      <c r="A122" s="36" t="s">
        <v>646</v>
      </c>
      <c r="B122" s="38" t="s">
        <v>647</v>
      </c>
      <c r="C122" s="34" t="s">
        <v>256</v>
      </c>
      <c r="D122" s="35" t="s">
        <v>648</v>
      </c>
      <c r="E122" s="45" t="s">
        <v>399</v>
      </c>
      <c r="F122" s="22" t="str">
        <f>+VLOOKUP(A122,'[1]Proveedor-Comprador'!A:D,4,0)</f>
        <v>JABIL CIRCUIT (GUANGZHOU) LTD</v>
      </c>
      <c r="G122" s="36" t="s">
        <v>312</v>
      </c>
      <c r="H122" s="39"/>
      <c r="I122" s="24" t="str">
        <f>+VLOOKUP(A122,[2]Hoja1!$A:$A,1,0)</f>
        <v>W11447785</v>
      </c>
    </row>
    <row r="123" spans="1:9" ht="15.75" customHeight="1" x14ac:dyDescent="0.2">
      <c r="A123" s="36" t="s">
        <v>649</v>
      </c>
      <c r="B123" s="38" t="s">
        <v>650</v>
      </c>
      <c r="C123" s="34" t="s">
        <v>256</v>
      </c>
      <c r="D123" s="35" t="s">
        <v>651</v>
      </c>
      <c r="E123" s="45" t="s">
        <v>652</v>
      </c>
      <c r="F123" s="22" t="str">
        <f>+VLOOKUP(A123,'[1]Proveedor-Comprador'!A:D,4,0)</f>
        <v>PLASTICOS TRUHER S.A.</v>
      </c>
      <c r="G123" s="36" t="s">
        <v>284</v>
      </c>
      <c r="H123" s="39"/>
      <c r="I123" s="24" t="str">
        <f>+VLOOKUP(A123,[2]Hoja1!$A:$A,1,0)</f>
        <v>W10826066</v>
      </c>
    </row>
    <row r="124" spans="1:9" ht="15.75" customHeight="1" x14ac:dyDescent="0.2">
      <c r="A124" s="36" t="s">
        <v>653</v>
      </c>
      <c r="B124" s="38" t="s">
        <v>654</v>
      </c>
      <c r="C124" s="34" t="s">
        <v>256</v>
      </c>
      <c r="D124" s="35" t="s">
        <v>655</v>
      </c>
      <c r="E124" s="45" t="s">
        <v>652</v>
      </c>
      <c r="F124" s="22" t="str">
        <f>+VLOOKUP(A124,'[1]Proveedor-Comprador'!A:D,4,0)</f>
        <v>PLASTICOS TRUHER S.A.</v>
      </c>
      <c r="G124" s="36" t="s">
        <v>284</v>
      </c>
      <c r="H124" s="39"/>
      <c r="I124" s="24" t="str">
        <f>+VLOOKUP(A124,[2]Hoja1!$A:$A,1,0)</f>
        <v>W10840431</v>
      </c>
    </row>
    <row r="125" spans="1:9" ht="15.75" customHeight="1" x14ac:dyDescent="0.2">
      <c r="A125" s="36" t="s">
        <v>656</v>
      </c>
      <c r="B125" s="38" t="s">
        <v>657</v>
      </c>
      <c r="C125" s="34" t="s">
        <v>256</v>
      </c>
      <c r="D125" s="35" t="s">
        <v>658</v>
      </c>
      <c r="E125" s="45" t="s">
        <v>407</v>
      </c>
      <c r="F125" s="22" t="str">
        <f>+VLOOKUP(A125,'[1]Proveedor-Comprador'!A:D,4,0)</f>
        <v>Riduco S.A.</v>
      </c>
      <c r="G125" s="36" t="s">
        <v>267</v>
      </c>
      <c r="H125" s="39"/>
      <c r="I125" s="24" t="str">
        <f>+VLOOKUP(A125,[2]Hoja1!$A:$A,1,0)</f>
        <v>W11501420</v>
      </c>
    </row>
    <row r="126" spans="1:9" ht="15.75" customHeight="1" x14ac:dyDescent="0.2">
      <c r="A126" s="36" t="s">
        <v>659</v>
      </c>
      <c r="B126" s="38" t="s">
        <v>660</v>
      </c>
      <c r="C126" s="34" t="s">
        <v>256</v>
      </c>
      <c r="D126" s="35" t="s">
        <v>661</v>
      </c>
      <c r="E126" s="45" t="s">
        <v>407</v>
      </c>
      <c r="F126" s="22" t="str">
        <f>+VLOOKUP(A126,'[1]Proveedor-Comprador'!A:D,4,0)</f>
        <v>Riduco S.A.</v>
      </c>
      <c r="G126" s="36" t="s">
        <v>267</v>
      </c>
      <c r="H126" s="39"/>
      <c r="I126" s="24" t="str">
        <f>+VLOOKUP(A126,[2]Hoja1!$A:$A,1,0)</f>
        <v>W11563286</v>
      </c>
    </row>
    <row r="127" spans="1:9" ht="15.75" customHeight="1" x14ac:dyDescent="0.2">
      <c r="A127" s="36" t="s">
        <v>662</v>
      </c>
      <c r="B127" s="38" t="s">
        <v>663</v>
      </c>
      <c r="C127" s="34" t="s">
        <v>256</v>
      </c>
      <c r="D127" s="35" t="s">
        <v>664</v>
      </c>
      <c r="E127" s="45" t="s">
        <v>407</v>
      </c>
      <c r="F127" s="22" t="str">
        <f>+VLOOKUP(A127,'[1]Proveedor-Comprador'!A:D,4,0)</f>
        <v>Riduco S.A.</v>
      </c>
      <c r="G127" s="36" t="s">
        <v>267</v>
      </c>
      <c r="H127" s="39"/>
      <c r="I127" s="24" t="str">
        <f>+VLOOKUP(A127,[2]Hoja1!$A:$A,1,0)</f>
        <v>W11501571</v>
      </c>
    </row>
    <row r="128" spans="1:9" ht="15.75" customHeight="1" x14ac:dyDescent="0.2">
      <c r="A128" s="36" t="s">
        <v>665</v>
      </c>
      <c r="B128" s="38" t="s">
        <v>666</v>
      </c>
      <c r="C128" s="34" t="s">
        <v>256</v>
      </c>
      <c r="D128" s="35" t="s">
        <v>667</v>
      </c>
      <c r="E128" s="45" t="s">
        <v>407</v>
      </c>
      <c r="F128" s="22" t="str">
        <f>+VLOOKUP(A128,'[1]Proveedor-Comprador'!A:D,4,0)</f>
        <v>Riduco S.A.</v>
      </c>
      <c r="G128" s="36" t="s">
        <v>267</v>
      </c>
      <c r="H128" s="39"/>
      <c r="I128" s="24" t="str">
        <f>+VLOOKUP(A128,[2]Hoja1!$A:$A,1,0)</f>
        <v>W11501568</v>
      </c>
    </row>
    <row r="129" spans="1:9" ht="15.75" customHeight="1" x14ac:dyDescent="0.2">
      <c r="A129" s="36" t="s">
        <v>668</v>
      </c>
      <c r="B129" s="38" t="s">
        <v>669</v>
      </c>
      <c r="C129" s="34" t="s">
        <v>256</v>
      </c>
      <c r="D129" s="35" t="s">
        <v>670</v>
      </c>
      <c r="E129" s="45" t="s">
        <v>671</v>
      </c>
      <c r="F129" s="22" t="str">
        <f>+VLOOKUP(A129,'[1]Proveedor-Comprador'!A:D,4,0)</f>
        <v>COMPAÑIA DE EMPAQUES S.A</v>
      </c>
      <c r="G129" s="36" t="s">
        <v>284</v>
      </c>
      <c r="H129" s="39"/>
      <c r="I129" s="24" t="str">
        <f>+VLOOKUP(A129,[2]Hoja1!$A:$A,1,0)</f>
        <v>W11548046</v>
      </c>
    </row>
    <row r="130" spans="1:9" ht="15.75" customHeight="1" x14ac:dyDescent="0.2">
      <c r="A130" s="36" t="s">
        <v>672</v>
      </c>
      <c r="B130" s="38" t="s">
        <v>673</v>
      </c>
      <c r="C130" s="34" t="s">
        <v>256</v>
      </c>
      <c r="D130" s="35" t="s">
        <v>674</v>
      </c>
      <c r="E130" s="45" t="s">
        <v>671</v>
      </c>
      <c r="F130" s="22" t="str">
        <f>+VLOOKUP(A130,'[1]Proveedor-Comprador'!A:D,4,0)</f>
        <v>COMPAÑIA DE EMPAQUES S.A</v>
      </c>
      <c r="G130" s="36" t="s">
        <v>284</v>
      </c>
      <c r="H130" s="39"/>
      <c r="I130" s="24" t="str">
        <f>+VLOOKUP(A130,[2]Hoja1!$A:$A,1,0)</f>
        <v>W11580132</v>
      </c>
    </row>
    <row r="131" spans="1:9" ht="15.75" customHeight="1" x14ac:dyDescent="0.2">
      <c r="A131" s="36" t="s">
        <v>675</v>
      </c>
      <c r="B131" s="38" t="s">
        <v>676</v>
      </c>
      <c r="C131" s="34" t="s">
        <v>256</v>
      </c>
      <c r="D131" s="35" t="s">
        <v>677</v>
      </c>
      <c r="E131" s="45" t="s">
        <v>671</v>
      </c>
      <c r="F131" s="22" t="str">
        <f>+VLOOKUP(A131,'[1]Proveedor-Comprador'!A:D,4,0)</f>
        <v>COMPAÑIA DE EMPAQUES S.A</v>
      </c>
      <c r="G131" s="36" t="s">
        <v>284</v>
      </c>
      <c r="H131" s="39"/>
      <c r="I131" s="24" t="str">
        <f>+VLOOKUP(A131,[2]Hoja1!$A:$A,1,0)</f>
        <v>W11548049</v>
      </c>
    </row>
    <row r="132" spans="1:9" ht="15.75" customHeight="1" x14ac:dyDescent="0.2">
      <c r="A132" s="36" t="s">
        <v>678</v>
      </c>
      <c r="B132" s="38" t="s">
        <v>679</v>
      </c>
      <c r="C132" s="34" t="s">
        <v>256</v>
      </c>
      <c r="D132" s="35" t="s">
        <v>680</v>
      </c>
      <c r="E132" s="45" t="s">
        <v>671</v>
      </c>
      <c r="F132" s="22" t="str">
        <f>+VLOOKUP(A132,'[1]Proveedor-Comprador'!A:D,4,0)</f>
        <v>COMPAÑIA DE EMPAQUES S.A</v>
      </c>
      <c r="G132" s="36" t="s">
        <v>284</v>
      </c>
      <c r="H132" s="39"/>
      <c r="I132" s="24" t="str">
        <f>+VLOOKUP(A132,[2]Hoja1!$A:$A,1,0)</f>
        <v>W11580133</v>
      </c>
    </row>
    <row r="133" spans="1:9" ht="15.75" customHeight="1" x14ac:dyDescent="0.2">
      <c r="A133" s="36" t="s">
        <v>681</v>
      </c>
      <c r="B133" s="38" t="s">
        <v>291</v>
      </c>
      <c r="C133" s="34" t="s">
        <v>256</v>
      </c>
      <c r="D133" s="35" t="s">
        <v>291</v>
      </c>
      <c r="E133" s="45" t="s">
        <v>291</v>
      </c>
      <c r="F133" s="22" t="str">
        <f>+VLOOKUP(A133,'[1]Proveedor-Comprador'!A:D,4,0)</f>
        <v>Iprocom S.A.</v>
      </c>
      <c r="G133" s="36" t="s">
        <v>312</v>
      </c>
      <c r="H133" s="39"/>
      <c r="I133" s="24" t="str">
        <f>+VLOOKUP(A133,[2]Hoja1!$A:$A,1,0)</f>
        <v>W10661829</v>
      </c>
    </row>
    <row r="134" spans="1:9" ht="15.75" customHeight="1" x14ac:dyDescent="0.2">
      <c r="A134" s="36" t="s">
        <v>682</v>
      </c>
      <c r="B134" s="38" t="s">
        <v>683</v>
      </c>
      <c r="C134" s="34" t="s">
        <v>256</v>
      </c>
      <c r="D134" s="35" t="s">
        <v>684</v>
      </c>
      <c r="E134" s="45" t="s">
        <v>685</v>
      </c>
      <c r="F134" s="22" t="str">
        <f>+VLOOKUP(A134,'[1]Proveedor-Comprador'!A:D,4,0)</f>
        <v>INDUSTRIAS HACEB S.A.</v>
      </c>
      <c r="G134" s="36" t="s">
        <v>267</v>
      </c>
      <c r="H134" s="39"/>
      <c r="I134" s="24" t="str">
        <f>+VLOOKUP(A134,[2]Hoja1!$A:$A,1,0)</f>
        <v>W11500972</v>
      </c>
    </row>
    <row r="135" spans="1:9" ht="15.75" customHeight="1" x14ac:dyDescent="0.2">
      <c r="A135" s="36" t="s">
        <v>686</v>
      </c>
      <c r="B135" s="38" t="s">
        <v>687</v>
      </c>
      <c r="C135" s="34" t="s">
        <v>256</v>
      </c>
      <c r="D135" s="35" t="s">
        <v>688</v>
      </c>
      <c r="E135" s="45" t="s">
        <v>685</v>
      </c>
      <c r="F135" s="22" t="str">
        <f>+VLOOKUP(A135,'[1]Proveedor-Comprador'!A:D,4,0)</f>
        <v>INDUSTRIAS HACEB S.A.</v>
      </c>
      <c r="G135" s="36" t="s">
        <v>267</v>
      </c>
      <c r="H135" s="39"/>
      <c r="I135" s="24" t="str">
        <f>+VLOOKUP(A135,[2]Hoja1!$A:$A,1,0)</f>
        <v>W11642310</v>
      </c>
    </row>
    <row r="136" spans="1:9" ht="15.75" customHeight="1" x14ac:dyDescent="0.2">
      <c r="A136" s="36" t="s">
        <v>689</v>
      </c>
      <c r="B136" s="38" t="s">
        <v>690</v>
      </c>
      <c r="C136" s="34" t="s">
        <v>256</v>
      </c>
      <c r="D136" s="35" t="s">
        <v>691</v>
      </c>
      <c r="E136" s="45" t="s">
        <v>685</v>
      </c>
      <c r="F136" s="22" t="str">
        <f>+VLOOKUP(A136,'[1]Proveedor-Comprador'!A:D,4,0)</f>
        <v>INDUSTRIAS HACEB S.A.</v>
      </c>
      <c r="G136" s="36" t="s">
        <v>267</v>
      </c>
      <c r="H136" s="39"/>
      <c r="I136" s="24" t="str">
        <f>+VLOOKUP(A136,[2]Hoja1!$A:$A,1,0)</f>
        <v>W11500968</v>
      </c>
    </row>
    <row r="137" spans="1:9" ht="15.75" customHeight="1" x14ac:dyDescent="0.2">
      <c r="A137" s="36" t="s">
        <v>692</v>
      </c>
      <c r="B137" s="38" t="s">
        <v>693</v>
      </c>
      <c r="C137" s="34" t="s">
        <v>256</v>
      </c>
      <c r="D137" s="35" t="s">
        <v>694</v>
      </c>
      <c r="E137" s="45" t="s">
        <v>695</v>
      </c>
      <c r="F137" s="22" t="str">
        <f>+VLOOKUP(A137,'[1]Proveedor-Comprador'!A:D,4,0)</f>
        <v>INDUSTRIAS HACEB S.A.</v>
      </c>
      <c r="G137" s="36" t="s">
        <v>267</v>
      </c>
      <c r="H137" s="39"/>
      <c r="I137" s="24" t="str">
        <f>+VLOOKUP(A137,[2]Hoja1!$A:$A,1,0)</f>
        <v>W11500975</v>
      </c>
    </row>
    <row r="138" spans="1:9" ht="15.75" customHeight="1" x14ac:dyDescent="0.2">
      <c r="A138" s="36" t="s">
        <v>696</v>
      </c>
      <c r="B138" s="38" t="s">
        <v>697</v>
      </c>
      <c r="C138" s="34" t="s">
        <v>256</v>
      </c>
      <c r="D138" s="35" t="s">
        <v>698</v>
      </c>
      <c r="E138" s="45" t="s">
        <v>695</v>
      </c>
      <c r="F138" s="22" t="str">
        <f>+VLOOKUP(A138,'[1]Proveedor-Comprador'!A:D,4,0)</f>
        <v>Iprocom S.A.</v>
      </c>
      <c r="G138" s="36" t="s">
        <v>267</v>
      </c>
      <c r="H138" s="39"/>
      <c r="I138" s="24" t="str">
        <f>+VLOOKUP(A138,[2]Hoja1!$A:$A,1,0)</f>
        <v>W11581234</v>
      </c>
    </row>
    <row r="139" spans="1:9" ht="15.75" customHeight="1" x14ac:dyDescent="0.2">
      <c r="A139" s="36" t="s">
        <v>699</v>
      </c>
      <c r="B139" s="38" t="s">
        <v>700</v>
      </c>
      <c r="C139" s="34" t="s">
        <v>256</v>
      </c>
      <c r="D139" s="35" t="s">
        <v>701</v>
      </c>
      <c r="E139" s="45" t="s">
        <v>695</v>
      </c>
      <c r="F139" s="22" t="str">
        <f>+VLOOKUP(A139,'[1]Proveedor-Comprador'!A:D,4,0)</f>
        <v>INDUSTRIAS HACEB S.A.</v>
      </c>
      <c r="G139" s="36" t="s">
        <v>267</v>
      </c>
      <c r="H139" s="39"/>
      <c r="I139" s="24" t="str">
        <f>+VLOOKUP(A139,[2]Hoja1!$A:$A,1,0)</f>
        <v>W11503279</v>
      </c>
    </row>
    <row r="140" spans="1:9" ht="15.75" customHeight="1" x14ac:dyDescent="0.2">
      <c r="A140" s="36" t="s">
        <v>702</v>
      </c>
      <c r="B140" s="38" t="s">
        <v>703</v>
      </c>
      <c r="C140" s="34" t="s">
        <v>256</v>
      </c>
      <c r="D140" s="35" t="s">
        <v>704</v>
      </c>
      <c r="E140" s="45" t="s">
        <v>695</v>
      </c>
      <c r="F140" s="22" t="str">
        <f>+VLOOKUP(A140,'[1]Proveedor-Comprador'!A:D,4,0)</f>
        <v>INDUSTRIAS HACEB S.A.</v>
      </c>
      <c r="G140" s="36" t="s">
        <v>267</v>
      </c>
      <c r="H140" s="39"/>
      <c r="I140" s="24" t="str">
        <f>+VLOOKUP(A140,[2]Hoja1!$A:$A,1,0)</f>
        <v>W11625470</v>
      </c>
    </row>
    <row r="141" spans="1:9" ht="15.75" customHeight="1" x14ac:dyDescent="0.2">
      <c r="A141" s="36" t="s">
        <v>705</v>
      </c>
      <c r="B141" s="38" t="s">
        <v>706</v>
      </c>
      <c r="C141" s="34" t="s">
        <v>256</v>
      </c>
      <c r="D141" s="35" t="s">
        <v>707</v>
      </c>
      <c r="E141" s="45" t="s">
        <v>708</v>
      </c>
      <c r="F141" s="22" t="str">
        <f>+VLOOKUP(A141,'[1]Proveedor-Comprador'!A:D,4,0)</f>
        <v>INDUSTRIAS HACEB S.A.</v>
      </c>
      <c r="G141" s="36" t="s">
        <v>259</v>
      </c>
      <c r="H141" s="39"/>
      <c r="I141" s="24" t="str">
        <f>+VLOOKUP(A141,[2]Hoja1!$A:$A,1,0)</f>
        <v>W11730495</v>
      </c>
    </row>
    <row r="142" spans="1:9" ht="15.75" customHeight="1" x14ac:dyDescent="0.2">
      <c r="A142" s="36" t="s">
        <v>709</v>
      </c>
      <c r="B142" s="38" t="s">
        <v>710</v>
      </c>
      <c r="C142" s="34" t="s">
        <v>256</v>
      </c>
      <c r="D142" s="35" t="s">
        <v>711</v>
      </c>
      <c r="E142" s="45" t="s">
        <v>708</v>
      </c>
      <c r="F142" s="22" t="str">
        <f>+VLOOKUP(A142,'[1]Proveedor-Comprador'!A:D,4,0)</f>
        <v>INDUSTRIAS HACEB S.A.</v>
      </c>
      <c r="G142" s="36" t="s">
        <v>312</v>
      </c>
      <c r="H142" s="39"/>
      <c r="I142" s="24" t="str">
        <f>+VLOOKUP(A142,[2]Hoja1!$A:$A,1,0)</f>
        <v>W11638826</v>
      </c>
    </row>
    <row r="143" spans="1:9" ht="15.75" customHeight="1" x14ac:dyDescent="0.2">
      <c r="A143" s="36" t="s">
        <v>712</v>
      </c>
      <c r="B143" s="38" t="s">
        <v>713</v>
      </c>
      <c r="C143" s="34" t="s">
        <v>256</v>
      </c>
      <c r="D143" s="35" t="s">
        <v>714</v>
      </c>
      <c r="E143" s="45" t="s">
        <v>708</v>
      </c>
      <c r="F143" s="22" t="str">
        <f>+VLOOKUP(A143,'[1]Proveedor-Comprador'!A:D,4,0)</f>
        <v>INDUSTRIAS HACEB S.A.</v>
      </c>
      <c r="G143" s="36" t="s">
        <v>312</v>
      </c>
      <c r="H143" s="39"/>
      <c r="I143" s="24" t="s">
        <v>253</v>
      </c>
    </row>
    <row r="144" spans="1:9" ht="15.75" customHeight="1" x14ac:dyDescent="0.2">
      <c r="A144" s="36" t="s">
        <v>715</v>
      </c>
      <c r="B144" s="38" t="s">
        <v>716</v>
      </c>
      <c r="C144" s="34" t="s">
        <v>256</v>
      </c>
      <c r="D144" s="35" t="s">
        <v>717</v>
      </c>
      <c r="E144" s="45" t="s">
        <v>708</v>
      </c>
      <c r="F144" s="22" t="str">
        <f>+VLOOKUP(A144,'[1]Proveedor-Comprador'!A:D,4,0)</f>
        <v>SI-3</v>
      </c>
      <c r="G144" s="36" t="s">
        <v>267</v>
      </c>
      <c r="H144" s="39"/>
      <c r="I144" s="24" t="str">
        <f>+VLOOKUP(A144,[2]Hoja1!$A:$A,1,0)</f>
        <v>W11491993</v>
      </c>
    </row>
    <row r="145" spans="1:9" ht="15.75" customHeight="1" x14ac:dyDescent="0.2">
      <c r="A145" s="36" t="s">
        <v>718</v>
      </c>
      <c r="B145" s="38" t="s">
        <v>719</v>
      </c>
      <c r="C145" s="34" t="s">
        <v>256</v>
      </c>
      <c r="D145" s="35" t="s">
        <v>720</v>
      </c>
      <c r="E145" s="45" t="s">
        <v>708</v>
      </c>
      <c r="F145" s="22" t="str">
        <f>+VLOOKUP(A145,'[1]Proveedor-Comprador'!A:D,4,0)</f>
        <v>SI-3</v>
      </c>
      <c r="G145" s="36" t="s">
        <v>267</v>
      </c>
      <c r="H145" s="39"/>
      <c r="I145" s="24" t="str">
        <f>+VLOOKUP(A145,[2]Hoja1!$A:$A,1,0)</f>
        <v>W11491992</v>
      </c>
    </row>
    <row r="146" spans="1:9" ht="15.75" customHeight="1" x14ac:dyDescent="0.2">
      <c r="A146" s="36" t="s">
        <v>721</v>
      </c>
      <c r="B146" s="38" t="s">
        <v>722</v>
      </c>
      <c r="C146" s="34" t="s">
        <v>256</v>
      </c>
      <c r="D146" s="35" t="s">
        <v>723</v>
      </c>
      <c r="E146" s="45" t="s">
        <v>724</v>
      </c>
      <c r="F146" s="22" t="str">
        <f>+VLOOKUP(A146,'[1]Proveedor-Comprador'!A:D,4,0)</f>
        <v>Riduco S.A.</v>
      </c>
      <c r="G146" s="36" t="s">
        <v>312</v>
      </c>
      <c r="H146" s="39"/>
      <c r="I146" s="24" t="str">
        <f>+VLOOKUP(A146,[2]Hoja1!$A:$A,1,0)</f>
        <v>W11351956</v>
      </c>
    </row>
    <row r="147" spans="1:9" ht="15.75" customHeight="1" x14ac:dyDescent="0.2">
      <c r="A147" s="36" t="s">
        <v>725</v>
      </c>
      <c r="B147" s="38" t="s">
        <v>722</v>
      </c>
      <c r="C147" s="34" t="s">
        <v>256</v>
      </c>
      <c r="D147" s="35" t="s">
        <v>726</v>
      </c>
      <c r="E147" s="45" t="s">
        <v>724</v>
      </c>
      <c r="F147" s="22" t="str">
        <f>+VLOOKUP(A147,'[1]Proveedor-Comprador'!A:D,4,0)</f>
        <v>Riduco S.A.</v>
      </c>
      <c r="G147" s="36" t="s">
        <v>312</v>
      </c>
      <c r="H147" s="39"/>
      <c r="I147" s="24" t="str">
        <f>+VLOOKUP(A147,[2]Hoja1!$A:$A,1,0)</f>
        <v>W11351954</v>
      </c>
    </row>
    <row r="148" spans="1:9" ht="15.75" customHeight="1" x14ac:dyDescent="0.2">
      <c r="A148" s="36" t="s">
        <v>727</v>
      </c>
      <c r="B148" s="38" t="s">
        <v>728</v>
      </c>
      <c r="C148" s="34" t="s">
        <v>256</v>
      </c>
      <c r="D148" s="35" t="s">
        <v>729</v>
      </c>
      <c r="E148" s="45" t="s">
        <v>724</v>
      </c>
      <c r="F148" s="22" t="str">
        <f>+VLOOKUP(A148,'[1]Proveedor-Comprador'!A:D,4,0)</f>
        <v>SI-3</v>
      </c>
      <c r="G148" s="36" t="s">
        <v>267</v>
      </c>
      <c r="H148" s="39"/>
      <c r="I148" s="24" t="str">
        <f>+VLOOKUP(A148,[2]Hoja1!$A:$A,1,0)</f>
        <v>W11496615</v>
      </c>
    </row>
    <row r="149" spans="1:9" ht="15.75" customHeight="1" x14ac:dyDescent="0.2">
      <c r="A149" s="36" t="s">
        <v>730</v>
      </c>
      <c r="B149" s="38" t="s">
        <v>731</v>
      </c>
      <c r="C149" s="34" t="s">
        <v>256</v>
      </c>
      <c r="D149" s="35" t="s">
        <v>732</v>
      </c>
      <c r="E149" s="45" t="s">
        <v>733</v>
      </c>
      <c r="F149" s="22" t="str">
        <f>+VLOOKUP(A149,'[1]Proveedor-Comprador'!A:D,4,0)</f>
        <v>Riduco S.A.</v>
      </c>
      <c r="G149" s="36" t="s">
        <v>267</v>
      </c>
      <c r="H149" s="39"/>
      <c r="I149" s="24" t="str">
        <f>+VLOOKUP(A149,[2]Hoja1!$A:$A,1,0)</f>
        <v>W11502220</v>
      </c>
    </row>
    <row r="150" spans="1:9" ht="15.75" customHeight="1" x14ac:dyDescent="0.2">
      <c r="A150" s="36" t="s">
        <v>734</v>
      </c>
      <c r="B150" s="38" t="s">
        <v>735</v>
      </c>
      <c r="C150" s="34" t="s">
        <v>256</v>
      </c>
      <c r="D150" s="35" t="s">
        <v>736</v>
      </c>
      <c r="E150" s="45" t="s">
        <v>733</v>
      </c>
      <c r="F150" s="22" t="str">
        <f>+VLOOKUP(A150,'[1]Proveedor-Comprador'!A:D,4,0)</f>
        <v>Riduco S.A.</v>
      </c>
      <c r="G150" s="36" t="s">
        <v>267</v>
      </c>
      <c r="H150" s="39"/>
      <c r="I150" s="24" t="str">
        <f>+VLOOKUP(A150,[2]Hoja1!$A:$A,1,0)</f>
        <v>W11502216</v>
      </c>
    </row>
    <row r="151" spans="1:9" ht="15.75" customHeight="1" x14ac:dyDescent="0.2">
      <c r="A151" s="36" t="s">
        <v>737</v>
      </c>
      <c r="B151" s="38" t="s">
        <v>738</v>
      </c>
      <c r="C151" s="34" t="s">
        <v>256</v>
      </c>
      <c r="D151" s="35" t="s">
        <v>739</v>
      </c>
      <c r="E151" s="45" t="s">
        <v>295</v>
      </c>
      <c r="F151" s="22" t="str">
        <f>+VLOOKUP(A151,'[1]Proveedor-Comprador'!A:D,4,0)</f>
        <v>INDUSTRIAS HACEB S.A.</v>
      </c>
      <c r="G151" s="36" t="s">
        <v>342</v>
      </c>
      <c r="H151" s="39"/>
      <c r="I151" s="24" t="str">
        <f>+VLOOKUP(A151,[2]Hoja1!$A:$A,1,0)</f>
        <v>W11723618</v>
      </c>
    </row>
    <row r="152" spans="1:9" ht="15.75" customHeight="1" x14ac:dyDescent="0.2">
      <c r="A152" s="36" t="s">
        <v>740</v>
      </c>
      <c r="B152" s="38" t="s">
        <v>741</v>
      </c>
      <c r="C152" s="34" t="s">
        <v>256</v>
      </c>
      <c r="D152" s="35" t="s">
        <v>742</v>
      </c>
      <c r="E152" s="45" t="s">
        <v>295</v>
      </c>
      <c r="F152" s="22" t="str">
        <f>+VLOOKUP(A152,'[1]Proveedor-Comprador'!A:D,4,0)</f>
        <v>INDUSTRIAS HACEB S.A.</v>
      </c>
      <c r="G152" s="36" t="s">
        <v>342</v>
      </c>
      <c r="H152" s="39"/>
      <c r="I152" s="24" t="str">
        <f>+VLOOKUP(A152,[2]Hoja1!$A:$A,1,0)</f>
        <v>W11730555</v>
      </c>
    </row>
    <row r="153" spans="1:9" ht="15.75" customHeight="1" x14ac:dyDescent="0.2">
      <c r="A153" s="36" t="s">
        <v>743</v>
      </c>
      <c r="B153" s="38" t="s">
        <v>744</v>
      </c>
      <c r="C153" s="34" t="s">
        <v>256</v>
      </c>
      <c r="D153" s="35" t="s">
        <v>745</v>
      </c>
      <c r="E153" s="45" t="s">
        <v>295</v>
      </c>
      <c r="F153" s="22" t="str">
        <f>+VLOOKUP(A153,'[1]Proveedor-Comprador'!A:D,4,0)</f>
        <v>INDUSTRIAS HACEB S.A.</v>
      </c>
      <c r="G153" s="36" t="s">
        <v>342</v>
      </c>
      <c r="H153" s="39"/>
      <c r="I153" s="24" t="str">
        <f>+VLOOKUP(A153,[2]Hoja1!$A:$A,1,0)</f>
        <v>W11750177</v>
      </c>
    </row>
    <row r="154" spans="1:9" ht="15.75" customHeight="1" x14ac:dyDescent="0.2">
      <c r="A154" s="36" t="s">
        <v>746</v>
      </c>
      <c r="B154" s="38" t="s">
        <v>747</v>
      </c>
      <c r="C154" s="34" t="s">
        <v>256</v>
      </c>
      <c r="D154" s="35" t="s">
        <v>748</v>
      </c>
      <c r="E154" s="45" t="s">
        <v>295</v>
      </c>
      <c r="F154" s="22" t="str">
        <f>+VLOOKUP(A154,'[1]Proveedor-Comprador'!A:D,4,0)</f>
        <v>INDUSTRIAS HACEB S.A.</v>
      </c>
      <c r="G154" s="36" t="s">
        <v>267</v>
      </c>
      <c r="H154" s="39"/>
      <c r="I154" s="24" t="str">
        <f>+VLOOKUP(A154,[2]Hoja1!$A:$A,1,0)</f>
        <v>W11501569</v>
      </c>
    </row>
    <row r="155" spans="1:9" ht="15.75" customHeight="1" x14ac:dyDescent="0.2">
      <c r="A155" s="36" t="s">
        <v>749</v>
      </c>
      <c r="B155" s="38" t="s">
        <v>750</v>
      </c>
      <c r="C155" s="34" t="s">
        <v>256</v>
      </c>
      <c r="D155" s="35" t="s">
        <v>751</v>
      </c>
      <c r="E155" s="45" t="s">
        <v>295</v>
      </c>
      <c r="F155" s="22" t="str">
        <f>+VLOOKUP(A155,'[1]Proveedor-Comprador'!A:D,4,0)</f>
        <v>INDUSTRIAS HACEB S.A.</v>
      </c>
      <c r="G155" s="36" t="s">
        <v>312</v>
      </c>
      <c r="H155" s="39"/>
      <c r="I155" s="24" t="str">
        <f>+VLOOKUP(A155,[2]Hoja1!$A:$A,1,0)</f>
        <v>W11539825</v>
      </c>
    </row>
    <row r="156" spans="1:9" ht="15.75" customHeight="1" x14ac:dyDescent="0.2">
      <c r="A156" s="36" t="s">
        <v>752</v>
      </c>
      <c r="B156" s="38" t="s">
        <v>753</v>
      </c>
      <c r="C156" s="34" t="s">
        <v>256</v>
      </c>
      <c r="D156" s="35" t="s">
        <v>754</v>
      </c>
      <c r="E156" s="45" t="s">
        <v>295</v>
      </c>
      <c r="F156" s="22" t="str">
        <f>+VLOOKUP(A156,'[1]Proveedor-Comprador'!A:D,4,0)</f>
        <v>INDUSTRIAS HACEB S.A.</v>
      </c>
      <c r="G156" s="36" t="s">
        <v>312</v>
      </c>
      <c r="H156" s="39"/>
      <c r="I156" s="24" t="str">
        <f>+VLOOKUP(A156,[2]Hoja1!$A:$A,1,0)</f>
        <v>W11638815</v>
      </c>
    </row>
    <row r="157" spans="1:9" ht="15.75" customHeight="1" x14ac:dyDescent="0.2">
      <c r="A157" s="36" t="s">
        <v>755</v>
      </c>
      <c r="B157" s="38" t="s">
        <v>756</v>
      </c>
      <c r="C157" s="34" t="s">
        <v>256</v>
      </c>
      <c r="D157" s="35" t="s">
        <v>757</v>
      </c>
      <c r="E157" s="45" t="s">
        <v>295</v>
      </c>
      <c r="F157" s="22" t="str">
        <f>+VLOOKUP(A157,'[1]Proveedor-Comprador'!A:D,4,0)</f>
        <v>Iprocom S.A.</v>
      </c>
      <c r="G157" s="36" t="s">
        <v>267</v>
      </c>
      <c r="H157" s="39"/>
      <c r="I157" s="24" t="str">
        <f>+VLOOKUP(A157,[2]Hoja1!$A:$A,1,0)</f>
        <v>W11519086</v>
      </c>
    </row>
    <row r="158" spans="1:9" ht="15.75" customHeight="1" x14ac:dyDescent="0.2">
      <c r="A158" s="36" t="s">
        <v>758</v>
      </c>
      <c r="B158" s="38" t="s">
        <v>759</v>
      </c>
      <c r="C158" s="34" t="s">
        <v>256</v>
      </c>
      <c r="D158" s="35" t="s">
        <v>760</v>
      </c>
      <c r="E158" s="45" t="s">
        <v>295</v>
      </c>
      <c r="F158" s="22" t="str">
        <f>+VLOOKUP(A158,'[1]Proveedor-Comprador'!A:D,4,0)</f>
        <v>INDUSTRIAS HACEB S.A.</v>
      </c>
      <c r="G158" s="36" t="s">
        <v>267</v>
      </c>
      <c r="H158" s="39"/>
      <c r="I158" s="24" t="str">
        <f>+VLOOKUP(A158,[2]Hoja1!$A:$A,1,0)</f>
        <v>W11519083</v>
      </c>
    </row>
    <row r="159" spans="1:9" ht="15.75" customHeight="1" x14ac:dyDescent="0.2">
      <c r="A159" s="36" t="s">
        <v>761</v>
      </c>
      <c r="B159" s="38" t="s">
        <v>762</v>
      </c>
      <c r="C159" s="34" t="s">
        <v>256</v>
      </c>
      <c r="D159" s="35" t="s">
        <v>763</v>
      </c>
      <c r="E159" s="45" t="s">
        <v>295</v>
      </c>
      <c r="F159" s="22" t="str">
        <f>+VLOOKUP(A159,'[1]Proveedor-Comprador'!A:D,4,0)</f>
        <v>INDUSTRIAS HACEB S.A.</v>
      </c>
      <c r="G159" s="36" t="s">
        <v>267</v>
      </c>
      <c r="H159" s="39"/>
      <c r="I159" s="24" t="str">
        <f>+VLOOKUP(A159,[2]Hoja1!$A:$A,1,0)</f>
        <v>W11501424</v>
      </c>
    </row>
    <row r="160" spans="1:9" ht="15.75" customHeight="1" x14ac:dyDescent="0.2">
      <c r="A160" s="36" t="s">
        <v>764</v>
      </c>
      <c r="B160" s="38" t="s">
        <v>753</v>
      </c>
      <c r="C160" s="34" t="s">
        <v>256</v>
      </c>
      <c r="D160" s="35" t="s">
        <v>765</v>
      </c>
      <c r="E160" s="45" t="s">
        <v>295</v>
      </c>
      <c r="F160" s="22" t="str">
        <f>+VLOOKUP(A160,'[1]Proveedor-Comprador'!A:D,4,0)</f>
        <v>INDUSTRIAS HACEB S.A.</v>
      </c>
      <c r="G160" s="36" t="s">
        <v>267</v>
      </c>
      <c r="H160" s="39"/>
      <c r="I160" s="24" t="str">
        <f>+VLOOKUP(A160,[2]Hoja1!$A:$A,1,0)</f>
        <v>W11642094</v>
      </c>
    </row>
    <row r="161" spans="1:9" ht="15.75" customHeight="1" x14ac:dyDescent="0.2">
      <c r="A161" s="36" t="s">
        <v>766</v>
      </c>
      <c r="B161" s="38" t="s">
        <v>753</v>
      </c>
      <c r="C161" s="34" t="s">
        <v>256</v>
      </c>
      <c r="D161" s="35" t="s">
        <v>767</v>
      </c>
      <c r="E161" s="45" t="s">
        <v>295</v>
      </c>
      <c r="F161" s="22" t="str">
        <f>+VLOOKUP(A161,'[1]Proveedor-Comprador'!A:D,4,0)</f>
        <v>INDUSTRIAS HACEB S.A.</v>
      </c>
      <c r="G161" s="36" t="s">
        <v>312</v>
      </c>
      <c r="H161" s="39"/>
      <c r="I161" s="24" t="str">
        <f>+VLOOKUP(A161,[2]Hoja1!$A:$A,1,0)</f>
        <v>W11691104</v>
      </c>
    </row>
    <row r="162" spans="1:9" ht="15.75" customHeight="1" x14ac:dyDescent="0.2">
      <c r="A162" s="36" t="s">
        <v>768</v>
      </c>
      <c r="B162" s="38" t="s">
        <v>769</v>
      </c>
      <c r="C162" s="34" t="s">
        <v>256</v>
      </c>
      <c r="D162" s="35" t="s">
        <v>770</v>
      </c>
      <c r="E162" s="45" t="s">
        <v>295</v>
      </c>
      <c r="F162" s="22" t="str">
        <f>+VLOOKUP(A162,'[1]Proveedor-Comprador'!A:D,4,0)</f>
        <v>INDUSTRIAS HACEB S.A.</v>
      </c>
      <c r="G162" s="36" t="s">
        <v>312</v>
      </c>
      <c r="H162" s="39"/>
      <c r="I162" s="24" t="str">
        <f>+VLOOKUP(A162,[2]Hoja1!$A:$A,1,0)</f>
        <v>W11401383</v>
      </c>
    </row>
    <row r="163" spans="1:9" ht="15.75" customHeight="1" x14ac:dyDescent="0.2">
      <c r="A163" s="36" t="s">
        <v>771</v>
      </c>
      <c r="B163" s="38" t="s">
        <v>769</v>
      </c>
      <c r="C163" s="34" t="s">
        <v>256</v>
      </c>
      <c r="D163" s="35" t="s">
        <v>772</v>
      </c>
      <c r="E163" s="45" t="s">
        <v>295</v>
      </c>
      <c r="F163" s="22" t="str">
        <f>+VLOOKUP(A163,'[1]Proveedor-Comprador'!A:D,4,0)</f>
        <v>INDUSTRIAS HACEB S.A.</v>
      </c>
      <c r="G163" s="36" t="s">
        <v>312</v>
      </c>
      <c r="H163" s="39"/>
      <c r="I163" s="24" t="str">
        <f>+VLOOKUP(A163,[2]Hoja1!$A:$A,1,0)</f>
        <v>W11401384</v>
      </c>
    </row>
    <row r="164" spans="1:9" ht="15.75" customHeight="1" x14ac:dyDescent="0.2">
      <c r="A164" s="36" t="s">
        <v>773</v>
      </c>
      <c r="B164" s="38" t="s">
        <v>774</v>
      </c>
      <c r="C164" s="34" t="s">
        <v>256</v>
      </c>
      <c r="D164" s="35" t="s">
        <v>775</v>
      </c>
      <c r="E164" s="45" t="s">
        <v>295</v>
      </c>
      <c r="F164" s="22" t="str">
        <f>+VLOOKUP(A164,'[1]Proveedor-Comprador'!A:D,4,0)</f>
        <v>Iprocom S.A.</v>
      </c>
      <c r="G164" s="36" t="s">
        <v>267</v>
      </c>
      <c r="H164" s="39"/>
      <c r="I164" s="24" t="str">
        <f>+VLOOKUP(A164,[2]Hoja1!$A:$A,1,0)</f>
        <v>W11501577</v>
      </c>
    </row>
    <row r="165" spans="1:9" ht="15.75" customHeight="1" x14ac:dyDescent="0.2">
      <c r="A165" s="36" t="s">
        <v>776</v>
      </c>
      <c r="B165" s="38" t="s">
        <v>777</v>
      </c>
      <c r="C165" s="34" t="s">
        <v>256</v>
      </c>
      <c r="D165" s="35" t="s">
        <v>778</v>
      </c>
      <c r="E165" s="45" t="s">
        <v>295</v>
      </c>
      <c r="F165" s="22" t="str">
        <f>+VLOOKUP(A165,'[1]Proveedor-Comprador'!A:D,4,0)</f>
        <v>INDUSTRIAS HACEB S.A.</v>
      </c>
      <c r="G165" s="36" t="s">
        <v>267</v>
      </c>
      <c r="H165" s="39"/>
      <c r="I165" s="24" t="str">
        <f>+VLOOKUP(A165,[2]Hoja1!$A:$A,1,0)</f>
        <v>W11501570</v>
      </c>
    </row>
    <row r="166" spans="1:9" ht="15.75" customHeight="1" x14ac:dyDescent="0.2">
      <c r="A166" s="36" t="s">
        <v>779</v>
      </c>
      <c r="B166" s="38" t="s">
        <v>780</v>
      </c>
      <c r="C166" s="34" t="s">
        <v>256</v>
      </c>
      <c r="D166" s="35" t="s">
        <v>781</v>
      </c>
      <c r="E166" s="45" t="s">
        <v>295</v>
      </c>
      <c r="F166" s="22" t="str">
        <f>+VLOOKUP(A166,'[1]Proveedor-Comprador'!A:D,4,0)</f>
        <v>INDUSTRIAS HACEB S.A.</v>
      </c>
      <c r="G166" s="36" t="s">
        <v>267</v>
      </c>
      <c r="H166" s="39"/>
      <c r="I166" s="24" t="str">
        <f>+VLOOKUP(A166,[2]Hoja1!$A:$A,1,0)</f>
        <v>W11501567</v>
      </c>
    </row>
    <row r="167" spans="1:9" ht="15.75" customHeight="1" x14ac:dyDescent="0.2">
      <c r="A167" s="36" t="s">
        <v>782</v>
      </c>
      <c r="B167" s="38" t="s">
        <v>762</v>
      </c>
      <c r="C167" s="34" t="s">
        <v>256</v>
      </c>
      <c r="D167" s="35" t="s">
        <v>783</v>
      </c>
      <c r="E167" s="45" t="s">
        <v>295</v>
      </c>
      <c r="F167" s="22" t="str">
        <f>+VLOOKUP(A167,'[1]Proveedor-Comprador'!A:D,4,0)</f>
        <v>INDUSTRIAS HACEB S.A.</v>
      </c>
      <c r="G167" s="36" t="s">
        <v>267</v>
      </c>
      <c r="H167" s="39"/>
      <c r="I167" s="24" t="str">
        <f>+VLOOKUP(A167,[2]Hoja1!$A:$A,1,0)</f>
        <v>W11501566</v>
      </c>
    </row>
    <row r="168" spans="1:9" ht="15.75" customHeight="1" x14ac:dyDescent="0.2">
      <c r="A168" s="36" t="s">
        <v>784</v>
      </c>
      <c r="B168" s="38" t="s">
        <v>753</v>
      </c>
      <c r="C168" s="34" t="s">
        <v>256</v>
      </c>
      <c r="D168" s="35" t="s">
        <v>785</v>
      </c>
      <c r="E168" s="45" t="s">
        <v>295</v>
      </c>
      <c r="F168" s="22" t="str">
        <f>+VLOOKUP(A168,'[1]Proveedor-Comprador'!A:D,4,0)</f>
        <v>INDUSTRIAS HACEB S.A.</v>
      </c>
      <c r="G168" s="36" t="s">
        <v>312</v>
      </c>
      <c r="H168" s="39"/>
      <c r="I168" s="24" t="str">
        <f>+VLOOKUP(A168,[2]Hoja1!$A:$A,1,0)</f>
        <v>W11401379</v>
      </c>
    </row>
    <row r="169" spans="1:9" ht="15.75" customHeight="1" x14ac:dyDescent="0.2">
      <c r="A169" s="36" t="s">
        <v>786</v>
      </c>
      <c r="B169" s="38" t="s">
        <v>787</v>
      </c>
      <c r="C169" s="34" t="s">
        <v>256</v>
      </c>
      <c r="D169" s="35" t="s">
        <v>788</v>
      </c>
      <c r="E169" s="45" t="s">
        <v>295</v>
      </c>
      <c r="F169" s="22" t="str">
        <f>+VLOOKUP(A169,'[1]Proveedor-Comprador'!A:D,4,0)</f>
        <v>INDUSTRIAS HACEB S.A.</v>
      </c>
      <c r="G169" s="36" t="s">
        <v>267</v>
      </c>
      <c r="H169" s="39"/>
      <c r="I169" s="24" t="str">
        <f>+VLOOKUP(A169,[2]Hoja1!$A:$A,1,0)</f>
        <v>W11520036</v>
      </c>
    </row>
    <row r="170" spans="1:9" ht="15.75" customHeight="1" x14ac:dyDescent="0.2">
      <c r="A170" s="36" t="s">
        <v>789</v>
      </c>
      <c r="B170" s="38" t="s">
        <v>790</v>
      </c>
      <c r="C170" s="34" t="s">
        <v>256</v>
      </c>
      <c r="D170" s="35" t="s">
        <v>791</v>
      </c>
      <c r="E170" s="45" t="s">
        <v>792</v>
      </c>
      <c r="F170" s="22" t="str">
        <f>+VLOOKUP(A170,'[1]Proveedor-Comprador'!A:D,4,0)</f>
        <v>Iprocom S.A.</v>
      </c>
      <c r="G170" s="36" t="s">
        <v>267</v>
      </c>
      <c r="H170" s="39"/>
      <c r="I170" s="24" t="str">
        <f>+VLOOKUP(A170,[2]Hoja1!$A:$A,1,0)</f>
        <v>W11500979</v>
      </c>
    </row>
    <row r="171" spans="1:9" ht="15.75" customHeight="1" x14ac:dyDescent="0.2">
      <c r="A171" s="36" t="s">
        <v>793</v>
      </c>
      <c r="B171" s="38" t="s">
        <v>794</v>
      </c>
      <c r="C171" s="34" t="s">
        <v>256</v>
      </c>
      <c r="D171" s="35" t="s">
        <v>795</v>
      </c>
      <c r="E171" s="45" t="s">
        <v>792</v>
      </c>
      <c r="F171" s="22" t="str">
        <f>+VLOOKUP(A171,'[1]Proveedor-Comprador'!A:D,4,0)</f>
        <v>Iprocom S.A.</v>
      </c>
      <c r="G171" s="36" t="s">
        <v>267</v>
      </c>
      <c r="H171" s="39"/>
      <c r="I171" s="24" t="str">
        <f>+VLOOKUP(A171,[2]Hoja1!$A:$A,1,0)</f>
        <v>W11581273</v>
      </c>
    </row>
    <row r="172" spans="1:9" ht="15.75" customHeight="1" x14ac:dyDescent="0.2">
      <c r="A172" s="36" t="s">
        <v>796</v>
      </c>
      <c r="B172" s="38" t="s">
        <v>797</v>
      </c>
      <c r="C172" s="34" t="s">
        <v>256</v>
      </c>
      <c r="D172" s="35" t="s">
        <v>798</v>
      </c>
      <c r="E172" s="45" t="s">
        <v>792</v>
      </c>
      <c r="F172" s="22" t="str">
        <f>+VLOOKUP(A172,'[1]Proveedor-Comprador'!A:D,4,0)</f>
        <v>Iprocom S.A.</v>
      </c>
      <c r="G172" s="36" t="s">
        <v>267</v>
      </c>
      <c r="H172" s="39"/>
      <c r="I172" s="24" t="str">
        <f>+VLOOKUP(A172,[2]Hoja1!$A:$A,1,0)</f>
        <v>W11503285</v>
      </c>
    </row>
    <row r="173" spans="1:9" ht="15.75" customHeight="1" x14ac:dyDescent="0.2">
      <c r="A173" s="36" t="s">
        <v>799</v>
      </c>
      <c r="B173" s="38" t="s">
        <v>800</v>
      </c>
      <c r="C173" s="34" t="s">
        <v>256</v>
      </c>
      <c r="D173" s="35" t="s">
        <v>801</v>
      </c>
      <c r="E173" s="45" t="s">
        <v>792</v>
      </c>
      <c r="F173" s="22" t="str">
        <f>+VLOOKUP(A173,'[1]Proveedor-Comprador'!A:D,4,0)</f>
        <v>Iprocom S.A.</v>
      </c>
      <c r="G173" s="36" t="s">
        <v>267</v>
      </c>
      <c r="H173" s="39"/>
      <c r="I173" s="24" t="str">
        <f>+VLOOKUP(A173,[2]Hoja1!$A:$A,1,0)</f>
        <v>W11625464</v>
      </c>
    </row>
    <row r="174" spans="1:9" ht="15.75" customHeight="1" x14ac:dyDescent="0.2">
      <c r="A174" s="36" t="s">
        <v>802</v>
      </c>
      <c r="B174" s="38" t="s">
        <v>803</v>
      </c>
      <c r="C174" s="34" t="s">
        <v>256</v>
      </c>
      <c r="D174" s="35" t="s">
        <v>804</v>
      </c>
      <c r="E174" s="45" t="s">
        <v>792</v>
      </c>
      <c r="F174" s="22" t="str">
        <f>+VLOOKUP(A174,'[1]Proveedor-Comprador'!A:D,4,0)</f>
        <v>Iprocom S.A.</v>
      </c>
      <c r="G174" s="36" t="s">
        <v>267</v>
      </c>
      <c r="H174" s="39"/>
      <c r="I174" s="24" t="str">
        <f>+VLOOKUP(A174,[2]Hoja1!$A:$A,1,0)</f>
        <v>W11492000</v>
      </c>
    </row>
    <row r="175" spans="1:9" ht="15.75" customHeight="1" x14ac:dyDescent="0.2">
      <c r="A175" s="36" t="s">
        <v>805</v>
      </c>
      <c r="B175" s="38" t="s">
        <v>806</v>
      </c>
      <c r="C175" s="34" t="s">
        <v>256</v>
      </c>
      <c r="D175" s="35" t="s">
        <v>807</v>
      </c>
      <c r="E175" s="45" t="s">
        <v>792</v>
      </c>
      <c r="F175" s="22" t="str">
        <f>+VLOOKUP(A175,'[1]Proveedor-Comprador'!A:D,4,0)</f>
        <v>Iprocom S.A.</v>
      </c>
      <c r="G175" s="36" t="s">
        <v>267</v>
      </c>
      <c r="H175" s="39"/>
      <c r="I175" s="24" t="str">
        <f>+VLOOKUP(A175,[2]Hoja1!$A:$A,1,0)</f>
        <v>W11491999</v>
      </c>
    </row>
    <row r="176" spans="1:9" ht="15.75" customHeight="1" x14ac:dyDescent="0.2">
      <c r="A176" s="36" t="s">
        <v>808</v>
      </c>
      <c r="B176" s="38" t="s">
        <v>809</v>
      </c>
      <c r="C176" s="34" t="s">
        <v>256</v>
      </c>
      <c r="D176" s="35" t="s">
        <v>810</v>
      </c>
      <c r="E176" s="45" t="s">
        <v>809</v>
      </c>
      <c r="F176" s="22" t="str">
        <f>+VLOOKUP(A176,'[1]Proveedor-Comprador'!A:D,4,0)</f>
        <v>Riduco S.A.</v>
      </c>
      <c r="G176" s="36" t="s">
        <v>284</v>
      </c>
      <c r="H176" s="39"/>
      <c r="I176" s="24" t="str">
        <f>+VLOOKUP(A176,[2]Hoja1!$A:$A,1,0)</f>
        <v>W10705255</v>
      </c>
    </row>
    <row r="177" spans="1:9" ht="15.75" customHeight="1" x14ac:dyDescent="0.2">
      <c r="A177" s="36" t="s">
        <v>811</v>
      </c>
      <c r="B177" s="38" t="s">
        <v>812</v>
      </c>
      <c r="C177" s="34" t="s">
        <v>256</v>
      </c>
      <c r="D177" s="35" t="s">
        <v>813</v>
      </c>
      <c r="E177" s="45" t="s">
        <v>813</v>
      </c>
      <c r="F177" s="22" t="str">
        <f>+VLOOKUP(A177,'[1]Proveedor-Comprador'!A:D,4,0)</f>
        <v>INDUSTRIAS HACEB S.A.</v>
      </c>
      <c r="G177" s="36" t="s">
        <v>284</v>
      </c>
      <c r="H177" s="39"/>
      <c r="I177" s="24" t="str">
        <f>+VLOOKUP(A177,[2]Hoja1!$A:$A,1,0)</f>
        <v>W10704805</v>
      </c>
    </row>
    <row r="178" spans="1:9" ht="15.75" customHeight="1" x14ac:dyDescent="0.2">
      <c r="A178" s="36" t="s">
        <v>814</v>
      </c>
      <c r="B178" s="38" t="s">
        <v>815</v>
      </c>
      <c r="C178" s="34" t="s">
        <v>256</v>
      </c>
      <c r="D178" s="35" t="s">
        <v>816</v>
      </c>
      <c r="E178" s="45" t="s">
        <v>815</v>
      </c>
      <c r="F178" s="22" t="str">
        <f>+VLOOKUP(A178,'[1]Proveedor-Comprador'!A:D,4,0)</f>
        <v>Fundalco</v>
      </c>
      <c r="G178" s="36" t="s">
        <v>284</v>
      </c>
      <c r="H178" s="39"/>
      <c r="I178" s="24" t="str">
        <f>+VLOOKUP(A178,[2]Hoja1!$A:$A,1,0)</f>
        <v>W10710121</v>
      </c>
    </row>
    <row r="179" spans="1:9" ht="15.75" customHeight="1" x14ac:dyDescent="0.2">
      <c r="A179" s="36" t="s">
        <v>817</v>
      </c>
      <c r="B179" s="38" t="s">
        <v>818</v>
      </c>
      <c r="C179" s="34" t="s">
        <v>256</v>
      </c>
      <c r="D179" s="35" t="s">
        <v>299</v>
      </c>
      <c r="E179" s="45" t="s">
        <v>299</v>
      </c>
      <c r="F179" s="22" t="str">
        <f>+VLOOKUP(A179,'[1]Proveedor-Comprador'!A:D,4,0)</f>
        <v>IBEROTECH S.A.S</v>
      </c>
      <c r="G179" s="36" t="s">
        <v>284</v>
      </c>
      <c r="H179" s="39"/>
      <c r="I179" s="24" t="str">
        <f>+VLOOKUP(A179,[2]Hoja1!$A:$A,1,0)</f>
        <v>W11353094</v>
      </c>
    </row>
    <row r="180" spans="1:9" ht="15.75" customHeight="1" x14ac:dyDescent="0.2">
      <c r="A180" s="36" t="s">
        <v>819</v>
      </c>
      <c r="B180" s="38" t="s">
        <v>820</v>
      </c>
      <c r="C180" s="34" t="s">
        <v>256</v>
      </c>
      <c r="D180" s="35" t="s">
        <v>821</v>
      </c>
      <c r="E180" s="45" t="s">
        <v>820</v>
      </c>
      <c r="F180" s="22" t="str">
        <f>+VLOOKUP(A180,'[1]Proveedor-Comprador'!A:D,4,0)</f>
        <v>INDUSTRIAS HACEB S.A.</v>
      </c>
      <c r="G180" s="36" t="s">
        <v>284</v>
      </c>
      <c r="H180" s="39"/>
      <c r="I180" s="24" t="str">
        <f>+VLOOKUP(A180,[2]Hoja1!$A:$A,1,0)</f>
        <v>W10655121</v>
      </c>
    </row>
    <row r="181" spans="1:9" ht="15.75" customHeight="1" x14ac:dyDescent="0.2">
      <c r="A181" s="36" t="s">
        <v>822</v>
      </c>
      <c r="B181" s="38" t="s">
        <v>823</v>
      </c>
      <c r="C181" s="34" t="s">
        <v>256</v>
      </c>
      <c r="D181" s="35" t="s">
        <v>824</v>
      </c>
      <c r="E181" s="45" t="s">
        <v>825</v>
      </c>
      <c r="F181" s="22" t="str">
        <f>+VLOOKUP(A181,'[1]Proveedor-Comprador'!A:D,4,0)</f>
        <v>Fundalco</v>
      </c>
      <c r="G181" s="36" t="s">
        <v>267</v>
      </c>
      <c r="H181" s="39"/>
      <c r="I181" s="24" t="str">
        <f>+VLOOKUP(A181,[2]Hoja1!$A:$A,1,0)</f>
        <v>W11618773</v>
      </c>
    </row>
    <row r="182" spans="1:9" ht="15.75" customHeight="1" x14ac:dyDescent="0.2">
      <c r="A182" s="36" t="s">
        <v>826</v>
      </c>
      <c r="B182" s="38" t="s">
        <v>827</v>
      </c>
      <c r="C182" s="34" t="s">
        <v>828</v>
      </c>
      <c r="D182" s="35" t="s">
        <v>829</v>
      </c>
      <c r="E182" s="45" t="s">
        <v>830</v>
      </c>
      <c r="F182" s="22" t="str">
        <f>+VLOOKUP(A182,'[1]Proveedor-Comprador'!A:D,4,0)</f>
        <v>EMPAQUETADURAS Y EMPAQUES S.A</v>
      </c>
      <c r="G182" s="36" t="s">
        <v>284</v>
      </c>
      <c r="H182" s="39"/>
      <c r="I182" s="24" t="str">
        <f>+VLOOKUP(A182,[2]Hoja1!$A:$A,1,0)</f>
        <v>W11746905</v>
      </c>
    </row>
    <row r="183" spans="1:9" ht="15.75" customHeight="1" x14ac:dyDescent="0.2">
      <c r="A183" s="36" t="s">
        <v>831</v>
      </c>
      <c r="B183" s="38" t="s">
        <v>832</v>
      </c>
      <c r="C183" s="34" t="s">
        <v>256</v>
      </c>
      <c r="D183" s="35" t="s">
        <v>833</v>
      </c>
      <c r="E183" s="45" t="s">
        <v>303</v>
      </c>
      <c r="F183" s="22" t="str">
        <f>+VLOOKUP(A183,'[1]Proveedor-Comprador'!A:D,4,0)</f>
        <v>ZHEJIANG BH BEARING CO.,L</v>
      </c>
      <c r="G183" s="36" t="s">
        <v>284</v>
      </c>
      <c r="H183" s="39"/>
      <c r="I183" s="24" t="str">
        <f>+VLOOKUP(A183,[2]Hoja1!$A:$A,1,0)</f>
        <v>W10516159</v>
      </c>
    </row>
    <row r="184" spans="1:9" ht="15.75" customHeight="1" x14ac:dyDescent="0.2">
      <c r="A184" s="36" t="s">
        <v>834</v>
      </c>
      <c r="B184" s="38" t="s">
        <v>835</v>
      </c>
      <c r="C184" s="34" t="s">
        <v>256</v>
      </c>
      <c r="D184" s="35" t="s">
        <v>835</v>
      </c>
      <c r="E184" s="45" t="s">
        <v>836</v>
      </c>
      <c r="F184" s="22" t="str">
        <f>+VLOOKUP(A184,'[1]Proveedor-Comprador'!A:D,4,0)</f>
        <v>Dicoplast S.A.</v>
      </c>
      <c r="G184" s="36" t="s">
        <v>312</v>
      </c>
      <c r="H184" s="39"/>
      <c r="I184" s="24" t="str">
        <f>+VLOOKUP(A184,[2]Hoja1!$A:$A,1,0)</f>
        <v>W10647949</v>
      </c>
    </row>
    <row r="185" spans="1:9" ht="15.75" customHeight="1" x14ac:dyDescent="0.2">
      <c r="A185" s="36" t="s">
        <v>837</v>
      </c>
      <c r="B185" s="38" t="s">
        <v>838</v>
      </c>
      <c r="C185" s="34" t="s">
        <v>256</v>
      </c>
      <c r="D185" s="35" t="s">
        <v>839</v>
      </c>
      <c r="E185" s="45" t="s">
        <v>840</v>
      </c>
      <c r="F185" s="22" t="str">
        <f>+VLOOKUP(A185,'[1]Proveedor-Comprador'!A:D,4,0)</f>
        <v>Microjuntas Indústria e C</v>
      </c>
      <c r="G185" s="36" t="s">
        <v>284</v>
      </c>
      <c r="H185" s="39"/>
      <c r="I185" s="24" t="str">
        <f>+VLOOKUP(A185,[2]Hoja1!$A:$A,1,0)</f>
        <v>W11657637</v>
      </c>
    </row>
    <row r="186" spans="1:9" ht="15.75" customHeight="1" x14ac:dyDescent="0.2">
      <c r="A186" s="36" t="s">
        <v>841</v>
      </c>
      <c r="B186" s="38" t="s">
        <v>842</v>
      </c>
      <c r="C186" s="34" t="s">
        <v>256</v>
      </c>
      <c r="D186" s="35" t="s">
        <v>843</v>
      </c>
      <c r="E186" s="45" t="s">
        <v>844</v>
      </c>
      <c r="F186" s="22" t="str">
        <f>+VLOOKUP(A186,'[1]Proveedor-Comprador'!A:D,4,0)</f>
        <v>PARKER</v>
      </c>
      <c r="G186" s="36" t="s">
        <v>284</v>
      </c>
      <c r="H186" s="39"/>
      <c r="I186" s="24" t="str">
        <f>+VLOOKUP(A186,[2]Hoja1!$A:$A,1,0)</f>
        <v>W10751509</v>
      </c>
    </row>
    <row r="187" spans="1:9" ht="15.75" customHeight="1" x14ac:dyDescent="0.2">
      <c r="A187" s="36" t="s">
        <v>845</v>
      </c>
      <c r="B187" s="38" t="s">
        <v>846</v>
      </c>
      <c r="C187" s="34" t="s">
        <v>256</v>
      </c>
      <c r="D187" s="35" t="s">
        <v>846</v>
      </c>
      <c r="E187" s="45" t="s">
        <v>846</v>
      </c>
      <c r="F187" s="22" t="str">
        <f>+VLOOKUP(A187,'[1]Proveedor-Comprador'!A:D,4,0)</f>
        <v>RESORTES MANIZALES S.A.S</v>
      </c>
      <c r="G187" s="36" t="s">
        <v>284</v>
      </c>
      <c r="H187" s="39"/>
      <c r="I187" s="24" t="str">
        <f>+VLOOKUP(A187,[2]Hoja1!$A:$A,1,0)</f>
        <v>W10890629</v>
      </c>
    </row>
    <row r="188" spans="1:9" ht="15.75" customHeight="1" x14ac:dyDescent="0.2">
      <c r="A188" s="36" t="s">
        <v>847</v>
      </c>
      <c r="B188" s="38" t="s">
        <v>848</v>
      </c>
      <c r="C188" s="34" t="s">
        <v>256</v>
      </c>
      <c r="D188" s="35" t="s">
        <v>849</v>
      </c>
      <c r="E188" s="45" t="s">
        <v>848</v>
      </c>
      <c r="F188" s="22" t="str">
        <f>+VLOOKUP(A188,'[1]Proveedor-Comprador'!A:D,4,0)</f>
        <v>METALURGICA GUAPORE LTDA</v>
      </c>
      <c r="G188" s="36" t="s">
        <v>284</v>
      </c>
      <c r="H188" s="39"/>
      <c r="I188" s="24" t="str">
        <f>+VLOOKUP(A188,[2]Hoja1!$A:$A,1,0)</f>
        <v>326001560</v>
      </c>
    </row>
    <row r="189" spans="1:9" ht="15.75" customHeight="1" x14ac:dyDescent="0.2">
      <c r="A189" s="36" t="s">
        <v>850</v>
      </c>
      <c r="B189" s="38" t="s">
        <v>851</v>
      </c>
      <c r="C189" s="34" t="s">
        <v>256</v>
      </c>
      <c r="D189" s="35" t="s">
        <v>852</v>
      </c>
      <c r="E189" s="45" t="s">
        <v>853</v>
      </c>
      <c r="F189" s="22" t="str">
        <f>+VLOOKUP(A189,'[1]Proveedor-Comprador'!A:D,4,0)</f>
        <v>METALURGICA GUAPORE LTDA</v>
      </c>
      <c r="G189" s="36" t="s">
        <v>251</v>
      </c>
      <c r="H189" s="39" t="s">
        <v>279</v>
      </c>
      <c r="I189" s="24" t="s">
        <v>253</v>
      </c>
    </row>
    <row r="190" spans="1:9" ht="15.75" customHeight="1" x14ac:dyDescent="0.2">
      <c r="A190" s="36" t="s">
        <v>854</v>
      </c>
      <c r="B190" s="38" t="s">
        <v>855</v>
      </c>
      <c r="C190" s="34" t="s">
        <v>256</v>
      </c>
      <c r="D190" s="35" t="s">
        <v>855</v>
      </c>
      <c r="E190" s="45" t="s">
        <v>855</v>
      </c>
      <c r="F190" s="22" t="str">
        <f>+VLOOKUP(A190,'[1]Proveedor-Comprador'!A:D,4,0)</f>
        <v>METALURGICA GUAPORE LTDA</v>
      </c>
      <c r="G190" s="36" t="s">
        <v>284</v>
      </c>
      <c r="H190" s="39"/>
      <c r="I190" s="24" t="str">
        <f>+VLOOKUP(A190,[2]Hoja1!$A:$A,1,0)</f>
        <v>W11104317</v>
      </c>
    </row>
    <row r="191" spans="1:9" ht="15.75" customHeight="1" x14ac:dyDescent="0.2">
      <c r="A191" s="36" t="s">
        <v>856</v>
      </c>
      <c r="B191" s="38" t="s">
        <v>857</v>
      </c>
      <c r="C191" s="34" t="s">
        <v>248</v>
      </c>
      <c r="D191" s="35" t="s">
        <v>858</v>
      </c>
      <c r="E191" s="45" t="s">
        <v>859</v>
      </c>
      <c r="F191" s="22" t="str">
        <f>+VLOOKUP(A191,'[1]Proveedor-Comprador'!A:D,4,0)</f>
        <v>PLASTIRIOS S.A.S</v>
      </c>
      <c r="G191" s="36" t="s">
        <v>284</v>
      </c>
      <c r="H191" s="39" t="s">
        <v>279</v>
      </c>
      <c r="I191" s="24" t="s">
        <v>253</v>
      </c>
    </row>
    <row r="192" spans="1:9" ht="15.75" customHeight="1" x14ac:dyDescent="0.2">
      <c r="A192" s="36" t="s">
        <v>860</v>
      </c>
      <c r="B192" s="38" t="s">
        <v>861</v>
      </c>
      <c r="C192" s="34" t="s">
        <v>248</v>
      </c>
      <c r="D192" s="35" t="s">
        <v>862</v>
      </c>
      <c r="E192" s="45" t="s">
        <v>859</v>
      </c>
      <c r="F192" s="22" t="str">
        <f>+VLOOKUP(A192,'[1]Proveedor-Comprador'!A:D,4,0)</f>
        <v>INDUSTRIAS HACEB S.A.</v>
      </c>
      <c r="G192" s="36" t="s">
        <v>251</v>
      </c>
      <c r="H192" s="39" t="s">
        <v>279</v>
      </c>
      <c r="I192" s="24" t="s">
        <v>253</v>
      </c>
    </row>
    <row r="193" spans="1:9" ht="15.75" customHeight="1" x14ac:dyDescent="0.2">
      <c r="A193" s="36" t="s">
        <v>863</v>
      </c>
      <c r="B193" s="38" t="s">
        <v>864</v>
      </c>
      <c r="C193" s="34" t="s">
        <v>256</v>
      </c>
      <c r="D193" s="35" t="s">
        <v>865</v>
      </c>
      <c r="E193" s="45" t="s">
        <v>859</v>
      </c>
      <c r="F193" s="22" t="str">
        <f>+VLOOKUP(A193,'[1]Proveedor-Comprador'!A:D,4,0)</f>
        <v>PLASTIRIOS S.A.S</v>
      </c>
      <c r="G193" s="36" t="s">
        <v>251</v>
      </c>
      <c r="H193" s="39" t="s">
        <v>279</v>
      </c>
      <c r="I193" s="24" t="str">
        <f>+VLOOKUP(A193,[2]Hoja1!$A:$A,1,0)</f>
        <v>W11708323</v>
      </c>
    </row>
    <row r="194" spans="1:9" ht="15.75" customHeight="1" x14ac:dyDescent="0.2">
      <c r="A194" s="36" t="s">
        <v>866</v>
      </c>
      <c r="B194" s="38" t="s">
        <v>867</v>
      </c>
      <c r="C194" s="34" t="s">
        <v>248</v>
      </c>
      <c r="D194" s="35" t="s">
        <v>868</v>
      </c>
      <c r="E194" s="45" t="s">
        <v>859</v>
      </c>
      <c r="F194" s="22" t="str">
        <f>+VLOOKUP(A194,'[1]Proveedor-Comprador'!A:D,4,0)</f>
        <v>INDUSTRIAS HACEB S.A.</v>
      </c>
      <c r="G194" s="36" t="s">
        <v>251</v>
      </c>
      <c r="H194" s="39" t="s">
        <v>279</v>
      </c>
      <c r="I194" s="24" t="s">
        <v>253</v>
      </c>
    </row>
    <row r="195" spans="1:9" ht="15.75" customHeight="1" x14ac:dyDescent="0.2">
      <c r="A195" s="36" t="s">
        <v>869</v>
      </c>
      <c r="B195" s="38" t="s">
        <v>870</v>
      </c>
      <c r="C195" s="34" t="s">
        <v>248</v>
      </c>
      <c r="D195" s="35" t="s">
        <v>871</v>
      </c>
      <c r="E195" s="45" t="s">
        <v>859</v>
      </c>
      <c r="F195" s="22" t="str">
        <f>+VLOOKUP(A195,'[1]Proveedor-Comprador'!A:D,4,0)</f>
        <v>INDUSTRIAS HACEB S.A.</v>
      </c>
      <c r="G195" s="36" t="s">
        <v>251</v>
      </c>
      <c r="H195" s="39" t="s">
        <v>279</v>
      </c>
      <c r="I195" s="24" t="str">
        <f>+VLOOKUP(A195,[2]Hoja1!$A:$A,1,0)</f>
        <v>326041932</v>
      </c>
    </row>
    <row r="196" spans="1:9" ht="15.75" customHeight="1" x14ac:dyDescent="0.2">
      <c r="A196" s="36" t="s">
        <v>872</v>
      </c>
      <c r="B196" s="38" t="s">
        <v>873</v>
      </c>
      <c r="C196" s="34" t="s">
        <v>248</v>
      </c>
      <c r="D196" s="35" t="s">
        <v>874</v>
      </c>
      <c r="E196" s="45" t="s">
        <v>434</v>
      </c>
      <c r="F196" s="22" t="str">
        <f>+VLOOKUP(A196,'[1]Proveedor-Comprador'!A:D,4,0)</f>
        <v>STYROLUTION DO BRASIL POL</v>
      </c>
      <c r="G196" s="36" t="s">
        <v>251</v>
      </c>
      <c r="H196" s="39" t="s">
        <v>279</v>
      </c>
      <c r="I196" s="24" t="s">
        <v>253</v>
      </c>
    </row>
    <row r="197" spans="1:9" ht="15.75" customHeight="1" x14ac:dyDescent="0.2">
      <c r="A197" s="36" t="s">
        <v>875</v>
      </c>
      <c r="B197" s="38" t="s">
        <v>876</v>
      </c>
      <c r="C197" s="34" t="s">
        <v>248</v>
      </c>
      <c r="D197" s="35" t="s">
        <v>877</v>
      </c>
      <c r="E197" s="45" t="s">
        <v>434</v>
      </c>
      <c r="F197" s="22" t="str">
        <f>+VLOOKUP(A197,'[1]Proveedor-Comprador'!A:D,4,0)</f>
        <v>LG CHEM AMERICA INC.</v>
      </c>
      <c r="G197" s="36" t="s">
        <v>251</v>
      </c>
      <c r="H197" s="39" t="s">
        <v>279</v>
      </c>
      <c r="I197" s="24" t="s">
        <v>253</v>
      </c>
    </row>
    <row r="198" spans="1:9" ht="15.75" customHeight="1" x14ac:dyDescent="0.2">
      <c r="A198" s="36" t="s">
        <v>878</v>
      </c>
      <c r="B198" s="38" t="s">
        <v>879</v>
      </c>
      <c r="C198" s="34" t="s">
        <v>248</v>
      </c>
      <c r="D198" s="35" t="s">
        <v>880</v>
      </c>
      <c r="E198" s="45" t="s">
        <v>434</v>
      </c>
      <c r="F198" s="22" t="str">
        <f>+VLOOKUP(A198,'[1]Proveedor-Comprador'!A:D,4,0)</f>
        <v>LG CHEM AMERICA INC.</v>
      </c>
      <c r="G198" s="36" t="s">
        <v>251</v>
      </c>
      <c r="H198" s="39" t="s">
        <v>279</v>
      </c>
      <c r="I198" s="24" t="s">
        <v>253</v>
      </c>
    </row>
    <row r="199" spans="1:9" ht="15.75" customHeight="1" x14ac:dyDescent="0.2">
      <c r="A199" s="36" t="s">
        <v>881</v>
      </c>
      <c r="B199" s="38" t="s">
        <v>882</v>
      </c>
      <c r="C199" s="34" t="s">
        <v>248</v>
      </c>
      <c r="D199" s="35" t="s">
        <v>883</v>
      </c>
      <c r="E199" s="45" t="s">
        <v>434</v>
      </c>
      <c r="F199" s="22" t="str">
        <f>+VLOOKUP(A199,'[1]Proveedor-Comprador'!A:D,4,0)</f>
        <v>LG CHEM AMERICA INC.</v>
      </c>
      <c r="G199" s="36" t="s">
        <v>251</v>
      </c>
      <c r="H199" s="39" t="s">
        <v>279</v>
      </c>
      <c r="I199" s="24" t="s">
        <v>253</v>
      </c>
    </row>
    <row r="200" spans="1:9" ht="15.75" customHeight="1" x14ac:dyDescent="0.2">
      <c r="A200" s="36" t="s">
        <v>884</v>
      </c>
      <c r="B200" s="38" t="s">
        <v>885</v>
      </c>
      <c r="C200" s="34" t="s">
        <v>248</v>
      </c>
      <c r="D200" s="35" t="s">
        <v>886</v>
      </c>
      <c r="E200" s="45" t="s">
        <v>434</v>
      </c>
      <c r="F200" s="22" t="str">
        <f>+VLOOKUP(A200,'[1]Proveedor-Comprador'!A:D,4,0)</f>
        <v>LG CHEM AMERICA INC.</v>
      </c>
      <c r="G200" s="36" t="s">
        <v>251</v>
      </c>
      <c r="H200" s="39" t="s">
        <v>279</v>
      </c>
      <c r="I200" s="24" t="s">
        <v>253</v>
      </c>
    </row>
    <row r="201" spans="1:9" ht="15.75" customHeight="1" x14ac:dyDescent="0.2">
      <c r="A201" s="36" t="s">
        <v>887</v>
      </c>
      <c r="B201" s="38" t="s">
        <v>888</v>
      </c>
      <c r="C201" s="34" t="s">
        <v>248</v>
      </c>
      <c r="D201" s="35" t="s">
        <v>889</v>
      </c>
      <c r="E201" s="45" t="s">
        <v>434</v>
      </c>
      <c r="F201" s="22" t="str">
        <f>+VLOOKUP(A201,'[1]Proveedor-Comprador'!A:D,4,0)</f>
        <v>LG CHEM AMERICA INC.</v>
      </c>
      <c r="G201" s="36" t="s">
        <v>251</v>
      </c>
      <c r="H201" s="39" t="s">
        <v>279</v>
      </c>
      <c r="I201" s="24" t="s">
        <v>253</v>
      </c>
    </row>
    <row r="202" spans="1:9" ht="15.75" customHeight="1" x14ac:dyDescent="0.2">
      <c r="A202" s="36" t="s">
        <v>890</v>
      </c>
      <c r="B202" s="38" t="s">
        <v>891</v>
      </c>
      <c r="C202" s="34" t="s">
        <v>248</v>
      </c>
      <c r="D202" s="35" t="s">
        <v>892</v>
      </c>
      <c r="E202" s="45" t="s">
        <v>434</v>
      </c>
      <c r="F202" s="22" t="str">
        <f>+VLOOKUP(A202,'[1]Proveedor-Comprador'!A:D,4,0)</f>
        <v>LG CHEM AMERICA INC.</v>
      </c>
      <c r="G202" s="36" t="s">
        <v>251</v>
      </c>
      <c r="H202" s="39" t="s">
        <v>279</v>
      </c>
      <c r="I202" s="24" t="s">
        <v>253</v>
      </c>
    </row>
    <row r="203" spans="1:9" ht="15.75" customHeight="1" x14ac:dyDescent="0.2">
      <c r="A203" s="36" t="s">
        <v>893</v>
      </c>
      <c r="B203" s="38" t="s">
        <v>894</v>
      </c>
      <c r="C203" s="34" t="s">
        <v>248</v>
      </c>
      <c r="D203" s="35" t="s">
        <v>895</v>
      </c>
      <c r="E203" s="45" t="s">
        <v>434</v>
      </c>
      <c r="F203" s="22" t="str">
        <f>+VLOOKUP(A203,'[1]Proveedor-Comprador'!A:D,4,0)</f>
        <v>LG CHEM AMERICA INC.</v>
      </c>
      <c r="G203" s="36" t="s">
        <v>251</v>
      </c>
      <c r="H203" s="39" t="s">
        <v>279</v>
      </c>
      <c r="I203" s="24" t="str">
        <f>+VLOOKUP(A203,[2]Hoja1!$A:$A,1,0)</f>
        <v>326039029</v>
      </c>
    </row>
    <row r="204" spans="1:9" ht="15.75" customHeight="1" x14ac:dyDescent="0.2">
      <c r="A204" s="36" t="s">
        <v>896</v>
      </c>
      <c r="B204" s="38" t="s">
        <v>897</v>
      </c>
      <c r="C204" s="34" t="s">
        <v>898</v>
      </c>
      <c r="D204" s="35" t="s">
        <v>899</v>
      </c>
      <c r="E204" s="45" t="s">
        <v>434</v>
      </c>
      <c r="F204" s="22" t="str">
        <f>+VLOOKUP(A204,'[1]Proveedor-Comprador'!A:D,4,0)</f>
        <v>CROMEX SA</v>
      </c>
      <c r="G204" s="36" t="s">
        <v>251</v>
      </c>
      <c r="H204" s="39" t="s">
        <v>279</v>
      </c>
      <c r="I204" s="24" t="str">
        <f>+VLOOKUP(A204,[2]Hoja1!$A:$A,1,0)</f>
        <v>W10804329</v>
      </c>
    </row>
    <row r="205" spans="1:9" ht="15.75" customHeight="1" x14ac:dyDescent="0.2">
      <c r="A205" s="36" t="s">
        <v>900</v>
      </c>
      <c r="B205" s="38" t="s">
        <v>901</v>
      </c>
      <c r="C205" s="34" t="s">
        <v>248</v>
      </c>
      <c r="D205" s="35" t="s">
        <v>902</v>
      </c>
      <c r="E205" s="45" t="s">
        <v>434</v>
      </c>
      <c r="F205" s="22" t="str">
        <f>+VLOOKUP(A205,'[1]Proveedor-Comprador'!A:D,4,0)</f>
        <v>BRASKEM S.A.S SUCURSAL CO</v>
      </c>
      <c r="G205" s="36" t="s">
        <v>251</v>
      </c>
      <c r="H205" s="39" t="s">
        <v>279</v>
      </c>
      <c r="I205" s="24" t="str">
        <f>+VLOOKUP(A205,[2]Hoja1!$A:$A,1,0)</f>
        <v>326028198</v>
      </c>
    </row>
    <row r="206" spans="1:9" ht="15.75" customHeight="1" x14ac:dyDescent="0.2">
      <c r="A206" s="36" t="s">
        <v>903</v>
      </c>
      <c r="B206" s="38" t="s">
        <v>904</v>
      </c>
      <c r="C206" s="34" t="s">
        <v>248</v>
      </c>
      <c r="D206" s="35" t="s">
        <v>905</v>
      </c>
      <c r="E206" s="45" t="s">
        <v>434</v>
      </c>
      <c r="F206" s="22" t="str">
        <f>+VLOOKUP(A206,'[1]Proveedor-Comprador'!A:D,4,0)</f>
        <v>VIDEOLAR - INNOVA S.A.</v>
      </c>
      <c r="G206" s="36" t="s">
        <v>251</v>
      </c>
      <c r="H206" s="39" t="s">
        <v>279</v>
      </c>
      <c r="I206" s="24" t="str">
        <f>+VLOOKUP(A206,[2]Hoja1!$A:$A,1,0)</f>
        <v>051002253</v>
      </c>
    </row>
    <row r="207" spans="1:9" ht="15.75" customHeight="1" x14ac:dyDescent="0.2">
      <c r="A207" s="36" t="s">
        <v>906</v>
      </c>
      <c r="B207" s="38" t="s">
        <v>907</v>
      </c>
      <c r="C207" s="34" t="s">
        <v>898</v>
      </c>
      <c r="D207" s="35" t="s">
        <v>908</v>
      </c>
      <c r="E207" s="45" t="s">
        <v>434</v>
      </c>
      <c r="F207" s="22" t="str">
        <f>+VLOOKUP(A207,'[1]Proveedor-Comprador'!A:D,4,0)</f>
        <v>TERMOCOLOR INDÚSTRIA E CO</v>
      </c>
      <c r="G207" s="36" t="s">
        <v>251</v>
      </c>
      <c r="H207" s="39" t="s">
        <v>279</v>
      </c>
      <c r="I207" s="24" t="s">
        <v>253</v>
      </c>
    </row>
    <row r="208" spans="1:9" ht="15.75" customHeight="1" x14ac:dyDescent="0.2">
      <c r="A208" s="36" t="s">
        <v>909</v>
      </c>
      <c r="B208" s="38" t="s">
        <v>910</v>
      </c>
      <c r="C208" s="34" t="s">
        <v>248</v>
      </c>
      <c r="D208" s="35" t="s">
        <v>911</v>
      </c>
      <c r="E208" s="45" t="s">
        <v>434</v>
      </c>
      <c r="F208" s="22" t="str">
        <f>+VLOOKUP(A208,'[1]Proveedor-Comprador'!A:D,4,0)</f>
        <v>AVIENT COLOMBIA S.A.S.</v>
      </c>
      <c r="G208" s="36" t="s">
        <v>251</v>
      </c>
      <c r="H208" s="39" t="s">
        <v>279</v>
      </c>
      <c r="I208" s="24" t="str">
        <f>+VLOOKUP(A208,[2]Hoja1!$A:$A,1,0)</f>
        <v>W11456172</v>
      </c>
    </row>
    <row r="209" spans="1:9" ht="15.75" customHeight="1" x14ac:dyDescent="0.2">
      <c r="A209" s="36" t="s">
        <v>912</v>
      </c>
      <c r="B209" s="38" t="s">
        <v>913</v>
      </c>
      <c r="C209" s="34" t="s">
        <v>898</v>
      </c>
      <c r="D209" s="35" t="s">
        <v>914</v>
      </c>
      <c r="E209" s="45" t="s">
        <v>434</v>
      </c>
      <c r="F209" s="22" t="str">
        <f>+VLOOKUP(A209,'[1]Proveedor-Comprador'!A:D,4,0)</f>
        <v>ARCOLOR S.A.S.</v>
      </c>
      <c r="G209" s="36" t="s">
        <v>251</v>
      </c>
      <c r="H209" s="39" t="s">
        <v>279</v>
      </c>
      <c r="I209" s="24" t="str">
        <f>+VLOOKUP(A209,[2]Hoja1!$A:$A,1,0)</f>
        <v>W10915832</v>
      </c>
    </row>
    <row r="210" spans="1:9" ht="15.75" customHeight="1" x14ac:dyDescent="0.2">
      <c r="A210" s="36" t="s">
        <v>915</v>
      </c>
      <c r="B210" s="38" t="s">
        <v>916</v>
      </c>
      <c r="C210" s="34" t="s">
        <v>248</v>
      </c>
      <c r="D210" s="35" t="s">
        <v>917</v>
      </c>
      <c r="E210" s="45" t="s">
        <v>434</v>
      </c>
      <c r="F210" s="22" t="str">
        <f>+VLOOKUP(A210,'[1]Proveedor-Comprador'!A:D,4,0)</f>
        <v>WASHINGTON PENN</v>
      </c>
      <c r="G210" s="36" t="s">
        <v>251</v>
      </c>
      <c r="H210" s="39" t="s">
        <v>279</v>
      </c>
      <c r="I210" s="24" t="str">
        <f>+VLOOKUP(A210,[2]Hoja1!$A:$A,1,0)</f>
        <v>W10804239</v>
      </c>
    </row>
    <row r="211" spans="1:9" ht="15.75" customHeight="1" x14ac:dyDescent="0.2">
      <c r="A211" s="36" t="s">
        <v>918</v>
      </c>
      <c r="B211" s="38" t="s">
        <v>919</v>
      </c>
      <c r="C211" s="34" t="s">
        <v>898</v>
      </c>
      <c r="D211" s="35" t="s">
        <v>920</v>
      </c>
      <c r="E211" s="45" t="s">
        <v>434</v>
      </c>
      <c r="F211" s="22" t="str">
        <f>+VLOOKUP(A211,'[1]Proveedor-Comprador'!A:D,4,0)</f>
        <v>CROMEX SA</v>
      </c>
      <c r="G211" s="36" t="s">
        <v>251</v>
      </c>
      <c r="H211" s="39" t="s">
        <v>279</v>
      </c>
      <c r="I211" s="24" t="s">
        <v>253</v>
      </c>
    </row>
    <row r="212" spans="1:9" ht="15.75" customHeight="1" x14ac:dyDescent="0.2">
      <c r="A212" s="36" t="s">
        <v>921</v>
      </c>
      <c r="B212" s="38" t="s">
        <v>922</v>
      </c>
      <c r="C212" s="34" t="s">
        <v>898</v>
      </c>
      <c r="D212" s="35" t="s">
        <v>923</v>
      </c>
      <c r="E212" s="45" t="s">
        <v>434</v>
      </c>
      <c r="F212" s="22" t="str">
        <f>+VLOOKUP(A212,'[1]Proveedor-Comprador'!A:D,4,0)</f>
        <v>TICONA POLYMERS LTDA.</v>
      </c>
      <c r="G212" s="36" t="s">
        <v>251</v>
      </c>
      <c r="H212" s="39" t="s">
        <v>279</v>
      </c>
      <c r="I212" s="24" t="s">
        <v>253</v>
      </c>
    </row>
    <row r="213" spans="1:9" ht="15.75" customHeight="1" x14ac:dyDescent="0.2">
      <c r="A213" s="36" t="s">
        <v>924</v>
      </c>
      <c r="B213" s="38" t="s">
        <v>925</v>
      </c>
      <c r="C213" s="34" t="s">
        <v>248</v>
      </c>
      <c r="D213" s="35" t="s">
        <v>926</v>
      </c>
      <c r="E213" s="45" t="s">
        <v>434</v>
      </c>
      <c r="F213" s="22" t="str">
        <f>+VLOOKUP(A213,'[1]Proveedor-Comprador'!A:D,4,0)</f>
        <v>MSA DISTRIBUCIONES (DUPONT)</v>
      </c>
      <c r="G213" s="36" t="s">
        <v>251</v>
      </c>
      <c r="H213" s="39" t="s">
        <v>279</v>
      </c>
      <c r="I213" s="24" t="s">
        <v>253</v>
      </c>
    </row>
    <row r="214" spans="1:9" ht="15.75" customHeight="1" x14ac:dyDescent="0.2">
      <c r="A214" s="36" t="s">
        <v>927</v>
      </c>
      <c r="B214" s="38" t="s">
        <v>928</v>
      </c>
      <c r="C214" s="34" t="s">
        <v>248</v>
      </c>
      <c r="D214" s="35" t="s">
        <v>929</v>
      </c>
      <c r="E214" s="45" t="s">
        <v>434</v>
      </c>
      <c r="F214" s="22" t="str">
        <f>+VLOOKUP(A214,'[1]Proveedor-Comprador'!A:D,4,0)</f>
        <v>MSA DISTRIBUCIONES (DUPONT)</v>
      </c>
      <c r="G214" s="36" t="s">
        <v>251</v>
      </c>
      <c r="H214" s="39" t="s">
        <v>279</v>
      </c>
      <c r="I214" s="24" t="s">
        <v>253</v>
      </c>
    </row>
    <row r="215" spans="1:9" ht="15.75" customHeight="1" x14ac:dyDescent="0.2">
      <c r="A215" s="36" t="s">
        <v>930</v>
      </c>
      <c r="B215" s="38" t="s">
        <v>931</v>
      </c>
      <c r="C215" s="34" t="s">
        <v>898</v>
      </c>
      <c r="D215" s="35" t="s">
        <v>932</v>
      </c>
      <c r="E215" s="45" t="s">
        <v>434</v>
      </c>
      <c r="F215" s="22" t="str">
        <f>+VLOOKUP(A215,'[1]Proveedor-Comprador'!A:D,4,0)</f>
        <v>CROMEX SA</v>
      </c>
      <c r="G215" s="36" t="s">
        <v>251</v>
      </c>
      <c r="H215" s="39" t="s">
        <v>279</v>
      </c>
      <c r="I215" s="24" t="s">
        <v>253</v>
      </c>
    </row>
    <row r="216" spans="1:9" ht="15.75" customHeight="1" x14ac:dyDescent="0.2">
      <c r="A216" s="36" t="s">
        <v>933</v>
      </c>
      <c r="B216" s="38" t="s">
        <v>934</v>
      </c>
      <c r="C216" s="34" t="s">
        <v>248</v>
      </c>
      <c r="D216" s="35" t="s">
        <v>935</v>
      </c>
      <c r="E216" s="45" t="s">
        <v>434</v>
      </c>
      <c r="F216" s="22" t="str">
        <f>+VLOOKUP(A216,'[1]Proveedor-Comprador'!A:D,4,0)</f>
        <v>BRASKEM S.A.S SUCURSAL CO</v>
      </c>
      <c r="G216" s="36" t="s">
        <v>251</v>
      </c>
      <c r="H216" s="39" t="s">
        <v>279</v>
      </c>
      <c r="I216" s="24" t="str">
        <f>+VLOOKUP(A216,[2]Hoja1!$A:$A,1,0)</f>
        <v>000306300</v>
      </c>
    </row>
    <row r="217" spans="1:9" ht="15.75" customHeight="1" x14ac:dyDescent="0.2">
      <c r="A217" s="36" t="s">
        <v>936</v>
      </c>
      <c r="B217" s="38" t="s">
        <v>937</v>
      </c>
      <c r="C217" s="34" t="s">
        <v>248</v>
      </c>
      <c r="D217" s="35" t="s">
        <v>938</v>
      </c>
      <c r="E217" s="45" t="s">
        <v>434</v>
      </c>
      <c r="F217" s="22" t="str">
        <f>+VLOOKUP(A217,'[1]Proveedor-Comprador'!A:D,4,0)</f>
        <v>TICONA POLYMERS LTDA.</v>
      </c>
      <c r="G217" s="36" t="s">
        <v>251</v>
      </c>
      <c r="H217" s="39" t="s">
        <v>279</v>
      </c>
      <c r="I217" s="24" t="s">
        <v>253</v>
      </c>
    </row>
    <row r="218" spans="1:9" ht="15.75" customHeight="1" x14ac:dyDescent="0.2">
      <c r="A218" s="36" t="s">
        <v>939</v>
      </c>
      <c r="B218" s="38" t="s">
        <v>940</v>
      </c>
      <c r="C218" s="34" t="s">
        <v>248</v>
      </c>
      <c r="D218" s="35" t="s">
        <v>941</v>
      </c>
      <c r="E218" s="45" t="s">
        <v>434</v>
      </c>
      <c r="F218" s="22" t="str">
        <f>+VLOOKUP(A218,'[1]Proveedor-Comprador'!A:D,4,0)</f>
        <v>TICONA POLYMERS LTDA.</v>
      </c>
      <c r="G218" s="36" t="s">
        <v>251</v>
      </c>
      <c r="H218" s="39" t="s">
        <v>279</v>
      </c>
      <c r="I218" s="24" t="s">
        <v>253</v>
      </c>
    </row>
    <row r="219" spans="1:9" ht="15.75" customHeight="1" x14ac:dyDescent="0.2">
      <c r="A219" s="36" t="s">
        <v>942</v>
      </c>
      <c r="B219" s="38" t="s">
        <v>943</v>
      </c>
      <c r="C219" s="34" t="s">
        <v>248</v>
      </c>
      <c r="D219" s="35" t="s">
        <v>944</v>
      </c>
      <c r="E219" s="45" t="s">
        <v>434</v>
      </c>
      <c r="F219" s="22" t="str">
        <f>+VLOOKUP(A219,'[1]Proveedor-Comprador'!A:D,4,0)</f>
        <v>TICONA POLYMERS LTDA.</v>
      </c>
      <c r="G219" s="36" t="s">
        <v>251</v>
      </c>
      <c r="H219" s="39" t="s">
        <v>279</v>
      </c>
      <c r="I219" s="24" t="str">
        <f>+VLOOKUP(A219,[2]Hoja1!$A:$A,1,0)</f>
        <v>000306308</v>
      </c>
    </row>
    <row r="220" spans="1:9" ht="15.75" customHeight="1" x14ac:dyDescent="0.2">
      <c r="A220" s="36" t="s">
        <v>945</v>
      </c>
      <c r="B220" s="38" t="s">
        <v>946</v>
      </c>
      <c r="C220" s="34" t="s">
        <v>248</v>
      </c>
      <c r="D220" s="35" t="s">
        <v>947</v>
      </c>
      <c r="E220" s="45" t="s">
        <v>434</v>
      </c>
      <c r="F220" s="22" t="str">
        <f>+VLOOKUP(A220,'[1]Proveedor-Comprador'!A:D,4,0)</f>
        <v>TICONA POLYMERS LTDA.</v>
      </c>
      <c r="G220" s="36" t="s">
        <v>251</v>
      </c>
      <c r="H220" s="39" t="s">
        <v>279</v>
      </c>
      <c r="I220" s="24" t="str">
        <f>+VLOOKUP(A220,[2]Hoja1!$A:$A,1,0)</f>
        <v>W10512641</v>
      </c>
    </row>
    <row r="221" spans="1:9" ht="15.75" customHeight="1" x14ac:dyDescent="0.2">
      <c r="A221" s="36" t="s">
        <v>948</v>
      </c>
      <c r="B221" s="38" t="s">
        <v>949</v>
      </c>
      <c r="C221" s="34" t="s">
        <v>248</v>
      </c>
      <c r="D221" s="35" t="s">
        <v>950</v>
      </c>
      <c r="E221" s="45" t="s">
        <v>434</v>
      </c>
      <c r="F221" s="22" t="str">
        <f>+VLOOKUP(A221,'[1]Proveedor-Comprador'!A:D,4,0)</f>
        <v>BRASKEM S.A.S SUCURSAL CO</v>
      </c>
      <c r="G221" s="36" t="s">
        <v>251</v>
      </c>
      <c r="H221" s="39" t="s">
        <v>279</v>
      </c>
      <c r="I221" s="24" t="str">
        <f>+VLOOKUP(A221,[2]Hoja1!$A:$A,1,0)</f>
        <v>000306302</v>
      </c>
    </row>
    <row r="222" spans="1:9" ht="15.75" customHeight="1" x14ac:dyDescent="0.2">
      <c r="A222" s="36" t="s">
        <v>951</v>
      </c>
      <c r="B222" s="38" t="s">
        <v>952</v>
      </c>
      <c r="C222" s="34" t="s">
        <v>898</v>
      </c>
      <c r="D222" s="35" t="s">
        <v>953</v>
      </c>
      <c r="E222" s="45" t="s">
        <v>434</v>
      </c>
      <c r="F222" s="22" t="str">
        <f>+VLOOKUP(A222,'[1]Proveedor-Comprador'!A:D,4,0)</f>
        <v>CROMEX SA</v>
      </c>
      <c r="G222" s="36" t="s">
        <v>251</v>
      </c>
      <c r="H222" s="39" t="s">
        <v>279</v>
      </c>
      <c r="I222" s="24" t="str">
        <f>+VLOOKUP(A222,[2]Hoja1!$A:$A,1,0)</f>
        <v>326033002</v>
      </c>
    </row>
    <row r="223" spans="1:9" ht="15.75" customHeight="1" x14ac:dyDescent="0.2">
      <c r="A223" s="36" t="s">
        <v>954</v>
      </c>
      <c r="B223" s="38" t="s">
        <v>955</v>
      </c>
      <c r="C223" s="34" t="s">
        <v>898</v>
      </c>
      <c r="D223" s="35" t="s">
        <v>956</v>
      </c>
      <c r="E223" s="45" t="s">
        <v>434</v>
      </c>
      <c r="F223" s="22" t="str">
        <f>+VLOOKUP(A223,'[1]Proveedor-Comprador'!A:D,4,0)</f>
        <v>CROMEX SA</v>
      </c>
      <c r="G223" s="36" t="s">
        <v>251</v>
      </c>
      <c r="H223" s="39" t="s">
        <v>279</v>
      </c>
      <c r="I223" s="24" t="str">
        <f>+VLOOKUP(A223,[2]Hoja1!$A:$A,1,0)</f>
        <v>W10346385</v>
      </c>
    </row>
    <row r="224" spans="1:9" ht="15.75" customHeight="1" x14ac:dyDescent="0.2">
      <c r="A224" s="36" t="s">
        <v>957</v>
      </c>
      <c r="B224" s="38" t="s">
        <v>958</v>
      </c>
      <c r="C224" s="34" t="s">
        <v>898</v>
      </c>
      <c r="D224" s="35" t="s">
        <v>959</v>
      </c>
      <c r="E224" s="45" t="s">
        <v>434</v>
      </c>
      <c r="F224" s="22" t="str">
        <f>+VLOOKUP(A224,'[1]Proveedor-Comprador'!A:D,4,0)</f>
        <v>CROMEX SA</v>
      </c>
      <c r="G224" s="36" t="s">
        <v>251</v>
      </c>
      <c r="H224" s="39" t="s">
        <v>279</v>
      </c>
      <c r="I224" s="24" t="s">
        <v>253</v>
      </c>
    </row>
    <row r="225" spans="1:9" ht="15.75" customHeight="1" x14ac:dyDescent="0.2">
      <c r="A225" s="36" t="s">
        <v>960</v>
      </c>
      <c r="B225" s="38" t="s">
        <v>961</v>
      </c>
      <c r="C225" s="34" t="s">
        <v>248</v>
      </c>
      <c r="D225" s="35" t="s">
        <v>962</v>
      </c>
      <c r="E225" s="45" t="s">
        <v>434</v>
      </c>
      <c r="F225" s="22" t="str">
        <f>+VLOOKUP(A225,'[1]Proveedor-Comprador'!A:D,4,0)</f>
        <v>BOREALIS BRASIL S.A</v>
      </c>
      <c r="G225" s="36" t="s">
        <v>251</v>
      </c>
      <c r="H225" s="39" t="s">
        <v>279</v>
      </c>
      <c r="I225" s="24" t="str">
        <f>+VLOOKUP(A225,[2]Hoja1!$A:$A,1,0)</f>
        <v>004259220</v>
      </c>
    </row>
    <row r="226" spans="1:9" ht="15.75" customHeight="1" x14ac:dyDescent="0.2">
      <c r="A226" s="36" t="s">
        <v>963</v>
      </c>
      <c r="B226" s="38" t="s">
        <v>964</v>
      </c>
      <c r="C226" s="34" t="s">
        <v>248</v>
      </c>
      <c r="D226" s="35" t="s">
        <v>965</v>
      </c>
      <c r="E226" s="45" t="s">
        <v>434</v>
      </c>
      <c r="F226" s="22" t="str">
        <f>+VLOOKUP(A226,'[1]Proveedor-Comprador'!A:D,4,0)</f>
        <v>BRASKEM S.A.S SUCURSAL CO</v>
      </c>
      <c r="G226" s="36" t="s">
        <v>251</v>
      </c>
      <c r="H226" s="39" t="s">
        <v>279</v>
      </c>
      <c r="I226" s="24" t="s">
        <v>253</v>
      </c>
    </row>
    <row r="227" spans="1:9" ht="15.75" customHeight="1" x14ac:dyDescent="0.2">
      <c r="A227" s="36" t="s">
        <v>966</v>
      </c>
      <c r="B227" s="38" t="s">
        <v>967</v>
      </c>
      <c r="C227" s="34" t="s">
        <v>248</v>
      </c>
      <c r="D227" s="35" t="s">
        <v>968</v>
      </c>
      <c r="E227" s="45" t="s">
        <v>434</v>
      </c>
      <c r="F227" s="22" t="str">
        <f>+VLOOKUP(A227,'[1]Proveedor-Comprador'!A:D,4,0)</f>
        <v>WASHINGTON PENN</v>
      </c>
      <c r="G227" s="36" t="s">
        <v>251</v>
      </c>
      <c r="H227" s="39" t="s">
        <v>279</v>
      </c>
      <c r="I227" s="24" t="s">
        <v>253</v>
      </c>
    </row>
    <row r="228" spans="1:9" ht="15.75" customHeight="1" x14ac:dyDescent="0.2">
      <c r="A228" s="36" t="s">
        <v>969</v>
      </c>
      <c r="B228" s="38" t="s">
        <v>970</v>
      </c>
      <c r="C228" s="34" t="s">
        <v>248</v>
      </c>
      <c r="D228" s="35" t="s">
        <v>971</v>
      </c>
      <c r="E228" s="45" t="s">
        <v>434</v>
      </c>
      <c r="F228" s="22" t="str">
        <f>+VLOOKUP(A228,'[1]Proveedor-Comprador'!A:D,4,0)</f>
        <v>WASHINGTON PENN</v>
      </c>
      <c r="G228" s="36" t="s">
        <v>251</v>
      </c>
      <c r="H228" s="39" t="s">
        <v>279</v>
      </c>
      <c r="I228" s="24" t="s">
        <v>253</v>
      </c>
    </row>
    <row r="229" spans="1:9" ht="15.75" customHeight="1" x14ac:dyDescent="0.2">
      <c r="A229" s="36" t="s">
        <v>972</v>
      </c>
      <c r="B229" s="38" t="s">
        <v>973</v>
      </c>
      <c r="C229" s="34" t="s">
        <v>256</v>
      </c>
      <c r="D229" s="35" t="s">
        <v>973</v>
      </c>
      <c r="E229" s="45" t="s">
        <v>974</v>
      </c>
      <c r="F229" s="22" t="str">
        <f>+VLOOKUP(A229,'[1]Proveedor-Comprador'!A:D,4,0)</f>
        <v>Arcoli S.A.S</v>
      </c>
      <c r="G229" s="36" t="s">
        <v>284</v>
      </c>
      <c r="H229" s="39"/>
      <c r="I229" s="24" t="str">
        <f>+VLOOKUP(A229,[2]Hoja1!$A:$A,1,0)</f>
        <v>W10821148</v>
      </c>
    </row>
    <row r="230" spans="1:9" ht="15.75" customHeight="1" x14ac:dyDescent="0.2">
      <c r="A230" s="36" t="s">
        <v>975</v>
      </c>
      <c r="B230" s="38" t="s">
        <v>976</v>
      </c>
      <c r="C230" s="34" t="s">
        <v>256</v>
      </c>
      <c r="D230" s="35" t="s">
        <v>977</v>
      </c>
      <c r="E230" s="45" t="s">
        <v>978</v>
      </c>
      <c r="F230" s="22" t="str">
        <f>+VLOOKUP(A230,'[1]Proveedor-Comprador'!A:D,4,0)</f>
        <v>INJEQUALY INDUSTRIA E COM</v>
      </c>
      <c r="G230" s="36" t="s">
        <v>267</v>
      </c>
      <c r="H230" s="39"/>
      <c r="I230" s="24" t="str">
        <f>+VLOOKUP(A230,[2]Hoja1!$A:$A,1,0)</f>
        <v>W11526356</v>
      </c>
    </row>
    <row r="231" spans="1:9" ht="15.75" customHeight="1" x14ac:dyDescent="0.2">
      <c r="A231" s="36" t="s">
        <v>979</v>
      </c>
      <c r="B231" s="38" t="s">
        <v>980</v>
      </c>
      <c r="C231" s="34" t="s">
        <v>828</v>
      </c>
      <c r="D231" s="35" t="s">
        <v>981</v>
      </c>
      <c r="E231" s="45" t="s">
        <v>982</v>
      </c>
      <c r="F231" s="22" t="str">
        <f>+VLOOKUP(A231,'[1]Proveedor-Comprador'!A:D,4,0)</f>
        <v>TESA TAPE COLOMBIA LTDA</v>
      </c>
      <c r="G231" s="36" t="s">
        <v>284</v>
      </c>
      <c r="H231" s="39"/>
      <c r="I231" s="24" t="str">
        <f>+VLOOKUP(A231,[2]Hoja1!$A:$A,1,0)</f>
        <v>W11287574</v>
      </c>
    </row>
    <row r="232" spans="1:9" ht="15.75" customHeight="1" x14ac:dyDescent="0.2">
      <c r="A232" s="36" t="s">
        <v>983</v>
      </c>
      <c r="B232" s="38" t="s">
        <v>984</v>
      </c>
      <c r="C232" s="34" t="s">
        <v>898</v>
      </c>
      <c r="D232" s="35" t="s">
        <v>985</v>
      </c>
      <c r="E232" s="45" t="s">
        <v>986</v>
      </c>
      <c r="F232" s="22" t="str">
        <f>+VLOOKUP(A232,'[1]Proveedor-Comprador'!A:D,4,0)</f>
        <v>HENKEL COLOMBIANA S.A.S.</v>
      </c>
      <c r="G232" s="36" t="s">
        <v>284</v>
      </c>
      <c r="H232" s="39"/>
      <c r="I232" s="24" t="str">
        <f>+VLOOKUP(A232,[2]Hoja1!$A:$A,1,0)</f>
        <v>W10763490</v>
      </c>
    </row>
    <row r="233" spans="1:9" ht="15.75" customHeight="1" x14ac:dyDescent="0.2">
      <c r="A233" s="36" t="s">
        <v>987</v>
      </c>
      <c r="B233" s="38" t="s">
        <v>988</v>
      </c>
      <c r="C233" s="34" t="s">
        <v>898</v>
      </c>
      <c r="D233" s="35" t="s">
        <v>989</v>
      </c>
      <c r="E233" s="45" t="s">
        <v>990</v>
      </c>
      <c r="F233" s="22" t="str">
        <f>+VLOOKUP(A233,'[1]Proveedor-Comprador'!A:D,4,0)</f>
        <v>CHEMEN IND E COM DE PRODU</v>
      </c>
      <c r="G233" s="36" t="s">
        <v>267</v>
      </c>
      <c r="H233" s="39"/>
      <c r="I233" s="24" t="str">
        <f>+VLOOKUP(A233,[2]Hoja1!$A:$A,1,0)</f>
        <v>W10748096</v>
      </c>
    </row>
    <row r="234" spans="1:9" ht="15.75" customHeight="1" x14ac:dyDescent="0.2">
      <c r="A234" s="36" t="s">
        <v>991</v>
      </c>
      <c r="B234" s="38" t="s">
        <v>992</v>
      </c>
      <c r="C234" s="34" t="s">
        <v>248</v>
      </c>
      <c r="D234" s="35" t="s">
        <v>993</v>
      </c>
      <c r="E234" s="45" t="s">
        <v>994</v>
      </c>
      <c r="F234" s="22" t="str">
        <f>+VLOOKUP(A234,'[1]Proveedor-Comprador'!A:D,4,0)</f>
        <v>Oilred S.A</v>
      </c>
      <c r="G234" s="36" t="s">
        <v>284</v>
      </c>
      <c r="H234" s="39"/>
      <c r="I234" s="24" t="str">
        <f>+VLOOKUP(A234,[2]Hoja1!$A:$A,1,0)</f>
        <v>326059648</v>
      </c>
    </row>
    <row r="235" spans="1:9" ht="15.75" customHeight="1" x14ac:dyDescent="0.2">
      <c r="A235" s="36" t="s">
        <v>995</v>
      </c>
      <c r="B235" s="38" t="s">
        <v>996</v>
      </c>
      <c r="C235" s="34" t="s">
        <v>248</v>
      </c>
      <c r="D235" s="35" t="s">
        <v>997</v>
      </c>
      <c r="E235" s="45" t="s">
        <v>994</v>
      </c>
      <c r="F235" s="22" t="str">
        <f>+VLOOKUP(A235,'[1]Proveedor-Comprador'!A:D,4,0)</f>
        <v>Oilred S.A</v>
      </c>
      <c r="G235" s="36" t="s">
        <v>284</v>
      </c>
      <c r="H235" s="39"/>
      <c r="I235" s="24" t="str">
        <f>+VLOOKUP(A235,[2]Hoja1!$A:$A,1,0)</f>
        <v>W11546473</v>
      </c>
    </row>
    <row r="236" spans="1:9" ht="15.75" customHeight="1" x14ac:dyDescent="0.2">
      <c r="A236" s="36" t="s">
        <v>998</v>
      </c>
      <c r="B236" s="38" t="s">
        <v>999</v>
      </c>
      <c r="C236" s="34" t="s">
        <v>898</v>
      </c>
      <c r="D236" s="35" t="s">
        <v>1000</v>
      </c>
      <c r="E236" s="45" t="s">
        <v>1001</v>
      </c>
      <c r="F236" s="22" t="str">
        <f>+VLOOKUP(A236,'[1]Proveedor-Comprador'!A:D,4,0)</f>
        <v>HENKEL COLOMBIANA S.A.S.</v>
      </c>
      <c r="G236" s="36" t="s">
        <v>284</v>
      </c>
      <c r="H236" s="39"/>
      <c r="I236" s="24" t="str">
        <f>+VLOOKUP(A236,[2]Hoja1!$A:$A,1,0)</f>
        <v>W10763489</v>
      </c>
    </row>
    <row r="237" spans="1:9" ht="15.75" customHeight="1" x14ac:dyDescent="0.2">
      <c r="A237" s="36" t="s">
        <v>1002</v>
      </c>
      <c r="B237" s="38" t="s">
        <v>1003</v>
      </c>
      <c r="C237" s="34" t="s">
        <v>898</v>
      </c>
      <c r="D237" s="35" t="s">
        <v>1004</v>
      </c>
      <c r="E237" s="45" t="s">
        <v>1005</v>
      </c>
      <c r="F237" s="22" t="str">
        <f>+VLOOKUP(A237,'[1]Proveedor-Comprador'!A:D,4,0)</f>
        <v>HENKEL COLOMBIANA S.A.S.</v>
      </c>
      <c r="G237" s="36" t="s">
        <v>284</v>
      </c>
      <c r="H237" s="39"/>
      <c r="I237" s="24" t="str">
        <f>+VLOOKUP(A237,[2]Hoja1!$A:$A,1,0)</f>
        <v>W10777934</v>
      </c>
    </row>
    <row r="238" spans="1:9" ht="15.75" customHeight="1" x14ac:dyDescent="0.2">
      <c r="A238" s="36" t="s">
        <v>1006</v>
      </c>
      <c r="B238" s="38" t="s">
        <v>1007</v>
      </c>
      <c r="C238" s="34" t="s">
        <v>898</v>
      </c>
      <c r="D238" s="35" t="s">
        <v>1008</v>
      </c>
      <c r="E238" s="45" t="s">
        <v>1009</v>
      </c>
      <c r="F238" s="22" t="str">
        <f>+VLOOKUP(A238,'[1]Proveedor-Comprador'!A:D,4,0)</f>
        <v>HENKEL COLOMBIANA S.A.S.</v>
      </c>
      <c r="G238" s="36" t="s">
        <v>284</v>
      </c>
      <c r="H238" s="39"/>
      <c r="I238" s="24" t="str">
        <f>+VLOOKUP(A238,[2]Hoja1!$A:$A,1,0)</f>
        <v>W10777932</v>
      </c>
    </row>
    <row r="239" spans="1:9" ht="15.75" customHeight="1" x14ac:dyDescent="0.2">
      <c r="A239" s="36" t="s">
        <v>1010</v>
      </c>
      <c r="B239" s="38" t="s">
        <v>1011</v>
      </c>
      <c r="C239" s="34" t="s">
        <v>256</v>
      </c>
      <c r="D239" s="35" t="s">
        <v>1012</v>
      </c>
      <c r="E239" s="45" t="s">
        <v>1011</v>
      </c>
      <c r="F239" s="22" t="str">
        <f>+VLOOKUP(A239,'[1]Proveedor-Comprador'!A:D,4,0)</f>
        <v>Iprocom S.A.</v>
      </c>
      <c r="G239" s="36" t="s">
        <v>312</v>
      </c>
      <c r="H239" s="39"/>
      <c r="I239" s="24" t="str">
        <f>+VLOOKUP(A239,[2]Hoja1!$A:$A,1,0)</f>
        <v>W11572466</v>
      </c>
    </row>
    <row r="240" spans="1:9" ht="15.75" customHeight="1" x14ac:dyDescent="0.2">
      <c r="A240" s="36" t="s">
        <v>1013</v>
      </c>
      <c r="B240" s="38" t="s">
        <v>1014</v>
      </c>
      <c r="C240" s="34" t="s">
        <v>256</v>
      </c>
      <c r="D240" s="35" t="s">
        <v>1015</v>
      </c>
      <c r="E240" s="45" t="s">
        <v>1011</v>
      </c>
      <c r="F240" s="22" t="str">
        <f>+VLOOKUP(A240,'[1]Proveedor-Comprador'!A:D,4,0)</f>
        <v>Iprocom S.A.</v>
      </c>
      <c r="G240" s="36" t="s">
        <v>312</v>
      </c>
      <c r="H240" s="39"/>
      <c r="I240" s="24" t="str">
        <f>+VLOOKUP(A240,[2]Hoja1!$A:$A,1,0)</f>
        <v>W10703510</v>
      </c>
    </row>
    <row r="241" spans="1:9" ht="15.75" customHeight="1" x14ac:dyDescent="0.2">
      <c r="A241" s="36" t="s">
        <v>1016</v>
      </c>
      <c r="B241" s="38" t="s">
        <v>1017</v>
      </c>
      <c r="C241" s="34" t="s">
        <v>256</v>
      </c>
      <c r="D241" s="35" t="s">
        <v>1018</v>
      </c>
      <c r="E241" s="45" t="s">
        <v>1011</v>
      </c>
      <c r="F241" s="22" t="str">
        <f>+VLOOKUP(A241,'[1]Proveedor-Comprador'!A:D,4,0)</f>
        <v>Iprocom S.A.</v>
      </c>
      <c r="G241" s="36" t="s">
        <v>312</v>
      </c>
      <c r="H241" s="39"/>
      <c r="I241" s="24" t="str">
        <f>+VLOOKUP(A241,[2]Hoja1!$A:$A,1,0)</f>
        <v>W11238767</v>
      </c>
    </row>
    <row r="242" spans="1:9" ht="15.75" customHeight="1" x14ac:dyDescent="0.2">
      <c r="A242" s="36" t="s">
        <v>1019</v>
      </c>
      <c r="B242" s="38" t="s">
        <v>1020</v>
      </c>
      <c r="C242" s="34" t="s">
        <v>256</v>
      </c>
      <c r="D242" s="35" t="s">
        <v>1021</v>
      </c>
      <c r="E242" s="45" t="s">
        <v>1011</v>
      </c>
      <c r="F242" s="22" t="str">
        <f>+VLOOKUP(A242,'[1]Proveedor-Comprador'!A:D,4,0)</f>
        <v>ELASTOPLAST</v>
      </c>
      <c r="G242" s="36" t="s">
        <v>267</v>
      </c>
      <c r="H242" s="39"/>
      <c r="I242" s="24" t="str">
        <f>+VLOOKUP(A242,[2]Hoja1!$A:$A,1,0)</f>
        <v>W11642308</v>
      </c>
    </row>
    <row r="243" spans="1:9" ht="15.75" customHeight="1" x14ac:dyDescent="0.2">
      <c r="A243" s="36" t="s">
        <v>1022</v>
      </c>
      <c r="B243" s="38" t="s">
        <v>1023</v>
      </c>
      <c r="C243" s="34" t="s">
        <v>256</v>
      </c>
      <c r="D243" s="35" t="s">
        <v>1024</v>
      </c>
      <c r="E243" s="45" t="s">
        <v>1011</v>
      </c>
      <c r="F243" s="22" t="str">
        <f>+VLOOKUP(A243,'[1]Proveedor-Comprador'!A:D,4,0)</f>
        <v>MAZDEL PLAZAS R</v>
      </c>
      <c r="G243" s="36" t="s">
        <v>267</v>
      </c>
      <c r="H243" s="39"/>
      <c r="I243" s="24" t="str">
        <f>+VLOOKUP(A243,[2]Hoja1!$A:$A,1,0)</f>
        <v>W11500988</v>
      </c>
    </row>
    <row r="244" spans="1:9" ht="15.75" customHeight="1" x14ac:dyDescent="0.2">
      <c r="A244" s="36" t="s">
        <v>1025</v>
      </c>
      <c r="B244" s="38" t="s">
        <v>1026</v>
      </c>
      <c r="C244" s="34" t="s">
        <v>256</v>
      </c>
      <c r="D244" s="35" t="s">
        <v>1027</v>
      </c>
      <c r="E244" s="45" t="s">
        <v>1011</v>
      </c>
      <c r="F244" s="22" t="str">
        <f>+VLOOKUP(A244,'[1]Proveedor-Comprador'!A:D,4,0)</f>
        <v>ELASTOPLAST</v>
      </c>
      <c r="G244" s="36" t="s">
        <v>267</v>
      </c>
      <c r="H244" s="39"/>
      <c r="I244" s="24" t="str">
        <f>+VLOOKUP(A244,[2]Hoja1!$A:$A,1,0)</f>
        <v>W11625463</v>
      </c>
    </row>
    <row r="245" spans="1:9" ht="15.75" customHeight="1" x14ac:dyDescent="0.2">
      <c r="A245" s="36" t="s">
        <v>1028</v>
      </c>
      <c r="B245" s="38" t="s">
        <v>1029</v>
      </c>
      <c r="C245" s="34" t="s">
        <v>256</v>
      </c>
      <c r="D245" s="35" t="s">
        <v>1030</v>
      </c>
      <c r="E245" s="45" t="s">
        <v>1030</v>
      </c>
      <c r="F245" s="22" t="str">
        <f>+VLOOKUP(A245,'[1]Proveedor-Comprador'!A:D,4,0)</f>
        <v>IBEROTECH S.A.S</v>
      </c>
      <c r="G245" s="36" t="s">
        <v>284</v>
      </c>
      <c r="H245" s="39"/>
      <c r="I245" s="24" t="str">
        <f>+VLOOKUP(A245,[2]Hoja1!$A:$A,1,0)</f>
        <v>W10741520</v>
      </c>
    </row>
    <row r="246" spans="1:9" ht="15.75" customHeight="1" x14ac:dyDescent="0.2">
      <c r="A246" s="36" t="s">
        <v>1031</v>
      </c>
      <c r="B246" s="38" t="s">
        <v>1032</v>
      </c>
      <c r="C246" s="34" t="s">
        <v>256</v>
      </c>
      <c r="D246" s="35" t="s">
        <v>1033</v>
      </c>
      <c r="E246" s="45" t="s">
        <v>1034</v>
      </c>
      <c r="F246" s="22" t="str">
        <f>+VLOOKUP(A246,'[1]Proveedor-Comprador'!A:D,4,0)</f>
        <v>Factorias &amp; Asociadas</v>
      </c>
      <c r="G246" s="36" t="s">
        <v>284</v>
      </c>
      <c r="H246" s="39"/>
      <c r="I246" s="24" t="str">
        <f>+VLOOKUP(A246,[2]Hoja1!$A:$A,1,0)</f>
        <v>W11735694</v>
      </c>
    </row>
    <row r="247" spans="1:9" ht="15.75" customHeight="1" x14ac:dyDescent="0.2">
      <c r="A247" s="36" t="s">
        <v>1035</v>
      </c>
      <c r="B247" s="38" t="s">
        <v>1036</v>
      </c>
      <c r="C247" s="34" t="s">
        <v>256</v>
      </c>
      <c r="D247" s="35" t="s">
        <v>1037</v>
      </c>
      <c r="E247" s="45" t="s">
        <v>1034</v>
      </c>
      <c r="F247" s="22" t="str">
        <f>+VLOOKUP(A247,'[1]Proveedor-Comprador'!A:D,4,0)</f>
        <v>PLASTICOS TRUHER S.A.</v>
      </c>
      <c r="G247" s="36" t="s">
        <v>284</v>
      </c>
      <c r="H247" s="39"/>
      <c r="I247" s="24" t="str">
        <f>+VLOOKUP(A247,[2]Hoja1!$A:$A,1,0)</f>
        <v>W11734874</v>
      </c>
    </row>
    <row r="248" spans="1:9" ht="15.75" customHeight="1" x14ac:dyDescent="0.2">
      <c r="A248" s="36" t="s">
        <v>1038</v>
      </c>
      <c r="B248" s="38" t="s">
        <v>1039</v>
      </c>
      <c r="C248" s="34" t="s">
        <v>256</v>
      </c>
      <c r="D248" s="35" t="s">
        <v>1040</v>
      </c>
      <c r="E248" s="45" t="s">
        <v>1041</v>
      </c>
      <c r="F248" s="22" t="str">
        <f>+VLOOKUP(A248,'[1]Proveedor-Comprador'!A:D,4,0)</f>
        <v>INDUSTRIAS HACEB S.A.</v>
      </c>
      <c r="G248" s="36" t="s">
        <v>312</v>
      </c>
      <c r="H248" s="39"/>
      <c r="I248" s="24" t="str">
        <f>+VLOOKUP(A248,[2]Hoja1!$A:$A,1,0)</f>
        <v>W11094445</v>
      </c>
    </row>
    <row r="249" spans="1:9" ht="15.75" customHeight="1" x14ac:dyDescent="0.2">
      <c r="A249" s="36" t="s">
        <v>1042</v>
      </c>
      <c r="B249" s="38" t="s">
        <v>1043</v>
      </c>
      <c r="C249" s="34" t="s">
        <v>256</v>
      </c>
      <c r="D249" s="35" t="s">
        <v>1044</v>
      </c>
      <c r="E249" s="45" t="s">
        <v>1045</v>
      </c>
      <c r="F249" s="22" t="str">
        <f>+VLOOKUP(A249,'[1]Proveedor-Comprador'!A:D,4,0)</f>
        <v>ELASTOPLAST</v>
      </c>
      <c r="G249" s="36" t="s">
        <v>312</v>
      </c>
      <c r="H249" s="39"/>
      <c r="I249" s="24" t="str">
        <f>+VLOOKUP(A249,[2]Hoja1!$A:$A,1,0)</f>
        <v>W10876922</v>
      </c>
    </row>
    <row r="250" spans="1:9" ht="15.75" customHeight="1" x14ac:dyDescent="0.2">
      <c r="A250" s="36" t="s">
        <v>1046</v>
      </c>
      <c r="B250" s="38" t="s">
        <v>1047</v>
      </c>
      <c r="C250" s="34" t="s">
        <v>256</v>
      </c>
      <c r="D250" s="35" t="s">
        <v>1048</v>
      </c>
      <c r="E250" s="45" t="s">
        <v>1049</v>
      </c>
      <c r="F250" s="22" t="str">
        <f>+VLOOKUP(A250,'[1]Proveedor-Comprador'!A:D,4,0)</f>
        <v>ITW APPLIANCE COMPONENTS</v>
      </c>
      <c r="G250" s="36" t="s">
        <v>312</v>
      </c>
      <c r="H250" s="39"/>
      <c r="I250" s="24" t="str">
        <f>+VLOOKUP(A250,[2]Hoja1!$A:$A,1,0)</f>
        <v>W11160690</v>
      </c>
    </row>
    <row r="251" spans="1:9" ht="15.75" customHeight="1" x14ac:dyDescent="0.2">
      <c r="A251" s="36" t="s">
        <v>1050</v>
      </c>
      <c r="B251" s="38" t="s">
        <v>1051</v>
      </c>
      <c r="C251" s="34" t="s">
        <v>256</v>
      </c>
      <c r="D251" s="35" t="s">
        <v>1052</v>
      </c>
      <c r="E251" s="45" t="s">
        <v>1053</v>
      </c>
      <c r="F251" s="22" t="str">
        <f>+VLOOKUP(A251,'[1]Proveedor-Comprador'!A:D,4,0)</f>
        <v>Riduco S.A.</v>
      </c>
      <c r="G251" s="36" t="s">
        <v>267</v>
      </c>
      <c r="H251" s="39"/>
      <c r="I251" s="24" t="str">
        <f>+VLOOKUP(A251,[2]Hoja1!$A:$A,1,0)</f>
        <v>W11491994</v>
      </c>
    </row>
    <row r="252" spans="1:9" ht="15.75" customHeight="1" x14ac:dyDescent="0.2">
      <c r="A252" s="36" t="s">
        <v>1054</v>
      </c>
      <c r="B252" s="38" t="s">
        <v>1055</v>
      </c>
      <c r="C252" s="34" t="s">
        <v>256</v>
      </c>
      <c r="D252" s="35" t="s">
        <v>1056</v>
      </c>
      <c r="E252" s="45" t="s">
        <v>1057</v>
      </c>
      <c r="F252" s="22" t="str">
        <f>+VLOOKUP(A252,'[1]Proveedor-Comprador'!A:D,4,0)</f>
        <v>Riduco S.A.</v>
      </c>
      <c r="G252" s="36" t="s">
        <v>267</v>
      </c>
      <c r="H252" s="39"/>
      <c r="I252" s="24" t="str">
        <f>+VLOOKUP(A252,[2]Hoja1!$A:$A,1,0)</f>
        <v>W11705450</v>
      </c>
    </row>
    <row r="253" spans="1:9" ht="15.75" customHeight="1" x14ac:dyDescent="0.2">
      <c r="A253" s="36" t="s">
        <v>1058</v>
      </c>
      <c r="B253" s="38" t="s">
        <v>1059</v>
      </c>
      <c r="C253" s="34" t="s">
        <v>261</v>
      </c>
      <c r="D253" s="35" t="s">
        <v>1060</v>
      </c>
      <c r="E253" s="45" t="s">
        <v>1061</v>
      </c>
      <c r="F253" s="22" t="str">
        <f>+VLOOKUP(A253,'[1]Proveedor-Comprador'!A:D,4,0)</f>
        <v>Formapol S.A</v>
      </c>
      <c r="G253" s="36" t="s">
        <v>312</v>
      </c>
      <c r="H253" s="39"/>
      <c r="I253" s="24" t="str">
        <f>+VLOOKUP(A253,[2]Hoja1!$A:$A,1,0)</f>
        <v>W10725000</v>
      </c>
    </row>
    <row r="254" spans="1:9" ht="15.75" customHeight="1" x14ac:dyDescent="0.2">
      <c r="A254" s="36" t="s">
        <v>1062</v>
      </c>
      <c r="B254" s="38" t="s">
        <v>1063</v>
      </c>
      <c r="C254" s="34" t="s">
        <v>256</v>
      </c>
      <c r="D254" s="35" t="s">
        <v>1064</v>
      </c>
      <c r="E254" s="45" t="s">
        <v>1061</v>
      </c>
      <c r="F254" s="22" t="str">
        <f>+VLOOKUP(A254,'[1]Proveedor-Comprador'!A:D,4,0)</f>
        <v>Formapol S.A</v>
      </c>
      <c r="G254" s="36" t="s">
        <v>267</v>
      </c>
      <c r="H254" s="39"/>
      <c r="I254" s="24" t="str">
        <f>+VLOOKUP(A254,[2]Hoja1!$A:$A,1,0)</f>
        <v>W11535999</v>
      </c>
    </row>
    <row r="255" spans="1:9" ht="15.75" customHeight="1" x14ac:dyDescent="0.2">
      <c r="A255" s="36" t="s">
        <v>1065</v>
      </c>
      <c r="B255" s="38" t="s">
        <v>1066</v>
      </c>
      <c r="C255" s="34" t="s">
        <v>261</v>
      </c>
      <c r="D255" s="35" t="s">
        <v>1067</v>
      </c>
      <c r="E255" s="45" t="s">
        <v>1061</v>
      </c>
      <c r="F255" s="22" t="str">
        <f>+VLOOKUP(A255,'[1]Proveedor-Comprador'!A:D,4,0)</f>
        <v>Formapol S.A</v>
      </c>
      <c r="G255" s="36" t="s">
        <v>312</v>
      </c>
      <c r="H255" s="39"/>
      <c r="I255" s="24" t="str">
        <f>+VLOOKUP(A255,[2]Hoja1!$A:$A,1,0)</f>
        <v>W10724998</v>
      </c>
    </row>
    <row r="256" spans="1:9" ht="15.75" customHeight="1" x14ac:dyDescent="0.2">
      <c r="A256" s="36" t="s">
        <v>1068</v>
      </c>
      <c r="B256" s="38" t="s">
        <v>1069</v>
      </c>
      <c r="C256" s="34" t="s">
        <v>256</v>
      </c>
      <c r="D256" s="35" t="s">
        <v>1070</v>
      </c>
      <c r="E256" s="45" t="s">
        <v>1061</v>
      </c>
      <c r="F256" s="22" t="str">
        <f>+VLOOKUP(A256,'[1]Proveedor-Comprador'!A:D,4,0)</f>
        <v>Formapol S.A</v>
      </c>
      <c r="G256" s="36" t="s">
        <v>267</v>
      </c>
      <c r="H256" s="39"/>
      <c r="I256" s="24" t="str">
        <f>+VLOOKUP(A256,[2]Hoja1!$A:$A,1,0)</f>
        <v>W11536005</v>
      </c>
    </row>
    <row r="257" spans="1:9" ht="15.75" customHeight="1" x14ac:dyDescent="0.2">
      <c r="A257" s="36" t="s">
        <v>1071</v>
      </c>
      <c r="B257" s="38" t="s">
        <v>1072</v>
      </c>
      <c r="C257" s="34" t="s">
        <v>256</v>
      </c>
      <c r="D257" s="35" t="s">
        <v>1073</v>
      </c>
      <c r="E257" s="45" t="s">
        <v>1061</v>
      </c>
      <c r="F257" s="22" t="str">
        <f>+VLOOKUP(A257,'[1]Proveedor-Comprador'!A:D,4,0)</f>
        <v>Formapol S.A</v>
      </c>
      <c r="G257" s="36" t="s">
        <v>312</v>
      </c>
      <c r="H257" s="39"/>
      <c r="I257" s="24" t="str">
        <f>+VLOOKUP(A257,[2]Hoja1!$A:$A,1,0)</f>
        <v>W10672816</v>
      </c>
    </row>
    <row r="258" spans="1:9" ht="15.75" customHeight="1" x14ac:dyDescent="0.2">
      <c r="A258" s="36" t="s">
        <v>1074</v>
      </c>
      <c r="B258" s="38" t="s">
        <v>1075</v>
      </c>
      <c r="C258" s="34" t="s">
        <v>256</v>
      </c>
      <c r="D258" s="35" t="s">
        <v>1076</v>
      </c>
      <c r="E258" s="45" t="s">
        <v>1061</v>
      </c>
      <c r="F258" s="22" t="str">
        <f>+VLOOKUP(A258,'[1]Proveedor-Comprador'!A:D,4,0)</f>
        <v>Formapol S.A</v>
      </c>
      <c r="G258" s="36" t="s">
        <v>284</v>
      </c>
      <c r="H258" s="39"/>
      <c r="I258" s="24" t="str">
        <f>+VLOOKUP(A258,[2]Hoja1!$A:$A,1,0)</f>
        <v>W11700209</v>
      </c>
    </row>
    <row r="259" spans="1:9" ht="15.75" customHeight="1" x14ac:dyDescent="0.2">
      <c r="A259" s="36" t="s">
        <v>1077</v>
      </c>
      <c r="B259" s="38" t="s">
        <v>1078</v>
      </c>
      <c r="C259" s="34" t="s">
        <v>256</v>
      </c>
      <c r="D259" s="35" t="s">
        <v>384</v>
      </c>
      <c r="E259" s="45" t="s">
        <v>1061</v>
      </c>
      <c r="F259" s="22" t="str">
        <f>+VLOOKUP(A259,'[1]Proveedor-Comprador'!A:D,4,0)</f>
        <v>Formapol S.A</v>
      </c>
      <c r="G259" s="36" t="s">
        <v>342</v>
      </c>
      <c r="H259" s="39"/>
      <c r="I259" s="24" t="str">
        <f>+VLOOKUP(A259,[2]Hoja1!$A:$A,1,0)</f>
        <v>W11760032</v>
      </c>
    </row>
    <row r="260" spans="1:9" ht="15.75" customHeight="1" x14ac:dyDescent="0.2">
      <c r="A260" s="36" t="s">
        <v>1079</v>
      </c>
      <c r="B260" s="38" t="s">
        <v>1080</v>
      </c>
      <c r="C260" s="34" t="s">
        <v>256</v>
      </c>
      <c r="D260" s="35" t="s">
        <v>1081</v>
      </c>
      <c r="E260" s="45" t="s">
        <v>1082</v>
      </c>
      <c r="F260" s="22" t="str">
        <f>+VLOOKUP(A260,'[1]Proveedor-Comprador'!A:D,4,0)</f>
        <v>Formapol S.A</v>
      </c>
      <c r="G260" s="36" t="s">
        <v>267</v>
      </c>
      <c r="H260" s="39"/>
      <c r="I260" s="24" t="str">
        <f>+VLOOKUP(A260,[2]Hoja1!$A:$A,1,0)</f>
        <v>W11483986</v>
      </c>
    </row>
    <row r="261" spans="1:9" ht="15.75" customHeight="1" x14ac:dyDescent="0.2">
      <c r="A261" s="36" t="s">
        <v>1083</v>
      </c>
      <c r="B261" s="38" t="s">
        <v>1084</v>
      </c>
      <c r="C261" s="34" t="s">
        <v>256</v>
      </c>
      <c r="D261" s="35" t="s">
        <v>1085</v>
      </c>
      <c r="E261" s="45" t="s">
        <v>1082</v>
      </c>
      <c r="F261" s="22" t="str">
        <f>+VLOOKUP(A261,'[1]Proveedor-Comprador'!A:D,4,0)</f>
        <v>Formapol S.A</v>
      </c>
      <c r="G261" s="36" t="s">
        <v>267</v>
      </c>
      <c r="H261" s="39"/>
      <c r="I261" s="24" t="str">
        <f>+VLOOKUP(A261,[2]Hoja1!$A:$A,1,0)</f>
        <v>W11483973</v>
      </c>
    </row>
    <row r="262" spans="1:9" ht="15.75" customHeight="1" x14ac:dyDescent="0.2">
      <c r="A262" s="36" t="s">
        <v>1086</v>
      </c>
      <c r="B262" s="38" t="s">
        <v>1087</v>
      </c>
      <c r="C262" s="34" t="s">
        <v>256</v>
      </c>
      <c r="D262" s="35" t="s">
        <v>1088</v>
      </c>
      <c r="E262" s="45" t="s">
        <v>1089</v>
      </c>
      <c r="F262" s="22" t="str">
        <f>+VLOOKUP(A262,'[1]Proveedor-Comprador'!A:D,4,0)</f>
        <v>Formapol S.A</v>
      </c>
      <c r="G262" s="36" t="s">
        <v>312</v>
      </c>
      <c r="H262" s="39"/>
      <c r="I262" s="24" t="str">
        <f>+VLOOKUP(A262,[2]Hoja1!$A:$A,1,0)</f>
        <v>W10717793</v>
      </c>
    </row>
    <row r="263" spans="1:9" ht="15.75" customHeight="1" x14ac:dyDescent="0.2">
      <c r="A263" s="36" t="s">
        <v>1090</v>
      </c>
      <c r="B263" s="38" t="s">
        <v>1091</v>
      </c>
      <c r="C263" s="34" t="s">
        <v>256</v>
      </c>
      <c r="D263" s="35" t="s">
        <v>1092</v>
      </c>
      <c r="E263" s="45" t="s">
        <v>1089</v>
      </c>
      <c r="F263" s="22" t="str">
        <f>+VLOOKUP(A263,'[1]Proveedor-Comprador'!A:D,4,0)</f>
        <v>Formapol S.A</v>
      </c>
      <c r="G263" s="36" t="s">
        <v>267</v>
      </c>
      <c r="H263" s="39"/>
      <c r="I263" s="24" t="str">
        <f>+VLOOKUP(A263,[2]Hoja1!$A:$A,1,0)</f>
        <v>W11490324</v>
      </c>
    </row>
    <row r="264" spans="1:9" ht="15.75" customHeight="1" x14ac:dyDescent="0.2">
      <c r="A264" s="36" t="s">
        <v>1093</v>
      </c>
      <c r="B264" s="38" t="s">
        <v>1094</v>
      </c>
      <c r="C264" s="34" t="s">
        <v>256</v>
      </c>
      <c r="D264" s="35" t="s">
        <v>1095</v>
      </c>
      <c r="E264" s="45" t="s">
        <v>1089</v>
      </c>
      <c r="F264" s="22" t="str">
        <f>+VLOOKUP(A264,'[1]Proveedor-Comprador'!A:D,4,0)</f>
        <v>Formapol S.A</v>
      </c>
      <c r="G264" s="36" t="s">
        <v>267</v>
      </c>
      <c r="H264" s="39"/>
      <c r="I264" s="24" t="str">
        <f>+VLOOKUP(A264,[2]Hoja1!$A:$A,1,0)</f>
        <v>W11483976</v>
      </c>
    </row>
    <row r="265" spans="1:9" ht="15.75" customHeight="1" x14ac:dyDescent="0.2">
      <c r="A265" s="36" t="s">
        <v>1096</v>
      </c>
      <c r="B265" s="38" t="s">
        <v>1097</v>
      </c>
      <c r="C265" s="34" t="s">
        <v>256</v>
      </c>
      <c r="D265" s="35" t="s">
        <v>1098</v>
      </c>
      <c r="E265" s="45" t="s">
        <v>1099</v>
      </c>
      <c r="F265" s="22" t="str">
        <f>+VLOOKUP(A265,'[1]Proveedor-Comprador'!A:D,4,0)</f>
        <v>Formapol S.A</v>
      </c>
      <c r="G265" s="36" t="s">
        <v>267</v>
      </c>
      <c r="H265" s="39"/>
      <c r="I265" s="24" t="str">
        <f>+VLOOKUP(A265,[2]Hoja1!$A:$A,1,0)</f>
        <v>W11490321</v>
      </c>
    </row>
    <row r="266" spans="1:9" ht="15.75" customHeight="1" x14ac:dyDescent="0.2">
      <c r="A266" s="36" t="s">
        <v>1100</v>
      </c>
      <c r="B266" s="38" t="s">
        <v>1101</v>
      </c>
      <c r="C266" s="34" t="s">
        <v>256</v>
      </c>
      <c r="D266" s="35" t="s">
        <v>1102</v>
      </c>
      <c r="E266" s="45" t="s">
        <v>1099</v>
      </c>
      <c r="F266" s="22" t="str">
        <f>+VLOOKUP(A266,'[1]Proveedor-Comprador'!A:D,4,0)</f>
        <v>Formapol S.A</v>
      </c>
      <c r="G266" s="36" t="s">
        <v>267</v>
      </c>
      <c r="H266" s="39"/>
      <c r="I266" s="24" t="str">
        <f>+VLOOKUP(A266,[2]Hoja1!$A:$A,1,0)</f>
        <v>W11483975</v>
      </c>
    </row>
    <row r="267" spans="1:9" ht="15.75" customHeight="1" x14ac:dyDescent="0.2">
      <c r="A267" s="36" t="s">
        <v>1103</v>
      </c>
      <c r="B267" s="38" t="s">
        <v>1104</v>
      </c>
      <c r="C267" s="34" t="s">
        <v>256</v>
      </c>
      <c r="D267" s="35" t="s">
        <v>1105</v>
      </c>
      <c r="E267" s="45" t="s">
        <v>1099</v>
      </c>
      <c r="F267" s="22" t="str">
        <f>+VLOOKUP(A267,'[1]Proveedor-Comprador'!A:D,4,0)</f>
        <v>Formapol S.A</v>
      </c>
      <c r="G267" s="36" t="s">
        <v>312</v>
      </c>
      <c r="H267" s="39"/>
      <c r="I267" s="24" t="str">
        <f>+VLOOKUP(A267,[2]Hoja1!$A:$A,1,0)</f>
        <v>W10717792</v>
      </c>
    </row>
    <row r="268" spans="1:9" ht="15.75" customHeight="1" x14ac:dyDescent="0.2">
      <c r="A268" s="36" t="s">
        <v>1106</v>
      </c>
      <c r="B268" s="38" t="s">
        <v>1107</v>
      </c>
      <c r="C268" s="34" t="s">
        <v>256</v>
      </c>
      <c r="D268" s="35" t="s">
        <v>1108</v>
      </c>
      <c r="E268" s="45" t="s">
        <v>1109</v>
      </c>
      <c r="F268" s="22" t="str">
        <f>+VLOOKUP(A268,'[1]Proveedor-Comprador'!A:D,4,0)</f>
        <v>Formapol S.A</v>
      </c>
      <c r="G268" s="36" t="s">
        <v>267</v>
      </c>
      <c r="H268" s="39"/>
      <c r="I268" s="24" t="str">
        <f>+VLOOKUP(A268,[2]Hoja1!$A:$A,1,0)</f>
        <v>W11483974</v>
      </c>
    </row>
    <row r="269" spans="1:9" ht="15.75" customHeight="1" x14ac:dyDescent="0.2">
      <c r="A269" s="36" t="s">
        <v>1110</v>
      </c>
      <c r="B269" s="38" t="s">
        <v>1111</v>
      </c>
      <c r="C269" s="34" t="s">
        <v>256</v>
      </c>
      <c r="D269" s="35" t="s">
        <v>1112</v>
      </c>
      <c r="E269" s="45" t="s">
        <v>1109</v>
      </c>
      <c r="F269" s="22" t="str">
        <f>+VLOOKUP(A269,'[1]Proveedor-Comprador'!A:D,4,0)</f>
        <v>Formapol S.A</v>
      </c>
      <c r="G269" s="36" t="s">
        <v>312</v>
      </c>
      <c r="H269" s="39"/>
      <c r="I269" s="24" t="str">
        <f>+VLOOKUP(A269,[2]Hoja1!$A:$A,1,0)</f>
        <v>W10717791</v>
      </c>
    </row>
    <row r="270" spans="1:9" ht="15.75" customHeight="1" x14ac:dyDescent="0.2">
      <c r="A270" s="36" t="s">
        <v>1113</v>
      </c>
      <c r="B270" s="38" t="s">
        <v>1114</v>
      </c>
      <c r="C270" s="34" t="s">
        <v>256</v>
      </c>
      <c r="D270" s="35" t="s">
        <v>1115</v>
      </c>
      <c r="E270" s="45" t="s">
        <v>1109</v>
      </c>
      <c r="F270" s="22" t="str">
        <f>+VLOOKUP(A270,'[1]Proveedor-Comprador'!A:D,4,0)</f>
        <v>Formapol S.A</v>
      </c>
      <c r="G270" s="36" t="s">
        <v>312</v>
      </c>
      <c r="H270" s="39"/>
      <c r="I270" s="24" t="str">
        <f>+VLOOKUP(A270,[2]Hoja1!$A:$A,1,0)</f>
        <v>W10672820</v>
      </c>
    </row>
    <row r="271" spans="1:9" ht="15.75" customHeight="1" x14ac:dyDescent="0.2">
      <c r="A271" s="36" t="s">
        <v>1116</v>
      </c>
      <c r="B271" s="38" t="s">
        <v>1117</v>
      </c>
      <c r="C271" s="34" t="s">
        <v>256</v>
      </c>
      <c r="D271" s="35" t="s">
        <v>1118</v>
      </c>
      <c r="E271" s="45" t="s">
        <v>1119</v>
      </c>
      <c r="F271" s="22" t="str">
        <f>+VLOOKUP(A271,'[1]Proveedor-Comprador'!A:D,4,0)</f>
        <v>PLASTICOS TRUHER S.A.</v>
      </c>
      <c r="G271" s="36" t="s">
        <v>284</v>
      </c>
      <c r="H271" s="39"/>
      <c r="I271" s="24" t="str">
        <f>+VLOOKUP(A271,[2]Hoja1!$A:$A,1,0)</f>
        <v>W11552554</v>
      </c>
    </row>
    <row r="272" spans="1:9" ht="15.75" customHeight="1" x14ac:dyDescent="0.2">
      <c r="A272" s="36" t="s">
        <v>1120</v>
      </c>
      <c r="B272" s="38" t="s">
        <v>1121</v>
      </c>
      <c r="C272" s="34" t="s">
        <v>256</v>
      </c>
      <c r="D272" s="35" t="s">
        <v>1122</v>
      </c>
      <c r="E272" s="45" t="s">
        <v>1119</v>
      </c>
      <c r="F272" s="22" t="str">
        <f>+VLOOKUP(A272,'[1]Proveedor-Comprador'!A:D,4,0)</f>
        <v>PLASTICOS TRUHER S.A.</v>
      </c>
      <c r="G272" s="36" t="s">
        <v>284</v>
      </c>
      <c r="H272" s="39"/>
      <c r="I272" s="24" t="str">
        <f>+VLOOKUP(A272,[2]Hoja1!$A:$A,1,0)</f>
        <v>W11552555</v>
      </c>
    </row>
    <row r="273" spans="1:9" ht="15.75" customHeight="1" x14ac:dyDescent="0.2">
      <c r="A273" s="36" t="s">
        <v>1123</v>
      </c>
      <c r="B273" s="38" t="s">
        <v>1124</v>
      </c>
      <c r="C273" s="34" t="s">
        <v>256</v>
      </c>
      <c r="D273" s="35" t="s">
        <v>1125</v>
      </c>
      <c r="E273" s="45" t="s">
        <v>1126</v>
      </c>
      <c r="F273" s="22" t="str">
        <f>+VLOOKUP(A273,'[1]Proveedor-Comprador'!A:D,4,0)</f>
        <v>Riduco S.A.</v>
      </c>
      <c r="G273" s="36" t="s">
        <v>267</v>
      </c>
      <c r="H273" s="39"/>
      <c r="I273" s="24" t="str">
        <f>+VLOOKUP(A273,[2]Hoja1!$A:$A,1,0)</f>
        <v>W11486735</v>
      </c>
    </row>
    <row r="274" spans="1:9" ht="15.75" customHeight="1" x14ac:dyDescent="0.2">
      <c r="A274" s="36" t="s">
        <v>1127</v>
      </c>
      <c r="B274" s="38" t="s">
        <v>1126</v>
      </c>
      <c r="C274" s="34" t="s">
        <v>256</v>
      </c>
      <c r="D274" s="35" t="s">
        <v>1128</v>
      </c>
      <c r="E274" s="45" t="s">
        <v>1126</v>
      </c>
      <c r="F274" s="22" t="str">
        <f>+VLOOKUP(A274,'[1]Proveedor-Comprador'!A:D,4,0)</f>
        <v>Riduco S.A.</v>
      </c>
      <c r="G274" s="36" t="s">
        <v>312</v>
      </c>
      <c r="H274" s="39"/>
      <c r="I274" s="24" t="str">
        <f>+VLOOKUP(A274,[2]Hoja1!$A:$A,1,0)</f>
        <v>W11351945</v>
      </c>
    </row>
    <row r="275" spans="1:9" ht="15.75" customHeight="1" x14ac:dyDescent="0.2">
      <c r="A275" s="36" t="s">
        <v>1129</v>
      </c>
      <c r="B275" s="38" t="s">
        <v>1126</v>
      </c>
      <c r="C275" s="34" t="s">
        <v>256</v>
      </c>
      <c r="D275" s="35" t="s">
        <v>1130</v>
      </c>
      <c r="E275" s="45" t="s">
        <v>1126</v>
      </c>
      <c r="F275" s="22" t="str">
        <f>+VLOOKUP(A275,'[1]Proveedor-Comprador'!A:D,4,0)</f>
        <v>Riduco S.A.</v>
      </c>
      <c r="G275" s="36" t="s">
        <v>312</v>
      </c>
      <c r="H275" s="39"/>
      <c r="I275" s="24" t="str">
        <f>+VLOOKUP(A275,[2]Hoja1!$A:$A,1,0)</f>
        <v>W11351948</v>
      </c>
    </row>
    <row r="276" spans="1:9" ht="15.75" customHeight="1" x14ac:dyDescent="0.2">
      <c r="A276" s="36" t="s">
        <v>1131</v>
      </c>
      <c r="B276" s="38" t="s">
        <v>1132</v>
      </c>
      <c r="C276" s="34" t="s">
        <v>248</v>
      </c>
      <c r="D276" s="35" t="s">
        <v>1133</v>
      </c>
      <c r="E276" s="45" t="s">
        <v>1134</v>
      </c>
      <c r="F276" s="22" t="str">
        <f>+VLOOKUP(A276,'[1]Proveedor-Comprador'!A:D,4,0)</f>
        <v>PLASTILENE S.A</v>
      </c>
      <c r="G276" s="36" t="s">
        <v>284</v>
      </c>
      <c r="H276" s="39"/>
      <c r="I276" s="24" t="str">
        <f>+VLOOKUP(A276,[2]Hoja1!$A:$A,1,0)</f>
        <v>W10756449</v>
      </c>
    </row>
    <row r="277" spans="1:9" ht="15.75" customHeight="1" x14ac:dyDescent="0.2">
      <c r="A277" s="36" t="s">
        <v>1135</v>
      </c>
      <c r="B277" s="38" t="s">
        <v>1136</v>
      </c>
      <c r="C277" s="34" t="s">
        <v>256</v>
      </c>
      <c r="D277" s="35" t="s">
        <v>1137</v>
      </c>
      <c r="E277" s="45" t="s">
        <v>1138</v>
      </c>
      <c r="F277" s="22" t="str">
        <f>+VLOOKUP(A277,'[1]Proveedor-Comprador'!A:D,4,0)</f>
        <v>JABIL CIRCUIT (GUANGZHOU) LTD</v>
      </c>
      <c r="G277" s="36" t="s">
        <v>267</v>
      </c>
      <c r="H277" s="39"/>
      <c r="I277" s="24" t="str">
        <f>+VLOOKUP(A277,[2]Hoja1!$A:$A,1,0)</f>
        <v>W11491726</v>
      </c>
    </row>
    <row r="278" spans="1:9" ht="15.75" customHeight="1" x14ac:dyDescent="0.2">
      <c r="A278" s="36" t="s">
        <v>1139</v>
      </c>
      <c r="B278" s="38" t="s">
        <v>1140</v>
      </c>
      <c r="C278" s="34" t="s">
        <v>256</v>
      </c>
      <c r="D278" s="35" t="s">
        <v>1141</v>
      </c>
      <c r="E278" s="45" t="s">
        <v>1138</v>
      </c>
      <c r="F278" s="22" t="str">
        <f>+VLOOKUP(A278,'[1]Proveedor-Comprador'!A:D,4,0)</f>
        <v>Shenzhen H&amp;T Intelligent</v>
      </c>
      <c r="G278" s="36" t="s">
        <v>267</v>
      </c>
      <c r="H278" s="39"/>
      <c r="I278" s="24" t="str">
        <f>+VLOOKUP(A278,[2]Hoja1!$A:$A,1,0)</f>
        <v>W11553515</v>
      </c>
    </row>
    <row r="279" spans="1:9" ht="15.75" customHeight="1" x14ac:dyDescent="0.2">
      <c r="A279" s="36" t="s">
        <v>1142</v>
      </c>
      <c r="B279" s="38" t="s">
        <v>1143</v>
      </c>
      <c r="C279" s="34" t="s">
        <v>256</v>
      </c>
      <c r="D279" s="35" t="s">
        <v>1144</v>
      </c>
      <c r="E279" s="45" t="s">
        <v>1138</v>
      </c>
      <c r="F279" s="22" t="str">
        <f>+VLOOKUP(A279,'[1]Proveedor-Comprador'!A:D,4,0)</f>
        <v>Shenzhen H&amp;T Intelligent</v>
      </c>
      <c r="G279" s="36" t="s">
        <v>312</v>
      </c>
      <c r="H279" s="39"/>
      <c r="I279" s="24" t="str">
        <f>+VLOOKUP(A279,[2]Hoja1!$A:$A,1,0)</f>
        <v>W11036799</v>
      </c>
    </row>
    <row r="280" spans="1:9" ht="15.75" customHeight="1" x14ac:dyDescent="0.2">
      <c r="A280" s="36" t="s">
        <v>1145</v>
      </c>
      <c r="B280" s="38" t="s">
        <v>1146</v>
      </c>
      <c r="C280" s="34" t="s">
        <v>256</v>
      </c>
      <c r="D280" s="35" t="s">
        <v>1147</v>
      </c>
      <c r="E280" s="45" t="s">
        <v>1138</v>
      </c>
      <c r="F280" s="22" t="str">
        <f>+VLOOKUP(A280,'[1]Proveedor-Comprador'!A:D,4,0)</f>
        <v>Shenzhen H&amp;T Intelligent</v>
      </c>
      <c r="G280" s="36" t="s">
        <v>312</v>
      </c>
      <c r="H280" s="39"/>
      <c r="I280" s="24" t="str">
        <f>+VLOOKUP(A280,[2]Hoja1!$A:$A,1,0)</f>
        <v>W11133652</v>
      </c>
    </row>
    <row r="281" spans="1:9" ht="15.75" customHeight="1" x14ac:dyDescent="0.2">
      <c r="A281" s="36" t="s">
        <v>1148</v>
      </c>
      <c r="B281" s="38" t="s">
        <v>1149</v>
      </c>
      <c r="C281" s="34" t="s">
        <v>248</v>
      </c>
      <c r="D281" s="35" t="s">
        <v>1150</v>
      </c>
      <c r="E281" s="45" t="s">
        <v>1151</v>
      </c>
      <c r="F281" s="22" t="str">
        <f>+VLOOKUP(A281,'[1]Proveedor-Comprador'!A:D,4,0)</f>
        <v>Pintuco de Colombia S.A.</v>
      </c>
      <c r="G281" s="36" t="s">
        <v>284</v>
      </c>
      <c r="H281" s="39"/>
      <c r="I281" s="24" t="str">
        <f>+VLOOKUP(A281,[2]Hoja1!$A:$A,1,0)</f>
        <v>W10763437</v>
      </c>
    </row>
    <row r="282" spans="1:9" ht="15.75" customHeight="1" x14ac:dyDescent="0.2">
      <c r="A282" s="36" t="s">
        <v>1152</v>
      </c>
      <c r="B282" s="38" t="s">
        <v>1153</v>
      </c>
      <c r="C282" s="34" t="s">
        <v>248</v>
      </c>
      <c r="D282" s="35" t="s">
        <v>1154</v>
      </c>
      <c r="E282" s="45" t="s">
        <v>1151</v>
      </c>
      <c r="F282" s="22" t="str">
        <f>+VLOOKUP(A282,'[1]Proveedor-Comprador'!A:D,4,0)</f>
        <v>Pintuco de Colombia S.A.</v>
      </c>
      <c r="G282" s="36" t="s">
        <v>284</v>
      </c>
      <c r="H282" s="39"/>
      <c r="I282" s="24" t="str">
        <f>+VLOOKUP(A282,[2]Hoja1!$A:$A,1,0)</f>
        <v>W11660525</v>
      </c>
    </row>
    <row r="283" spans="1:9" ht="15.75" customHeight="1" x14ac:dyDescent="0.2">
      <c r="A283" s="36" t="s">
        <v>1155</v>
      </c>
      <c r="B283" s="38" t="s">
        <v>1156</v>
      </c>
      <c r="C283" s="34" t="s">
        <v>248</v>
      </c>
      <c r="D283" s="35" t="s">
        <v>1157</v>
      </c>
      <c r="E283" s="45" t="s">
        <v>1151</v>
      </c>
      <c r="F283" s="22" t="str">
        <f>+VLOOKUP(A283,'[1]Proveedor-Comprador'!A:D,4,0)</f>
        <v>Pintuco de Colombia S.A.</v>
      </c>
      <c r="G283" s="36" t="s">
        <v>284</v>
      </c>
      <c r="H283" s="39"/>
      <c r="I283" s="24" t="str">
        <f>+VLOOKUP(A283,[2]Hoja1!$A:$A,1,0)</f>
        <v>W10763441</v>
      </c>
    </row>
    <row r="284" spans="1:9" ht="15.75" customHeight="1" x14ac:dyDescent="0.2">
      <c r="A284" s="36" t="s">
        <v>1158</v>
      </c>
      <c r="B284" s="38" t="s">
        <v>1159</v>
      </c>
      <c r="C284" s="34" t="s">
        <v>248</v>
      </c>
      <c r="D284" s="35" t="s">
        <v>1160</v>
      </c>
      <c r="E284" s="45" t="s">
        <v>1151</v>
      </c>
      <c r="F284" s="22" t="str">
        <f>+VLOOKUP(A284,'[1]Proveedor-Comprador'!A:D,4,0)</f>
        <v>Pintuco de Colombia S.A.</v>
      </c>
      <c r="G284" s="36" t="s">
        <v>284</v>
      </c>
      <c r="H284" s="39"/>
      <c r="I284" s="24" t="str">
        <f>+VLOOKUP(A284,[2]Hoja1!$A:$A,1,0)</f>
        <v>W11254879</v>
      </c>
    </row>
    <row r="285" spans="1:9" ht="15.75" customHeight="1" x14ac:dyDescent="0.2">
      <c r="A285" s="36" t="s">
        <v>1161</v>
      </c>
      <c r="B285" s="38" t="s">
        <v>1162</v>
      </c>
      <c r="C285" s="34" t="s">
        <v>256</v>
      </c>
      <c r="D285" s="35" t="s">
        <v>1163</v>
      </c>
      <c r="E285" s="45" t="s">
        <v>1163</v>
      </c>
      <c r="F285" s="22" t="str">
        <f>+VLOOKUP(A285,'[1]Proveedor-Comprador'!A:D,4,0)</f>
        <v>Riduco S.A.</v>
      </c>
      <c r="G285" s="36" t="s">
        <v>312</v>
      </c>
      <c r="H285" s="39"/>
      <c r="I285" s="24" t="str">
        <f>+VLOOKUP(A285,[2]Hoja1!$A:$A,1,0)</f>
        <v>W10679136</v>
      </c>
    </row>
    <row r="286" spans="1:9" ht="15.75" customHeight="1" x14ac:dyDescent="0.2">
      <c r="A286" s="36" t="s">
        <v>1164</v>
      </c>
      <c r="B286" s="38" t="s">
        <v>1165</v>
      </c>
      <c r="C286" s="34" t="s">
        <v>256</v>
      </c>
      <c r="D286" s="35" t="s">
        <v>1166</v>
      </c>
      <c r="E286" s="45" t="s">
        <v>1167</v>
      </c>
      <c r="F286" s="22" t="str">
        <f>+VLOOKUP(A286,'[1]Proveedor-Comprador'!A:D,4,0)</f>
        <v>Factorias &amp; Asociadas</v>
      </c>
      <c r="G286" s="36" t="s">
        <v>284</v>
      </c>
      <c r="H286" s="39"/>
      <c r="I286" s="24" t="str">
        <f>+VLOOKUP(A286,[2]Hoja1!$A:$A,1,0)</f>
        <v>W11501897</v>
      </c>
    </row>
    <row r="287" spans="1:9" ht="15.75" customHeight="1" x14ac:dyDescent="0.2">
      <c r="A287" s="36" t="s">
        <v>1168</v>
      </c>
      <c r="B287" s="38" t="s">
        <v>1169</v>
      </c>
      <c r="C287" s="34" t="s">
        <v>256</v>
      </c>
      <c r="D287" s="35" t="s">
        <v>1170</v>
      </c>
      <c r="E287" s="45" t="s">
        <v>1167</v>
      </c>
      <c r="F287" s="22" t="str">
        <f>+VLOOKUP(A287,'[1]Proveedor-Comprador'!A:D,4,0)</f>
        <v>Factorias &amp; Asociadas</v>
      </c>
      <c r="G287" s="36" t="s">
        <v>284</v>
      </c>
      <c r="H287" s="39"/>
      <c r="I287" s="24" t="str">
        <f>+VLOOKUP(A287,[2]Hoja1!$A:$A,1,0)</f>
        <v>W11501898</v>
      </c>
    </row>
    <row r="288" spans="1:9" ht="15.75" customHeight="1" x14ac:dyDescent="0.2">
      <c r="A288" s="36" t="s">
        <v>1171</v>
      </c>
      <c r="B288" s="38" t="s">
        <v>1172</v>
      </c>
      <c r="C288" s="34" t="s">
        <v>256</v>
      </c>
      <c r="D288" s="35" t="s">
        <v>1173</v>
      </c>
      <c r="E288" s="45" t="s">
        <v>1174</v>
      </c>
      <c r="F288" s="22" t="str">
        <f>+VLOOKUP(A288,'[1]Proveedor-Comprador'!A:D,4,0)</f>
        <v>Iprocom S.A.</v>
      </c>
      <c r="G288" s="36" t="s">
        <v>312</v>
      </c>
      <c r="H288" s="39"/>
      <c r="I288" s="24" t="str">
        <f>+VLOOKUP(A288,[2]Hoja1!$A:$A,1,0)</f>
        <v>W11641191</v>
      </c>
    </row>
    <row r="289" spans="1:9" ht="15.75" customHeight="1" x14ac:dyDescent="0.2">
      <c r="A289" s="36" t="s">
        <v>1175</v>
      </c>
      <c r="B289" s="38" t="s">
        <v>1176</v>
      </c>
      <c r="C289" s="34" t="s">
        <v>261</v>
      </c>
      <c r="D289" s="35" t="s">
        <v>1177</v>
      </c>
      <c r="E289" s="45" t="s">
        <v>1174</v>
      </c>
      <c r="F289" s="22" t="str">
        <f>+VLOOKUP(A289,'[1]Proveedor-Comprador'!A:D,4,0)</f>
        <v>Iprocom S.A.</v>
      </c>
      <c r="G289" s="36" t="s">
        <v>312</v>
      </c>
      <c r="H289" s="39"/>
      <c r="I289" s="24" t="str">
        <f>+VLOOKUP(A289,[2]Hoja1!$A:$A,1,0)</f>
        <v>W10703613</v>
      </c>
    </row>
    <row r="290" spans="1:9" ht="15.75" customHeight="1" x14ac:dyDescent="0.2">
      <c r="A290" s="36" t="s">
        <v>1178</v>
      </c>
      <c r="B290" s="38" t="s">
        <v>1179</v>
      </c>
      <c r="C290" s="34" t="s">
        <v>256</v>
      </c>
      <c r="D290" s="35" t="s">
        <v>1180</v>
      </c>
      <c r="E290" s="45" t="s">
        <v>1174</v>
      </c>
      <c r="F290" s="22" t="str">
        <f>+VLOOKUP(A290,'[1]Proveedor-Comprador'!A:D,4,0)</f>
        <v>Iprocom S.A.</v>
      </c>
      <c r="G290" s="36" t="s">
        <v>312</v>
      </c>
      <c r="H290" s="39"/>
      <c r="I290" s="24" t="str">
        <f>+VLOOKUP(A290,[2]Hoja1!$A:$A,1,0)</f>
        <v>W11548734</v>
      </c>
    </row>
    <row r="291" spans="1:9" ht="15.75" customHeight="1" x14ac:dyDescent="0.2">
      <c r="A291" s="36" t="s">
        <v>1181</v>
      </c>
      <c r="B291" s="38" t="s">
        <v>1179</v>
      </c>
      <c r="C291" s="34" t="s">
        <v>256</v>
      </c>
      <c r="D291" s="35" t="s">
        <v>1182</v>
      </c>
      <c r="E291" s="45" t="s">
        <v>1174</v>
      </c>
      <c r="F291" s="22" t="str">
        <f>+VLOOKUP(A291,'[1]Proveedor-Comprador'!A:D,4,0)</f>
        <v>Iprocom S.A.</v>
      </c>
      <c r="G291" s="36" t="s">
        <v>312</v>
      </c>
      <c r="H291" s="39"/>
      <c r="I291" s="24" t="str">
        <f>+VLOOKUP(A291,[2]Hoja1!$A:$A,1,0)</f>
        <v>W11548735</v>
      </c>
    </row>
    <row r="292" spans="1:9" ht="15.75" customHeight="1" x14ac:dyDescent="0.2">
      <c r="A292" s="36" t="s">
        <v>1183</v>
      </c>
      <c r="B292" s="38" t="s">
        <v>1184</v>
      </c>
      <c r="C292" s="34" t="s">
        <v>256</v>
      </c>
      <c r="D292" s="35" t="s">
        <v>1185</v>
      </c>
      <c r="E292" s="45" t="s">
        <v>1174</v>
      </c>
      <c r="F292" s="22" t="str">
        <f>+VLOOKUP(A292,'[1]Proveedor-Comprador'!A:D,4,0)</f>
        <v>Iprocom S.A.</v>
      </c>
      <c r="G292" s="36" t="s">
        <v>312</v>
      </c>
      <c r="H292" s="39"/>
      <c r="I292" s="24" t="str">
        <f>+VLOOKUP(A292,[2]Hoja1!$A:$A,1,0)</f>
        <v>W11641196</v>
      </c>
    </row>
    <row r="293" spans="1:9" ht="15.75" customHeight="1" x14ac:dyDescent="0.2">
      <c r="A293" s="36" t="s">
        <v>1186</v>
      </c>
      <c r="B293" s="38" t="s">
        <v>1187</v>
      </c>
      <c r="C293" s="34" t="s">
        <v>256</v>
      </c>
      <c r="D293" s="35" t="s">
        <v>1188</v>
      </c>
      <c r="E293" s="45" t="s">
        <v>1189</v>
      </c>
      <c r="F293" s="22" t="str">
        <f>+VLOOKUP(A293,'[1]Proveedor-Comprador'!A:D,4,0)</f>
        <v>SHANGHAI JINGSHI ELECTRIC</v>
      </c>
      <c r="G293" s="36" t="s">
        <v>267</v>
      </c>
      <c r="H293" s="39"/>
      <c r="I293" s="24" t="str">
        <f>+VLOOKUP(A293,[2]Hoja1!$A:$A,1,0)</f>
        <v>W11501490</v>
      </c>
    </row>
    <row r="294" spans="1:9" ht="15.75" customHeight="1" x14ac:dyDescent="0.2">
      <c r="A294" s="36" t="s">
        <v>1190</v>
      </c>
      <c r="B294" s="38" t="s">
        <v>1191</v>
      </c>
      <c r="C294" s="34" t="s">
        <v>256</v>
      </c>
      <c r="D294" s="35" t="s">
        <v>1192</v>
      </c>
      <c r="E294" s="45" t="s">
        <v>1189</v>
      </c>
      <c r="F294" s="22" t="str">
        <f>+VLOOKUP(A294,'[1]Proveedor-Comprador'!A:D,4,0)</f>
        <v>SHANGHAI JINGSHI ELECTRIC</v>
      </c>
      <c r="G294" s="36" t="s">
        <v>267</v>
      </c>
      <c r="H294" s="39"/>
      <c r="I294" s="24" t="str">
        <f>+VLOOKUP(A294,[2]Hoja1!$A:$A,1,0)</f>
        <v>W11675631</v>
      </c>
    </row>
    <row r="295" spans="1:9" ht="15.75" customHeight="1" x14ac:dyDescent="0.2">
      <c r="A295" s="36" t="s">
        <v>1193</v>
      </c>
      <c r="B295" s="38" t="s">
        <v>1194</v>
      </c>
      <c r="C295" s="34" t="s">
        <v>256</v>
      </c>
      <c r="D295" s="35" t="s">
        <v>1195</v>
      </c>
      <c r="E295" s="45" t="s">
        <v>1189</v>
      </c>
      <c r="F295" s="22" t="str">
        <f>+VLOOKUP(A295,'[1]Proveedor-Comprador'!A:D,4,0)</f>
        <v>SHANGHAI JINGSHI ELECTRIC</v>
      </c>
      <c r="G295" s="36" t="s">
        <v>267</v>
      </c>
      <c r="H295" s="39"/>
      <c r="I295" s="24" t="str">
        <f>+VLOOKUP(A295,[2]Hoja1!$A:$A,1,0)</f>
        <v>W11501470</v>
      </c>
    </row>
    <row r="296" spans="1:9" ht="15.75" customHeight="1" x14ac:dyDescent="0.2">
      <c r="A296" s="36" t="s">
        <v>1196</v>
      </c>
      <c r="B296" s="38" t="s">
        <v>1197</v>
      </c>
      <c r="C296" s="34" t="s">
        <v>256</v>
      </c>
      <c r="D296" s="35" t="s">
        <v>1198</v>
      </c>
      <c r="E296" s="45" t="s">
        <v>1189</v>
      </c>
      <c r="F296" s="22" t="str">
        <f>+VLOOKUP(A296,'[1]Proveedor-Comprador'!A:D,4,0)</f>
        <v>SHANGHAI JINGSHI ELECTRIC</v>
      </c>
      <c r="G296" s="36" t="s">
        <v>267</v>
      </c>
      <c r="H296" s="39"/>
      <c r="I296" s="24" t="str">
        <f>+VLOOKUP(A296,[2]Hoja1!$A:$A,1,0)</f>
        <v>W11501478</v>
      </c>
    </row>
    <row r="297" spans="1:9" ht="15.75" customHeight="1" x14ac:dyDescent="0.2">
      <c r="A297" s="36" t="s">
        <v>1199</v>
      </c>
      <c r="B297" s="38" t="s">
        <v>1194</v>
      </c>
      <c r="C297" s="34" t="s">
        <v>256</v>
      </c>
      <c r="D297" s="35" t="s">
        <v>1200</v>
      </c>
      <c r="E297" s="45" t="s">
        <v>1189</v>
      </c>
      <c r="F297" s="22" t="str">
        <f>+VLOOKUP(A297,'[1]Proveedor-Comprador'!A:D,4,0)</f>
        <v>SHANGHAI JINGSHI ELECTRIC</v>
      </c>
      <c r="G297" s="36" t="s">
        <v>267</v>
      </c>
      <c r="H297" s="39"/>
      <c r="I297" s="24" t="str">
        <f>+VLOOKUP(A297,[2]Hoja1!$A:$A,1,0)</f>
        <v>W11501485</v>
      </c>
    </row>
    <row r="298" spans="1:9" ht="15.75" customHeight="1" x14ac:dyDescent="0.2">
      <c r="A298" s="36" t="s">
        <v>1201</v>
      </c>
      <c r="B298" s="38" t="s">
        <v>1197</v>
      </c>
      <c r="C298" s="34" t="s">
        <v>256</v>
      </c>
      <c r="D298" s="35" t="s">
        <v>1202</v>
      </c>
      <c r="E298" s="45" t="s">
        <v>1189</v>
      </c>
      <c r="F298" s="22" t="str">
        <f>+VLOOKUP(A298,'[1]Proveedor-Comprador'!A:D,4,0)</f>
        <v>SHANGHAI JINGSHI ELECTRIC</v>
      </c>
      <c r="G298" s="36" t="s">
        <v>267</v>
      </c>
      <c r="H298" s="39"/>
      <c r="I298" s="24" t="str">
        <f>+VLOOKUP(A298,[2]Hoja1!$A:$A,1,0)</f>
        <v>W11501481</v>
      </c>
    </row>
    <row r="299" spans="1:9" ht="15.75" customHeight="1" x14ac:dyDescent="0.2">
      <c r="A299" s="36" t="s">
        <v>1203</v>
      </c>
      <c r="B299" s="38" t="s">
        <v>1194</v>
      </c>
      <c r="C299" s="34" t="s">
        <v>256</v>
      </c>
      <c r="D299" s="35" t="s">
        <v>1204</v>
      </c>
      <c r="E299" s="45" t="s">
        <v>1189</v>
      </c>
      <c r="F299" s="22" t="str">
        <f>+VLOOKUP(A299,'[1]Proveedor-Comprador'!A:D,4,0)</f>
        <v>SHANGHAI JINGSHI ELECTRIC</v>
      </c>
      <c r="G299" s="36" t="s">
        <v>267</v>
      </c>
      <c r="H299" s="39"/>
      <c r="I299" s="24" t="str">
        <f>+VLOOKUP(A299,[2]Hoja1!$A:$A,1,0)</f>
        <v>W11501486</v>
      </c>
    </row>
    <row r="300" spans="1:9" ht="15.75" customHeight="1" x14ac:dyDescent="0.2">
      <c r="A300" s="36" t="s">
        <v>1205</v>
      </c>
      <c r="B300" s="38" t="s">
        <v>1191</v>
      </c>
      <c r="C300" s="34" t="s">
        <v>256</v>
      </c>
      <c r="D300" s="35" t="s">
        <v>1206</v>
      </c>
      <c r="E300" s="45" t="s">
        <v>1189</v>
      </c>
      <c r="F300" s="22" t="str">
        <f>+VLOOKUP(A300,'[1]Proveedor-Comprador'!A:D,4,0)</f>
        <v>SHANGHAI JINGSHI ELECTRIC</v>
      </c>
      <c r="G300" s="36" t="s">
        <v>267</v>
      </c>
      <c r="H300" s="39"/>
      <c r="I300" s="24" t="str">
        <f>+VLOOKUP(A300,[2]Hoja1!$A:$A,1,0)</f>
        <v>W11682101</v>
      </c>
    </row>
    <row r="301" spans="1:9" ht="15.75" customHeight="1" x14ac:dyDescent="0.2">
      <c r="A301" s="36" t="s">
        <v>1207</v>
      </c>
      <c r="B301" s="38" t="s">
        <v>1194</v>
      </c>
      <c r="C301" s="34" t="s">
        <v>256</v>
      </c>
      <c r="D301" s="35" t="s">
        <v>1208</v>
      </c>
      <c r="E301" s="45" t="s">
        <v>1189</v>
      </c>
      <c r="F301" s="22" t="str">
        <f>+VLOOKUP(A301,'[1]Proveedor-Comprador'!A:D,4,0)</f>
        <v>SHANGHAI JINGSHI ELECTRIC</v>
      </c>
      <c r="G301" s="36" t="s">
        <v>267</v>
      </c>
      <c r="H301" s="39"/>
      <c r="I301" s="24" t="str">
        <f>+VLOOKUP(A301,[2]Hoja1!$A:$A,1,0)</f>
        <v>W11525594</v>
      </c>
    </row>
    <row r="302" spans="1:9" ht="15.75" customHeight="1" x14ac:dyDescent="0.2">
      <c r="A302" s="36" t="s">
        <v>1209</v>
      </c>
      <c r="B302" s="38" t="s">
        <v>1197</v>
      </c>
      <c r="C302" s="34" t="s">
        <v>256</v>
      </c>
      <c r="D302" s="35" t="s">
        <v>1210</v>
      </c>
      <c r="E302" s="45" t="s">
        <v>1189</v>
      </c>
      <c r="F302" s="22" t="str">
        <f>+VLOOKUP(A302,'[1]Proveedor-Comprador'!A:D,4,0)</f>
        <v>SHANGHAI JINGSHI ELECTRIC</v>
      </c>
      <c r="G302" s="36" t="s">
        <v>267</v>
      </c>
      <c r="H302" s="39"/>
      <c r="I302" s="24" t="str">
        <f>+VLOOKUP(A302,[2]Hoja1!$A:$A,1,0)</f>
        <v>W11501474</v>
      </c>
    </row>
    <row r="303" spans="1:9" ht="15.75" customHeight="1" x14ac:dyDescent="0.2">
      <c r="A303" s="36" t="s">
        <v>1211</v>
      </c>
      <c r="B303" s="38" t="s">
        <v>1197</v>
      </c>
      <c r="C303" s="34" t="s">
        <v>256</v>
      </c>
      <c r="D303" s="35" t="s">
        <v>1212</v>
      </c>
      <c r="E303" s="45" t="s">
        <v>1189</v>
      </c>
      <c r="F303" s="22" t="str">
        <f>+VLOOKUP(A303,'[1]Proveedor-Comprador'!A:D,4,0)</f>
        <v>SHANGHAI JINGSHI ELECTRIC</v>
      </c>
      <c r="G303" s="36" t="s">
        <v>267</v>
      </c>
      <c r="H303" s="39"/>
      <c r="I303" s="24" t="str">
        <f>+VLOOKUP(A303,[2]Hoja1!$A:$A,1,0)</f>
        <v>W11501475</v>
      </c>
    </row>
    <row r="304" spans="1:9" ht="15.75" customHeight="1" x14ac:dyDescent="0.2">
      <c r="A304" s="36" t="s">
        <v>1213</v>
      </c>
      <c r="B304" s="38" t="s">
        <v>1194</v>
      </c>
      <c r="C304" s="34" t="s">
        <v>256</v>
      </c>
      <c r="D304" s="35" t="s">
        <v>1214</v>
      </c>
      <c r="E304" s="45" t="s">
        <v>1189</v>
      </c>
      <c r="F304" s="22" t="str">
        <f>+VLOOKUP(A304,'[1]Proveedor-Comprador'!A:D,4,0)</f>
        <v>SHANGHAI JINGSHI ELECTRIC</v>
      </c>
      <c r="G304" s="36" t="s">
        <v>267</v>
      </c>
      <c r="H304" s="39"/>
      <c r="I304" s="24" t="str">
        <f>+VLOOKUP(A304,[2]Hoja1!$A:$A,1,0)</f>
        <v>W11501477</v>
      </c>
    </row>
    <row r="305" spans="1:9" ht="15.75" customHeight="1" x14ac:dyDescent="0.2">
      <c r="A305" s="36" t="s">
        <v>1215</v>
      </c>
      <c r="B305" s="38" t="s">
        <v>1194</v>
      </c>
      <c r="C305" s="34" t="s">
        <v>256</v>
      </c>
      <c r="D305" s="35" t="s">
        <v>1216</v>
      </c>
      <c r="E305" s="45" t="s">
        <v>1189</v>
      </c>
      <c r="F305" s="22" t="str">
        <f>+VLOOKUP(A305,'[1]Proveedor-Comprador'!A:D,4,0)</f>
        <v>SHANGHAI JINGSHI ELECTRIC</v>
      </c>
      <c r="G305" s="36" t="s">
        <v>267</v>
      </c>
      <c r="H305" s="39"/>
      <c r="I305" s="24" t="str">
        <f>+VLOOKUP(A305,[2]Hoja1!$A:$A,1,0)</f>
        <v>W11525592</v>
      </c>
    </row>
    <row r="306" spans="1:9" ht="15.75" customHeight="1" x14ac:dyDescent="0.2">
      <c r="A306" s="36" t="s">
        <v>1217</v>
      </c>
      <c r="B306" s="38" t="s">
        <v>309</v>
      </c>
      <c r="C306" s="34" t="s">
        <v>256</v>
      </c>
      <c r="D306" s="35" t="s">
        <v>1218</v>
      </c>
      <c r="E306" s="45" t="s">
        <v>311</v>
      </c>
      <c r="F306" s="22" t="str">
        <f>+VLOOKUP(A306,'[1]Proveedor-Comprador'!A:D,4,0)</f>
        <v>SHANGHAI JINGSHI ELECTRIC</v>
      </c>
      <c r="G306" s="36" t="s">
        <v>312</v>
      </c>
      <c r="H306" s="39"/>
      <c r="I306" s="24" t="str">
        <f>+VLOOKUP(A306,[2]Hoja1!$A:$A,1,0)</f>
        <v>W11548416</v>
      </c>
    </row>
    <row r="307" spans="1:9" ht="15.75" customHeight="1" x14ac:dyDescent="0.2">
      <c r="A307" s="36" t="s">
        <v>1219</v>
      </c>
      <c r="B307" s="38" t="s">
        <v>309</v>
      </c>
      <c r="C307" s="34" t="s">
        <v>256</v>
      </c>
      <c r="D307" s="35" t="s">
        <v>1220</v>
      </c>
      <c r="E307" s="45" t="s">
        <v>311</v>
      </c>
      <c r="F307" s="22" t="str">
        <f>+VLOOKUP(A307,'[1]Proveedor-Comprador'!A:D,4,0)</f>
        <v>SHANGHAI JINGSHI ELECTRIC</v>
      </c>
      <c r="G307" s="36" t="s">
        <v>267</v>
      </c>
      <c r="H307" s="39"/>
      <c r="I307" s="24" t="str">
        <f>+VLOOKUP(A307,[2]Hoja1!$A:$A,1,0)</f>
        <v>W11707206</v>
      </c>
    </row>
    <row r="308" spans="1:9" ht="15.75" customHeight="1" x14ac:dyDescent="0.2">
      <c r="A308" s="36" t="s">
        <v>1221</v>
      </c>
      <c r="B308" s="38" t="s">
        <v>309</v>
      </c>
      <c r="C308" s="34" t="s">
        <v>256</v>
      </c>
      <c r="D308" s="35" t="s">
        <v>1222</v>
      </c>
      <c r="E308" s="45" t="s">
        <v>311</v>
      </c>
      <c r="F308" s="22" t="str">
        <f>+VLOOKUP(A308,'[1]Proveedor-Comprador'!A:D,4,0)</f>
        <v>SHANGHAI JINGSHI ELECTRIC</v>
      </c>
      <c r="G308" s="36" t="s">
        <v>312</v>
      </c>
      <c r="H308" s="39"/>
      <c r="I308" s="24" t="str">
        <f>+VLOOKUP(A308,[2]Hoja1!$A:$A,1,0)</f>
        <v>W11548420</v>
      </c>
    </row>
    <row r="309" spans="1:9" ht="15.75" customHeight="1" x14ac:dyDescent="0.2">
      <c r="A309" s="36" t="s">
        <v>1223</v>
      </c>
      <c r="B309" s="38" t="s">
        <v>309</v>
      </c>
      <c r="C309" s="34" t="s">
        <v>256</v>
      </c>
      <c r="D309" s="35" t="s">
        <v>1224</v>
      </c>
      <c r="E309" s="45" t="s">
        <v>311</v>
      </c>
      <c r="F309" s="22" t="str">
        <f>+VLOOKUP(A309,'[1]Proveedor-Comprador'!A:D,4,0)</f>
        <v>SHANGHAI JINGSHI ELECTRIC</v>
      </c>
      <c r="G309" s="36" t="s">
        <v>312</v>
      </c>
      <c r="H309" s="39"/>
      <c r="I309" s="24" t="str">
        <f>+VLOOKUP(A309,[2]Hoja1!$A:$A,1,0)</f>
        <v>W11688393</v>
      </c>
    </row>
    <row r="310" spans="1:9" ht="15.75" customHeight="1" x14ac:dyDescent="0.2">
      <c r="A310" s="36" t="s">
        <v>1225</v>
      </c>
      <c r="B310" s="38" t="s">
        <v>309</v>
      </c>
      <c r="C310" s="34" t="s">
        <v>256</v>
      </c>
      <c r="D310" s="35" t="s">
        <v>1226</v>
      </c>
      <c r="E310" s="45" t="s">
        <v>311</v>
      </c>
      <c r="F310" s="22" t="str">
        <f>+VLOOKUP(A310,'[1]Proveedor-Comprador'!A:D,4,0)</f>
        <v>SHANGHAI JINGSHI ELECTRIC</v>
      </c>
      <c r="G310" s="36" t="s">
        <v>312</v>
      </c>
      <c r="H310" s="39"/>
      <c r="I310" s="24" t="str">
        <f>+VLOOKUP(A310,[2]Hoja1!$A:$A,1,0)</f>
        <v>W11690228</v>
      </c>
    </row>
    <row r="311" spans="1:9" ht="15.75" customHeight="1" x14ac:dyDescent="0.2">
      <c r="A311" s="36" t="s">
        <v>1227</v>
      </c>
      <c r="B311" s="38" t="s">
        <v>1228</v>
      </c>
      <c r="C311" s="34" t="s">
        <v>256</v>
      </c>
      <c r="D311" s="35" t="s">
        <v>1229</v>
      </c>
      <c r="E311" s="45" t="s">
        <v>311</v>
      </c>
      <c r="F311" s="22" t="str">
        <f>+VLOOKUP(A311,'[1]Proveedor-Comprador'!A:D,4,0)</f>
        <v>INDEMETAL ETIQUETAS METÁLICAS LTD</v>
      </c>
      <c r="G311" s="36" t="s">
        <v>342</v>
      </c>
      <c r="H311" s="39"/>
      <c r="I311" s="24" t="str">
        <f>+VLOOKUP(A311,[2]Hoja1!$A:$A,1,0)</f>
        <v>W11672696</v>
      </c>
    </row>
    <row r="312" spans="1:9" ht="15.75" customHeight="1" x14ac:dyDescent="0.2">
      <c r="A312" s="36" t="s">
        <v>1230</v>
      </c>
      <c r="B312" s="38" t="s">
        <v>1231</v>
      </c>
      <c r="C312" s="34" t="s">
        <v>256</v>
      </c>
      <c r="D312" s="35" t="s">
        <v>1232</v>
      </c>
      <c r="E312" s="45" t="s">
        <v>311</v>
      </c>
      <c r="F312" s="22" t="str">
        <f>+VLOOKUP(A312,'[1]Proveedor-Comprador'!A:D,4,0)</f>
        <v>INDEMETAL ETIQUETAS METÁLICAS LTD</v>
      </c>
      <c r="G312" s="36" t="s">
        <v>342</v>
      </c>
      <c r="H312" s="39"/>
      <c r="I312" s="24" t="str">
        <f>+VLOOKUP(A312,[2]Hoja1!$A:$A,1,0)</f>
        <v>W11672697</v>
      </c>
    </row>
    <row r="313" spans="1:9" ht="15.75" customHeight="1" x14ac:dyDescent="0.2">
      <c r="A313" s="36" t="s">
        <v>1233</v>
      </c>
      <c r="B313" s="38" t="s">
        <v>309</v>
      </c>
      <c r="C313" s="34" t="s">
        <v>256</v>
      </c>
      <c r="D313" s="35" t="s">
        <v>1234</v>
      </c>
      <c r="E313" s="45" t="s">
        <v>311</v>
      </c>
      <c r="F313" s="22" t="str">
        <f>+VLOOKUP(A313,'[1]Proveedor-Comprador'!A:D,4,0)</f>
        <v>SHANGHAI JINGSHI ELECTRIC</v>
      </c>
      <c r="G313" s="36" t="s">
        <v>267</v>
      </c>
      <c r="H313" s="39"/>
      <c r="I313" s="24" t="str">
        <f>+VLOOKUP(A313,[2]Hoja1!$A:$A,1,0)</f>
        <v>W11707199</v>
      </c>
    </row>
    <row r="314" spans="1:9" ht="15.75" customHeight="1" x14ac:dyDescent="0.2">
      <c r="A314" s="36" t="s">
        <v>1235</v>
      </c>
      <c r="B314" s="38" t="s">
        <v>309</v>
      </c>
      <c r="C314" s="34" t="s">
        <v>256</v>
      </c>
      <c r="D314" s="35" t="s">
        <v>1236</v>
      </c>
      <c r="E314" s="45" t="s">
        <v>311</v>
      </c>
      <c r="F314" s="22" t="str">
        <f>+VLOOKUP(A314,'[1]Proveedor-Comprador'!A:D,4,0)</f>
        <v>SHANGHAI JINGSHI ELECTRIC</v>
      </c>
      <c r="G314" s="36" t="s">
        <v>267</v>
      </c>
      <c r="H314" s="39"/>
      <c r="I314" s="24" t="str">
        <f>+VLOOKUP(A314,[2]Hoja1!$A:$A,1,0)</f>
        <v>W11707205</v>
      </c>
    </row>
    <row r="315" spans="1:9" ht="15.75" customHeight="1" x14ac:dyDescent="0.2">
      <c r="A315" s="36" t="s">
        <v>1237</v>
      </c>
      <c r="B315" s="38" t="s">
        <v>309</v>
      </c>
      <c r="C315" s="34" t="s">
        <v>256</v>
      </c>
      <c r="D315" s="35" t="s">
        <v>1238</v>
      </c>
      <c r="E315" s="45" t="s">
        <v>311</v>
      </c>
      <c r="F315" s="22" t="str">
        <f>+VLOOKUP(A315,'[1]Proveedor-Comprador'!A:D,4,0)</f>
        <v>SHANGHAI JINGSHI ELECTRIC</v>
      </c>
      <c r="G315" s="36" t="s">
        <v>267</v>
      </c>
      <c r="H315" s="39"/>
      <c r="I315" s="24" t="str">
        <f>+VLOOKUP(A315,[2]Hoja1!$A:$A,1,0)</f>
        <v>W11638748</v>
      </c>
    </row>
    <row r="316" spans="1:9" ht="15.75" customHeight="1" x14ac:dyDescent="0.2">
      <c r="A316" s="36" t="s">
        <v>1239</v>
      </c>
      <c r="B316" s="38" t="s">
        <v>1240</v>
      </c>
      <c r="C316" s="34" t="s">
        <v>256</v>
      </c>
      <c r="D316" s="35" t="s">
        <v>1241</v>
      </c>
      <c r="E316" s="45" t="s">
        <v>311</v>
      </c>
      <c r="F316" s="22" t="str">
        <f>+VLOOKUP(A316,'[1]Proveedor-Comprador'!A:D,4,0)</f>
        <v>SHANGHAI JINGSHI ELECTRIC</v>
      </c>
      <c r="G316" s="36" t="s">
        <v>312</v>
      </c>
      <c r="H316" s="39"/>
      <c r="I316" s="24" t="str">
        <f>+VLOOKUP(A316,[2]Hoja1!$A:$A,1,0)</f>
        <v>W11688390</v>
      </c>
    </row>
    <row r="317" spans="1:9" ht="15.75" customHeight="1" x14ac:dyDescent="0.2">
      <c r="A317" s="36" t="s">
        <v>1242</v>
      </c>
      <c r="B317" s="38" t="s">
        <v>318</v>
      </c>
      <c r="C317" s="34" t="s">
        <v>256</v>
      </c>
      <c r="D317" s="35" t="s">
        <v>1243</v>
      </c>
      <c r="E317" s="45" t="s">
        <v>311</v>
      </c>
      <c r="F317" s="22" t="str">
        <f>+VLOOKUP(A317,'[1]Proveedor-Comprador'!A:D,4,0)</f>
        <v>SHANGHAI JINGSHI ELECTRIC</v>
      </c>
      <c r="G317" s="36" t="s">
        <v>312</v>
      </c>
      <c r="H317" s="39"/>
      <c r="I317" s="24" t="str">
        <f>+VLOOKUP(A317,[2]Hoja1!$A:$A,1,0)</f>
        <v>W11547341</v>
      </c>
    </row>
    <row r="318" spans="1:9" ht="15.75" customHeight="1" x14ac:dyDescent="0.2">
      <c r="A318" s="36" t="s">
        <v>1244</v>
      </c>
      <c r="B318" s="38" t="s">
        <v>318</v>
      </c>
      <c r="C318" s="34" t="s">
        <v>256</v>
      </c>
      <c r="D318" s="35" t="s">
        <v>1245</v>
      </c>
      <c r="E318" s="45" t="s">
        <v>311</v>
      </c>
      <c r="F318" s="22" t="str">
        <f>+VLOOKUP(A318,'[1]Proveedor-Comprador'!A:D,4,0)</f>
        <v>SHANGHAI JINGSHI ELECTRIC</v>
      </c>
      <c r="G318" s="36" t="s">
        <v>312</v>
      </c>
      <c r="H318" s="39"/>
      <c r="I318" s="24" t="str">
        <f>+VLOOKUP(A318,[2]Hoja1!$A:$A,1,0)</f>
        <v>W11382983</v>
      </c>
    </row>
    <row r="319" spans="1:9" ht="15.75" customHeight="1" x14ac:dyDescent="0.2">
      <c r="A319" s="36" t="s">
        <v>1246</v>
      </c>
      <c r="B319" s="38" t="s">
        <v>309</v>
      </c>
      <c r="C319" s="34" t="s">
        <v>256</v>
      </c>
      <c r="D319" s="35" t="s">
        <v>1247</v>
      </c>
      <c r="E319" s="45" t="s">
        <v>311</v>
      </c>
      <c r="F319" s="22" t="str">
        <f>+VLOOKUP(A319,'[1]Proveedor-Comprador'!A:D,4,0)</f>
        <v>SHANGHAI JINGSHI ELECTRIC</v>
      </c>
      <c r="G319" s="36" t="s">
        <v>267</v>
      </c>
      <c r="H319" s="39"/>
      <c r="I319" s="24" t="str">
        <f>+VLOOKUP(A319,[2]Hoja1!$A:$A,1,0)</f>
        <v>W11707201</v>
      </c>
    </row>
    <row r="320" spans="1:9" ht="15.75" customHeight="1" x14ac:dyDescent="0.2">
      <c r="A320" s="36" t="s">
        <v>1248</v>
      </c>
      <c r="B320" s="38" t="s">
        <v>309</v>
      </c>
      <c r="C320" s="34" t="s">
        <v>256</v>
      </c>
      <c r="D320" s="35" t="s">
        <v>1249</v>
      </c>
      <c r="E320" s="45" t="s">
        <v>311</v>
      </c>
      <c r="F320" s="22" t="str">
        <f>+VLOOKUP(A320,'[1]Proveedor-Comprador'!A:D,4,0)</f>
        <v>SHANGHAI JINGSHI ELECTRIC</v>
      </c>
      <c r="G320" s="36" t="s">
        <v>312</v>
      </c>
      <c r="H320" s="39"/>
      <c r="I320" s="24" t="str">
        <f>+VLOOKUP(A320,[2]Hoja1!$A:$A,1,0)</f>
        <v>W11487592</v>
      </c>
    </row>
    <row r="321" spans="1:9" ht="15.75" customHeight="1" x14ac:dyDescent="0.2">
      <c r="A321" s="36" t="s">
        <v>1250</v>
      </c>
      <c r="B321" s="38" t="s">
        <v>309</v>
      </c>
      <c r="C321" s="34" t="s">
        <v>256</v>
      </c>
      <c r="D321" s="35" t="s">
        <v>1251</v>
      </c>
      <c r="E321" s="45" t="s">
        <v>311</v>
      </c>
      <c r="F321" s="22" t="str">
        <f>+VLOOKUP(A321,'[1]Proveedor-Comprador'!A:D,4,0)</f>
        <v>SHANGHAI JINGSHI ELECTRIC</v>
      </c>
      <c r="G321" s="36" t="s">
        <v>267</v>
      </c>
      <c r="H321" s="39"/>
      <c r="I321" s="24" t="str">
        <f>+VLOOKUP(A321,[2]Hoja1!$A:$A,1,0)</f>
        <v>W11502601</v>
      </c>
    </row>
    <row r="322" spans="1:9" ht="15.75" customHeight="1" x14ac:dyDescent="0.2">
      <c r="A322" s="36" t="s">
        <v>1252</v>
      </c>
      <c r="B322" s="38" t="s">
        <v>309</v>
      </c>
      <c r="C322" s="34" t="s">
        <v>256</v>
      </c>
      <c r="D322" s="35" t="s">
        <v>1253</v>
      </c>
      <c r="E322" s="45" t="s">
        <v>311</v>
      </c>
      <c r="F322" s="22" t="str">
        <f>+VLOOKUP(A322,'[1]Proveedor-Comprador'!A:D,4,0)</f>
        <v>SHANGHAI JINGSHI ELECTRIC</v>
      </c>
      <c r="G322" s="36" t="s">
        <v>267</v>
      </c>
      <c r="H322" s="39"/>
      <c r="I322" s="24" t="str">
        <f>+VLOOKUP(A322,[2]Hoja1!$A:$A,1,0)</f>
        <v>W11502616</v>
      </c>
    </row>
    <row r="323" spans="1:9" ht="15.75" customHeight="1" x14ac:dyDescent="0.2">
      <c r="A323" s="36" t="s">
        <v>1254</v>
      </c>
      <c r="B323" s="38" t="s">
        <v>1255</v>
      </c>
      <c r="C323" s="34" t="s">
        <v>256</v>
      </c>
      <c r="D323" s="35" t="s">
        <v>1255</v>
      </c>
      <c r="E323" s="45" t="s">
        <v>311</v>
      </c>
      <c r="F323" s="22" t="str">
        <f>+VLOOKUP(A323,'[1]Proveedor-Comprador'!A:D,4,0)</f>
        <v>SHANGHAI JINGSHI ELECTRIC</v>
      </c>
      <c r="G323" s="36" t="s">
        <v>312</v>
      </c>
      <c r="H323" s="39"/>
      <c r="I323" s="24" t="str">
        <f>+VLOOKUP(A323,[2]Hoja1!$A:$A,1,0)</f>
        <v>W11035715</v>
      </c>
    </row>
    <row r="324" spans="1:9" ht="15.75" customHeight="1" x14ac:dyDescent="0.2">
      <c r="A324" s="36" t="s">
        <v>1256</v>
      </c>
      <c r="B324" s="38" t="s">
        <v>318</v>
      </c>
      <c r="C324" s="34" t="s">
        <v>256</v>
      </c>
      <c r="D324" s="35" t="s">
        <v>1257</v>
      </c>
      <c r="E324" s="45" t="s">
        <v>311</v>
      </c>
      <c r="F324" s="22" t="str">
        <f>+VLOOKUP(A324,'[1]Proveedor-Comprador'!A:D,4,0)</f>
        <v>SHANGHAI JINGSHI ELECTRIC</v>
      </c>
      <c r="G324" s="36" t="s">
        <v>312</v>
      </c>
      <c r="H324" s="39"/>
      <c r="I324" s="24" t="str">
        <f>+VLOOKUP(A324,[2]Hoja1!$A:$A,1,0)</f>
        <v>W11125982</v>
      </c>
    </row>
    <row r="325" spans="1:9" ht="15.75" customHeight="1" x14ac:dyDescent="0.2">
      <c r="A325" s="36" t="s">
        <v>1258</v>
      </c>
      <c r="B325" s="38" t="s">
        <v>1259</v>
      </c>
      <c r="C325" s="34" t="s">
        <v>256</v>
      </c>
      <c r="D325" s="35" t="s">
        <v>1260</v>
      </c>
      <c r="E325" s="45" t="s">
        <v>1261</v>
      </c>
      <c r="F325" s="22" t="str">
        <f>+VLOOKUP(A325,'[1]Proveedor-Comprador'!A:D,4,0)</f>
        <v>METALURGICA GUAPORE LTDA</v>
      </c>
      <c r="G325" s="36" t="s">
        <v>312</v>
      </c>
      <c r="H325" s="39"/>
      <c r="I325" s="24" t="str">
        <f>+VLOOKUP(A325,[2]Hoja1!$A:$A,1,0)</f>
        <v>W10655120</v>
      </c>
    </row>
    <row r="326" spans="1:9" ht="15.75" customHeight="1" x14ac:dyDescent="0.2">
      <c r="A326" s="36" t="s">
        <v>1262</v>
      </c>
      <c r="B326" s="38" t="s">
        <v>1263</v>
      </c>
      <c r="C326" s="34" t="s">
        <v>256</v>
      </c>
      <c r="D326" s="35" t="s">
        <v>1264</v>
      </c>
      <c r="E326" s="45" t="s">
        <v>1265</v>
      </c>
      <c r="F326" s="22" t="str">
        <f>+VLOOKUP(A326,'[1]Proveedor-Comprador'!A:D,4,0)</f>
        <v>Welling</v>
      </c>
      <c r="G326" s="36" t="s">
        <v>284</v>
      </c>
      <c r="H326" s="39"/>
      <c r="I326" s="24" t="str">
        <f>+VLOOKUP(A326,[2]Hoja1!$A:$A,1,0)</f>
        <v>W11230602</v>
      </c>
    </row>
    <row r="327" spans="1:9" ht="15.75" customHeight="1" x14ac:dyDescent="0.2">
      <c r="A327" s="36" t="s">
        <v>1266</v>
      </c>
      <c r="B327" s="38" t="s">
        <v>1267</v>
      </c>
      <c r="C327" s="34" t="s">
        <v>256</v>
      </c>
      <c r="D327" s="35" t="s">
        <v>1268</v>
      </c>
      <c r="E327" s="45" t="s">
        <v>1265</v>
      </c>
      <c r="F327" s="22" t="str">
        <f>+VLOOKUP(A327,'[1]Proveedor-Comprador'!A:D,4,0)</f>
        <v>Welling</v>
      </c>
      <c r="G327" s="36" t="s">
        <v>284</v>
      </c>
      <c r="H327" s="39"/>
      <c r="I327" s="24" t="str">
        <f>+VLOOKUP(A327,[2]Hoja1!$A:$A,1,0)</f>
        <v>W11195522</v>
      </c>
    </row>
    <row r="328" spans="1:9" ht="15.75" customHeight="1" x14ac:dyDescent="0.2">
      <c r="A328" s="36" t="s">
        <v>1269</v>
      </c>
      <c r="B328" s="38" t="s">
        <v>1270</v>
      </c>
      <c r="C328" s="34" t="s">
        <v>256</v>
      </c>
      <c r="D328" s="35" t="s">
        <v>1271</v>
      </c>
      <c r="E328" s="45" t="s">
        <v>1265</v>
      </c>
      <c r="F328" s="22" t="str">
        <f>+VLOOKUP(A328,'[1]Proveedor-Comprador'!A:D,4,0)</f>
        <v>Welling</v>
      </c>
      <c r="G328" s="36" t="s">
        <v>284</v>
      </c>
      <c r="H328" s="39"/>
      <c r="I328" s="24" t="str">
        <f>+VLOOKUP(A328,[2]Hoja1!$A:$A,1,0)</f>
        <v>W11195520</v>
      </c>
    </row>
    <row r="329" spans="1:9" ht="15.75" customHeight="1" x14ac:dyDescent="0.2">
      <c r="A329" s="36" t="s">
        <v>1272</v>
      </c>
      <c r="B329" s="38" t="s">
        <v>1273</v>
      </c>
      <c r="C329" s="34" t="s">
        <v>256</v>
      </c>
      <c r="D329" s="35" t="s">
        <v>1274</v>
      </c>
      <c r="E329" s="45" t="s">
        <v>1265</v>
      </c>
      <c r="F329" s="22" t="str">
        <f>+VLOOKUP(A329,'[1]Proveedor-Comprador'!A:D,4,0)</f>
        <v>Welling</v>
      </c>
      <c r="G329" s="36" t="s">
        <v>284</v>
      </c>
      <c r="H329" s="39"/>
      <c r="I329" s="24" t="str">
        <f>+VLOOKUP(A329,[2]Hoja1!$A:$A,1,0)</f>
        <v>W11195521</v>
      </c>
    </row>
    <row r="330" spans="1:9" ht="15.75" customHeight="1" x14ac:dyDescent="0.2">
      <c r="A330" s="36" t="s">
        <v>1275</v>
      </c>
      <c r="B330" s="38" t="s">
        <v>1276</v>
      </c>
      <c r="C330" s="34" t="s">
        <v>256</v>
      </c>
      <c r="D330" s="35" t="s">
        <v>1277</v>
      </c>
      <c r="E330" s="45" t="s">
        <v>1276</v>
      </c>
      <c r="F330" s="22" t="str">
        <f>+VLOOKUP(A330,'[1]Proveedor-Comprador'!A:D,4,0)</f>
        <v>Riduco S.A.</v>
      </c>
      <c r="G330" s="36" t="s">
        <v>267</v>
      </c>
      <c r="H330" s="39"/>
      <c r="I330" s="24" t="str">
        <f>+VLOOKUP(A330,[2]Hoja1!$A:$A,1,0)</f>
        <v>W11496614</v>
      </c>
    </row>
    <row r="331" spans="1:9" ht="15.75" customHeight="1" x14ac:dyDescent="0.2">
      <c r="A331" s="36" t="s">
        <v>1278</v>
      </c>
      <c r="B331" s="38" t="s">
        <v>1279</v>
      </c>
      <c r="C331" s="34" t="s">
        <v>256</v>
      </c>
      <c r="D331" s="35" t="s">
        <v>1280</v>
      </c>
      <c r="E331" s="45" t="s">
        <v>1276</v>
      </c>
      <c r="F331" s="22" t="str">
        <f>+VLOOKUP(A331,'[1]Proveedor-Comprador'!A:D,4,0)</f>
        <v>Riduco S.A.</v>
      </c>
      <c r="G331" s="36" t="s">
        <v>312</v>
      </c>
      <c r="H331" s="39"/>
      <c r="I331" s="24" t="str">
        <f>+VLOOKUP(A331,[2]Hoja1!$A:$A,1,0)</f>
        <v>W11433901</v>
      </c>
    </row>
    <row r="332" spans="1:9" ht="15.75" customHeight="1" x14ac:dyDescent="0.2">
      <c r="A332" s="36" t="s">
        <v>1281</v>
      </c>
      <c r="B332" s="38" t="s">
        <v>1282</v>
      </c>
      <c r="C332" s="34" t="s">
        <v>256</v>
      </c>
      <c r="D332" s="35" t="s">
        <v>1283</v>
      </c>
      <c r="E332" s="45" t="s">
        <v>1276</v>
      </c>
      <c r="F332" s="22" t="str">
        <f>+VLOOKUP(A332,'[1]Proveedor-Comprador'!A:D,4,0)</f>
        <v>Riduco S.A.</v>
      </c>
      <c r="G332" s="36" t="s">
        <v>312</v>
      </c>
      <c r="H332" s="39"/>
      <c r="I332" s="24" t="str">
        <f>+VLOOKUP(A332,[2]Hoja1!$A:$A,1,0)</f>
        <v>W10694416</v>
      </c>
    </row>
    <row r="333" spans="1:9" ht="15.75" customHeight="1" x14ac:dyDescent="0.2">
      <c r="A333" s="36" t="s">
        <v>1284</v>
      </c>
      <c r="B333" s="38" t="s">
        <v>1285</v>
      </c>
      <c r="C333" s="34" t="s">
        <v>256</v>
      </c>
      <c r="D333" s="35" t="s">
        <v>1286</v>
      </c>
      <c r="E333" s="45" t="s">
        <v>1287</v>
      </c>
      <c r="F333" s="22" t="str">
        <f>+VLOOKUP(A333,'[1]Proveedor-Comprador'!A:D,4,0)</f>
        <v>TONELUCK INTERNATIONAL IN</v>
      </c>
      <c r="G333" s="36" t="s">
        <v>284</v>
      </c>
      <c r="H333" s="39"/>
      <c r="I333" s="24" t="str">
        <f>+VLOOKUP(A333,[2]Hoja1!$A:$A,1,0)</f>
        <v>W10691654</v>
      </c>
    </row>
    <row r="334" spans="1:9" ht="15.75" customHeight="1" x14ac:dyDescent="0.2">
      <c r="A334" s="36" t="s">
        <v>31</v>
      </c>
      <c r="B334" s="38" t="s">
        <v>32</v>
      </c>
      <c r="C334" s="34" t="s">
        <v>256</v>
      </c>
      <c r="D334" s="35" t="s">
        <v>1288</v>
      </c>
      <c r="E334" s="45" t="s">
        <v>1289</v>
      </c>
      <c r="F334" s="22" t="str">
        <f>+VLOOKUP(A334,'[1]Proveedor-Comprador'!A:D,4,0)</f>
        <v>Whirlpool S/A</v>
      </c>
      <c r="G334" s="36" t="s">
        <v>312</v>
      </c>
      <c r="H334" s="39"/>
      <c r="I334" s="24" t="str">
        <f>+VLOOKUP(A334,[2]Hoja1!$A:$A,1,0)</f>
        <v>W10777493</v>
      </c>
    </row>
    <row r="335" spans="1:9" ht="15.75" customHeight="1" x14ac:dyDescent="0.2">
      <c r="A335" s="36" t="s">
        <v>1290</v>
      </c>
      <c r="B335" s="38" t="s">
        <v>32</v>
      </c>
      <c r="C335" s="34" t="s">
        <v>256</v>
      </c>
      <c r="D335" s="35" t="s">
        <v>1291</v>
      </c>
      <c r="E335" s="45" t="s">
        <v>1289</v>
      </c>
      <c r="F335" s="22" t="str">
        <f>+VLOOKUP(A335,'[1]Proveedor-Comprador'!A:D,4,0)</f>
        <v>Whirlpool S/A</v>
      </c>
      <c r="G335" s="36" t="s">
        <v>267</v>
      </c>
      <c r="H335" s="39"/>
      <c r="I335" s="24" t="str">
        <f>+VLOOKUP(A335,[2]Hoja1!$A:$A,1,0)</f>
        <v>W11499432</v>
      </c>
    </row>
    <row r="336" spans="1:9" ht="15.75" customHeight="1" x14ac:dyDescent="0.2">
      <c r="A336" s="36" t="s">
        <v>12</v>
      </c>
      <c r="B336" s="38" t="s">
        <v>13</v>
      </c>
      <c r="C336" s="34" t="s">
        <v>256</v>
      </c>
      <c r="D336" s="35" t="s">
        <v>1292</v>
      </c>
      <c r="E336" s="45" t="s">
        <v>1289</v>
      </c>
      <c r="F336" s="22" t="str">
        <f>+VLOOKUP(A336,'[1]Proveedor-Comprador'!A:D,4,0)</f>
        <v>Qijing Machinery Co.,Ltd</v>
      </c>
      <c r="G336" s="36" t="s">
        <v>312</v>
      </c>
      <c r="H336" s="39"/>
      <c r="I336" s="24" t="str">
        <f>+VLOOKUP(A336,[2]Hoja1!$A:$A,1,0)</f>
        <v>W11667597</v>
      </c>
    </row>
    <row r="337" spans="1:9" ht="15.75" customHeight="1" x14ac:dyDescent="0.2">
      <c r="A337" s="36" t="s">
        <v>0</v>
      </c>
      <c r="B337" s="38" t="s">
        <v>1</v>
      </c>
      <c r="C337" s="34" t="s">
        <v>256</v>
      </c>
      <c r="D337" s="35" t="s">
        <v>1293</v>
      </c>
      <c r="E337" s="45" t="s">
        <v>1289</v>
      </c>
      <c r="F337" s="22" t="str">
        <f>+VLOOKUP(A337,'[1]Proveedor-Comprador'!A:D,4,0)</f>
        <v>Qijing Machinery Co.,Ltd</v>
      </c>
      <c r="G337" s="36" t="s">
        <v>267</v>
      </c>
      <c r="H337" s="39"/>
      <c r="I337" s="24" t="str">
        <f>+VLOOKUP(A337,[2]Hoja1!$A:$A,1,0)</f>
        <v>W11667598</v>
      </c>
    </row>
    <row r="338" spans="1:9" ht="15.75" customHeight="1" x14ac:dyDescent="0.2">
      <c r="A338" s="36" t="s">
        <v>1294</v>
      </c>
      <c r="B338" s="38" t="s">
        <v>1295</v>
      </c>
      <c r="C338" s="34" t="s">
        <v>256</v>
      </c>
      <c r="D338" s="35" t="s">
        <v>1296</v>
      </c>
      <c r="E338" s="45" t="s">
        <v>1295</v>
      </c>
      <c r="F338" s="22" t="str">
        <f>+VLOOKUP(A338,'[1]Proveedor-Comprador'!A:D,4,0)</f>
        <v>IBEROTECH S.A.S</v>
      </c>
      <c r="G338" s="36" t="s">
        <v>312</v>
      </c>
      <c r="H338" s="39"/>
      <c r="I338" s="24" t="str">
        <f>+VLOOKUP(A338,[2]Hoja1!$A:$A,1,0)</f>
        <v>W10638576</v>
      </c>
    </row>
    <row r="339" spans="1:9" ht="15.75" customHeight="1" x14ac:dyDescent="0.2">
      <c r="A339" s="36" t="s">
        <v>1297</v>
      </c>
      <c r="B339" s="38" t="s">
        <v>1298</v>
      </c>
      <c r="C339" s="34" t="s">
        <v>256</v>
      </c>
      <c r="D339" s="35" t="s">
        <v>1299</v>
      </c>
      <c r="E339" s="45" t="s">
        <v>275</v>
      </c>
      <c r="F339" s="22" t="str">
        <f>+VLOOKUP(A339,'[1]Proveedor-Comprador'!A:D,4,0)</f>
        <v>FUNDACION CIUDAD DON BOSCO</v>
      </c>
      <c r="G339" s="36" t="s">
        <v>312</v>
      </c>
      <c r="H339" s="39"/>
      <c r="I339" s="24" t="str">
        <f>+VLOOKUP(A339,[2]Hoja1!$A:$A,1,0)</f>
        <v>W11738780</v>
      </c>
    </row>
    <row r="340" spans="1:9" ht="15.75" customHeight="1" x14ac:dyDescent="0.2">
      <c r="A340" s="36" t="s">
        <v>1300</v>
      </c>
      <c r="B340" s="38" t="s">
        <v>1301</v>
      </c>
      <c r="C340" s="34" t="s">
        <v>256</v>
      </c>
      <c r="D340" s="35" t="s">
        <v>1302</v>
      </c>
      <c r="E340" s="45" t="s">
        <v>275</v>
      </c>
      <c r="F340" s="22" t="str">
        <f>+VLOOKUP(A340,'[1]Proveedor-Comprador'!A:D,4,0)</f>
        <v>FUNDACION CIUDAD DON BOSCO</v>
      </c>
      <c r="G340" s="36" t="s">
        <v>267</v>
      </c>
      <c r="H340" s="39"/>
      <c r="I340" s="24" t="str">
        <f>+VLOOKUP(A340,[2]Hoja1!$A:$A,1,0)</f>
        <v>W11740052</v>
      </c>
    </row>
    <row r="341" spans="1:9" ht="15.75" customHeight="1" x14ac:dyDescent="0.2">
      <c r="A341" s="36" t="s">
        <v>1303</v>
      </c>
      <c r="B341" s="38" t="s">
        <v>1304</v>
      </c>
      <c r="C341" s="34" t="s">
        <v>256</v>
      </c>
      <c r="D341" s="35" t="s">
        <v>1305</v>
      </c>
      <c r="E341" s="45" t="s">
        <v>275</v>
      </c>
      <c r="F341" s="22" t="str">
        <f>+VLOOKUP(A341,'[1]Proveedor-Comprador'!A:D,4,0)</f>
        <v>FUNDACION CIUDAD DON BOSCO</v>
      </c>
      <c r="G341" s="36" t="s">
        <v>312</v>
      </c>
      <c r="H341" s="39"/>
      <c r="I341" s="24" t="str">
        <f>+VLOOKUP(A341,[2]Hoja1!$A:$A,1,0)</f>
        <v>W11667030</v>
      </c>
    </row>
    <row r="342" spans="1:9" ht="15.75" customHeight="1" x14ac:dyDescent="0.2">
      <c r="A342" s="36" t="s">
        <v>1306</v>
      </c>
      <c r="B342" s="38" t="s">
        <v>1298</v>
      </c>
      <c r="C342" s="34" t="s">
        <v>256</v>
      </c>
      <c r="D342" s="35" t="s">
        <v>1307</v>
      </c>
      <c r="E342" s="45" t="s">
        <v>275</v>
      </c>
      <c r="F342" s="22" t="str">
        <f>+VLOOKUP(A342,'[1]Proveedor-Comprador'!A:D,4,0)</f>
        <v>FUNDACION CIUDAD DON BOSCO</v>
      </c>
      <c r="G342" s="36" t="s">
        <v>312</v>
      </c>
      <c r="H342" s="39"/>
      <c r="I342" s="24" t="str">
        <f>+VLOOKUP(A342,[2]Hoja1!$A:$A,1,0)</f>
        <v>W11698671</v>
      </c>
    </row>
    <row r="343" spans="1:9" ht="15.75" customHeight="1" x14ac:dyDescent="0.2">
      <c r="A343" s="36" t="s">
        <v>1308</v>
      </c>
      <c r="B343" s="38" t="s">
        <v>1309</v>
      </c>
      <c r="C343" s="34" t="s">
        <v>256</v>
      </c>
      <c r="D343" s="35" t="s">
        <v>1310</v>
      </c>
      <c r="E343" s="45" t="s">
        <v>275</v>
      </c>
      <c r="F343" s="22" t="str">
        <f>+VLOOKUP(A343,'[1]Proveedor-Comprador'!A:D,4,0)</f>
        <v>FUNDACION CIUDAD DON BOSCO</v>
      </c>
      <c r="G343" s="36" t="s">
        <v>267</v>
      </c>
      <c r="H343" s="39"/>
      <c r="I343" s="24" t="str">
        <f>+VLOOKUP(A343,[2]Hoja1!$A:$A,1,0)</f>
        <v>W11570231</v>
      </c>
    </row>
    <row r="344" spans="1:9" ht="15.75" customHeight="1" x14ac:dyDescent="0.2">
      <c r="A344" s="36" t="s">
        <v>1311</v>
      </c>
      <c r="B344" s="38" t="s">
        <v>1312</v>
      </c>
      <c r="C344" s="34" t="s">
        <v>256</v>
      </c>
      <c r="D344" s="35" t="s">
        <v>1313</v>
      </c>
      <c r="E344" s="45" t="s">
        <v>275</v>
      </c>
      <c r="F344" s="22" t="str">
        <f>+VLOOKUP(A344,'[1]Proveedor-Comprador'!A:D,4,0)</f>
        <v>FUNDACION CIUDAD DON BOSCO</v>
      </c>
      <c r="G344" s="36" t="s">
        <v>267</v>
      </c>
      <c r="H344" s="39"/>
      <c r="I344" s="24" t="str">
        <f>+VLOOKUP(A344,[2]Hoja1!$A:$A,1,0)</f>
        <v>W11675892</v>
      </c>
    </row>
    <row r="345" spans="1:9" ht="15.75" customHeight="1" x14ac:dyDescent="0.2">
      <c r="A345" s="36" t="s">
        <v>1314</v>
      </c>
      <c r="B345" s="38" t="s">
        <v>1315</v>
      </c>
      <c r="C345" s="34" t="s">
        <v>256</v>
      </c>
      <c r="D345" s="35" t="s">
        <v>1316</v>
      </c>
      <c r="E345" s="45" t="s">
        <v>275</v>
      </c>
      <c r="F345" s="22" t="str">
        <f>+VLOOKUP(A345,'[1]Proveedor-Comprador'!A:D,4,0)</f>
        <v>FUNDACION CIUDAD DON BOSCO</v>
      </c>
      <c r="G345" s="36" t="s">
        <v>267</v>
      </c>
      <c r="H345" s="39"/>
      <c r="I345" s="24" t="str">
        <f>+VLOOKUP(A345,[2]Hoja1!$A:$A,1,0)</f>
        <v>W11667041</v>
      </c>
    </row>
    <row r="346" spans="1:9" ht="15.75" customHeight="1" x14ac:dyDescent="0.2">
      <c r="A346" s="36" t="s">
        <v>1317</v>
      </c>
      <c r="B346" s="38" t="s">
        <v>1318</v>
      </c>
      <c r="C346" s="34" t="s">
        <v>256</v>
      </c>
      <c r="D346" s="35" t="s">
        <v>1319</v>
      </c>
      <c r="E346" s="45" t="s">
        <v>1320</v>
      </c>
      <c r="F346" s="22" t="str">
        <f>+VLOOKUP(A346,'[1]Proveedor-Comprador'!A:D,4,0)</f>
        <v>FUNDACION CIUDAD DON BOSCO</v>
      </c>
      <c r="G346" s="36" t="s">
        <v>267</v>
      </c>
      <c r="H346" s="39"/>
      <c r="I346" s="24" t="str">
        <f>+VLOOKUP(A346,[2]Hoja1!$A:$A,1,0)</f>
        <v>W11752433</v>
      </c>
    </row>
    <row r="347" spans="1:9" ht="15.75" customHeight="1" x14ac:dyDescent="0.2">
      <c r="A347" s="36" t="s">
        <v>1321</v>
      </c>
      <c r="B347" s="38" t="s">
        <v>1322</v>
      </c>
      <c r="C347" s="34" t="s">
        <v>256</v>
      </c>
      <c r="D347" s="35" t="s">
        <v>1323</v>
      </c>
      <c r="E347" s="45" t="s">
        <v>1320</v>
      </c>
      <c r="F347" s="22" t="str">
        <f>+VLOOKUP(A347,'[1]Proveedor-Comprador'!A:D,4,0)</f>
        <v>FUNDACION CIUDAD DON BOSCO</v>
      </c>
      <c r="G347" s="36" t="s">
        <v>312</v>
      </c>
      <c r="H347" s="39"/>
      <c r="I347" s="24" t="str">
        <f>+VLOOKUP(A347,[2]Hoja1!$A:$A,1,0)</f>
        <v>W11752435</v>
      </c>
    </row>
    <row r="348" spans="1:9" ht="15.75" customHeight="1" x14ac:dyDescent="0.2">
      <c r="A348" s="36" t="s">
        <v>1324</v>
      </c>
      <c r="B348" s="38" t="s">
        <v>1312</v>
      </c>
      <c r="C348" s="34" t="s">
        <v>256</v>
      </c>
      <c r="D348" s="35" t="s">
        <v>1325</v>
      </c>
      <c r="E348" s="45" t="s">
        <v>1326</v>
      </c>
      <c r="F348" s="22" t="str">
        <f>+VLOOKUP(A348,'[1]Proveedor-Comprador'!A:D,4,0)</f>
        <v>FUNDACION CIUDAD DON BOSCO</v>
      </c>
      <c r="G348" s="36" t="s">
        <v>267</v>
      </c>
      <c r="H348" s="39"/>
      <c r="I348" s="24" t="str">
        <f>+VLOOKUP(A348,[2]Hoja1!$A:$A,1,0)</f>
        <v>W11680116</v>
      </c>
    </row>
    <row r="349" spans="1:9" ht="15.75" customHeight="1" x14ac:dyDescent="0.2">
      <c r="A349" s="36" t="s">
        <v>1327</v>
      </c>
      <c r="B349" s="38" t="s">
        <v>1328</v>
      </c>
      <c r="C349" s="34" t="s">
        <v>256</v>
      </c>
      <c r="D349" s="35" t="s">
        <v>1329</v>
      </c>
      <c r="E349" s="45" t="s">
        <v>1330</v>
      </c>
      <c r="F349" s="22" t="str">
        <f>+VLOOKUP(A349,'[1]Proveedor-Comprador'!A:D,4,0)</f>
        <v>EXTRUSIONES S.A</v>
      </c>
      <c r="G349" s="36" t="s">
        <v>312</v>
      </c>
      <c r="H349" s="39"/>
      <c r="I349" s="24" t="str">
        <f>+VLOOKUP(A349,[2]Hoja1!$A:$A,1,0)</f>
        <v>W11223643</v>
      </c>
    </row>
    <row r="350" spans="1:9" ht="15.75" customHeight="1" x14ac:dyDescent="0.2">
      <c r="A350" s="36" t="s">
        <v>1331</v>
      </c>
      <c r="B350" s="38" t="s">
        <v>1332</v>
      </c>
      <c r="C350" s="34" t="s">
        <v>256</v>
      </c>
      <c r="D350" s="35" t="s">
        <v>1333</v>
      </c>
      <c r="E350" s="45" t="s">
        <v>1330</v>
      </c>
      <c r="F350" s="22" t="str">
        <f>+VLOOKUP(A350,'[1]Proveedor-Comprador'!A:D,4,0)</f>
        <v>EXTRUSIONES S.A</v>
      </c>
      <c r="G350" s="36" t="s">
        <v>267</v>
      </c>
      <c r="H350" s="39"/>
      <c r="I350" s="24" t="str">
        <f>+VLOOKUP(A350,[2]Hoja1!$A:$A,1,0)</f>
        <v>W11502144</v>
      </c>
    </row>
    <row r="351" spans="1:9" ht="15.75" customHeight="1" x14ac:dyDescent="0.2">
      <c r="A351" s="36" t="s">
        <v>1334</v>
      </c>
      <c r="B351" s="38" t="s">
        <v>1335</v>
      </c>
      <c r="C351" s="34" t="s">
        <v>256</v>
      </c>
      <c r="D351" s="35" t="s">
        <v>1336</v>
      </c>
      <c r="E351" s="45" t="s">
        <v>1330</v>
      </c>
      <c r="F351" s="22" t="str">
        <f>+VLOOKUP(A351,'[1]Proveedor-Comprador'!A:D,4,0)</f>
        <v>EXTRUSIONES S.A</v>
      </c>
      <c r="G351" s="36" t="s">
        <v>312</v>
      </c>
      <c r="H351" s="39"/>
      <c r="I351" s="24" t="str">
        <f>+VLOOKUP(A351,[2]Hoja1!$A:$A,1,0)</f>
        <v>W11223649</v>
      </c>
    </row>
    <row r="352" spans="1:9" ht="15.75" customHeight="1" x14ac:dyDescent="0.2">
      <c r="A352" s="36" t="s">
        <v>1337</v>
      </c>
      <c r="B352" s="38" t="s">
        <v>1332</v>
      </c>
      <c r="C352" s="34" t="s">
        <v>256</v>
      </c>
      <c r="D352" s="35" t="s">
        <v>1338</v>
      </c>
      <c r="E352" s="45" t="s">
        <v>1330</v>
      </c>
      <c r="F352" s="22" t="str">
        <f>+VLOOKUP(A352,'[1]Proveedor-Comprador'!A:D,4,0)</f>
        <v>EXTRUSIONES S.A</v>
      </c>
      <c r="G352" s="36" t="s">
        <v>267</v>
      </c>
      <c r="H352" s="39"/>
      <c r="I352" s="24" t="str">
        <f>+VLOOKUP(A352,[2]Hoja1!$A:$A,1,0)</f>
        <v>W11502142</v>
      </c>
    </row>
    <row r="353" spans="1:9" ht="15.75" customHeight="1" x14ac:dyDescent="0.2">
      <c r="A353" s="36" t="s">
        <v>1339</v>
      </c>
      <c r="B353" s="38" t="s">
        <v>1340</v>
      </c>
      <c r="C353" s="34" t="s">
        <v>256</v>
      </c>
      <c r="D353" s="35" t="s">
        <v>1341</v>
      </c>
      <c r="E353" s="45" t="s">
        <v>1342</v>
      </c>
      <c r="F353" s="22" t="str">
        <f>+VLOOKUP(A353,'[1]Proveedor-Comprador'!A:D,4,0)</f>
        <v>WUXI JINHUA YIYUAN TECHNO</v>
      </c>
      <c r="G353" s="36" t="s">
        <v>284</v>
      </c>
      <c r="H353" s="39"/>
      <c r="I353" s="24" t="str">
        <f>+VLOOKUP(A353,[2]Hoja1!$A:$A,1,0)</f>
        <v>W11502153</v>
      </c>
    </row>
    <row r="354" spans="1:9" ht="15.75" customHeight="1" x14ac:dyDescent="0.2">
      <c r="A354" s="36" t="s">
        <v>1343</v>
      </c>
      <c r="B354" s="38" t="s">
        <v>1344</v>
      </c>
      <c r="C354" s="34" t="s">
        <v>256</v>
      </c>
      <c r="D354" s="35" t="s">
        <v>1345</v>
      </c>
      <c r="E354" s="45" t="s">
        <v>1342</v>
      </c>
      <c r="F354" s="22" t="str">
        <f>+VLOOKUP(A354,'[1]Proveedor-Comprador'!A:D,4,0)</f>
        <v>WUXI JINHUA YIYUAN TECHNO</v>
      </c>
      <c r="G354" s="36" t="s">
        <v>284</v>
      </c>
      <c r="H354" s="39"/>
      <c r="I354" s="24" t="str">
        <f>+VLOOKUP(A354,[2]Hoja1!$A:$A,1,0)</f>
        <v>W11502155</v>
      </c>
    </row>
    <row r="355" spans="1:9" ht="15.75" customHeight="1" x14ac:dyDescent="0.2">
      <c r="A355" s="36" t="s">
        <v>1346</v>
      </c>
      <c r="B355" s="38" t="s">
        <v>1347</v>
      </c>
      <c r="C355" s="34" t="s">
        <v>256</v>
      </c>
      <c r="D355" s="35" t="s">
        <v>1348</v>
      </c>
      <c r="E355" s="45" t="s">
        <v>1342</v>
      </c>
      <c r="F355" s="22" t="str">
        <f>+VLOOKUP(A355,'[1]Proveedor-Comprador'!A:D,4,0)</f>
        <v>WUXI JINHUA YIYUAN TECHNO</v>
      </c>
      <c r="G355" s="36" t="s">
        <v>284</v>
      </c>
      <c r="H355" s="39"/>
      <c r="I355" s="24" t="str">
        <f>+VLOOKUP(A355,[2]Hoja1!$A:$A,1,0)</f>
        <v>W11502151</v>
      </c>
    </row>
    <row r="356" spans="1:9" ht="15.75" customHeight="1" x14ac:dyDescent="0.2">
      <c r="A356" s="36" t="s">
        <v>1349</v>
      </c>
      <c r="B356" s="38" t="s">
        <v>1350</v>
      </c>
      <c r="C356" s="34" t="s">
        <v>256</v>
      </c>
      <c r="D356" s="35" t="s">
        <v>1351</v>
      </c>
      <c r="E356" s="45" t="s">
        <v>1342</v>
      </c>
      <c r="F356" s="22" t="str">
        <f>+VLOOKUP(A356,'[1]Proveedor-Comprador'!A:D,4,0)</f>
        <v>WUXI JINHUA YIYUAN TECHNO</v>
      </c>
      <c r="G356" s="36" t="s">
        <v>284</v>
      </c>
      <c r="H356" s="39"/>
      <c r="I356" s="24" t="str">
        <f>+VLOOKUP(A356,[2]Hoja1!$A:$A,1,0)</f>
        <v>W11502152</v>
      </c>
    </row>
    <row r="357" spans="1:9" ht="15.75" customHeight="1" x14ac:dyDescent="0.2">
      <c r="A357" s="36" t="s">
        <v>1352</v>
      </c>
      <c r="B357" s="38" t="s">
        <v>1353</v>
      </c>
      <c r="C357" s="34" t="s">
        <v>256</v>
      </c>
      <c r="D357" s="35" t="s">
        <v>1354</v>
      </c>
      <c r="E357" s="45" t="s">
        <v>1355</v>
      </c>
      <c r="F357" s="22" t="str">
        <f>+VLOOKUP(A357,'[1]Proveedor-Comprador'!A:D,4,0)</f>
        <v>SOL NAC</v>
      </c>
      <c r="G357" s="36" t="s">
        <v>312</v>
      </c>
      <c r="H357" s="39"/>
      <c r="I357" s="24" t="str">
        <f>+VLOOKUP(A357,[2]Hoja1!$A:$A,1,0)</f>
        <v>W11383452</v>
      </c>
    </row>
    <row r="358" spans="1:9" ht="15.75" customHeight="1" x14ac:dyDescent="0.2">
      <c r="A358" s="36" t="s">
        <v>1356</v>
      </c>
      <c r="B358" s="38" t="s">
        <v>1357</v>
      </c>
      <c r="C358" s="34" t="s">
        <v>256</v>
      </c>
      <c r="D358" s="35" t="s">
        <v>1358</v>
      </c>
      <c r="E358" s="45" t="s">
        <v>1355</v>
      </c>
      <c r="F358" s="22" t="str">
        <f>+VLOOKUP(A358,'[1]Proveedor-Comprador'!A:D,4,0)</f>
        <v>SOL NAC</v>
      </c>
      <c r="G358" s="36" t="s">
        <v>284</v>
      </c>
      <c r="H358" s="39"/>
      <c r="I358" s="24" t="str">
        <f>+VLOOKUP(A358,[2]Hoja1!$A:$A,1,0)</f>
        <v>W11383451</v>
      </c>
    </row>
    <row r="359" spans="1:9" ht="15.75" customHeight="1" x14ac:dyDescent="0.2">
      <c r="A359" s="36" t="s">
        <v>1359</v>
      </c>
      <c r="B359" s="38" t="s">
        <v>1360</v>
      </c>
      <c r="C359" s="34" t="s">
        <v>256</v>
      </c>
      <c r="D359" s="35" t="s">
        <v>1361</v>
      </c>
      <c r="E359" s="45" t="s">
        <v>1362</v>
      </c>
      <c r="F359" s="22" t="str">
        <f>+VLOOKUP(A359,'[1]Proveedor-Comprador'!A:D,4,0)</f>
        <v>Riduco S.A.</v>
      </c>
      <c r="G359" s="36" t="s">
        <v>267</v>
      </c>
      <c r="H359" s="39"/>
      <c r="I359" s="24" t="str">
        <f>+VLOOKUP(A359,[2]Hoja1!$A:$A,1,0)</f>
        <v>W11466974</v>
      </c>
    </row>
    <row r="360" spans="1:9" ht="15.75" customHeight="1" x14ac:dyDescent="0.2">
      <c r="A360" s="36" t="s">
        <v>1363</v>
      </c>
      <c r="B360" s="38" t="s">
        <v>1364</v>
      </c>
      <c r="C360" s="34" t="s">
        <v>256</v>
      </c>
      <c r="D360" s="35" t="s">
        <v>307</v>
      </c>
      <c r="E360" s="45" t="s">
        <v>307</v>
      </c>
      <c r="F360" s="22" t="str">
        <f>+VLOOKUP(A360,'[1]Proveedor-Comprador'!A:D,4,0)</f>
        <v>Riduco S.A.</v>
      </c>
      <c r="G360" s="36" t="s">
        <v>284</v>
      </c>
      <c r="H360" s="39"/>
      <c r="I360" s="24" t="str">
        <f>+VLOOKUP(A360,[2]Hoja1!$A:$A,1,0)</f>
        <v>W10718075</v>
      </c>
    </row>
    <row r="361" spans="1:9" ht="15.75" customHeight="1" x14ac:dyDescent="0.2">
      <c r="A361" s="36" t="s">
        <v>1365</v>
      </c>
      <c r="B361" s="38" t="s">
        <v>1366</v>
      </c>
      <c r="C361" s="34" t="s">
        <v>256</v>
      </c>
      <c r="D361" s="35" t="s">
        <v>323</v>
      </c>
      <c r="E361" s="45" t="s">
        <v>323</v>
      </c>
      <c r="F361" s="22" t="str">
        <f>+VLOOKUP(A361,'[1]Proveedor-Comprador'!A:D,4,0)</f>
        <v>Riduco S.A.</v>
      </c>
      <c r="G361" s="36" t="s">
        <v>284</v>
      </c>
      <c r="H361" s="39"/>
      <c r="I361" s="24" t="str">
        <f>+VLOOKUP(A361,[2]Hoja1!$A:$A,1,0)</f>
        <v>W10734499</v>
      </c>
    </row>
    <row r="362" spans="1:9" ht="15.75" customHeight="1" x14ac:dyDescent="0.2">
      <c r="A362" s="36" t="s">
        <v>1367</v>
      </c>
      <c r="B362" s="38" t="s">
        <v>1368</v>
      </c>
      <c r="C362" s="34" t="s">
        <v>248</v>
      </c>
      <c r="D362" s="35" t="s">
        <v>1369</v>
      </c>
      <c r="E362" s="45" t="s">
        <v>250</v>
      </c>
      <c r="F362" s="22" t="str">
        <f>+VLOOKUP(A362,'[1]Proveedor-Comprador'!A:D,4,0)</f>
        <v>Aperam Inox América do Su</v>
      </c>
      <c r="G362" s="36" t="s">
        <v>251</v>
      </c>
      <c r="H362" s="39" t="s">
        <v>279</v>
      </c>
      <c r="I362" s="24" t="s">
        <v>253</v>
      </c>
    </row>
    <row r="363" spans="1:9" ht="15.75" customHeight="1" x14ac:dyDescent="0.2">
      <c r="A363" s="36" t="s">
        <v>1370</v>
      </c>
      <c r="B363" s="38" t="s">
        <v>1371</v>
      </c>
      <c r="C363" s="34" t="s">
        <v>248</v>
      </c>
      <c r="D363" s="35" t="s">
        <v>1372</v>
      </c>
      <c r="E363" s="45" t="s">
        <v>250</v>
      </c>
      <c r="F363" s="22" t="str">
        <f>+VLOOKUP(A363,'[1]Proveedor-Comprador'!A:D,4,0)</f>
        <v>Arme S.A.</v>
      </c>
      <c r="G363" s="36" t="s">
        <v>251</v>
      </c>
      <c r="H363" s="39" t="s">
        <v>279</v>
      </c>
      <c r="I363" s="24" t="s">
        <v>253</v>
      </c>
    </row>
    <row r="364" spans="1:9" ht="15.75" customHeight="1" x14ac:dyDescent="0.2">
      <c r="A364" s="36" t="s">
        <v>1373</v>
      </c>
      <c r="B364" s="38" t="s">
        <v>1374</v>
      </c>
      <c r="C364" s="34" t="s">
        <v>248</v>
      </c>
      <c r="D364" s="35" t="s">
        <v>1375</v>
      </c>
      <c r="E364" s="45" t="s">
        <v>250</v>
      </c>
      <c r="F364" s="22" t="str">
        <f>+VLOOKUP(A364,'[1]Proveedor-Comprador'!A:D,4,0)</f>
        <v>Arme S.A.</v>
      </c>
      <c r="G364" s="36" t="s">
        <v>251</v>
      </c>
      <c r="H364" s="39" t="s">
        <v>279</v>
      </c>
      <c r="I364" s="24" t="s">
        <v>253</v>
      </c>
    </row>
    <row r="365" spans="1:9" ht="15.75" customHeight="1" x14ac:dyDescent="0.2">
      <c r="A365" s="36" t="s">
        <v>1376</v>
      </c>
      <c r="B365" s="38" t="s">
        <v>247</v>
      </c>
      <c r="C365" s="34" t="s">
        <v>248</v>
      </c>
      <c r="D365" s="35" t="s">
        <v>1377</v>
      </c>
      <c r="E365" s="45" t="s">
        <v>250</v>
      </c>
      <c r="F365" s="22" t="str">
        <f>+VLOOKUP(A365,'[1]Proveedor-Comprador'!A:D,4,0)</f>
        <v>BAMESA</v>
      </c>
      <c r="G365" s="36" t="s">
        <v>251</v>
      </c>
      <c r="H365" s="39" t="s">
        <v>279</v>
      </c>
      <c r="I365" s="24" t="str">
        <f>+VLOOKUP(A365,[2]Hoja1!$A:$A,1,0)</f>
        <v>W11265178</v>
      </c>
    </row>
    <row r="366" spans="1:9" ht="15.75" customHeight="1" x14ac:dyDescent="0.2">
      <c r="A366" s="36" t="s">
        <v>1378</v>
      </c>
      <c r="B366" s="38" t="s">
        <v>1379</v>
      </c>
      <c r="C366" s="34" t="s">
        <v>248</v>
      </c>
      <c r="D366" s="35" t="s">
        <v>1380</v>
      </c>
      <c r="E366" s="45" t="s">
        <v>250</v>
      </c>
      <c r="F366" s="22" t="str">
        <f>+VLOOKUP(A366,'[1]Proveedor-Comprador'!A:D,4,0)</f>
        <v>Arme S.A.</v>
      </c>
      <c r="G366" s="36" t="s">
        <v>251</v>
      </c>
      <c r="H366" s="39" t="s">
        <v>279</v>
      </c>
      <c r="I366" s="24" t="str">
        <f>+VLOOKUP(A366,[2]Hoja1!$A:$A,1,0)</f>
        <v>W11266042</v>
      </c>
    </row>
    <row r="367" spans="1:9" ht="15.75" customHeight="1" x14ac:dyDescent="0.2">
      <c r="A367" s="36" t="s">
        <v>1381</v>
      </c>
      <c r="B367" s="38" t="s">
        <v>1382</v>
      </c>
      <c r="C367" s="34" t="s">
        <v>248</v>
      </c>
      <c r="D367" s="35" t="s">
        <v>1383</v>
      </c>
      <c r="E367" s="45" t="s">
        <v>250</v>
      </c>
      <c r="F367" s="22" t="str">
        <f>+VLOOKUP(A367,'[1]Proveedor-Comprador'!A:D,4,0)</f>
        <v>Arme S.A.</v>
      </c>
      <c r="G367" s="36" t="s">
        <v>251</v>
      </c>
      <c r="H367" s="39" t="s">
        <v>279</v>
      </c>
      <c r="I367" s="24" t="str">
        <f>+VLOOKUP(A367,[2]Hoja1!$A:$A,1,0)</f>
        <v>W11121971</v>
      </c>
    </row>
    <row r="368" spans="1:9" ht="15.75" customHeight="1" x14ac:dyDescent="0.2">
      <c r="A368" s="36" t="s">
        <v>1384</v>
      </c>
      <c r="B368" s="38" t="s">
        <v>1382</v>
      </c>
      <c r="C368" s="34" t="s">
        <v>248</v>
      </c>
      <c r="D368" s="35" t="s">
        <v>1385</v>
      </c>
      <c r="E368" s="45" t="s">
        <v>250</v>
      </c>
      <c r="F368" s="22" t="str">
        <f>+VLOOKUP(A368,'[1]Proveedor-Comprador'!A:D,4,0)</f>
        <v>BAMESA</v>
      </c>
      <c r="G368" s="36" t="s">
        <v>251</v>
      </c>
      <c r="H368" s="39" t="s">
        <v>279</v>
      </c>
      <c r="I368" s="24" t="s">
        <v>253</v>
      </c>
    </row>
    <row r="369" spans="1:9" ht="15.75" customHeight="1" x14ac:dyDescent="0.2">
      <c r="A369" s="36" t="s">
        <v>1386</v>
      </c>
      <c r="B369" s="38" t="s">
        <v>1387</v>
      </c>
      <c r="C369" s="34" t="s">
        <v>248</v>
      </c>
      <c r="D369" s="35" t="s">
        <v>1388</v>
      </c>
      <c r="E369" s="45" t="s">
        <v>250</v>
      </c>
      <c r="F369" s="22" t="str">
        <f>+VLOOKUP(A369,'[1]Proveedor-Comprador'!A:D,4,0)</f>
        <v>Arme S.A.</v>
      </c>
      <c r="G369" s="36" t="s">
        <v>251</v>
      </c>
      <c r="H369" s="39" t="s">
        <v>279</v>
      </c>
      <c r="I369" s="24" t="s">
        <v>253</v>
      </c>
    </row>
    <row r="370" spans="1:9" ht="15.75" customHeight="1" x14ac:dyDescent="0.2">
      <c r="A370" s="36" t="s">
        <v>1389</v>
      </c>
      <c r="B370" s="38" t="s">
        <v>1390</v>
      </c>
      <c r="C370" s="34" t="s">
        <v>248</v>
      </c>
      <c r="D370" s="35" t="s">
        <v>1391</v>
      </c>
      <c r="E370" s="45" t="s">
        <v>250</v>
      </c>
      <c r="F370" s="22" t="str">
        <f>+VLOOKUP(A370,'[1]Proveedor-Comprador'!A:D,4,0)</f>
        <v>BAMESA</v>
      </c>
      <c r="G370" s="36" t="s">
        <v>251</v>
      </c>
      <c r="H370" s="39" t="s">
        <v>279</v>
      </c>
      <c r="I370" s="24" t="s">
        <v>253</v>
      </c>
    </row>
    <row r="371" spans="1:9" ht="15.75" customHeight="1" x14ac:dyDescent="0.2">
      <c r="A371" s="36" t="s">
        <v>1392</v>
      </c>
      <c r="B371" s="38" t="s">
        <v>1393</v>
      </c>
      <c r="C371" s="34" t="s">
        <v>256</v>
      </c>
      <c r="D371" s="35" t="s">
        <v>1394</v>
      </c>
      <c r="E371" s="45" t="s">
        <v>1395</v>
      </c>
      <c r="F371" s="22" t="str">
        <f>+VLOOKUP(A371,'[1]Proveedor-Comprador'!A:D,4,0)</f>
        <v>Arme S.A.</v>
      </c>
      <c r="G371" s="36" t="s">
        <v>312</v>
      </c>
      <c r="H371" s="39"/>
      <c r="I371" s="24" t="str">
        <f>+VLOOKUP(A371,[2]Hoja1!$A:$A,1,0)</f>
        <v>W11701553</v>
      </c>
    </row>
    <row r="372" spans="1:9" ht="15.75" customHeight="1" x14ac:dyDescent="0.2">
      <c r="A372" s="36" t="s">
        <v>1396</v>
      </c>
      <c r="B372" s="38" t="s">
        <v>1397</v>
      </c>
      <c r="C372" s="34" t="s">
        <v>256</v>
      </c>
      <c r="D372" s="35" t="s">
        <v>1398</v>
      </c>
      <c r="E372" s="45" t="s">
        <v>1395</v>
      </c>
      <c r="F372" s="22" t="str">
        <f>+VLOOKUP(A372,'[1]Proveedor-Comprador'!A:D,4,0)</f>
        <v>BAMESA</v>
      </c>
      <c r="G372" s="36" t="s">
        <v>312</v>
      </c>
      <c r="H372" s="39"/>
      <c r="I372" s="24" t="str">
        <f>+VLOOKUP(A372,[2]Hoja1!$A:$A,1,0)</f>
        <v>W11319301</v>
      </c>
    </row>
    <row r="373" spans="1:9" ht="15.75" customHeight="1" x14ac:dyDescent="0.2">
      <c r="A373" s="36" t="s">
        <v>1399</v>
      </c>
      <c r="B373" s="38" t="s">
        <v>365</v>
      </c>
      <c r="C373" s="34" t="s">
        <v>256</v>
      </c>
      <c r="D373" s="35" t="s">
        <v>1400</v>
      </c>
      <c r="E373" s="45" t="s">
        <v>367</v>
      </c>
      <c r="F373" s="22" t="str">
        <f>+VLOOKUP(A373,'[1]Proveedor-Comprador'!A:D,4,0)</f>
        <v>Arme S.A.</v>
      </c>
      <c r="G373" s="36" t="s">
        <v>267</v>
      </c>
      <c r="H373" s="39"/>
      <c r="I373" s="24" t="str">
        <f>+VLOOKUP(A373,[2]Hoja1!$A:$A,1,0)</f>
        <v>W11546472</v>
      </c>
    </row>
    <row r="374" spans="1:9" ht="15.75" customHeight="1" x14ac:dyDescent="0.2">
      <c r="A374" s="36" t="s">
        <v>1401</v>
      </c>
      <c r="B374" s="38" t="s">
        <v>1402</v>
      </c>
      <c r="C374" s="34" t="s">
        <v>256</v>
      </c>
      <c r="D374" s="35" t="s">
        <v>1403</v>
      </c>
      <c r="E374" s="45" t="s">
        <v>367</v>
      </c>
      <c r="F374" s="22" t="str">
        <f>+VLOOKUP(A374,'[1]Proveedor-Comprador'!A:D,4,0)</f>
        <v>DONGKUK Steel Mexico SA d</v>
      </c>
      <c r="G374" s="36" t="s">
        <v>267</v>
      </c>
      <c r="H374" s="39"/>
      <c r="I374" s="24" t="str">
        <f>+VLOOKUP(A374,[2]Hoja1!$A:$A,1,0)</f>
        <v>W11514269</v>
      </c>
    </row>
    <row r="375" spans="1:9" ht="15.75" customHeight="1" x14ac:dyDescent="0.2">
      <c r="A375" s="36" t="s">
        <v>1404</v>
      </c>
      <c r="B375" s="38" t="s">
        <v>1405</v>
      </c>
      <c r="C375" s="34" t="s">
        <v>256</v>
      </c>
      <c r="D375" s="35" t="s">
        <v>1406</v>
      </c>
      <c r="E375" s="45" t="s">
        <v>367</v>
      </c>
      <c r="F375" s="22" t="str">
        <f>+VLOOKUP(A375,'[1]Proveedor-Comprador'!A:D,4,0)</f>
        <v>DONGKUK Steel Mexico SA d</v>
      </c>
      <c r="G375" s="36" t="s">
        <v>267</v>
      </c>
      <c r="H375" s="39"/>
      <c r="I375" s="24" t="str">
        <f>+VLOOKUP(A375,[2]Hoja1!$A:$A,1,0)</f>
        <v>W11514270</v>
      </c>
    </row>
    <row r="376" spans="1:9" ht="15.75" customHeight="1" x14ac:dyDescent="0.2">
      <c r="A376" s="36" t="s">
        <v>1407</v>
      </c>
      <c r="B376" s="38" t="s">
        <v>369</v>
      </c>
      <c r="C376" s="34" t="s">
        <v>256</v>
      </c>
      <c r="D376" s="35" t="s">
        <v>1408</v>
      </c>
      <c r="E376" s="45" t="s">
        <v>367</v>
      </c>
      <c r="F376" s="22" t="str">
        <f>+VLOOKUP(A376,'[1]Proveedor-Comprador'!A:D,4,0)</f>
        <v>Arme S.A.</v>
      </c>
      <c r="G376" s="36" t="s">
        <v>267</v>
      </c>
      <c r="H376" s="39"/>
      <c r="I376" s="24" t="str">
        <f>+VLOOKUP(A376,[2]Hoja1!$A:$A,1,0)</f>
        <v>W11546471</v>
      </c>
    </row>
    <row r="377" spans="1:9" ht="15.75" customHeight="1" x14ac:dyDescent="0.2">
      <c r="A377" s="36" t="s">
        <v>1409</v>
      </c>
      <c r="B377" s="38" t="s">
        <v>1410</v>
      </c>
      <c r="C377" s="34" t="s">
        <v>248</v>
      </c>
      <c r="D377" s="35" t="s">
        <v>1411</v>
      </c>
      <c r="E377" s="45" t="s">
        <v>374</v>
      </c>
      <c r="F377" s="22" t="str">
        <f>+VLOOKUP(A377,'[1]Proveedor-Comprador'!A:D,4,0)</f>
        <v>POSCO INTERNATIONAL CORPO</v>
      </c>
      <c r="G377" s="36" t="s">
        <v>267</v>
      </c>
      <c r="H377" s="39"/>
      <c r="I377" s="24" t="str">
        <f>+VLOOKUP(A377,[2]Hoja1!$A:$A,1,0)</f>
        <v>W11547824</v>
      </c>
    </row>
    <row r="378" spans="1:9" ht="15.75" customHeight="1" x14ac:dyDescent="0.2">
      <c r="A378" s="36" t="s">
        <v>1412</v>
      </c>
      <c r="B378" s="38" t="s">
        <v>1413</v>
      </c>
      <c r="C378" s="34" t="s">
        <v>248</v>
      </c>
      <c r="D378" s="35" t="s">
        <v>1414</v>
      </c>
      <c r="E378" s="45" t="s">
        <v>374</v>
      </c>
      <c r="F378" s="22" t="str">
        <f>+VLOOKUP(A378,'[1]Proveedor-Comprador'!A:D,4,0)</f>
        <v>POSCO INTERNATIONAL CORPO</v>
      </c>
      <c r="G378" s="36" t="s">
        <v>267</v>
      </c>
      <c r="H378" s="39"/>
      <c r="I378" s="24" t="str">
        <f>+VLOOKUP(A378,[2]Hoja1!$A:$A,1,0)</f>
        <v>W11547823</v>
      </c>
    </row>
    <row r="379" spans="1:9" ht="15.75" customHeight="1" x14ac:dyDescent="0.2">
      <c r="A379" s="36" t="s">
        <v>1415</v>
      </c>
      <c r="B379" s="38" t="s">
        <v>1416</v>
      </c>
      <c r="C379" s="34" t="s">
        <v>248</v>
      </c>
      <c r="D379" s="35" t="s">
        <v>1417</v>
      </c>
      <c r="E379" s="45" t="s">
        <v>374</v>
      </c>
      <c r="F379" s="22" t="str">
        <f>+VLOOKUP(A379,'[1]Proveedor-Comprador'!A:D,4,0)</f>
        <v>Aperam Inox América do Su</v>
      </c>
      <c r="G379" s="36" t="s">
        <v>267</v>
      </c>
      <c r="H379" s="39"/>
      <c r="I379" s="24" t="str">
        <f>+VLOOKUP(A379,[2]Hoja1!$A:$A,1,0)</f>
        <v>W11486504</v>
      </c>
    </row>
    <row r="380" spans="1:9" ht="15.75" customHeight="1" x14ac:dyDescent="0.2">
      <c r="A380" s="36" t="s">
        <v>1418</v>
      </c>
      <c r="B380" s="38" t="s">
        <v>1419</v>
      </c>
      <c r="C380" s="34" t="s">
        <v>248</v>
      </c>
      <c r="D380" s="35" t="s">
        <v>1420</v>
      </c>
      <c r="E380" s="45" t="s">
        <v>378</v>
      </c>
      <c r="F380" s="22" t="str">
        <f>+VLOOKUP(A380,'[1]Proveedor-Comprador'!A:D,4,0)</f>
        <v>POSCO INTERNATIONAL CORPO</v>
      </c>
      <c r="G380" s="36" t="s">
        <v>312</v>
      </c>
      <c r="H380" s="39"/>
      <c r="I380" s="24" t="str">
        <f>+VLOOKUP(A380,[2]Hoja1!$A:$A,1,0)</f>
        <v>W11521727</v>
      </c>
    </row>
    <row r="381" spans="1:9" ht="15.75" customHeight="1" x14ac:dyDescent="0.2">
      <c r="A381" s="36" t="s">
        <v>1421</v>
      </c>
      <c r="B381" s="38" t="s">
        <v>1422</v>
      </c>
      <c r="C381" s="34" t="s">
        <v>248</v>
      </c>
      <c r="D381" s="35" t="s">
        <v>1423</v>
      </c>
      <c r="E381" s="45" t="s">
        <v>378</v>
      </c>
      <c r="F381" s="22" t="str">
        <f>+VLOOKUP(A381,'[1]Proveedor-Comprador'!A:D,4,0)</f>
        <v>POSCO INTERNATIONAL CORPO</v>
      </c>
      <c r="G381" s="36" t="s">
        <v>312</v>
      </c>
      <c r="H381" s="39"/>
      <c r="I381" s="24" t="str">
        <f>+VLOOKUP(A381,[2]Hoja1!$A:$A,1,0)</f>
        <v>W11521723</v>
      </c>
    </row>
    <row r="382" spans="1:9" ht="15.75" customHeight="1" x14ac:dyDescent="0.2">
      <c r="A382" s="36" t="s">
        <v>1424</v>
      </c>
      <c r="B382" s="38" t="s">
        <v>1425</v>
      </c>
      <c r="C382" s="34" t="s">
        <v>256</v>
      </c>
      <c r="D382" s="35" t="s">
        <v>1426</v>
      </c>
      <c r="E382" s="45" t="s">
        <v>385</v>
      </c>
      <c r="F382" s="22" t="str">
        <f>+VLOOKUP(A382,'[1]Proveedor-Comprador'!A:D,4,0)</f>
        <v>Whirlpool S/A</v>
      </c>
      <c r="G382" s="36" t="s">
        <v>342</v>
      </c>
      <c r="H382" s="39"/>
      <c r="I382" s="24" t="str">
        <f>+VLOOKUP(A382,[2]Hoja1!$A:$A,1,0)</f>
        <v>W11691121</v>
      </c>
    </row>
    <row r="383" spans="1:9" ht="15.75" customHeight="1" x14ac:dyDescent="0.2">
      <c r="A383" s="36" t="s">
        <v>1427</v>
      </c>
      <c r="B383" s="38" t="s">
        <v>1428</v>
      </c>
      <c r="C383" s="34" t="s">
        <v>256</v>
      </c>
      <c r="D383" s="35" t="s">
        <v>1429</v>
      </c>
      <c r="E383" s="45" t="s">
        <v>385</v>
      </c>
      <c r="F383" s="22" t="str">
        <f>+VLOOKUP(A383,'[1]Proveedor-Comprador'!A:D,4,0)</f>
        <v>Whirlpool S/A</v>
      </c>
      <c r="G383" s="36" t="s">
        <v>342</v>
      </c>
      <c r="H383" s="39"/>
      <c r="I383" s="24" t="str">
        <f>+VLOOKUP(A383,[2]Hoja1!$A:$A,1,0)</f>
        <v>W11690118</v>
      </c>
    </row>
    <row r="384" spans="1:9" ht="15.75" customHeight="1" x14ac:dyDescent="0.2">
      <c r="A384" s="36" t="s">
        <v>1430</v>
      </c>
      <c r="B384" s="38" t="s">
        <v>1431</v>
      </c>
      <c r="C384" s="34" t="s">
        <v>256</v>
      </c>
      <c r="D384" s="35" t="s">
        <v>1432</v>
      </c>
      <c r="E384" s="45" t="s">
        <v>385</v>
      </c>
      <c r="F384" s="22" t="str">
        <f>+VLOOKUP(A384,'[1]Proveedor-Comprador'!A:D,4,0)</f>
        <v>Whirlpool S/A</v>
      </c>
      <c r="G384" s="36" t="s">
        <v>342</v>
      </c>
      <c r="H384" s="39"/>
      <c r="I384" s="24" t="str">
        <f>+VLOOKUP(A384,[2]Hoja1!$A:$A,1,0)</f>
        <v>W11690112</v>
      </c>
    </row>
    <row r="385" spans="1:9" ht="15.75" customHeight="1" x14ac:dyDescent="0.2">
      <c r="A385" s="36" t="s">
        <v>1433</v>
      </c>
      <c r="B385" s="38" t="s">
        <v>1434</v>
      </c>
      <c r="C385" s="34" t="s">
        <v>256</v>
      </c>
      <c r="D385" s="35" t="s">
        <v>1435</v>
      </c>
      <c r="E385" s="45" t="s">
        <v>385</v>
      </c>
      <c r="F385" s="22" t="str">
        <f>+VLOOKUP(A385,'[1]Proveedor-Comprador'!A:D,4,0)</f>
        <v>Whirlpool S/A</v>
      </c>
      <c r="G385" s="36" t="s">
        <v>342</v>
      </c>
      <c r="H385" s="39"/>
      <c r="I385" s="24" t="str">
        <f>+VLOOKUP(A385,[2]Hoja1!$A:$A,1,0)</f>
        <v>W11262421</v>
      </c>
    </row>
    <row r="386" spans="1:9" ht="15.75" customHeight="1" x14ac:dyDescent="0.2">
      <c r="A386" s="36" t="s">
        <v>1436</v>
      </c>
      <c r="B386" s="38" t="s">
        <v>1437</v>
      </c>
      <c r="C386" s="34" t="s">
        <v>1438</v>
      </c>
      <c r="D386" s="35" t="s">
        <v>1439</v>
      </c>
      <c r="E386" s="45" t="s">
        <v>385</v>
      </c>
      <c r="F386" s="22" t="str">
        <f>+VLOOKUP(A386,'[1]Proveedor-Comprador'!A:D,4,0)</f>
        <v>Whirlpool S/A</v>
      </c>
      <c r="G386" s="36" t="s">
        <v>342</v>
      </c>
      <c r="H386" s="39"/>
      <c r="I386" s="24" t="str">
        <f>+VLOOKUP(A386,[2]Hoja1!$A:$A,1,0)</f>
        <v>W11684000</v>
      </c>
    </row>
    <row r="387" spans="1:9" ht="15.75" customHeight="1" x14ac:dyDescent="0.2">
      <c r="A387" s="36" t="s">
        <v>1440</v>
      </c>
      <c r="B387" s="38" t="s">
        <v>1441</v>
      </c>
      <c r="C387" s="34" t="s">
        <v>1438</v>
      </c>
      <c r="D387" s="35" t="s">
        <v>1442</v>
      </c>
      <c r="E387" s="45" t="s">
        <v>385</v>
      </c>
      <c r="F387" s="22" t="str">
        <f>+VLOOKUP(A387,'[1]Proveedor-Comprador'!A:D,4,0)</f>
        <v>Whirlpool S/A</v>
      </c>
      <c r="G387" s="36" t="s">
        <v>342</v>
      </c>
      <c r="H387" s="39"/>
      <c r="I387" s="24" t="str">
        <f>+VLOOKUP(A387,[2]Hoja1!$A:$A,1,0)</f>
        <v>W11683999</v>
      </c>
    </row>
    <row r="388" spans="1:9" ht="15.75" customHeight="1" x14ac:dyDescent="0.2">
      <c r="A388" s="36" t="s">
        <v>1443</v>
      </c>
      <c r="B388" s="38" t="s">
        <v>1444</v>
      </c>
      <c r="C388" s="34" t="s">
        <v>256</v>
      </c>
      <c r="D388" s="35" t="s">
        <v>1445</v>
      </c>
      <c r="E388" s="45" t="s">
        <v>385</v>
      </c>
      <c r="F388" s="22" t="str">
        <f>+VLOOKUP(A388,'[1]Proveedor-Comprador'!A:D,4,0)</f>
        <v>Whirlpool S/A</v>
      </c>
      <c r="G388" s="36" t="s">
        <v>342</v>
      </c>
      <c r="H388" s="39"/>
      <c r="I388" s="24" t="str">
        <f>+VLOOKUP(A388,[2]Hoja1!$A:$A,1,0)</f>
        <v>W11184185</v>
      </c>
    </row>
    <row r="389" spans="1:9" ht="15.75" customHeight="1" x14ac:dyDescent="0.2">
      <c r="A389" s="36" t="s">
        <v>1446</v>
      </c>
      <c r="B389" s="38" t="s">
        <v>1447</v>
      </c>
      <c r="C389" s="34" t="s">
        <v>256</v>
      </c>
      <c r="D389" s="35" t="s">
        <v>1448</v>
      </c>
      <c r="E389" s="45" t="s">
        <v>1174</v>
      </c>
      <c r="F389" s="22" t="str">
        <f>+VLOOKUP(A389,'[1]Proveedor-Comprador'!A:D,4,0)</f>
        <v>Riduco S.A.</v>
      </c>
      <c r="G389" s="36" t="s">
        <v>259</v>
      </c>
      <c r="H389" s="39"/>
      <c r="I389" s="24" t="str">
        <f>+VLOOKUP(A389,[2]Hoja1!$A:$A,1,0)</f>
        <v>W11246293</v>
      </c>
    </row>
    <row r="390" spans="1:9" ht="15.75" customHeight="1" x14ac:dyDescent="0.2">
      <c r="A390" s="36" t="s">
        <v>1449</v>
      </c>
      <c r="B390" s="38" t="s">
        <v>1051</v>
      </c>
      <c r="C390" s="34" t="s">
        <v>256</v>
      </c>
      <c r="D390" s="35" t="s">
        <v>1450</v>
      </c>
      <c r="E390" s="45" t="s">
        <v>385</v>
      </c>
      <c r="F390" s="22" t="str">
        <f>+VLOOKUP(A390,'[1]Proveedor-Comprador'!A:D,4,0)</f>
        <v>Whirlpool S/A</v>
      </c>
      <c r="G390" s="36" t="s">
        <v>342</v>
      </c>
      <c r="H390" s="39"/>
      <c r="I390" s="24" t="str">
        <f>+VLOOKUP(A390,[2]Hoja1!$A:$A,1,0)</f>
        <v>W11225676</v>
      </c>
    </row>
    <row r="391" spans="1:9" ht="15.75" customHeight="1" x14ac:dyDescent="0.2">
      <c r="A391" s="36" t="s">
        <v>1451</v>
      </c>
      <c r="B391" s="38" t="s">
        <v>1452</v>
      </c>
      <c r="C391" s="34" t="s">
        <v>256</v>
      </c>
      <c r="D391" s="35" t="s">
        <v>1453</v>
      </c>
      <c r="E391" s="45" t="s">
        <v>385</v>
      </c>
      <c r="F391" s="22" t="str">
        <f>+VLOOKUP(A391,'[1]Proveedor-Comprador'!A:D,4,0)</f>
        <v>Whirlpool S/A</v>
      </c>
      <c r="G391" s="36" t="s">
        <v>342</v>
      </c>
      <c r="H391" s="39"/>
      <c r="I391" s="24" t="str">
        <f>+VLOOKUP(A391,[2]Hoja1!$A:$A,1,0)</f>
        <v>W11452385</v>
      </c>
    </row>
    <row r="392" spans="1:9" ht="15.75" customHeight="1" x14ac:dyDescent="0.2">
      <c r="A392" s="36" t="s">
        <v>1454</v>
      </c>
      <c r="B392" s="38" t="s">
        <v>1455</v>
      </c>
      <c r="C392" s="34" t="s">
        <v>256</v>
      </c>
      <c r="D392" s="35" t="s">
        <v>1456</v>
      </c>
      <c r="E392" s="45" t="s">
        <v>385</v>
      </c>
      <c r="F392" s="22" t="str">
        <f>+VLOOKUP(A392,'[1]Proveedor-Comprador'!A:D,4,0)</f>
        <v>Whirlpool S/A</v>
      </c>
      <c r="G392" s="36" t="s">
        <v>342</v>
      </c>
      <c r="H392" s="39"/>
      <c r="I392" s="24" t="str">
        <f>+VLOOKUP(A392,[2]Hoja1!$A:$A,1,0)</f>
        <v>W11230091</v>
      </c>
    </row>
    <row r="393" spans="1:9" ht="15.75" customHeight="1" x14ac:dyDescent="0.2">
      <c r="A393" s="36" t="s">
        <v>1457</v>
      </c>
      <c r="B393" s="38" t="s">
        <v>405</v>
      </c>
      <c r="C393" s="34" t="s">
        <v>256</v>
      </c>
      <c r="D393" s="35" t="s">
        <v>1458</v>
      </c>
      <c r="E393" s="45" t="s">
        <v>385</v>
      </c>
      <c r="F393" s="22" t="str">
        <f>+VLOOKUP(A393,'[1]Proveedor-Comprador'!A:D,4,0)</f>
        <v>Whirlpool S/A</v>
      </c>
      <c r="G393" s="36" t="s">
        <v>342</v>
      </c>
      <c r="H393" s="39"/>
      <c r="I393" s="24" t="str">
        <f>+VLOOKUP(A393,[2]Hoja1!$A:$A,1,0)</f>
        <v>W11245143</v>
      </c>
    </row>
    <row r="394" spans="1:9" ht="15.75" customHeight="1" x14ac:dyDescent="0.2">
      <c r="A394" s="36" t="s">
        <v>1459</v>
      </c>
      <c r="B394" s="38" t="s">
        <v>1460</v>
      </c>
      <c r="C394" s="34" t="s">
        <v>256</v>
      </c>
      <c r="D394" s="35" t="s">
        <v>1461</v>
      </c>
      <c r="E394" s="45" t="s">
        <v>385</v>
      </c>
      <c r="F394" s="22" t="str">
        <f>+VLOOKUP(A394,'[1]Proveedor-Comprador'!A:D,4,0)</f>
        <v>Whirlpool S/A</v>
      </c>
      <c r="G394" s="36" t="s">
        <v>342</v>
      </c>
      <c r="H394" s="39"/>
      <c r="I394" s="24" t="str">
        <f>+VLOOKUP(A394,[2]Hoja1!$A:$A,1,0)</f>
        <v>W11673741</v>
      </c>
    </row>
    <row r="395" spans="1:9" ht="15.75" customHeight="1" x14ac:dyDescent="0.2">
      <c r="A395" s="36" t="s">
        <v>1462</v>
      </c>
      <c r="B395" s="38" t="s">
        <v>1463</v>
      </c>
      <c r="C395" s="34" t="s">
        <v>256</v>
      </c>
      <c r="D395" s="35" t="s">
        <v>1464</v>
      </c>
      <c r="E395" s="45" t="s">
        <v>1465</v>
      </c>
      <c r="F395" s="22" t="str">
        <f>+VLOOKUP(A395,'[1]Proveedor-Comprador'!A:D,4,0)</f>
        <v>PLASTICOS TRUHER S.A.</v>
      </c>
      <c r="G395" s="36" t="s">
        <v>312</v>
      </c>
      <c r="H395" s="39"/>
      <c r="I395" s="24" t="str">
        <f>+VLOOKUP(A395,[2]Hoja1!$A:$A,1,0)</f>
        <v>W10749069</v>
      </c>
    </row>
    <row r="396" spans="1:9" ht="15.75" customHeight="1" x14ac:dyDescent="0.2">
      <c r="A396" s="36" t="s">
        <v>1466</v>
      </c>
      <c r="B396" s="38" t="s">
        <v>1465</v>
      </c>
      <c r="C396" s="34" t="s">
        <v>256</v>
      </c>
      <c r="D396" s="35" t="s">
        <v>1467</v>
      </c>
      <c r="E396" s="45" t="s">
        <v>1465</v>
      </c>
      <c r="F396" s="22" t="str">
        <f>+VLOOKUP(A396,'[1]Proveedor-Comprador'!A:D,4,0)</f>
        <v>PLASTICOS TRUHER S.A.</v>
      </c>
      <c r="G396" s="36" t="s">
        <v>267</v>
      </c>
      <c r="H396" s="39"/>
      <c r="I396" s="24" t="str">
        <f>+VLOOKUP(A396,[2]Hoja1!$A:$A,1,0)</f>
        <v>W11496616</v>
      </c>
    </row>
    <row r="397" spans="1:9" ht="15.75" customHeight="1" x14ac:dyDescent="0.2">
      <c r="A397" s="36" t="s">
        <v>1468</v>
      </c>
      <c r="B397" s="38" t="s">
        <v>1469</v>
      </c>
      <c r="C397" s="34" t="s">
        <v>256</v>
      </c>
      <c r="D397" s="35" t="s">
        <v>1470</v>
      </c>
      <c r="E397" s="45" t="s">
        <v>1465</v>
      </c>
      <c r="F397" s="22" t="str">
        <f>+VLOOKUP(A397,'[1]Proveedor-Comprador'!A:D,4,0)</f>
        <v>PLASTICOS TRUHER S.A.</v>
      </c>
      <c r="G397" s="36" t="s">
        <v>312</v>
      </c>
      <c r="H397" s="39"/>
      <c r="I397" s="24" t="str">
        <f>+VLOOKUP(A397,[2]Hoja1!$A:$A,1,0)</f>
        <v>W10673299</v>
      </c>
    </row>
    <row r="398" spans="1:9" ht="15.75" customHeight="1" x14ac:dyDescent="0.2">
      <c r="A398" s="36" t="s">
        <v>1471</v>
      </c>
      <c r="B398" s="38" t="s">
        <v>1465</v>
      </c>
      <c r="C398" s="34" t="s">
        <v>256</v>
      </c>
      <c r="D398" s="35" t="s">
        <v>1472</v>
      </c>
      <c r="E398" s="45" t="s">
        <v>1465</v>
      </c>
      <c r="F398" s="22" t="str">
        <f>+VLOOKUP(A398,'[1]Proveedor-Comprador'!A:D,4,0)</f>
        <v>PLASTICOS TRUHER S.A.</v>
      </c>
      <c r="G398" s="36" t="s">
        <v>267</v>
      </c>
      <c r="H398" s="39"/>
      <c r="I398" s="24" t="str">
        <f>+VLOOKUP(A398,[2]Hoja1!$A:$A,1,0)</f>
        <v>W11496613</v>
      </c>
    </row>
    <row r="399" spans="1:9" ht="15.75" customHeight="1" x14ac:dyDescent="0.2">
      <c r="A399" s="36" t="s">
        <v>1473</v>
      </c>
      <c r="B399" s="38" t="s">
        <v>1474</v>
      </c>
      <c r="C399" s="34" t="s">
        <v>256</v>
      </c>
      <c r="D399" s="35" t="s">
        <v>1475</v>
      </c>
      <c r="E399" s="45" t="s">
        <v>1476</v>
      </c>
      <c r="F399" s="22" t="str">
        <f>+VLOOKUP(A399,'[1]Proveedor-Comprador'!A:D,4,0)</f>
        <v>Shenzhen Feller Magnets C</v>
      </c>
      <c r="G399" s="36" t="s">
        <v>267</v>
      </c>
      <c r="H399" s="39" t="s">
        <v>279</v>
      </c>
      <c r="I399" s="24" t="s">
        <v>253</v>
      </c>
    </row>
    <row r="400" spans="1:9" ht="15.75" customHeight="1" x14ac:dyDescent="0.2">
      <c r="A400" s="36" t="s">
        <v>1477</v>
      </c>
      <c r="B400" s="38" t="s">
        <v>1478</v>
      </c>
      <c r="C400" s="34" t="s">
        <v>256</v>
      </c>
      <c r="D400" s="35" t="s">
        <v>1479</v>
      </c>
      <c r="E400" s="45" t="s">
        <v>1480</v>
      </c>
      <c r="F400" s="22" t="str">
        <f>+VLOOKUP(A400,'[1]Proveedor-Comprador'!A:D,4,0)</f>
        <v>IMAG IND COM COMP ELETR L</v>
      </c>
      <c r="G400" s="36" t="s">
        <v>267</v>
      </c>
      <c r="H400" s="39"/>
      <c r="I400" s="24" t="str">
        <f>+VLOOKUP(A400,[2]Hoja1!$A:$A,1,0)</f>
        <v>W10463824</v>
      </c>
    </row>
    <row r="401" spans="1:9" ht="15.75" customHeight="1" x14ac:dyDescent="0.2">
      <c r="A401" s="36" t="s">
        <v>1481</v>
      </c>
      <c r="B401" s="38" t="s">
        <v>1482</v>
      </c>
      <c r="C401" s="34" t="s">
        <v>256</v>
      </c>
      <c r="D401" s="35" t="s">
        <v>1483</v>
      </c>
      <c r="E401" s="45" t="s">
        <v>1484</v>
      </c>
      <c r="F401" s="22" t="str">
        <f>+VLOOKUP(A401,'[1]Proveedor-Comprador'!A:D,4,0)</f>
        <v>FUNDACION CIUDAD DON BOSCO</v>
      </c>
      <c r="G401" s="36" t="s">
        <v>259</v>
      </c>
      <c r="H401" s="39"/>
      <c r="I401" s="24" t="str">
        <f>+VLOOKUP(A401,[2]Hoja1!$A:$A,1,0)</f>
        <v>W11760064</v>
      </c>
    </row>
    <row r="402" spans="1:9" ht="15.75" customHeight="1" x14ac:dyDescent="0.2">
      <c r="A402" s="36" t="s">
        <v>1485</v>
      </c>
      <c r="B402" s="38" t="s">
        <v>1486</v>
      </c>
      <c r="C402" s="34" t="s">
        <v>256</v>
      </c>
      <c r="D402" s="35" t="s">
        <v>1487</v>
      </c>
      <c r="E402" s="45" t="s">
        <v>1484</v>
      </c>
      <c r="F402" s="22" t="str">
        <f>+VLOOKUP(A402,'[1]Proveedor-Comprador'!A:D,4,0)</f>
        <v>FUNDACION CIUDAD DON BOSCO</v>
      </c>
      <c r="G402" s="36" t="s">
        <v>342</v>
      </c>
      <c r="H402" s="39"/>
      <c r="I402" s="24" t="str">
        <f>+VLOOKUP(A402,[2]Hoja1!$A:$A,1,0)</f>
        <v>W11687561</v>
      </c>
    </row>
    <row r="403" spans="1:9" ht="15.75" customHeight="1" x14ac:dyDescent="0.2">
      <c r="A403" s="36" t="s">
        <v>1488</v>
      </c>
      <c r="B403" s="38" t="s">
        <v>1489</v>
      </c>
      <c r="C403" s="34" t="s">
        <v>256</v>
      </c>
      <c r="D403" s="35" t="s">
        <v>1489</v>
      </c>
      <c r="E403" s="45" t="s">
        <v>1484</v>
      </c>
      <c r="F403" s="22" t="str">
        <f>+VLOOKUP(A403,'[1]Proveedor-Comprador'!A:D,4,0)</f>
        <v>FUNDACION CIUDAD DON BOSCO</v>
      </c>
      <c r="G403" s="36" t="s">
        <v>267</v>
      </c>
      <c r="H403" s="39"/>
      <c r="I403" s="24" t="str">
        <f>+VLOOKUP(A403,[2]Hoja1!$A:$A,1,0)</f>
        <v>W11680127</v>
      </c>
    </row>
    <row r="404" spans="1:9" ht="15.75" customHeight="1" x14ac:dyDescent="0.2">
      <c r="A404" s="36" t="s">
        <v>1490</v>
      </c>
      <c r="B404" s="38" t="s">
        <v>1491</v>
      </c>
      <c r="C404" s="34" t="s">
        <v>256</v>
      </c>
      <c r="D404" s="35" t="s">
        <v>1492</v>
      </c>
      <c r="E404" s="45" t="s">
        <v>1484</v>
      </c>
      <c r="F404" s="22" t="str">
        <f>+VLOOKUP(A404,'[1]Proveedor-Comprador'!A:D,4,0)</f>
        <v>FUNDACION CIUDAD DON BOSCO</v>
      </c>
      <c r="G404" s="36" t="s">
        <v>267</v>
      </c>
      <c r="H404" s="39"/>
      <c r="I404" s="24" t="str">
        <f>+VLOOKUP(A404,[2]Hoja1!$A:$A,1,0)</f>
        <v>W11570230</v>
      </c>
    </row>
    <row r="405" spans="1:9" ht="15.75" customHeight="1" x14ac:dyDescent="0.2">
      <c r="A405" s="36" t="s">
        <v>1493</v>
      </c>
      <c r="B405" s="38" t="s">
        <v>1494</v>
      </c>
      <c r="C405" s="34" t="s">
        <v>256</v>
      </c>
      <c r="D405" s="35" t="s">
        <v>1495</v>
      </c>
      <c r="E405" s="45" t="s">
        <v>1484</v>
      </c>
      <c r="F405" s="22" t="str">
        <f>+VLOOKUP(A405,'[1]Proveedor-Comprador'!A:D,4,0)</f>
        <v>FUNDACION CIUDAD DON BOSCO</v>
      </c>
      <c r="G405" s="36" t="s">
        <v>312</v>
      </c>
      <c r="H405" s="39"/>
      <c r="I405" s="24" t="str">
        <f>+VLOOKUP(A405,[2]Hoja1!$A:$A,1,0)</f>
        <v>W11697717</v>
      </c>
    </row>
    <row r="406" spans="1:9" ht="15.75" customHeight="1" x14ac:dyDescent="0.2">
      <c r="A406" s="36" t="s">
        <v>1496</v>
      </c>
      <c r="B406" s="38" t="s">
        <v>1497</v>
      </c>
      <c r="C406" s="34" t="s">
        <v>256</v>
      </c>
      <c r="D406" s="35" t="s">
        <v>1498</v>
      </c>
      <c r="E406" s="45" t="s">
        <v>1484</v>
      </c>
      <c r="F406" s="22" t="str">
        <f>+VLOOKUP(A406,'[1]Proveedor-Comprador'!A:D,4,0)</f>
        <v>FUNDACION CIUDAD DON BOSCO</v>
      </c>
      <c r="G406" s="36" t="s">
        <v>267</v>
      </c>
      <c r="H406" s="39"/>
      <c r="I406" s="24" t="str">
        <f>+VLOOKUP(A406,[2]Hoja1!$A:$A,1,0)</f>
        <v>W11570229</v>
      </c>
    </row>
    <row r="407" spans="1:9" ht="15.75" customHeight="1" x14ac:dyDescent="0.2">
      <c r="A407" s="36" t="s">
        <v>1499</v>
      </c>
      <c r="B407" s="38" t="s">
        <v>1500</v>
      </c>
      <c r="C407" s="34" t="s">
        <v>256</v>
      </c>
      <c r="D407" s="35" t="s">
        <v>1501</v>
      </c>
      <c r="E407" s="45" t="s">
        <v>1484</v>
      </c>
      <c r="F407" s="22" t="str">
        <f>+VLOOKUP(A407,'[1]Proveedor-Comprador'!A:D,4,0)</f>
        <v>FUNDACION CIUDAD DON BOSCO</v>
      </c>
      <c r="G407" s="36" t="s">
        <v>312</v>
      </c>
      <c r="H407" s="39"/>
      <c r="I407" s="24" t="str">
        <f>+VLOOKUP(A407,[2]Hoja1!$A:$A,1,0)</f>
        <v>W11655338</v>
      </c>
    </row>
    <row r="408" spans="1:9" ht="15.75" customHeight="1" x14ac:dyDescent="0.2">
      <c r="A408" s="36" t="s">
        <v>1502</v>
      </c>
      <c r="B408" s="38" t="s">
        <v>1503</v>
      </c>
      <c r="C408" s="34" t="s">
        <v>256</v>
      </c>
      <c r="D408" s="35" t="s">
        <v>1504</v>
      </c>
      <c r="E408" s="45" t="s">
        <v>1484</v>
      </c>
      <c r="F408" s="22" t="str">
        <f>+VLOOKUP(A408,'[1]Proveedor-Comprador'!A:D,4,0)</f>
        <v>FUNDACION CIUDAD DON BOSCO</v>
      </c>
      <c r="G408" s="36" t="s">
        <v>267</v>
      </c>
      <c r="H408" s="39"/>
      <c r="I408" s="24" t="str">
        <f>+VLOOKUP(A408,[2]Hoja1!$A:$A,1,0)</f>
        <v>W11655335</v>
      </c>
    </row>
    <row r="409" spans="1:9" ht="15.75" customHeight="1" x14ac:dyDescent="0.2">
      <c r="A409" s="36" t="s">
        <v>1505</v>
      </c>
      <c r="B409" s="38" t="s">
        <v>1506</v>
      </c>
      <c r="C409" s="34" t="s">
        <v>256</v>
      </c>
      <c r="D409" s="35" t="s">
        <v>1507</v>
      </c>
      <c r="E409" s="45" t="s">
        <v>1507</v>
      </c>
      <c r="F409" s="22" t="str">
        <f>+VLOOKUP(A409,'[1]Proveedor-Comprador'!A:D,4,0)</f>
        <v>Riduco S.A.</v>
      </c>
      <c r="G409" s="36" t="s">
        <v>312</v>
      </c>
      <c r="H409" s="39"/>
      <c r="I409" s="24" t="str">
        <f>+VLOOKUP(A409,[2]Hoja1!$A:$A,1,0)</f>
        <v>W11432742</v>
      </c>
    </row>
    <row r="410" spans="1:9" ht="15.75" customHeight="1" x14ac:dyDescent="0.2">
      <c r="A410" s="36" t="s">
        <v>1508</v>
      </c>
      <c r="B410" s="38" t="s">
        <v>1509</v>
      </c>
      <c r="C410" s="34" t="s">
        <v>256</v>
      </c>
      <c r="D410" s="35" t="s">
        <v>1510</v>
      </c>
      <c r="E410" s="45" t="s">
        <v>1509</v>
      </c>
      <c r="F410" s="22" t="str">
        <f>+VLOOKUP(A410,'[1]Proveedor-Comprador'!A:D,4,0)</f>
        <v>Riduco S.A.</v>
      </c>
      <c r="G410" s="36" t="s">
        <v>312</v>
      </c>
      <c r="H410" s="39"/>
      <c r="I410" s="24" t="str">
        <f>+VLOOKUP(A410,[2]Hoja1!$A:$A,1,0)</f>
        <v>W11134859</v>
      </c>
    </row>
    <row r="411" spans="1:9" ht="15.75" customHeight="1" x14ac:dyDescent="0.2">
      <c r="A411" s="36" t="s">
        <v>1511</v>
      </c>
      <c r="B411" s="38" t="s">
        <v>1512</v>
      </c>
      <c r="C411" s="34" t="s">
        <v>256</v>
      </c>
      <c r="D411" s="35" t="s">
        <v>1513</v>
      </c>
      <c r="E411" s="45" t="s">
        <v>1514</v>
      </c>
      <c r="F411" s="22" t="str">
        <f>+VLOOKUP(A411,'[1]Proveedor-Comprador'!A:D,4,0)</f>
        <v>TECNOPEÇAS PECAS TEC E FITAS</v>
      </c>
      <c r="G411" s="36" t="s">
        <v>251</v>
      </c>
      <c r="H411" s="39" t="s">
        <v>279</v>
      </c>
      <c r="I411" s="24" t="s">
        <v>253</v>
      </c>
    </row>
    <row r="412" spans="1:9" ht="15.75" customHeight="1" x14ac:dyDescent="0.2">
      <c r="A412" s="36" t="s">
        <v>1515</v>
      </c>
      <c r="B412" s="38" t="s">
        <v>1516</v>
      </c>
      <c r="C412" s="34" t="s">
        <v>256</v>
      </c>
      <c r="D412" s="35" t="s">
        <v>1517</v>
      </c>
      <c r="E412" s="45" t="s">
        <v>1514</v>
      </c>
      <c r="F412" s="22" t="str">
        <f>+VLOOKUP(A412,'[1]Proveedor-Comprador'!A:D,4,0)</f>
        <v>TECNOPEÇAS PECAS TEC E FITAS</v>
      </c>
      <c r="G412" s="36" t="s">
        <v>251</v>
      </c>
      <c r="H412" s="39" t="s">
        <v>279</v>
      </c>
      <c r="I412" s="24" t="s">
        <v>253</v>
      </c>
    </row>
    <row r="413" spans="1:9" ht="15.75" customHeight="1" x14ac:dyDescent="0.2">
      <c r="A413" s="36" t="s">
        <v>1518</v>
      </c>
      <c r="B413" s="38" t="s">
        <v>1519</v>
      </c>
      <c r="C413" s="34" t="s">
        <v>256</v>
      </c>
      <c r="D413" s="35" t="s">
        <v>1520</v>
      </c>
      <c r="E413" s="45" t="s">
        <v>1514</v>
      </c>
      <c r="F413" s="22" t="str">
        <f>+VLOOKUP(A413,'[1]Proveedor-Comprador'!A:D,4,0)</f>
        <v>TECNOPEÇAS PECAS TEC E FITAS</v>
      </c>
      <c r="G413" s="36" t="s">
        <v>251</v>
      </c>
      <c r="H413" s="39" t="s">
        <v>279</v>
      </c>
      <c r="I413" s="24" t="s">
        <v>253</v>
      </c>
    </row>
    <row r="414" spans="1:9" ht="15.75" customHeight="1" x14ac:dyDescent="0.2">
      <c r="A414" s="36" t="s">
        <v>1521</v>
      </c>
      <c r="B414" s="38" t="s">
        <v>1522</v>
      </c>
      <c r="C414" s="34" t="s">
        <v>256</v>
      </c>
      <c r="D414" s="35" t="s">
        <v>1523</v>
      </c>
      <c r="E414" s="45" t="s">
        <v>1514</v>
      </c>
      <c r="F414" s="22" t="str">
        <f>+VLOOKUP(A414,'[1]Proveedor-Comprador'!A:D,4,0)</f>
        <v>TECNOPEÇAS PECAS TEC E FITAS</v>
      </c>
      <c r="G414" s="36" t="s">
        <v>251</v>
      </c>
      <c r="H414" s="39" t="s">
        <v>279</v>
      </c>
      <c r="I414" s="24" t="str">
        <f>+VLOOKUP(A414,[2]Hoja1!$A:$A,1,0)</f>
        <v>W10760338</v>
      </c>
    </row>
    <row r="415" spans="1:9" ht="15.75" customHeight="1" x14ac:dyDescent="0.2">
      <c r="A415" s="36" t="s">
        <v>1524</v>
      </c>
      <c r="B415" s="38" t="s">
        <v>1525</v>
      </c>
      <c r="C415" s="34" t="s">
        <v>256</v>
      </c>
      <c r="D415" s="35" t="s">
        <v>1526</v>
      </c>
      <c r="E415" s="45" t="s">
        <v>1527</v>
      </c>
      <c r="F415" s="22" t="str">
        <f>+VLOOKUP(A415,'[1]Proveedor-Comprador'!A:D,4,0)</f>
        <v>ELASTOPLAST</v>
      </c>
      <c r="G415" s="36" t="s">
        <v>251</v>
      </c>
      <c r="H415" s="39" t="s">
        <v>279</v>
      </c>
      <c r="I415" s="24" t="s">
        <v>253</v>
      </c>
    </row>
    <row r="416" spans="1:9" ht="15.75" customHeight="1" x14ac:dyDescent="0.2">
      <c r="A416" s="36" t="s">
        <v>1528</v>
      </c>
      <c r="B416" s="38" t="s">
        <v>1529</v>
      </c>
      <c r="C416" s="34" t="s">
        <v>256</v>
      </c>
      <c r="D416" s="35" t="s">
        <v>1530</v>
      </c>
      <c r="E416" s="45" t="s">
        <v>1531</v>
      </c>
      <c r="F416" s="22" t="str">
        <f>+VLOOKUP(A416,'[1]Proveedor-Comprador'!A:D,4,0)</f>
        <v>Iprocom S.A.</v>
      </c>
      <c r="G416" s="36" t="s">
        <v>312</v>
      </c>
      <c r="H416" s="39"/>
      <c r="I416" s="24" t="str">
        <f>+VLOOKUP(A416,[2]Hoja1!$A:$A,1,0)</f>
        <v>W11682964</v>
      </c>
    </row>
    <row r="417" spans="1:9" ht="15.75" customHeight="1" x14ac:dyDescent="0.2">
      <c r="A417" s="36" t="s">
        <v>1532</v>
      </c>
      <c r="B417" s="38" t="s">
        <v>1533</v>
      </c>
      <c r="C417" s="34" t="s">
        <v>256</v>
      </c>
      <c r="D417" s="35" t="s">
        <v>1534</v>
      </c>
      <c r="E417" s="45" t="s">
        <v>1531</v>
      </c>
      <c r="F417" s="22" t="str">
        <f>+VLOOKUP(A417,'[1]Proveedor-Comprador'!A:D,4,0)</f>
        <v>Iprocom S.A.</v>
      </c>
      <c r="G417" s="36" t="s">
        <v>267</v>
      </c>
      <c r="H417" s="39"/>
      <c r="I417" s="24" t="str">
        <f>+VLOOKUP(A417,[2]Hoja1!$A:$A,1,0)</f>
        <v>W11680573</v>
      </c>
    </row>
    <row r="418" spans="1:9" ht="15.75" customHeight="1" x14ac:dyDescent="0.2">
      <c r="A418" s="36" t="s">
        <v>1535</v>
      </c>
      <c r="B418" s="38" t="s">
        <v>1536</v>
      </c>
      <c r="C418" s="34" t="s">
        <v>256</v>
      </c>
      <c r="D418" s="35" t="s">
        <v>1537</v>
      </c>
      <c r="E418" s="45" t="s">
        <v>1531</v>
      </c>
      <c r="F418" s="22" t="str">
        <f>+VLOOKUP(A418,'[1]Proveedor-Comprador'!A:D,4,0)</f>
        <v>Iprocom S.A.</v>
      </c>
      <c r="G418" s="36" t="s">
        <v>312</v>
      </c>
      <c r="H418" s="39"/>
      <c r="I418" s="24" t="str">
        <f>+VLOOKUP(A418,[2]Hoja1!$A:$A,1,0)</f>
        <v>W11682961</v>
      </c>
    </row>
    <row r="419" spans="1:9" ht="15.75" customHeight="1" x14ac:dyDescent="0.2">
      <c r="A419" s="36" t="s">
        <v>1538</v>
      </c>
      <c r="B419" s="38" t="s">
        <v>1539</v>
      </c>
      <c r="C419" s="34" t="s">
        <v>256</v>
      </c>
      <c r="D419" s="35" t="s">
        <v>1540</v>
      </c>
      <c r="E419" s="45" t="s">
        <v>1531</v>
      </c>
      <c r="F419" s="22" t="str">
        <f>+VLOOKUP(A419,'[1]Proveedor-Comprador'!A:D,4,0)</f>
        <v>Iprocom S.A.</v>
      </c>
      <c r="G419" s="36" t="s">
        <v>267</v>
      </c>
      <c r="H419" s="39"/>
      <c r="I419" s="24" t="str">
        <f>+VLOOKUP(A419,[2]Hoja1!$A:$A,1,0)</f>
        <v>W11680569</v>
      </c>
    </row>
    <row r="420" spans="1:9" ht="15.75" customHeight="1" x14ac:dyDescent="0.2">
      <c r="A420" s="36" t="s">
        <v>1541</v>
      </c>
      <c r="B420" s="38" t="s">
        <v>1542</v>
      </c>
      <c r="C420" s="34" t="s">
        <v>256</v>
      </c>
      <c r="D420" s="35" t="s">
        <v>1543</v>
      </c>
      <c r="E420" s="45" t="s">
        <v>1531</v>
      </c>
      <c r="F420" s="22" t="str">
        <f>+VLOOKUP(A420,'[1]Proveedor-Comprador'!A:D,4,0)</f>
        <v>Iprocom S.A.</v>
      </c>
      <c r="G420" s="36" t="s">
        <v>267</v>
      </c>
      <c r="H420" s="39"/>
      <c r="I420" s="24" t="str">
        <f>+VLOOKUP(A420,[2]Hoja1!$A:$A,1,0)</f>
        <v>W11680567</v>
      </c>
    </row>
    <row r="421" spans="1:9" ht="15.75" customHeight="1" x14ac:dyDescent="0.2">
      <c r="A421" s="36" t="s">
        <v>1544</v>
      </c>
      <c r="B421" s="38" t="s">
        <v>1545</v>
      </c>
      <c r="C421" s="34" t="s">
        <v>256</v>
      </c>
      <c r="D421" s="35" t="s">
        <v>1546</v>
      </c>
      <c r="E421" s="45" t="s">
        <v>1531</v>
      </c>
      <c r="F421" s="22" t="str">
        <f>+VLOOKUP(A421,'[1]Proveedor-Comprador'!A:D,4,0)</f>
        <v>Iprocom S.A.</v>
      </c>
      <c r="G421" s="36" t="s">
        <v>267</v>
      </c>
      <c r="H421" s="39"/>
      <c r="I421" s="24" t="str">
        <f>+VLOOKUP(A421,[2]Hoja1!$A:$A,1,0)</f>
        <v>W11680568</v>
      </c>
    </row>
    <row r="422" spans="1:9" ht="15.75" customHeight="1" x14ac:dyDescent="0.2">
      <c r="A422" s="36" t="s">
        <v>1547</v>
      </c>
      <c r="B422" s="38" t="s">
        <v>1548</v>
      </c>
      <c r="C422" s="34" t="s">
        <v>256</v>
      </c>
      <c r="D422" s="35" t="s">
        <v>1549</v>
      </c>
      <c r="E422" s="45" t="s">
        <v>1531</v>
      </c>
      <c r="F422" s="22" t="str">
        <f>+VLOOKUP(A422,'[1]Proveedor-Comprador'!A:D,4,0)</f>
        <v>Iprocom S.A.</v>
      </c>
      <c r="G422" s="36" t="s">
        <v>312</v>
      </c>
      <c r="H422" s="39"/>
      <c r="I422" s="24" t="str">
        <f>+VLOOKUP(A422,[2]Hoja1!$A:$A,1,0)</f>
        <v>W11682962</v>
      </c>
    </row>
    <row r="423" spans="1:9" ht="15.75" customHeight="1" x14ac:dyDescent="0.2">
      <c r="A423" s="36" t="s">
        <v>1550</v>
      </c>
      <c r="B423" s="38" t="s">
        <v>1551</v>
      </c>
      <c r="C423" s="34" t="s">
        <v>256</v>
      </c>
      <c r="D423" s="35" t="s">
        <v>1552</v>
      </c>
      <c r="E423" s="45" t="s">
        <v>1531</v>
      </c>
      <c r="F423" s="22" t="str">
        <f>+VLOOKUP(A423,'[1]Proveedor-Comprador'!A:D,4,0)</f>
        <v>Iprocom S.A.</v>
      </c>
      <c r="G423" s="36" t="s">
        <v>267</v>
      </c>
      <c r="H423" s="39"/>
      <c r="I423" s="24" t="str">
        <f>+VLOOKUP(A423,[2]Hoja1!$A:$A,1,0)</f>
        <v>W11680571</v>
      </c>
    </row>
    <row r="424" spans="1:9" ht="15.75" customHeight="1" x14ac:dyDescent="0.2">
      <c r="A424" s="36" t="s">
        <v>1553</v>
      </c>
      <c r="B424" s="38" t="s">
        <v>1529</v>
      </c>
      <c r="C424" s="34" t="s">
        <v>256</v>
      </c>
      <c r="D424" s="35" t="s">
        <v>1554</v>
      </c>
      <c r="E424" s="45" t="s">
        <v>1531</v>
      </c>
      <c r="F424" s="22" t="str">
        <f>+VLOOKUP(A424,'[1]Proveedor-Comprador'!A:D,4,0)</f>
        <v>Iprocom S.A.</v>
      </c>
      <c r="G424" s="36" t="s">
        <v>312</v>
      </c>
      <c r="H424" s="39"/>
      <c r="I424" s="24" t="str">
        <f>+VLOOKUP(A424,[2]Hoja1!$A:$A,1,0)</f>
        <v>W11682968</v>
      </c>
    </row>
    <row r="425" spans="1:9" ht="15.75" customHeight="1" x14ac:dyDescent="0.2">
      <c r="A425" s="36" t="s">
        <v>1555</v>
      </c>
      <c r="B425" s="38" t="s">
        <v>1556</v>
      </c>
      <c r="C425" s="34" t="s">
        <v>256</v>
      </c>
      <c r="D425" s="35" t="s">
        <v>1557</v>
      </c>
      <c r="E425" s="45" t="s">
        <v>1531</v>
      </c>
      <c r="F425" s="22" t="str">
        <f>+VLOOKUP(A425,'[1]Proveedor-Comprador'!A:D,4,0)</f>
        <v>Iprocom S.A.</v>
      </c>
      <c r="G425" s="36" t="s">
        <v>267</v>
      </c>
      <c r="H425" s="39"/>
      <c r="I425" s="24" t="str">
        <f>+VLOOKUP(A425,[2]Hoja1!$A:$A,1,0)</f>
        <v>W11680576</v>
      </c>
    </row>
    <row r="426" spans="1:9" ht="15.75" customHeight="1" x14ac:dyDescent="0.2">
      <c r="A426" s="36" t="s">
        <v>1558</v>
      </c>
      <c r="B426" s="38" t="s">
        <v>1545</v>
      </c>
      <c r="C426" s="34" t="s">
        <v>256</v>
      </c>
      <c r="D426" s="35" t="s">
        <v>1559</v>
      </c>
      <c r="E426" s="45" t="s">
        <v>1531</v>
      </c>
      <c r="F426" s="22" t="str">
        <f>+VLOOKUP(A426,'[1]Proveedor-Comprador'!A:D,4,0)</f>
        <v>Iprocom S.A.</v>
      </c>
      <c r="G426" s="36" t="s">
        <v>312</v>
      </c>
      <c r="H426" s="39"/>
      <c r="I426" s="24" t="str">
        <f>+VLOOKUP(A426,[2]Hoja1!$A:$A,1,0)</f>
        <v>W11682963</v>
      </c>
    </row>
    <row r="427" spans="1:9" ht="15.75" customHeight="1" x14ac:dyDescent="0.2">
      <c r="A427" s="36" t="s">
        <v>1560</v>
      </c>
      <c r="B427" s="38" t="s">
        <v>1561</v>
      </c>
      <c r="C427" s="34" t="s">
        <v>256</v>
      </c>
      <c r="D427" s="35" t="s">
        <v>1562</v>
      </c>
      <c r="E427" s="45" t="s">
        <v>1531</v>
      </c>
      <c r="F427" s="22" t="str">
        <f>+VLOOKUP(A427,'[1]Proveedor-Comprador'!A:D,4,0)</f>
        <v>Iprocom S.A.</v>
      </c>
      <c r="G427" s="36" t="s">
        <v>267</v>
      </c>
      <c r="H427" s="39"/>
      <c r="I427" s="24" t="str">
        <f>+VLOOKUP(A427,[2]Hoja1!$A:$A,1,0)</f>
        <v>W11680575</v>
      </c>
    </row>
    <row r="428" spans="1:9" ht="15.75" customHeight="1" x14ac:dyDescent="0.2">
      <c r="A428" s="36" t="s">
        <v>1563</v>
      </c>
      <c r="B428" s="38" t="s">
        <v>1564</v>
      </c>
      <c r="C428" s="34" t="s">
        <v>256</v>
      </c>
      <c r="D428" s="35" t="s">
        <v>1565</v>
      </c>
      <c r="E428" s="45" t="s">
        <v>1531</v>
      </c>
      <c r="F428" s="22" t="str">
        <f>+VLOOKUP(A428,'[1]Proveedor-Comprador'!A:D,4,0)</f>
        <v>Iprocom S.A.</v>
      </c>
      <c r="G428" s="36" t="s">
        <v>267</v>
      </c>
      <c r="H428" s="39"/>
      <c r="I428" s="24" t="str">
        <f>+VLOOKUP(A428,[2]Hoja1!$A:$A,1,0)</f>
        <v>W11680574</v>
      </c>
    </row>
    <row r="429" spans="1:9" ht="15.75" customHeight="1" x14ac:dyDescent="0.2">
      <c r="A429" s="36" t="s">
        <v>1566</v>
      </c>
      <c r="B429" s="38" t="s">
        <v>1567</v>
      </c>
      <c r="C429" s="34" t="s">
        <v>256</v>
      </c>
      <c r="D429" s="35" t="s">
        <v>1568</v>
      </c>
      <c r="E429" s="45" t="s">
        <v>1531</v>
      </c>
      <c r="F429" s="22" t="str">
        <f>+VLOOKUP(A429,'[1]Proveedor-Comprador'!A:D,4,0)</f>
        <v>Iprocom S.A.</v>
      </c>
      <c r="G429" s="36" t="s">
        <v>342</v>
      </c>
      <c r="H429" s="39"/>
      <c r="I429" s="24" t="str">
        <f>+VLOOKUP(A429,[2]Hoja1!$A:$A,1,0)</f>
        <v>W11750496</v>
      </c>
    </row>
    <row r="430" spans="1:9" ht="15.75" customHeight="1" x14ac:dyDescent="0.2">
      <c r="A430" s="36" t="s">
        <v>1569</v>
      </c>
      <c r="B430" s="38" t="s">
        <v>1570</v>
      </c>
      <c r="C430" s="34" t="s">
        <v>256</v>
      </c>
      <c r="D430" s="35" t="s">
        <v>1571</v>
      </c>
      <c r="E430" s="45" t="s">
        <v>1572</v>
      </c>
      <c r="F430" s="22" t="str">
        <f>+VLOOKUP(A430,'[1]Proveedor-Comprador'!A:D,4,0)</f>
        <v>INDUSTRIAS HACEB S.A.</v>
      </c>
      <c r="G430" s="36" t="s">
        <v>312</v>
      </c>
      <c r="H430" s="39"/>
      <c r="I430" s="24" t="str">
        <f>+VLOOKUP(A430,[2]Hoja1!$A:$A,1,0)</f>
        <v>W10702019</v>
      </c>
    </row>
    <row r="431" spans="1:9" ht="15.75" customHeight="1" x14ac:dyDescent="0.2">
      <c r="A431" s="36" t="s">
        <v>1573</v>
      </c>
      <c r="B431" s="38" t="s">
        <v>1574</v>
      </c>
      <c r="C431" s="34" t="s">
        <v>256</v>
      </c>
      <c r="D431" s="35" t="s">
        <v>1575</v>
      </c>
      <c r="E431" s="45" t="s">
        <v>1572</v>
      </c>
      <c r="F431" s="22" t="str">
        <f>+VLOOKUP(A431,'[1]Proveedor-Comprador'!A:D,4,0)</f>
        <v>PLASTICOS TRUHER S.A.</v>
      </c>
      <c r="G431" s="36" t="s">
        <v>267</v>
      </c>
      <c r="H431" s="39"/>
      <c r="I431" s="24" t="str">
        <f>+VLOOKUP(A431,[2]Hoja1!$A:$A,1,0)</f>
        <v>W11486068</v>
      </c>
    </row>
    <row r="432" spans="1:9" ht="15.75" customHeight="1" x14ac:dyDescent="0.2">
      <c r="A432" s="36" t="s">
        <v>1576</v>
      </c>
      <c r="B432" s="38" t="s">
        <v>1577</v>
      </c>
      <c r="C432" s="34" t="s">
        <v>256</v>
      </c>
      <c r="D432" s="35" t="s">
        <v>1577</v>
      </c>
      <c r="E432" s="45" t="s">
        <v>1578</v>
      </c>
      <c r="F432" s="22" t="str">
        <f>+VLOOKUP(A432,'[1]Proveedor-Comprador'!A:D,4,0)</f>
        <v>Dicoplast S.A.</v>
      </c>
      <c r="G432" s="36" t="s">
        <v>284</v>
      </c>
      <c r="H432" s="39"/>
      <c r="I432" s="24" t="str">
        <f>+VLOOKUP(A432,[2]Hoja1!$A:$A,1,0)</f>
        <v>W10705286</v>
      </c>
    </row>
    <row r="433" spans="1:9" ht="15.75" customHeight="1" x14ac:dyDescent="0.2">
      <c r="A433" s="36" t="s">
        <v>1579</v>
      </c>
      <c r="B433" s="38" t="s">
        <v>1580</v>
      </c>
      <c r="C433" s="34" t="s">
        <v>256</v>
      </c>
      <c r="D433" s="35" t="s">
        <v>1581</v>
      </c>
      <c r="E433" s="45" t="s">
        <v>392</v>
      </c>
      <c r="F433" s="22" t="str">
        <f>+VLOOKUP(A433,'[1]Proveedor-Comprador'!A:D,4,0)</f>
        <v>Riduco S.A.</v>
      </c>
      <c r="G433" s="36" t="s">
        <v>312</v>
      </c>
      <c r="H433" s="39"/>
      <c r="I433" s="24" t="str">
        <f>+VLOOKUP(A433,[2]Hoja1!$A:$A,1,0)</f>
        <v>W11572659</v>
      </c>
    </row>
    <row r="434" spans="1:9" ht="15.75" customHeight="1" x14ac:dyDescent="0.2">
      <c r="A434" s="36" t="s">
        <v>1582</v>
      </c>
      <c r="B434" s="38" t="s">
        <v>1583</v>
      </c>
      <c r="C434" s="34" t="s">
        <v>256</v>
      </c>
      <c r="D434" s="35" t="s">
        <v>1584</v>
      </c>
      <c r="E434" s="45" t="s">
        <v>392</v>
      </c>
      <c r="F434" s="22" t="str">
        <f>+VLOOKUP(A434,'[1]Proveedor-Comprador'!A:D,4,0)</f>
        <v>Riduco S.A.</v>
      </c>
      <c r="G434" s="36" t="s">
        <v>312</v>
      </c>
      <c r="H434" s="39"/>
      <c r="I434" s="24" t="str">
        <f>+VLOOKUP(A434,[2]Hoja1!$A:$A,1,0)</f>
        <v>W10770058</v>
      </c>
    </row>
    <row r="435" spans="1:9" ht="15.75" customHeight="1" x14ac:dyDescent="0.2">
      <c r="A435" s="36" t="s">
        <v>1585</v>
      </c>
      <c r="B435" s="38" t="s">
        <v>1586</v>
      </c>
      <c r="C435" s="34" t="s">
        <v>256</v>
      </c>
      <c r="D435" s="35" t="s">
        <v>1587</v>
      </c>
      <c r="E435" s="45" t="s">
        <v>392</v>
      </c>
      <c r="F435" s="22" t="str">
        <f>+VLOOKUP(A435,'[1]Proveedor-Comprador'!A:D,4,0)</f>
        <v>Riduco S.A.</v>
      </c>
      <c r="G435" s="36" t="s">
        <v>312</v>
      </c>
      <c r="H435" s="39"/>
      <c r="I435" s="24" t="str">
        <f>+VLOOKUP(A435,[2]Hoja1!$A:$A,1,0)</f>
        <v>W11433903</v>
      </c>
    </row>
    <row r="436" spans="1:9" ht="15.75" customHeight="1" x14ac:dyDescent="0.2">
      <c r="A436" s="36" t="s">
        <v>1588</v>
      </c>
      <c r="B436" s="38" t="s">
        <v>1589</v>
      </c>
      <c r="C436" s="34" t="s">
        <v>256</v>
      </c>
      <c r="D436" s="35" t="s">
        <v>1590</v>
      </c>
      <c r="E436" s="45" t="s">
        <v>1591</v>
      </c>
      <c r="F436" s="22" t="str">
        <f>+VLOOKUP(A436,'[1]Proveedor-Comprador'!A:D,4,0)</f>
        <v>LÍNEA ADHESIVA S.A.</v>
      </c>
      <c r="G436" s="36" t="s">
        <v>267</v>
      </c>
      <c r="H436" s="39"/>
      <c r="I436" s="24" t="str">
        <f>+VLOOKUP(A436,[2]Hoja1!$A:$A,1,0)</f>
        <v>W11680526</v>
      </c>
    </row>
    <row r="437" spans="1:9" ht="15.75" customHeight="1" x14ac:dyDescent="0.2">
      <c r="A437" s="36" t="s">
        <v>1592</v>
      </c>
      <c r="B437" s="38" t="s">
        <v>1593</v>
      </c>
      <c r="C437" s="34" t="s">
        <v>256</v>
      </c>
      <c r="D437" s="35" t="s">
        <v>1594</v>
      </c>
      <c r="E437" s="45" t="s">
        <v>1591</v>
      </c>
      <c r="F437" s="22" t="str">
        <f>+VLOOKUP(A437,'[1]Proveedor-Comprador'!A:D,4,0)</f>
        <v>LÍNEA ADHESIVA S.A.</v>
      </c>
      <c r="G437" s="36" t="s">
        <v>284</v>
      </c>
      <c r="H437" s="39"/>
      <c r="I437" s="24" t="str">
        <f>+VLOOKUP(A437,[2]Hoja1!$A:$A,1,0)</f>
        <v>W11696110</v>
      </c>
    </row>
    <row r="438" spans="1:9" ht="15.75" customHeight="1" x14ac:dyDescent="0.2">
      <c r="A438" s="36" t="s">
        <v>1595</v>
      </c>
      <c r="B438" s="38" t="s">
        <v>1596</v>
      </c>
      <c r="C438" s="34" t="s">
        <v>256</v>
      </c>
      <c r="D438" s="35" t="s">
        <v>1597</v>
      </c>
      <c r="E438" s="45" t="s">
        <v>1598</v>
      </c>
      <c r="F438" s="22" t="str">
        <f>+VLOOKUP(A438,'[1]Proveedor-Comprador'!A:D,4,0)</f>
        <v>LÍNEA ADHESIVA S.A.</v>
      </c>
      <c r="G438" s="36" t="s">
        <v>312</v>
      </c>
      <c r="H438" s="39"/>
      <c r="I438" s="24" t="str">
        <f>+VLOOKUP(A438,[2]Hoja1!$A:$A,1,0)</f>
        <v>W11101821</v>
      </c>
    </row>
    <row r="439" spans="1:9" ht="15.75" customHeight="1" x14ac:dyDescent="0.2">
      <c r="A439" s="36" t="s">
        <v>1599</v>
      </c>
      <c r="B439" s="38" t="s">
        <v>1600</v>
      </c>
      <c r="C439" s="34" t="s">
        <v>256</v>
      </c>
      <c r="D439" s="35" t="s">
        <v>1601</v>
      </c>
      <c r="E439" s="45" t="s">
        <v>1598</v>
      </c>
      <c r="F439" s="22" t="str">
        <f>+VLOOKUP(A439,'[1]Proveedor-Comprador'!A:D,4,0)</f>
        <v>LÍNEA ADHESIVA S.A.</v>
      </c>
      <c r="G439" s="36" t="s">
        <v>312</v>
      </c>
      <c r="H439" s="39"/>
      <c r="I439" s="24" t="str">
        <f>+VLOOKUP(A439,[2]Hoja1!$A:$A,1,0)</f>
        <v>W10849164</v>
      </c>
    </row>
    <row r="440" spans="1:9" ht="15.75" customHeight="1" x14ac:dyDescent="0.2">
      <c r="A440" s="36" t="s">
        <v>1602</v>
      </c>
      <c r="B440" s="38" t="s">
        <v>1603</v>
      </c>
      <c r="C440" s="34" t="s">
        <v>256</v>
      </c>
      <c r="D440" s="35" t="s">
        <v>1604</v>
      </c>
      <c r="E440" s="45" t="s">
        <v>1605</v>
      </c>
      <c r="F440" s="22" t="str">
        <f>+VLOOKUP(A440,'[1]Proveedor-Comprador'!A:D,4,0)</f>
        <v>LÍNEA ADHESIVA S.A.</v>
      </c>
      <c r="G440" s="36" t="s">
        <v>284</v>
      </c>
      <c r="H440" s="39"/>
      <c r="I440" s="24" t="str">
        <f>+VLOOKUP(A440,[2]Hoja1!$A:$A,1,0)</f>
        <v>W11678817</v>
      </c>
    </row>
    <row r="441" spans="1:9" ht="15.75" customHeight="1" x14ac:dyDescent="0.2">
      <c r="A441" s="36" t="s">
        <v>1606</v>
      </c>
      <c r="B441" s="38" t="s">
        <v>1607</v>
      </c>
      <c r="C441" s="34" t="s">
        <v>256</v>
      </c>
      <c r="D441" s="35" t="s">
        <v>1608</v>
      </c>
      <c r="E441" s="45" t="s">
        <v>1605</v>
      </c>
      <c r="F441" s="22" t="str">
        <f>+VLOOKUP(A441,'[1]Proveedor-Comprador'!A:D,4,0)</f>
        <v>LÍNEA ADHESIVA S.A.</v>
      </c>
      <c r="G441" s="36" t="s">
        <v>267</v>
      </c>
      <c r="H441" s="39"/>
      <c r="I441" s="24" t="str">
        <f>+VLOOKUP(A441,[2]Hoja1!$A:$A,1,0)</f>
        <v>W11570233</v>
      </c>
    </row>
    <row r="442" spans="1:9" ht="15.75" customHeight="1" x14ac:dyDescent="0.2">
      <c r="A442" s="36" t="s">
        <v>1609</v>
      </c>
      <c r="B442" s="38" t="s">
        <v>1610</v>
      </c>
      <c r="C442" s="34" t="s">
        <v>256</v>
      </c>
      <c r="D442" s="35" t="s">
        <v>1611</v>
      </c>
      <c r="E442" s="45" t="s">
        <v>1605</v>
      </c>
      <c r="F442" s="22" t="str">
        <f>+VLOOKUP(A442,'[1]Proveedor-Comprador'!A:D,4,0)</f>
        <v>LÍNEA ADHESIVA S.A.</v>
      </c>
      <c r="G442" s="36" t="s">
        <v>267</v>
      </c>
      <c r="H442" s="39"/>
      <c r="I442" s="24" t="str">
        <f>+VLOOKUP(A442,[2]Hoja1!$A:$A,1,0)</f>
        <v>W11570234</v>
      </c>
    </row>
    <row r="443" spans="1:9" ht="15.75" customHeight="1" x14ac:dyDescent="0.2">
      <c r="A443" s="36" t="s">
        <v>1612</v>
      </c>
      <c r="B443" s="38" t="s">
        <v>1593</v>
      </c>
      <c r="C443" s="34" t="s">
        <v>256</v>
      </c>
      <c r="D443" s="35" t="s">
        <v>1613</v>
      </c>
      <c r="E443" s="45" t="s">
        <v>1605</v>
      </c>
      <c r="F443" s="22" t="str">
        <f>+VLOOKUP(A443,'[1]Proveedor-Comprador'!A:D,4,0)</f>
        <v>LÍNEA ADHESIVA S.A.</v>
      </c>
      <c r="G443" s="36" t="s">
        <v>267</v>
      </c>
      <c r="H443" s="39"/>
      <c r="I443" s="24" t="str">
        <f>+VLOOKUP(A443,[2]Hoja1!$A:$A,1,0)</f>
        <v>W11680525</v>
      </c>
    </row>
    <row r="444" spans="1:9" ht="15.75" customHeight="1" x14ac:dyDescent="0.2">
      <c r="A444" s="36" t="s">
        <v>1614</v>
      </c>
      <c r="B444" s="38" t="s">
        <v>1615</v>
      </c>
      <c r="C444" s="34" t="s">
        <v>256</v>
      </c>
      <c r="D444" s="35" t="s">
        <v>1616</v>
      </c>
      <c r="E444" s="45" t="s">
        <v>1617</v>
      </c>
      <c r="F444" s="22" t="str">
        <f>+VLOOKUP(A444,'[1]Proveedor-Comprador'!A:D,4,0)</f>
        <v>LÍNEA ADHESIVA S.A.</v>
      </c>
      <c r="G444" s="36" t="s">
        <v>312</v>
      </c>
      <c r="H444" s="39"/>
      <c r="I444" s="24" t="str">
        <f>+VLOOKUP(A444,[2]Hoja1!$A:$A,1,0)</f>
        <v>W11738565</v>
      </c>
    </row>
    <row r="445" spans="1:9" ht="15.75" customHeight="1" x14ac:dyDescent="0.2">
      <c r="A445" s="36" t="s">
        <v>1618</v>
      </c>
      <c r="B445" s="38" t="s">
        <v>1619</v>
      </c>
      <c r="C445" s="34" t="s">
        <v>256</v>
      </c>
      <c r="D445" s="35" t="s">
        <v>1620</v>
      </c>
      <c r="E445" s="45" t="s">
        <v>1617</v>
      </c>
      <c r="F445" s="22" t="str">
        <f>+VLOOKUP(A445,'[1]Proveedor-Comprador'!A:D,4,0)</f>
        <v>LÍNEA ADHESIVA S.A.</v>
      </c>
      <c r="G445" s="36" t="s">
        <v>312</v>
      </c>
      <c r="H445" s="39"/>
      <c r="I445" s="24" t="str">
        <f>+VLOOKUP(A445,[2]Hoja1!$A:$A,1,0)</f>
        <v>W11738562</v>
      </c>
    </row>
    <row r="446" spans="1:9" ht="15.75" customHeight="1" x14ac:dyDescent="0.2">
      <c r="A446" s="36" t="s">
        <v>1621</v>
      </c>
      <c r="B446" s="38" t="s">
        <v>1619</v>
      </c>
      <c r="C446" s="34" t="s">
        <v>256</v>
      </c>
      <c r="D446" s="35" t="s">
        <v>1622</v>
      </c>
      <c r="E446" s="45" t="s">
        <v>1617</v>
      </c>
      <c r="F446" s="22" t="str">
        <f>+VLOOKUP(A446,'[1]Proveedor-Comprador'!A:D,4,0)</f>
        <v>LÍNEA ADHESIVA S.A.</v>
      </c>
      <c r="G446" s="36" t="s">
        <v>312</v>
      </c>
      <c r="H446" s="39"/>
      <c r="I446" s="24" t="str">
        <f>+VLOOKUP(A446,[2]Hoja1!$A:$A,1,0)</f>
        <v>W11738559</v>
      </c>
    </row>
    <row r="447" spans="1:9" ht="15.75" customHeight="1" x14ac:dyDescent="0.2">
      <c r="A447" s="36" t="s">
        <v>1623</v>
      </c>
      <c r="B447" s="38" t="s">
        <v>1624</v>
      </c>
      <c r="C447" s="34" t="s">
        <v>256</v>
      </c>
      <c r="D447" s="35" t="s">
        <v>1625</v>
      </c>
      <c r="E447" s="45" t="s">
        <v>1626</v>
      </c>
      <c r="F447" s="22" t="str">
        <f>+VLOOKUP(A447,'[1]Proveedor-Comprador'!A:D,4,0)</f>
        <v>LÍNEA ADHESIVA S.A.</v>
      </c>
      <c r="G447" s="36" t="s">
        <v>312</v>
      </c>
      <c r="H447" s="39"/>
      <c r="I447" s="24" t="str">
        <f>+VLOOKUP(A447,[2]Hoja1!$A:$A,1,0)</f>
        <v>W11548563</v>
      </c>
    </row>
    <row r="448" spans="1:9" ht="15.75" customHeight="1" x14ac:dyDescent="0.2">
      <c r="A448" s="36" t="s">
        <v>1627</v>
      </c>
      <c r="B448" s="38" t="s">
        <v>1628</v>
      </c>
      <c r="C448" s="34" t="s">
        <v>256</v>
      </c>
      <c r="D448" s="35" t="s">
        <v>1629</v>
      </c>
      <c r="E448" s="45" t="s">
        <v>1626</v>
      </c>
      <c r="F448" s="22" t="str">
        <f>+VLOOKUP(A448,'[1]Proveedor-Comprador'!A:D,4,0)</f>
        <v>LÍNEA ADHESIVA S.A.</v>
      </c>
      <c r="G448" s="36" t="s">
        <v>312</v>
      </c>
      <c r="H448" s="39"/>
      <c r="I448" s="24" t="str">
        <f>+VLOOKUP(A448,[2]Hoja1!$A:$A,1,0)</f>
        <v>W11548561</v>
      </c>
    </row>
    <row r="449" spans="1:9" ht="15.75" customHeight="1" x14ac:dyDescent="0.2">
      <c r="A449" s="36" t="s">
        <v>1630</v>
      </c>
      <c r="B449" s="38" t="s">
        <v>1628</v>
      </c>
      <c r="C449" s="34" t="s">
        <v>256</v>
      </c>
      <c r="D449" s="35" t="s">
        <v>1631</v>
      </c>
      <c r="E449" s="45" t="s">
        <v>1626</v>
      </c>
      <c r="F449" s="22" t="str">
        <f>+VLOOKUP(A449,'[1]Proveedor-Comprador'!A:D,4,0)</f>
        <v>LÍNEA ADHESIVA S.A.</v>
      </c>
      <c r="G449" s="36" t="s">
        <v>267</v>
      </c>
      <c r="H449" s="39"/>
      <c r="I449" s="24" t="str">
        <f>+VLOOKUP(A449,[2]Hoja1!$A:$A,1,0)</f>
        <v>W11679698</v>
      </c>
    </row>
    <row r="450" spans="1:9" ht="15.75" customHeight="1" x14ac:dyDescent="0.2">
      <c r="A450" s="36" t="s">
        <v>1632</v>
      </c>
      <c r="B450" s="38" t="s">
        <v>1628</v>
      </c>
      <c r="C450" s="34" t="s">
        <v>256</v>
      </c>
      <c r="D450" s="35" t="s">
        <v>1633</v>
      </c>
      <c r="E450" s="45" t="s">
        <v>1626</v>
      </c>
      <c r="F450" s="22" t="str">
        <f>+VLOOKUP(A450,'[1]Proveedor-Comprador'!A:D,4,0)</f>
        <v>LÍNEA ADHESIVA S.A.</v>
      </c>
      <c r="G450" s="36" t="s">
        <v>267</v>
      </c>
      <c r="H450" s="39"/>
      <c r="I450" s="24" t="str">
        <f>+VLOOKUP(A450,[2]Hoja1!$A:$A,1,0)</f>
        <v>W11679700</v>
      </c>
    </row>
    <row r="451" spans="1:9" ht="15.75" customHeight="1" x14ac:dyDescent="0.2">
      <c r="A451" s="36" t="s">
        <v>1634</v>
      </c>
      <c r="B451" s="38" t="s">
        <v>1628</v>
      </c>
      <c r="C451" s="34" t="s">
        <v>256</v>
      </c>
      <c r="D451" s="35" t="s">
        <v>1635</v>
      </c>
      <c r="E451" s="45" t="s">
        <v>1626</v>
      </c>
      <c r="F451" s="22" t="str">
        <f>+VLOOKUP(A451,'[1]Proveedor-Comprador'!A:D,4,0)</f>
        <v>LÍNEA ADHESIVA S.A.</v>
      </c>
      <c r="G451" s="36" t="s">
        <v>267</v>
      </c>
      <c r="H451" s="39"/>
      <c r="I451" s="24" t="str">
        <f>+VLOOKUP(A451,[2]Hoja1!$A:$A,1,0)</f>
        <v>W11662150</v>
      </c>
    </row>
    <row r="452" spans="1:9" ht="15.75" customHeight="1" x14ac:dyDescent="0.2">
      <c r="A452" s="36" t="s">
        <v>1636</v>
      </c>
      <c r="B452" s="38" t="s">
        <v>1628</v>
      </c>
      <c r="C452" s="34" t="s">
        <v>256</v>
      </c>
      <c r="D452" s="35" t="s">
        <v>1637</v>
      </c>
      <c r="E452" s="45" t="s">
        <v>1626</v>
      </c>
      <c r="F452" s="22" t="str">
        <f>+VLOOKUP(A452,'[1]Proveedor-Comprador'!A:D,4,0)</f>
        <v>LÍNEA ADHESIVA S.A.</v>
      </c>
      <c r="G452" s="36" t="s">
        <v>312</v>
      </c>
      <c r="H452" s="39"/>
      <c r="I452" s="24" t="str">
        <f>+VLOOKUP(A452,[2]Hoja1!$A:$A,1,0)</f>
        <v>W11374781</v>
      </c>
    </row>
    <row r="453" spans="1:9" ht="15.75" customHeight="1" x14ac:dyDescent="0.2">
      <c r="A453" s="36" t="s">
        <v>1638</v>
      </c>
      <c r="B453" s="38" t="s">
        <v>1628</v>
      </c>
      <c r="C453" s="34" t="s">
        <v>256</v>
      </c>
      <c r="D453" s="35" t="s">
        <v>1639</v>
      </c>
      <c r="E453" s="45" t="s">
        <v>1640</v>
      </c>
      <c r="F453" s="22" t="str">
        <f>+VLOOKUP(A453,'[1]Proveedor-Comprador'!A:D,4,0)</f>
        <v>LÍNEA ADHESIVA S.A.</v>
      </c>
      <c r="G453" s="36" t="s">
        <v>312</v>
      </c>
      <c r="H453" s="39"/>
      <c r="I453" s="24" t="str">
        <f>+VLOOKUP(A453,[2]Hoja1!$A:$A,1,0)</f>
        <v>W11374800</v>
      </c>
    </row>
    <row r="454" spans="1:9" ht="15.75" customHeight="1" x14ac:dyDescent="0.2">
      <c r="A454" s="36" t="s">
        <v>1641</v>
      </c>
      <c r="B454" s="38" t="s">
        <v>1628</v>
      </c>
      <c r="C454" s="34" t="s">
        <v>256</v>
      </c>
      <c r="D454" s="35" t="s">
        <v>1642</v>
      </c>
      <c r="E454" s="45" t="s">
        <v>1640</v>
      </c>
      <c r="F454" s="22" t="str">
        <f>+VLOOKUP(A454,'[1]Proveedor-Comprador'!A:D,4,0)</f>
        <v>LÍNEA ADHESIVA S.A.</v>
      </c>
      <c r="G454" s="36" t="s">
        <v>312</v>
      </c>
      <c r="H454" s="39"/>
      <c r="I454" s="24" t="str">
        <f>+VLOOKUP(A454,[2]Hoja1!$A:$A,1,0)</f>
        <v>W11693630</v>
      </c>
    </row>
    <row r="455" spans="1:9" ht="15.75" customHeight="1" x14ac:dyDescent="0.2">
      <c r="A455" s="36" t="s">
        <v>1643</v>
      </c>
      <c r="B455" s="38" t="s">
        <v>1628</v>
      </c>
      <c r="C455" s="34" t="s">
        <v>256</v>
      </c>
      <c r="D455" s="35" t="s">
        <v>1644</v>
      </c>
      <c r="E455" s="45" t="s">
        <v>1640</v>
      </c>
      <c r="F455" s="22" t="str">
        <f>+VLOOKUP(A455,'[1]Proveedor-Comprador'!A:D,4,0)</f>
        <v>LÍNEA ADHESIVA S.A.</v>
      </c>
      <c r="G455" s="36" t="s">
        <v>267</v>
      </c>
      <c r="H455" s="39"/>
      <c r="I455" s="24" t="str">
        <f>+VLOOKUP(A455,[2]Hoja1!$A:$A,1,0)</f>
        <v>W11679694</v>
      </c>
    </row>
    <row r="456" spans="1:9" ht="15.75" customHeight="1" x14ac:dyDescent="0.2">
      <c r="A456" s="36" t="s">
        <v>1645</v>
      </c>
      <c r="B456" s="38" t="s">
        <v>1646</v>
      </c>
      <c r="C456" s="34" t="s">
        <v>256</v>
      </c>
      <c r="D456" s="35" t="s">
        <v>1647</v>
      </c>
      <c r="E456" s="45" t="s">
        <v>1626</v>
      </c>
      <c r="F456" s="22" t="str">
        <f>+VLOOKUP(A456,'[1]Proveedor-Comprador'!A:D,4,0)</f>
        <v>LÍNEA ADHESIVA S.A.</v>
      </c>
      <c r="G456" s="36" t="s">
        <v>312</v>
      </c>
      <c r="H456" s="39"/>
      <c r="I456" s="24" t="str">
        <f>+VLOOKUP(A456,[2]Hoja1!$A:$A,1,0)</f>
        <v>W11399409</v>
      </c>
    </row>
    <row r="457" spans="1:9" ht="15.75" customHeight="1" x14ac:dyDescent="0.2">
      <c r="A457" s="36" t="s">
        <v>1648</v>
      </c>
      <c r="B457" s="38" t="s">
        <v>1628</v>
      </c>
      <c r="C457" s="34" t="s">
        <v>256</v>
      </c>
      <c r="D457" s="35" t="s">
        <v>1649</v>
      </c>
      <c r="E457" s="45" t="s">
        <v>1626</v>
      </c>
      <c r="F457" s="22" t="str">
        <f>+VLOOKUP(A457,'[1]Proveedor-Comprador'!A:D,4,0)</f>
        <v>LÍNEA ADHESIVA S.A.</v>
      </c>
      <c r="G457" s="36" t="s">
        <v>312</v>
      </c>
      <c r="H457" s="39"/>
      <c r="I457" s="24" t="str">
        <f>+VLOOKUP(A457,[2]Hoja1!$A:$A,1,0)</f>
        <v>W11374778</v>
      </c>
    </row>
    <row r="458" spans="1:9" ht="15.75" customHeight="1" x14ac:dyDescent="0.2">
      <c r="A458" s="36" t="s">
        <v>1650</v>
      </c>
      <c r="B458" s="38" t="s">
        <v>1628</v>
      </c>
      <c r="C458" s="34" t="s">
        <v>256</v>
      </c>
      <c r="D458" s="35" t="s">
        <v>1651</v>
      </c>
      <c r="E458" s="45" t="s">
        <v>1626</v>
      </c>
      <c r="F458" s="22" t="str">
        <f>+VLOOKUP(A458,'[1]Proveedor-Comprador'!A:D,4,0)</f>
        <v>LÍNEA ADHESIVA S.A.</v>
      </c>
      <c r="G458" s="36" t="s">
        <v>312</v>
      </c>
      <c r="H458" s="39"/>
      <c r="I458" s="24" t="str">
        <f>+VLOOKUP(A458,[2]Hoja1!$A:$A,1,0)</f>
        <v>W11693635</v>
      </c>
    </row>
    <row r="459" spans="1:9" ht="15.75" customHeight="1" x14ac:dyDescent="0.2">
      <c r="A459" s="36" t="s">
        <v>1652</v>
      </c>
      <c r="B459" s="38" t="s">
        <v>1628</v>
      </c>
      <c r="C459" s="34" t="s">
        <v>256</v>
      </c>
      <c r="D459" s="35" t="s">
        <v>1653</v>
      </c>
      <c r="E459" s="45" t="s">
        <v>1626</v>
      </c>
      <c r="F459" s="22" t="str">
        <f>+VLOOKUP(A459,'[1]Proveedor-Comprador'!A:D,4,0)</f>
        <v>LÍNEA ADHESIVA S.A.</v>
      </c>
      <c r="G459" s="36" t="s">
        <v>312</v>
      </c>
      <c r="H459" s="39"/>
      <c r="I459" s="24" t="str">
        <f>+VLOOKUP(A459,[2]Hoja1!$A:$A,1,0)</f>
        <v>W11693743</v>
      </c>
    </row>
    <row r="460" spans="1:9" ht="15.75" customHeight="1" x14ac:dyDescent="0.2">
      <c r="A460" s="36" t="s">
        <v>1654</v>
      </c>
      <c r="B460" s="38" t="s">
        <v>1655</v>
      </c>
      <c r="C460" s="34" t="s">
        <v>256</v>
      </c>
      <c r="D460" s="35" t="s">
        <v>1656</v>
      </c>
      <c r="E460" s="45" t="s">
        <v>1626</v>
      </c>
      <c r="F460" s="22" t="str">
        <f>+VLOOKUP(A460,'[1]Proveedor-Comprador'!A:D,4,0)</f>
        <v>LÍNEA ADHESIVA S.A.</v>
      </c>
      <c r="G460" s="36" t="s">
        <v>267</v>
      </c>
      <c r="H460" s="39"/>
      <c r="I460" s="24" t="str">
        <f>+VLOOKUP(A460,[2]Hoja1!$A:$A,1,0)</f>
        <v>W11570247</v>
      </c>
    </row>
    <row r="461" spans="1:9" ht="15.75" customHeight="1" x14ac:dyDescent="0.2">
      <c r="A461" s="36" t="s">
        <v>1657</v>
      </c>
      <c r="B461" s="38" t="s">
        <v>1655</v>
      </c>
      <c r="C461" s="34" t="s">
        <v>256</v>
      </c>
      <c r="D461" s="35" t="s">
        <v>1658</v>
      </c>
      <c r="E461" s="45" t="s">
        <v>1640</v>
      </c>
      <c r="F461" s="22" t="str">
        <f>+VLOOKUP(A461,'[1]Proveedor-Comprador'!A:D,4,0)</f>
        <v>LÍNEA ADHESIVA S.A.</v>
      </c>
      <c r="G461" s="36" t="s">
        <v>267</v>
      </c>
      <c r="H461" s="39"/>
      <c r="I461" s="24" t="str">
        <f>+VLOOKUP(A461,[2]Hoja1!$A:$A,1,0)</f>
        <v>W11570256</v>
      </c>
    </row>
    <row r="462" spans="1:9" ht="15.75" customHeight="1" x14ac:dyDescent="0.2">
      <c r="A462" s="36" t="s">
        <v>1659</v>
      </c>
      <c r="B462" s="38" t="s">
        <v>1660</v>
      </c>
      <c r="C462" s="34" t="s">
        <v>256</v>
      </c>
      <c r="D462" s="35" t="s">
        <v>1661</v>
      </c>
      <c r="E462" s="45" t="s">
        <v>1626</v>
      </c>
      <c r="F462" s="22" t="str">
        <f>+VLOOKUP(A462,'[1]Proveedor-Comprador'!A:D,4,0)</f>
        <v>LÍNEA ADHESIVA S.A.</v>
      </c>
      <c r="G462" s="36" t="s">
        <v>267</v>
      </c>
      <c r="H462" s="39"/>
      <c r="I462" s="24" t="str">
        <f>+VLOOKUP(A462,[2]Hoja1!$A:$A,1,0)</f>
        <v>W11576676</v>
      </c>
    </row>
    <row r="463" spans="1:9" ht="15.75" customHeight="1" x14ac:dyDescent="0.2">
      <c r="A463" s="36" t="s">
        <v>1662</v>
      </c>
      <c r="B463" s="38" t="s">
        <v>1660</v>
      </c>
      <c r="C463" s="34" t="s">
        <v>256</v>
      </c>
      <c r="D463" s="35" t="s">
        <v>1663</v>
      </c>
      <c r="E463" s="45" t="s">
        <v>1640</v>
      </c>
      <c r="F463" s="22" t="str">
        <f>+VLOOKUP(A463,'[1]Proveedor-Comprador'!A:D,4,0)</f>
        <v>LÍNEA ADHESIVA S.A.</v>
      </c>
      <c r="G463" s="36" t="s">
        <v>267</v>
      </c>
      <c r="H463" s="39"/>
      <c r="I463" s="24" t="str">
        <f>+VLOOKUP(A463,[2]Hoja1!$A:$A,1,0)</f>
        <v>W11570259</v>
      </c>
    </row>
    <row r="464" spans="1:9" ht="15.75" customHeight="1" x14ac:dyDescent="0.2">
      <c r="A464" s="36" t="s">
        <v>1664</v>
      </c>
      <c r="B464" s="38" t="s">
        <v>1665</v>
      </c>
      <c r="C464" s="34" t="s">
        <v>256</v>
      </c>
      <c r="D464" s="35" t="s">
        <v>1666</v>
      </c>
      <c r="E464" s="45" t="s">
        <v>1626</v>
      </c>
      <c r="F464" s="22" t="str">
        <f>+VLOOKUP(A464,'[1]Proveedor-Comprador'!A:D,4,0)</f>
        <v>LÍNEA ADHESIVA S.A.</v>
      </c>
      <c r="G464" s="36" t="s">
        <v>267</v>
      </c>
      <c r="H464" s="39"/>
      <c r="I464" s="24" t="str">
        <f>+VLOOKUP(A464,[2]Hoja1!$A:$A,1,0)</f>
        <v>W11570249</v>
      </c>
    </row>
    <row r="465" spans="1:9" ht="15.75" customHeight="1" x14ac:dyDescent="0.2">
      <c r="A465" s="36" t="s">
        <v>1667</v>
      </c>
      <c r="B465" s="38" t="s">
        <v>1628</v>
      </c>
      <c r="C465" s="34" t="s">
        <v>256</v>
      </c>
      <c r="D465" s="35" t="s">
        <v>1668</v>
      </c>
      <c r="E465" s="45" t="s">
        <v>1640</v>
      </c>
      <c r="F465" s="22" t="str">
        <f>+VLOOKUP(A465,'[1]Proveedor-Comprador'!A:D,4,0)</f>
        <v>LÍNEA ADHESIVA S.A.</v>
      </c>
      <c r="G465" s="36" t="s">
        <v>267</v>
      </c>
      <c r="H465" s="39"/>
      <c r="I465" s="24" t="str">
        <f>+VLOOKUP(A465,[2]Hoja1!$A:$A,1,0)</f>
        <v>W11672498</v>
      </c>
    </row>
    <row r="466" spans="1:9" ht="15.75" customHeight="1" x14ac:dyDescent="0.2">
      <c r="A466" s="36" t="s">
        <v>1669</v>
      </c>
      <c r="B466" s="38" t="s">
        <v>1670</v>
      </c>
      <c r="C466" s="34" t="s">
        <v>256</v>
      </c>
      <c r="D466" s="35" t="s">
        <v>1671</v>
      </c>
      <c r="E466" s="45" t="s">
        <v>1626</v>
      </c>
      <c r="F466" s="22" t="str">
        <f>+VLOOKUP(A466,'[1]Proveedor-Comprador'!A:D,4,0)</f>
        <v>LÍNEA ADHESIVA S.A.</v>
      </c>
      <c r="G466" s="36" t="s">
        <v>267</v>
      </c>
      <c r="H466" s="39"/>
      <c r="I466" s="24" t="str">
        <f>+VLOOKUP(A466,[2]Hoja1!$A:$A,1,0)</f>
        <v>W11570242</v>
      </c>
    </row>
    <row r="467" spans="1:9" ht="15.75" customHeight="1" x14ac:dyDescent="0.2">
      <c r="A467" s="36" t="s">
        <v>1672</v>
      </c>
      <c r="B467" s="38" t="s">
        <v>1673</v>
      </c>
      <c r="C467" s="34" t="s">
        <v>256</v>
      </c>
      <c r="D467" s="35" t="s">
        <v>1674</v>
      </c>
      <c r="E467" s="45" t="s">
        <v>1626</v>
      </c>
      <c r="F467" s="22" t="str">
        <f>+VLOOKUP(A467,'[1]Proveedor-Comprador'!A:D,4,0)</f>
        <v>LÍNEA ADHESIVA S.A.</v>
      </c>
      <c r="G467" s="36" t="s">
        <v>267</v>
      </c>
      <c r="H467" s="39"/>
      <c r="I467" s="24" t="str">
        <f>+VLOOKUP(A467,[2]Hoja1!$A:$A,1,0)</f>
        <v>W11570251</v>
      </c>
    </row>
    <row r="468" spans="1:9" ht="15.75" customHeight="1" x14ac:dyDescent="0.2">
      <c r="A468" s="36" t="s">
        <v>1675</v>
      </c>
      <c r="B468" s="38" t="s">
        <v>1628</v>
      </c>
      <c r="C468" s="34" t="s">
        <v>256</v>
      </c>
      <c r="D468" s="35" t="s">
        <v>1676</v>
      </c>
      <c r="E468" s="45" t="s">
        <v>1640</v>
      </c>
      <c r="F468" s="22" t="str">
        <f>+VLOOKUP(A468,'[1]Proveedor-Comprador'!A:D,4,0)</f>
        <v>LÍNEA ADHESIVA S.A.</v>
      </c>
      <c r="G468" s="36" t="s">
        <v>312</v>
      </c>
      <c r="H468" s="39"/>
      <c r="I468" s="24" t="str">
        <f>+VLOOKUP(A468,[2]Hoja1!$A:$A,1,0)</f>
        <v>W11551254</v>
      </c>
    </row>
    <row r="469" spans="1:9" ht="15.75" customHeight="1" x14ac:dyDescent="0.2">
      <c r="A469" s="36" t="s">
        <v>1677</v>
      </c>
      <c r="B469" s="38" t="s">
        <v>1628</v>
      </c>
      <c r="C469" s="34" t="s">
        <v>256</v>
      </c>
      <c r="D469" s="35" t="s">
        <v>1678</v>
      </c>
      <c r="E469" s="45" t="s">
        <v>1626</v>
      </c>
      <c r="F469" s="22" t="str">
        <f>+VLOOKUP(A469,'[1]Proveedor-Comprador'!A:D,4,0)</f>
        <v>LÍNEA ADHESIVA S.A.</v>
      </c>
      <c r="G469" s="36" t="s">
        <v>312</v>
      </c>
      <c r="H469" s="39"/>
      <c r="I469" s="24" t="str">
        <f>+VLOOKUP(A469,[2]Hoja1!$A:$A,1,0)</f>
        <v>W11432747</v>
      </c>
    </row>
    <row r="470" spans="1:9" ht="15.75" customHeight="1" x14ac:dyDescent="0.2">
      <c r="A470" s="36" t="s">
        <v>1679</v>
      </c>
      <c r="B470" s="38" t="s">
        <v>1628</v>
      </c>
      <c r="C470" s="34" t="s">
        <v>256</v>
      </c>
      <c r="D470" s="35" t="s">
        <v>1680</v>
      </c>
      <c r="E470" s="45" t="s">
        <v>1640</v>
      </c>
      <c r="F470" s="22" t="str">
        <f>+VLOOKUP(A470,'[1]Proveedor-Comprador'!A:D,4,0)</f>
        <v>LÍNEA ADHESIVA S.A.</v>
      </c>
      <c r="G470" s="36" t="s">
        <v>312</v>
      </c>
      <c r="H470" s="39"/>
      <c r="I470" s="24" t="str">
        <f>+VLOOKUP(A470,[2]Hoja1!$A:$A,1,0)</f>
        <v>W11432760</v>
      </c>
    </row>
    <row r="471" spans="1:9" ht="15.75" customHeight="1" x14ac:dyDescent="0.2">
      <c r="A471" s="36" t="s">
        <v>1681</v>
      </c>
      <c r="B471" s="38" t="s">
        <v>1682</v>
      </c>
      <c r="C471" s="34" t="s">
        <v>256</v>
      </c>
      <c r="D471" s="35" t="s">
        <v>1683</v>
      </c>
      <c r="E471" s="45" t="s">
        <v>1617</v>
      </c>
      <c r="F471" s="22" t="str">
        <f>+VLOOKUP(A471,'[1]Proveedor-Comprador'!A:D,4,0)</f>
        <v>LÍNEA ADHESIVA S.A.</v>
      </c>
      <c r="G471" s="36" t="s">
        <v>312</v>
      </c>
      <c r="H471" s="39"/>
      <c r="I471" s="24" t="str">
        <f>+VLOOKUP(A471,[2]Hoja1!$A:$A,1,0)</f>
        <v>W11738567</v>
      </c>
    </row>
    <row r="472" spans="1:9" ht="15.75" customHeight="1" x14ac:dyDescent="0.2">
      <c r="A472" s="36" t="s">
        <v>1684</v>
      </c>
      <c r="B472" s="38" t="s">
        <v>1685</v>
      </c>
      <c r="C472" s="34" t="s">
        <v>256</v>
      </c>
      <c r="D472" s="35" t="s">
        <v>1686</v>
      </c>
      <c r="E472" s="45" t="s">
        <v>1687</v>
      </c>
      <c r="F472" s="22" t="str">
        <f>+VLOOKUP(A472,'[1]Proveedor-Comprador'!A:D,4,0)</f>
        <v>LÍNEA ADHESIVA S.A.</v>
      </c>
      <c r="G472" s="36" t="s">
        <v>267</v>
      </c>
      <c r="H472" s="39"/>
      <c r="I472" s="24" t="str">
        <f>+VLOOKUP(A472,[2]Hoja1!$A:$A,1,0)</f>
        <v>W11696413</v>
      </c>
    </row>
    <row r="473" spans="1:9" ht="15.75" customHeight="1" x14ac:dyDescent="0.2">
      <c r="A473" s="36" t="s">
        <v>1688</v>
      </c>
      <c r="B473" s="38" t="s">
        <v>1689</v>
      </c>
      <c r="C473" s="34" t="s">
        <v>256</v>
      </c>
      <c r="D473" s="35" t="s">
        <v>1690</v>
      </c>
      <c r="E473" s="45" t="s">
        <v>1691</v>
      </c>
      <c r="F473" s="22" t="str">
        <f>+VLOOKUP(A473,'[1]Proveedor-Comprador'!A:D,4,0)</f>
        <v>LÍNEA ADHESIVA S.A.</v>
      </c>
      <c r="G473" s="36" t="s">
        <v>267</v>
      </c>
      <c r="H473" s="39"/>
      <c r="I473" s="24" t="str">
        <f>+VLOOKUP(A473,[2]Hoja1!$A:$A,1,0)</f>
        <v>W11580140</v>
      </c>
    </row>
    <row r="474" spans="1:9" ht="15.75" customHeight="1" x14ac:dyDescent="0.2">
      <c r="A474" s="36" t="s">
        <v>1692</v>
      </c>
      <c r="B474" s="38" t="s">
        <v>1693</v>
      </c>
      <c r="C474" s="34" t="s">
        <v>256</v>
      </c>
      <c r="D474" s="35" t="s">
        <v>1694</v>
      </c>
      <c r="E474" s="45" t="s">
        <v>1691</v>
      </c>
      <c r="F474" s="22" t="str">
        <f>+VLOOKUP(A474,'[1]Proveedor-Comprador'!A:D,4,0)</f>
        <v>LÍNEA ADHESIVA S.A.</v>
      </c>
      <c r="G474" s="36" t="s">
        <v>267</v>
      </c>
      <c r="H474" s="39"/>
      <c r="I474" s="24" t="str">
        <f>+VLOOKUP(A474,[2]Hoja1!$A:$A,1,0)</f>
        <v>W11580142</v>
      </c>
    </row>
    <row r="475" spans="1:9" ht="15.75" customHeight="1" x14ac:dyDescent="0.2">
      <c r="A475" s="36" t="s">
        <v>1695</v>
      </c>
      <c r="B475" s="38" t="s">
        <v>1696</v>
      </c>
      <c r="C475" s="34" t="s">
        <v>256</v>
      </c>
      <c r="D475" s="35" t="s">
        <v>1697</v>
      </c>
      <c r="E475" s="45" t="s">
        <v>1691</v>
      </c>
      <c r="F475" s="22" t="str">
        <f>+VLOOKUP(A475,'[1]Proveedor-Comprador'!A:D,4,0)</f>
        <v>LÍNEA ADHESIVA S.A.</v>
      </c>
      <c r="G475" s="36" t="s">
        <v>267</v>
      </c>
      <c r="H475" s="39"/>
      <c r="I475" s="24" t="str">
        <f>+VLOOKUP(A475,[2]Hoja1!$A:$A,1,0)</f>
        <v>W11580144</v>
      </c>
    </row>
    <row r="476" spans="1:9" ht="15.75" customHeight="1" x14ac:dyDescent="0.2">
      <c r="A476" s="36" t="s">
        <v>1698</v>
      </c>
      <c r="B476" s="38" t="s">
        <v>1699</v>
      </c>
      <c r="C476" s="34" t="s">
        <v>256</v>
      </c>
      <c r="D476" s="35" t="s">
        <v>1700</v>
      </c>
      <c r="E476" s="45" t="s">
        <v>1691</v>
      </c>
      <c r="F476" s="22" t="str">
        <f>+VLOOKUP(A476,'[1]Proveedor-Comprador'!A:D,4,0)</f>
        <v>LÍNEA ADHESIVA S.A.</v>
      </c>
      <c r="G476" s="36" t="s">
        <v>267</v>
      </c>
      <c r="H476" s="39"/>
      <c r="I476" s="24" t="str">
        <f>+VLOOKUP(A476,[2]Hoja1!$A:$A,1,0)</f>
        <v>W11580146</v>
      </c>
    </row>
    <row r="477" spans="1:9" ht="15.75" customHeight="1" x14ac:dyDescent="0.2">
      <c r="A477" s="36" t="s">
        <v>1701</v>
      </c>
      <c r="B477" s="38" t="s">
        <v>1702</v>
      </c>
      <c r="C477" s="34" t="s">
        <v>256</v>
      </c>
      <c r="D477" s="35" t="s">
        <v>1703</v>
      </c>
      <c r="E477" s="45" t="s">
        <v>1691</v>
      </c>
      <c r="F477" s="22" t="str">
        <f>+VLOOKUP(A477,'[1]Proveedor-Comprador'!A:D,4,0)</f>
        <v>LÍNEA ADHESIVA S.A.</v>
      </c>
      <c r="G477" s="36" t="s">
        <v>267</v>
      </c>
      <c r="H477" s="39"/>
      <c r="I477" s="24" t="str">
        <f>+VLOOKUP(A477,[2]Hoja1!$A:$A,1,0)</f>
        <v>W11580148</v>
      </c>
    </row>
    <row r="478" spans="1:9" ht="15.75" customHeight="1" x14ac:dyDescent="0.2">
      <c r="A478" s="36" t="s">
        <v>1704</v>
      </c>
      <c r="B478" s="38" t="s">
        <v>1705</v>
      </c>
      <c r="C478" s="34" t="s">
        <v>256</v>
      </c>
      <c r="D478" s="35" t="s">
        <v>1706</v>
      </c>
      <c r="E478" s="45" t="s">
        <v>1691</v>
      </c>
      <c r="F478" s="22" t="str">
        <f>+VLOOKUP(A478,'[1]Proveedor-Comprador'!A:D,4,0)</f>
        <v>LÍNEA ADHESIVA S.A.</v>
      </c>
      <c r="G478" s="36" t="s">
        <v>312</v>
      </c>
      <c r="H478" s="39"/>
      <c r="I478" s="24" t="str">
        <f>+VLOOKUP(A478,[2]Hoja1!$A:$A,1,0)</f>
        <v>W11554561</v>
      </c>
    </row>
    <row r="479" spans="1:9" ht="15.75" customHeight="1" x14ac:dyDescent="0.2">
      <c r="A479" s="36" t="s">
        <v>1707</v>
      </c>
      <c r="B479" s="38" t="s">
        <v>1708</v>
      </c>
      <c r="C479" s="34" t="s">
        <v>256</v>
      </c>
      <c r="D479" s="35" t="s">
        <v>1709</v>
      </c>
      <c r="E479" s="45" t="s">
        <v>1691</v>
      </c>
      <c r="F479" s="22" t="str">
        <f>+VLOOKUP(A479,'[1]Proveedor-Comprador'!A:D,4,0)</f>
        <v>LÍNEA ADHESIVA S.A.</v>
      </c>
      <c r="G479" s="36" t="s">
        <v>312</v>
      </c>
      <c r="H479" s="39"/>
      <c r="I479" s="24" t="str">
        <f>+VLOOKUP(A479,[2]Hoja1!$A:$A,1,0)</f>
        <v>W11554576</v>
      </c>
    </row>
    <row r="480" spans="1:9" ht="15.75" customHeight="1" x14ac:dyDescent="0.2">
      <c r="A480" s="36" t="s">
        <v>1710</v>
      </c>
      <c r="B480" s="38" t="s">
        <v>1628</v>
      </c>
      <c r="C480" s="34" t="s">
        <v>256</v>
      </c>
      <c r="D480" s="35" t="s">
        <v>1711</v>
      </c>
      <c r="E480" s="45" t="s">
        <v>1691</v>
      </c>
      <c r="F480" s="22" t="str">
        <f>+VLOOKUP(A480,'[1]Proveedor-Comprador'!A:D,4,0)</f>
        <v>LÍNEA ADHESIVA S.A.</v>
      </c>
      <c r="G480" s="36" t="s">
        <v>312</v>
      </c>
      <c r="H480" s="39"/>
      <c r="I480" s="24" t="str">
        <f>+VLOOKUP(A480,[2]Hoja1!$A:$A,1,0)</f>
        <v>W11647766</v>
      </c>
    </row>
    <row r="481" spans="1:9" ht="15.75" customHeight="1" x14ac:dyDescent="0.2">
      <c r="A481" s="36" t="s">
        <v>1712</v>
      </c>
      <c r="B481" s="38" t="s">
        <v>1713</v>
      </c>
      <c r="C481" s="34" t="s">
        <v>256</v>
      </c>
      <c r="D481" s="35" t="s">
        <v>1714</v>
      </c>
      <c r="E481" s="45" t="s">
        <v>1715</v>
      </c>
      <c r="F481" s="22" t="str">
        <f>+VLOOKUP(A481,'[1]Proveedor-Comprador'!A:D,4,0)</f>
        <v>LÍNEA ADHESIVA S.A.</v>
      </c>
      <c r="G481" s="36" t="s">
        <v>267</v>
      </c>
      <c r="H481" s="39"/>
      <c r="I481" s="24" t="str">
        <f>+VLOOKUP(A481,[2]Hoja1!$A:$A,1,0)</f>
        <v>W11682997</v>
      </c>
    </row>
    <row r="482" spans="1:9" ht="15.75" customHeight="1" x14ac:dyDescent="0.2">
      <c r="A482" s="36" t="s">
        <v>1716</v>
      </c>
      <c r="B482" s="38" t="s">
        <v>1713</v>
      </c>
      <c r="C482" s="34" t="s">
        <v>256</v>
      </c>
      <c r="D482" s="35" t="s">
        <v>1717</v>
      </c>
      <c r="E482" s="45" t="s">
        <v>1715</v>
      </c>
      <c r="F482" s="22" t="str">
        <f>+VLOOKUP(A482,'[1]Proveedor-Comprador'!A:D,4,0)</f>
        <v>LÍNEA ADHESIVA S.A.</v>
      </c>
      <c r="G482" s="36" t="s">
        <v>267</v>
      </c>
      <c r="H482" s="39"/>
      <c r="I482" s="24" t="str">
        <f>+VLOOKUP(A482,[2]Hoja1!$A:$A,1,0)</f>
        <v>W11683066</v>
      </c>
    </row>
    <row r="483" spans="1:9" ht="15.75" customHeight="1" x14ac:dyDescent="0.2">
      <c r="A483" s="36" t="s">
        <v>1718</v>
      </c>
      <c r="B483" s="38" t="s">
        <v>1719</v>
      </c>
      <c r="C483" s="34" t="s">
        <v>256</v>
      </c>
      <c r="D483" s="35" t="s">
        <v>1720</v>
      </c>
      <c r="E483" s="45" t="s">
        <v>1721</v>
      </c>
      <c r="F483" s="22" t="str">
        <f>+VLOOKUP(A483,'[1]Proveedor-Comprador'!A:D,4,0)</f>
        <v>LÍNEA ADHESIVA S.A.</v>
      </c>
      <c r="G483" s="36" t="s">
        <v>267</v>
      </c>
      <c r="H483" s="39"/>
      <c r="I483" s="24" t="str">
        <f>+VLOOKUP(A483,[2]Hoja1!$A:$A,1,0)</f>
        <v>W10866946</v>
      </c>
    </row>
    <row r="484" spans="1:9" ht="15.75" customHeight="1" x14ac:dyDescent="0.2">
      <c r="A484" s="36" t="s">
        <v>1722</v>
      </c>
      <c r="B484" s="38" t="s">
        <v>1723</v>
      </c>
      <c r="C484" s="34" t="s">
        <v>256</v>
      </c>
      <c r="D484" s="35" t="s">
        <v>1724</v>
      </c>
      <c r="E484" s="45" t="s">
        <v>1721</v>
      </c>
      <c r="F484" s="22" t="str">
        <f>+VLOOKUP(A484,'[1]Proveedor-Comprador'!A:D,4,0)</f>
        <v>Marcazeta S.A.S</v>
      </c>
      <c r="G484" s="36" t="s">
        <v>284</v>
      </c>
      <c r="H484" s="39"/>
      <c r="I484" s="24" t="str">
        <f>+VLOOKUP(A484,[2]Hoja1!$A:$A,1,0)</f>
        <v>W10233113</v>
      </c>
    </row>
    <row r="485" spans="1:9" ht="15.75" customHeight="1" x14ac:dyDescent="0.2">
      <c r="A485" s="36" t="s">
        <v>1725</v>
      </c>
      <c r="B485" s="38" t="s">
        <v>1726</v>
      </c>
      <c r="C485" s="34" t="s">
        <v>256</v>
      </c>
      <c r="D485" s="35" t="s">
        <v>1727</v>
      </c>
      <c r="E485" s="45" t="s">
        <v>1721</v>
      </c>
      <c r="F485" s="22" t="str">
        <f>+VLOOKUP(A485,'[1]Proveedor-Comprador'!A:D,4,0)</f>
        <v>Marcazeta S.A.S</v>
      </c>
      <c r="G485" s="36" t="s">
        <v>267</v>
      </c>
      <c r="H485" s="39"/>
      <c r="I485" s="24" t="str">
        <f>+VLOOKUP(A485,[2]Hoja1!$A:$A,1,0)</f>
        <v>W11043931</v>
      </c>
    </row>
    <row r="486" spans="1:9" ht="15.75" customHeight="1" x14ac:dyDescent="0.2">
      <c r="A486" s="36" t="s">
        <v>1728</v>
      </c>
      <c r="B486" s="38" t="s">
        <v>1685</v>
      </c>
      <c r="C486" s="34" t="s">
        <v>256</v>
      </c>
      <c r="D486" s="35" t="s">
        <v>1729</v>
      </c>
      <c r="E486" s="45" t="s">
        <v>1730</v>
      </c>
      <c r="F486" s="22" t="str">
        <f>+VLOOKUP(A486,'[1]Proveedor-Comprador'!A:D,4,0)</f>
        <v>LÍNEA ADHESIVA S.A.</v>
      </c>
      <c r="G486" s="36" t="s">
        <v>284</v>
      </c>
      <c r="H486" s="39"/>
      <c r="I486" s="24" t="str">
        <f>+VLOOKUP(A486,[2]Hoja1!$A:$A,1,0)</f>
        <v>W11596380</v>
      </c>
    </row>
    <row r="487" spans="1:9" ht="15.75" customHeight="1" x14ac:dyDescent="0.2">
      <c r="A487" s="36" t="s">
        <v>1731</v>
      </c>
      <c r="B487" s="38" t="s">
        <v>1732</v>
      </c>
      <c r="C487" s="34" t="s">
        <v>256</v>
      </c>
      <c r="D487" s="35" t="s">
        <v>1733</v>
      </c>
      <c r="E487" s="45" t="s">
        <v>1733</v>
      </c>
      <c r="F487" s="22" t="str">
        <f>+VLOOKUP(A487,'[1]Proveedor-Comprador'!A:D,4,0)</f>
        <v>IDENTCO DE MEXICO</v>
      </c>
      <c r="G487" s="36" t="s">
        <v>312</v>
      </c>
      <c r="H487" s="39"/>
      <c r="I487" s="24" t="str">
        <f>+VLOOKUP(A487,[2]Hoja1!$A:$A,1,0)</f>
        <v>W11691488</v>
      </c>
    </row>
    <row r="488" spans="1:9" ht="15.75" customHeight="1" x14ac:dyDescent="0.2">
      <c r="A488" s="36" t="s">
        <v>1734</v>
      </c>
      <c r="B488" s="38" t="s">
        <v>1735</v>
      </c>
      <c r="C488" s="34" t="s">
        <v>256</v>
      </c>
      <c r="D488" s="35" t="s">
        <v>1736</v>
      </c>
      <c r="E488" s="45" t="s">
        <v>1733</v>
      </c>
      <c r="F488" s="22" t="str">
        <f>+VLOOKUP(A488,'[1]Proveedor-Comprador'!A:D,4,0)</f>
        <v>IDENTCO DE MEXICO</v>
      </c>
      <c r="G488" s="36" t="s">
        <v>312</v>
      </c>
      <c r="H488" s="39"/>
      <c r="I488" s="24" t="str">
        <f>+VLOOKUP(A488,[2]Hoja1!$A:$A,1,0)</f>
        <v>W11550829</v>
      </c>
    </row>
    <row r="489" spans="1:9" ht="15.75" customHeight="1" x14ac:dyDescent="0.2">
      <c r="A489" s="36" t="s">
        <v>1737</v>
      </c>
      <c r="B489" s="38" t="s">
        <v>1738</v>
      </c>
      <c r="C489" s="34" t="s">
        <v>256</v>
      </c>
      <c r="D489" s="35" t="s">
        <v>1739</v>
      </c>
      <c r="E489" s="45" t="s">
        <v>1733</v>
      </c>
      <c r="F489" s="22" t="str">
        <f>+VLOOKUP(A489,'[1]Proveedor-Comprador'!A:D,4,0)</f>
        <v>IDENTCO DE MEXICO</v>
      </c>
      <c r="G489" s="36" t="s">
        <v>267</v>
      </c>
      <c r="H489" s="39"/>
      <c r="I489" s="24" t="str">
        <f>+VLOOKUP(A489,[2]Hoja1!$A:$A,1,0)</f>
        <v>W11661750</v>
      </c>
    </row>
    <row r="490" spans="1:9" ht="15.75" customHeight="1" x14ac:dyDescent="0.2">
      <c r="A490" s="36" t="s">
        <v>1740</v>
      </c>
      <c r="B490" s="38" t="s">
        <v>1732</v>
      </c>
      <c r="C490" s="34" t="s">
        <v>256</v>
      </c>
      <c r="D490" s="35" t="s">
        <v>1741</v>
      </c>
      <c r="E490" s="45" t="s">
        <v>1733</v>
      </c>
      <c r="F490" s="22" t="str">
        <f>+VLOOKUP(A490,'[1]Proveedor-Comprador'!A:D,4,0)</f>
        <v>IDENTCO DE MEXICO</v>
      </c>
      <c r="G490" s="36" t="s">
        <v>312</v>
      </c>
      <c r="H490" s="39"/>
      <c r="I490" s="24" t="str">
        <f>+VLOOKUP(A490,[2]Hoja1!$A:$A,1,0)</f>
        <v>W11175874</v>
      </c>
    </row>
    <row r="491" spans="1:9" ht="15.75" customHeight="1" x14ac:dyDescent="0.2">
      <c r="A491" s="36" t="s">
        <v>1742</v>
      </c>
      <c r="B491" s="38" t="s">
        <v>1743</v>
      </c>
      <c r="C491" s="34" t="s">
        <v>256</v>
      </c>
      <c r="D491" s="35" t="s">
        <v>1744</v>
      </c>
      <c r="E491" s="45" t="s">
        <v>1733</v>
      </c>
      <c r="F491" s="22" t="str">
        <f>+VLOOKUP(A491,'[1]Proveedor-Comprador'!A:D,4,0)</f>
        <v>IDENTCO DE MEXICO</v>
      </c>
      <c r="G491" s="36" t="s">
        <v>312</v>
      </c>
      <c r="H491" s="39"/>
      <c r="I491" s="24" t="str">
        <f>+VLOOKUP(A491,[2]Hoja1!$A:$A,1,0)</f>
        <v>W11175939</v>
      </c>
    </row>
    <row r="492" spans="1:9" ht="15.75" customHeight="1" x14ac:dyDescent="0.2">
      <c r="A492" s="36" t="s">
        <v>1745</v>
      </c>
      <c r="B492" s="38" t="s">
        <v>1746</v>
      </c>
      <c r="C492" s="34" t="s">
        <v>256</v>
      </c>
      <c r="D492" s="35" t="s">
        <v>1747</v>
      </c>
      <c r="E492" s="45" t="s">
        <v>1746</v>
      </c>
      <c r="F492" s="22" t="str">
        <f>+VLOOKUP(A492,'[1]Proveedor-Comprador'!A:D,4,0)</f>
        <v>WEBER MARKING SYSTEMS, IN</v>
      </c>
      <c r="G492" s="36" t="s">
        <v>284</v>
      </c>
      <c r="H492" s="39"/>
      <c r="I492" s="24" t="str">
        <f>+VLOOKUP(A492,[2]Hoja1!$A:$A,1,0)</f>
        <v>W10804305</v>
      </c>
    </row>
    <row r="493" spans="1:9" ht="15.75" customHeight="1" x14ac:dyDescent="0.2">
      <c r="A493" s="36" t="s">
        <v>1748</v>
      </c>
      <c r="B493" s="38" t="s">
        <v>1593</v>
      </c>
      <c r="C493" s="34" t="s">
        <v>256</v>
      </c>
      <c r="D493" s="35" t="s">
        <v>1749</v>
      </c>
      <c r="E493" s="45" t="s">
        <v>1750</v>
      </c>
      <c r="F493" s="22" t="str">
        <f>+VLOOKUP(A493,'[1]Proveedor-Comprador'!A:D,4,0)</f>
        <v>LÍNEA ADHESIVA S.A.</v>
      </c>
      <c r="G493" s="36" t="s">
        <v>267</v>
      </c>
      <c r="H493" s="39"/>
      <c r="I493" s="24" t="str">
        <f>+VLOOKUP(A493,[2]Hoja1!$A:$A,1,0)</f>
        <v>W11625724</v>
      </c>
    </row>
    <row r="494" spans="1:9" ht="15.75" customHeight="1" x14ac:dyDescent="0.2">
      <c r="A494" s="36" t="s">
        <v>1751</v>
      </c>
      <c r="B494" s="38" t="s">
        <v>1593</v>
      </c>
      <c r="C494" s="34" t="s">
        <v>256</v>
      </c>
      <c r="D494" s="35" t="s">
        <v>1752</v>
      </c>
      <c r="E494" s="45" t="s">
        <v>1750</v>
      </c>
      <c r="F494" s="22" t="str">
        <f>+VLOOKUP(A494,'[1]Proveedor-Comprador'!A:D,4,0)</f>
        <v>LÍNEA ADHESIVA S.A.</v>
      </c>
      <c r="G494" s="36" t="s">
        <v>267</v>
      </c>
      <c r="H494" s="39"/>
      <c r="I494" s="24" t="str">
        <f>+VLOOKUP(A494,[2]Hoja1!$A:$A,1,0)</f>
        <v>W11625722</v>
      </c>
    </row>
    <row r="495" spans="1:9" ht="15.75" customHeight="1" x14ac:dyDescent="0.2">
      <c r="A495" s="36" t="s">
        <v>1753</v>
      </c>
      <c r="B495" s="38" t="s">
        <v>1754</v>
      </c>
      <c r="C495" s="34" t="s">
        <v>256</v>
      </c>
      <c r="D495" s="35" t="s">
        <v>1755</v>
      </c>
      <c r="E495" s="45" t="s">
        <v>1756</v>
      </c>
      <c r="F495" s="22" t="str">
        <f>+VLOOKUP(A495,'[1]Proveedor-Comprador'!A:D,4,0)</f>
        <v>LÍNEA ADHESIVA S.A.</v>
      </c>
      <c r="G495" s="36" t="s">
        <v>284</v>
      </c>
      <c r="H495" s="39"/>
      <c r="I495" s="24" t="str">
        <f>+VLOOKUP(A495,[2]Hoja1!$A:$A,1,0)</f>
        <v>W10917614</v>
      </c>
    </row>
    <row r="496" spans="1:9" ht="15.75" customHeight="1" x14ac:dyDescent="0.2">
      <c r="A496" s="36" t="s">
        <v>1757</v>
      </c>
      <c r="B496" s="38" t="s">
        <v>1754</v>
      </c>
      <c r="C496" s="34" t="s">
        <v>256</v>
      </c>
      <c r="D496" s="35" t="s">
        <v>1758</v>
      </c>
      <c r="E496" s="45" t="s">
        <v>1756</v>
      </c>
      <c r="F496" s="22" t="str">
        <f>+VLOOKUP(A496,'[1]Proveedor-Comprador'!A:D,4,0)</f>
        <v>LÍNEA ADHESIVA S.A.</v>
      </c>
      <c r="G496" s="36" t="s">
        <v>267</v>
      </c>
      <c r="H496" s="39"/>
      <c r="I496" s="24" t="str">
        <f>+VLOOKUP(A496,[2]Hoja1!$A:$A,1,0)</f>
        <v>W11685272</v>
      </c>
    </row>
    <row r="497" spans="1:9" ht="15.75" customHeight="1" x14ac:dyDescent="0.2">
      <c r="A497" s="36" t="s">
        <v>1759</v>
      </c>
      <c r="B497" s="38" t="s">
        <v>1760</v>
      </c>
      <c r="C497" s="34" t="s">
        <v>256</v>
      </c>
      <c r="D497" s="35" t="s">
        <v>1761</v>
      </c>
      <c r="E497" s="45" t="s">
        <v>1762</v>
      </c>
      <c r="F497" s="22" t="str">
        <f>+VLOOKUP(A497,'[1]Proveedor-Comprador'!A:D,4,0)</f>
        <v>SHANGHAI JINGSHI ELECTRIC</v>
      </c>
      <c r="G497" s="36" t="s">
        <v>267</v>
      </c>
      <c r="H497" s="39"/>
      <c r="I497" s="24" t="str">
        <f>+VLOOKUP(A497,[2]Hoja1!$A:$A,1,0)</f>
        <v>W11520671</v>
      </c>
    </row>
    <row r="498" spans="1:9" ht="15.75" customHeight="1" x14ac:dyDescent="0.2">
      <c r="A498" s="36" t="s">
        <v>1763</v>
      </c>
      <c r="B498" s="38" t="s">
        <v>1764</v>
      </c>
      <c r="C498" s="34" t="s">
        <v>256</v>
      </c>
      <c r="D498" s="35" t="s">
        <v>1765</v>
      </c>
      <c r="E498" s="45" t="s">
        <v>1762</v>
      </c>
      <c r="F498" s="22" t="str">
        <f>+VLOOKUP(A498,'[1]Proveedor-Comprador'!A:D,4,0)</f>
        <v>Marcazeta S.A.S</v>
      </c>
      <c r="G498" s="36" t="s">
        <v>312</v>
      </c>
      <c r="H498" s="39"/>
      <c r="I498" s="24" t="str">
        <f>+VLOOKUP(A498,[2]Hoja1!$A:$A,1,0)</f>
        <v>W11134931</v>
      </c>
    </row>
    <row r="499" spans="1:9" ht="15.75" customHeight="1" x14ac:dyDescent="0.2">
      <c r="A499" s="36" t="s">
        <v>1766</v>
      </c>
      <c r="B499" s="38" t="s">
        <v>1767</v>
      </c>
      <c r="C499" s="34" t="s">
        <v>256</v>
      </c>
      <c r="D499" s="35" t="s">
        <v>1768</v>
      </c>
      <c r="E499" s="45" t="s">
        <v>1769</v>
      </c>
      <c r="F499" s="22" t="str">
        <f>+VLOOKUP(A499,'[1]Proveedor-Comprador'!A:D,4,0)</f>
        <v>LÍNEA ADHESIVA S.A.</v>
      </c>
      <c r="G499" s="36" t="s">
        <v>284</v>
      </c>
      <c r="H499" s="39"/>
      <c r="I499" s="24" t="str">
        <f>+VLOOKUP(A499,[2]Hoja1!$A:$A,1,0)</f>
        <v>W10856689</v>
      </c>
    </row>
    <row r="500" spans="1:9" ht="15.75" customHeight="1" x14ac:dyDescent="0.2">
      <c r="A500" s="36" t="s">
        <v>1770</v>
      </c>
      <c r="B500" s="38" t="s">
        <v>1771</v>
      </c>
      <c r="C500" s="34" t="s">
        <v>256</v>
      </c>
      <c r="D500" s="35" t="s">
        <v>1772</v>
      </c>
      <c r="E500" s="45" t="s">
        <v>1773</v>
      </c>
      <c r="F500" s="22" t="str">
        <f>+VLOOKUP(A500,'[1]Proveedor-Comprador'!A:D,4,0)</f>
        <v>LÍNEA ADHESIVA S.A.</v>
      </c>
      <c r="G500" s="36" t="s">
        <v>267</v>
      </c>
      <c r="H500" s="39"/>
      <c r="I500" s="24" t="str">
        <f>+VLOOKUP(A500,[2]Hoja1!$A:$A,1,0)</f>
        <v>W11576381</v>
      </c>
    </row>
    <row r="501" spans="1:9" ht="15.75" customHeight="1" x14ac:dyDescent="0.2">
      <c r="A501" s="36" t="s">
        <v>1774</v>
      </c>
      <c r="B501" s="38" t="s">
        <v>1771</v>
      </c>
      <c r="C501" s="34" t="s">
        <v>256</v>
      </c>
      <c r="D501" s="35" t="s">
        <v>1775</v>
      </c>
      <c r="E501" s="45" t="s">
        <v>1773</v>
      </c>
      <c r="F501" s="22" t="str">
        <f>+VLOOKUP(A501,'[1]Proveedor-Comprador'!A:D,4,0)</f>
        <v>LÍNEA ADHESIVA S.A.</v>
      </c>
      <c r="G501" s="36" t="s">
        <v>267</v>
      </c>
      <c r="H501" s="39"/>
      <c r="I501" s="24" t="str">
        <f>+VLOOKUP(A501,[2]Hoja1!$A:$A,1,0)</f>
        <v>W11525916</v>
      </c>
    </row>
    <row r="502" spans="1:9" ht="15.75" customHeight="1" x14ac:dyDescent="0.2">
      <c r="A502" s="36" t="s">
        <v>1776</v>
      </c>
      <c r="B502" s="38" t="s">
        <v>1777</v>
      </c>
      <c r="C502" s="34" t="s">
        <v>256</v>
      </c>
      <c r="D502" s="35" t="s">
        <v>1778</v>
      </c>
      <c r="E502" s="45" t="s">
        <v>1779</v>
      </c>
      <c r="F502" s="22" t="str">
        <f>+VLOOKUP(A502,'[1]Proveedor-Comprador'!A:D,4,0)</f>
        <v>Marcazeta S.A.S</v>
      </c>
      <c r="G502" s="36" t="s">
        <v>267</v>
      </c>
      <c r="H502" s="39"/>
      <c r="I502" s="24" t="str">
        <f>+VLOOKUP(A502,[2]Hoja1!$A:$A,1,0)</f>
        <v>W10803373</v>
      </c>
    </row>
    <row r="503" spans="1:9" ht="15.75" customHeight="1" x14ac:dyDescent="0.2">
      <c r="A503" s="36" t="s">
        <v>1780</v>
      </c>
      <c r="B503" s="38" t="s">
        <v>1781</v>
      </c>
      <c r="C503" s="34" t="s">
        <v>256</v>
      </c>
      <c r="D503" s="35" t="s">
        <v>1782</v>
      </c>
      <c r="E503" s="45" t="s">
        <v>1779</v>
      </c>
      <c r="F503" s="22" t="str">
        <f>+VLOOKUP(A503,'[1]Proveedor-Comprador'!A:D,4,0)</f>
        <v>Marcazeta S.A.S</v>
      </c>
      <c r="G503" s="36" t="s">
        <v>267</v>
      </c>
      <c r="H503" s="39"/>
      <c r="I503" s="24" t="str">
        <f>+VLOOKUP(A503,[2]Hoja1!$A:$A,1,0)</f>
        <v>W11324355</v>
      </c>
    </row>
    <row r="504" spans="1:9" ht="15.75" customHeight="1" x14ac:dyDescent="0.2">
      <c r="A504" s="36" t="s">
        <v>1783</v>
      </c>
      <c r="B504" s="38" t="s">
        <v>1784</v>
      </c>
      <c r="C504" s="34" t="s">
        <v>256</v>
      </c>
      <c r="D504" s="35" t="s">
        <v>1785</v>
      </c>
      <c r="E504" s="45" t="s">
        <v>1786</v>
      </c>
      <c r="F504" s="22" t="str">
        <f>+VLOOKUP(A504,'[1]Proveedor-Comprador'!A:D,4,0)</f>
        <v>LÍNEA ADHESIVA S.A.</v>
      </c>
      <c r="G504" s="36" t="s">
        <v>267</v>
      </c>
      <c r="H504" s="39"/>
      <c r="I504" s="24" t="str">
        <f>+VLOOKUP(A504,[2]Hoja1!$A:$A,1,0)</f>
        <v>W10517931</v>
      </c>
    </row>
    <row r="505" spans="1:9" ht="15.75" customHeight="1" x14ac:dyDescent="0.2">
      <c r="A505" s="36" t="s">
        <v>1787</v>
      </c>
      <c r="B505" s="38" t="s">
        <v>1788</v>
      </c>
      <c r="C505" s="34" t="s">
        <v>256</v>
      </c>
      <c r="D505" s="35" t="s">
        <v>1789</v>
      </c>
      <c r="E505" s="45" t="s">
        <v>1790</v>
      </c>
      <c r="F505" s="22" t="str">
        <f>+VLOOKUP(A505,'[1]Proveedor-Comprador'!A:D,4,0)</f>
        <v>LÍNEA ADHESIVA S.A.</v>
      </c>
      <c r="G505" s="36" t="s">
        <v>267</v>
      </c>
      <c r="H505" s="39"/>
      <c r="I505" s="24" t="str">
        <f>+VLOOKUP(A505,[2]Hoja1!$A:$A,1,0)</f>
        <v>W11606776</v>
      </c>
    </row>
    <row r="506" spans="1:9" ht="15.75" customHeight="1" x14ac:dyDescent="0.2">
      <c r="A506" s="36" t="s">
        <v>1791</v>
      </c>
      <c r="B506" s="38" t="s">
        <v>1792</v>
      </c>
      <c r="C506" s="34" t="s">
        <v>256</v>
      </c>
      <c r="D506" s="35" t="s">
        <v>1793</v>
      </c>
      <c r="E506" s="45" t="s">
        <v>1794</v>
      </c>
      <c r="F506" s="22" t="str">
        <f>+VLOOKUP(A506,'[1]Proveedor-Comprador'!A:D,4,0)</f>
        <v>LÍNEA ADHESIVA S.A.</v>
      </c>
      <c r="G506" s="36" t="s">
        <v>267</v>
      </c>
      <c r="H506" s="39"/>
      <c r="I506" s="24" t="str">
        <f>+VLOOKUP(A506,[2]Hoja1!$A:$A,1,0)</f>
        <v>W11616007</v>
      </c>
    </row>
    <row r="507" spans="1:9" ht="15.75" customHeight="1" x14ac:dyDescent="0.2">
      <c r="A507" s="36" t="s">
        <v>1795</v>
      </c>
      <c r="B507" s="38" t="s">
        <v>1628</v>
      </c>
      <c r="C507" s="34" t="s">
        <v>256</v>
      </c>
      <c r="D507" s="35" t="s">
        <v>1796</v>
      </c>
      <c r="E507" s="45" t="s">
        <v>1794</v>
      </c>
      <c r="F507" s="22" t="str">
        <f>+VLOOKUP(A507,'[1]Proveedor-Comprador'!A:D,4,0)</f>
        <v>LÍNEA ADHESIVA S.A.</v>
      </c>
      <c r="G507" s="36" t="s">
        <v>267</v>
      </c>
      <c r="H507" s="39"/>
      <c r="I507" s="24" t="str">
        <f>+VLOOKUP(A507,[2]Hoja1!$A:$A,1,0)</f>
        <v>W11642866</v>
      </c>
    </row>
    <row r="508" spans="1:9" ht="15.75" customHeight="1" x14ac:dyDescent="0.2">
      <c r="A508" s="36" t="s">
        <v>1797</v>
      </c>
      <c r="B508" s="38" t="s">
        <v>1798</v>
      </c>
      <c r="C508" s="34" t="s">
        <v>256</v>
      </c>
      <c r="D508" s="35" t="s">
        <v>1799</v>
      </c>
      <c r="E508" s="45" t="s">
        <v>403</v>
      </c>
      <c r="F508" s="22" t="str">
        <f>+VLOOKUP(A508,'[1]Proveedor-Comprador'!A:D,4,0)</f>
        <v>LÍNEA ADHESIVA S.A.</v>
      </c>
      <c r="G508" s="36" t="s">
        <v>342</v>
      </c>
      <c r="H508" s="39"/>
      <c r="I508" s="24" t="str">
        <f>+VLOOKUP(A508,[2]Hoja1!$A:$A,1,0)</f>
        <v>W11748859</v>
      </c>
    </row>
    <row r="509" spans="1:9" ht="15.75" customHeight="1" x14ac:dyDescent="0.2">
      <c r="A509" s="36" t="s">
        <v>1800</v>
      </c>
      <c r="B509" s="38" t="s">
        <v>1801</v>
      </c>
      <c r="C509" s="34" t="s">
        <v>256</v>
      </c>
      <c r="D509" s="35" t="s">
        <v>1802</v>
      </c>
      <c r="E509" s="45" t="s">
        <v>403</v>
      </c>
      <c r="F509" s="22" t="str">
        <f>+VLOOKUP(A509,'[1]Proveedor-Comprador'!A:D,4,0)</f>
        <v>LÍNEA ADHESIVA S.A.</v>
      </c>
      <c r="G509" s="36" t="s">
        <v>342</v>
      </c>
      <c r="H509" s="39"/>
      <c r="I509" s="24" t="str">
        <f>+VLOOKUP(A509,[2]Hoja1!$A:$A,1,0)</f>
        <v>W11748861</v>
      </c>
    </row>
    <row r="510" spans="1:9" ht="15.75" customHeight="1" x14ac:dyDescent="0.2">
      <c r="A510" s="36" t="s">
        <v>1803</v>
      </c>
      <c r="B510" s="38" t="s">
        <v>403</v>
      </c>
      <c r="C510" s="34" t="s">
        <v>256</v>
      </c>
      <c r="D510" s="35" t="s">
        <v>1804</v>
      </c>
      <c r="E510" s="45" t="s">
        <v>403</v>
      </c>
      <c r="F510" s="22" t="str">
        <f>+VLOOKUP(A510,'[1]Proveedor-Comprador'!A:D,4,0)</f>
        <v>LÍNEA ADHESIVA S.A.</v>
      </c>
      <c r="G510" s="36" t="s">
        <v>267</v>
      </c>
      <c r="H510" s="39"/>
      <c r="I510" s="24" t="str">
        <f>+VLOOKUP(A510,[2]Hoja1!$A:$A,1,0)</f>
        <v>W10650429</v>
      </c>
    </row>
    <row r="511" spans="1:9" ht="15.75" customHeight="1" x14ac:dyDescent="0.2">
      <c r="A511" s="36" t="s">
        <v>1805</v>
      </c>
      <c r="B511" s="38" t="s">
        <v>1806</v>
      </c>
      <c r="C511" s="34" t="s">
        <v>256</v>
      </c>
      <c r="D511" s="35" t="s">
        <v>1807</v>
      </c>
      <c r="E511" s="45" t="s">
        <v>1808</v>
      </c>
      <c r="F511" s="22" t="str">
        <f>+VLOOKUP(A511,'[1]Proveedor-Comprador'!A:D,4,0)</f>
        <v>INDUSTRIAS HACEB S.A.</v>
      </c>
      <c r="G511" s="36" t="s">
        <v>284</v>
      </c>
      <c r="H511" s="39"/>
      <c r="I511" s="24" t="str">
        <f>+VLOOKUP(A511,[2]Hoja1!$A:$A,1,0)</f>
        <v>W11316690</v>
      </c>
    </row>
    <row r="512" spans="1:9" ht="15.75" customHeight="1" x14ac:dyDescent="0.2">
      <c r="A512" s="36" t="s">
        <v>1809</v>
      </c>
      <c r="B512" s="38" t="s">
        <v>1810</v>
      </c>
      <c r="C512" s="34" t="s">
        <v>256</v>
      </c>
      <c r="D512" s="35" t="s">
        <v>1811</v>
      </c>
      <c r="E512" s="45" t="s">
        <v>1808</v>
      </c>
      <c r="F512" s="22" t="str">
        <f>+VLOOKUP(A512,'[1]Proveedor-Comprador'!A:D,4,0)</f>
        <v>INDUSTRIAS HACEB S.A.</v>
      </c>
      <c r="G512" s="36" t="s">
        <v>284</v>
      </c>
      <c r="H512" s="39"/>
      <c r="I512" s="24" t="str">
        <f>+VLOOKUP(A512,[2]Hoja1!$A:$A,1,0)</f>
        <v>W11316689</v>
      </c>
    </row>
    <row r="513" spans="1:9" ht="15.75" customHeight="1" x14ac:dyDescent="0.2">
      <c r="A513" s="36" t="s">
        <v>1812</v>
      </c>
      <c r="B513" s="38" t="s">
        <v>1813</v>
      </c>
      <c r="C513" s="34" t="s">
        <v>256</v>
      </c>
      <c r="D513" s="35" t="s">
        <v>1814</v>
      </c>
      <c r="E513" s="45" t="s">
        <v>337</v>
      </c>
      <c r="F513" s="22" t="str">
        <f>+VLOOKUP(A513,'[1]Proveedor-Comprador'!A:D,4,0)</f>
        <v>TECNOPEÇAS PECAS TEC E FITAS</v>
      </c>
      <c r="G513" s="36" t="s">
        <v>312</v>
      </c>
      <c r="H513" s="39"/>
      <c r="I513" s="24" t="str">
        <f>+VLOOKUP(A513,[2]Hoja1!$A:$A,1,0)</f>
        <v>W10713714</v>
      </c>
    </row>
    <row r="514" spans="1:9" ht="15.75" customHeight="1" x14ac:dyDescent="0.2">
      <c r="A514" s="36" t="s">
        <v>1815</v>
      </c>
      <c r="B514" s="38" t="s">
        <v>1816</v>
      </c>
      <c r="C514" s="34" t="s">
        <v>256</v>
      </c>
      <c r="D514" s="35" t="s">
        <v>1817</v>
      </c>
      <c r="E514" s="45" t="s">
        <v>337</v>
      </c>
      <c r="F514" s="22" t="str">
        <f>+VLOOKUP(A514,'[1]Proveedor-Comprador'!A:D,4,0)</f>
        <v>TECNOPEÇAS PECAS TEC E FITAS</v>
      </c>
      <c r="G514" s="36" t="s">
        <v>267</v>
      </c>
      <c r="H514" s="39"/>
      <c r="I514" s="24" t="str">
        <f>+VLOOKUP(A514,[2]Hoja1!$A:$A,1,0)</f>
        <v>W11568113</v>
      </c>
    </row>
    <row r="515" spans="1:9" ht="15.75" customHeight="1" x14ac:dyDescent="0.2">
      <c r="A515" s="36" t="s">
        <v>1818</v>
      </c>
      <c r="B515" s="38" t="s">
        <v>1819</v>
      </c>
      <c r="C515" s="34" t="s">
        <v>256</v>
      </c>
      <c r="D515" s="35" t="s">
        <v>1820</v>
      </c>
      <c r="E515" s="45" t="s">
        <v>1821</v>
      </c>
      <c r="F515" s="22" t="str">
        <f>+VLOOKUP(A515,'[1]Proveedor-Comprador'!A:D,4,0)</f>
        <v>Iprocom S.A.</v>
      </c>
      <c r="G515" s="36" t="s">
        <v>267</v>
      </c>
      <c r="H515" s="39"/>
      <c r="I515" s="24" t="str">
        <f>+VLOOKUP(A515,[2]Hoja1!$A:$A,1,0)</f>
        <v>W11733416</v>
      </c>
    </row>
    <row r="516" spans="1:9" ht="15.75" customHeight="1" x14ac:dyDescent="0.2">
      <c r="A516" s="36" t="s">
        <v>1822</v>
      </c>
      <c r="B516" s="38" t="s">
        <v>1823</v>
      </c>
      <c r="C516" s="34" t="s">
        <v>256</v>
      </c>
      <c r="D516" s="35" t="s">
        <v>1824</v>
      </c>
      <c r="E516" s="45" t="s">
        <v>1821</v>
      </c>
      <c r="F516" s="22" t="str">
        <f>+VLOOKUP(A516,'[1]Proveedor-Comprador'!A:D,4,0)</f>
        <v>Iprocom S.A.</v>
      </c>
      <c r="G516" s="36" t="s">
        <v>267</v>
      </c>
      <c r="H516" s="39"/>
      <c r="I516" s="24" t="str">
        <f>+VLOOKUP(A516,[2]Hoja1!$A:$A,1,0)</f>
        <v>W11733417</v>
      </c>
    </row>
    <row r="517" spans="1:9" ht="15.75" customHeight="1" x14ac:dyDescent="0.2">
      <c r="A517" s="36" t="s">
        <v>1825</v>
      </c>
      <c r="B517" s="38" t="s">
        <v>1826</v>
      </c>
      <c r="C517" s="34" t="s">
        <v>256</v>
      </c>
      <c r="D517" s="35" t="s">
        <v>1827</v>
      </c>
      <c r="E517" s="45" t="s">
        <v>1821</v>
      </c>
      <c r="F517" s="22" t="str">
        <f>+VLOOKUP(A517,'[1]Proveedor-Comprador'!A:D,4,0)</f>
        <v>Iprocom S.A.</v>
      </c>
      <c r="G517" s="36" t="s">
        <v>312</v>
      </c>
      <c r="H517" s="39"/>
      <c r="I517" s="24" t="str">
        <f>+VLOOKUP(A517,[2]Hoja1!$A:$A,1,0)</f>
        <v>W11131127</v>
      </c>
    </row>
    <row r="518" spans="1:9" ht="15.75" customHeight="1" x14ac:dyDescent="0.2">
      <c r="A518" s="36" t="s">
        <v>1828</v>
      </c>
      <c r="B518" s="38" t="s">
        <v>1829</v>
      </c>
      <c r="C518" s="34" t="s">
        <v>256</v>
      </c>
      <c r="D518" s="35" t="s">
        <v>1830</v>
      </c>
      <c r="E518" s="45" t="s">
        <v>1821</v>
      </c>
      <c r="F518" s="22" t="str">
        <f>+VLOOKUP(A518,'[1]Proveedor-Comprador'!A:D,4,0)</f>
        <v>Iprocom S.A.</v>
      </c>
      <c r="G518" s="36" t="s">
        <v>312</v>
      </c>
      <c r="H518" s="39"/>
      <c r="I518" s="24" t="str">
        <f>+VLOOKUP(A518,[2]Hoja1!$A:$A,1,0)</f>
        <v>W11463922</v>
      </c>
    </row>
    <row r="519" spans="1:9" ht="15.75" customHeight="1" x14ac:dyDescent="0.2">
      <c r="A519" s="36" t="s">
        <v>1831</v>
      </c>
      <c r="B519" s="38" t="s">
        <v>1832</v>
      </c>
      <c r="C519" s="34" t="s">
        <v>256</v>
      </c>
      <c r="D519" s="35" t="s">
        <v>1833</v>
      </c>
      <c r="E519" s="45" t="s">
        <v>1833</v>
      </c>
      <c r="F519" s="22" t="str">
        <f>+VLOOKUP(A519,'[1]Proveedor-Comprador'!A:D,4,0)</f>
        <v>EXTRUSIONES S.A</v>
      </c>
      <c r="G519" s="36" t="s">
        <v>284</v>
      </c>
      <c r="H519" s="39"/>
      <c r="I519" s="24" t="str">
        <f>+VLOOKUP(A519,[2]Hoja1!$A:$A,1,0)</f>
        <v>W10873962</v>
      </c>
    </row>
    <row r="520" spans="1:9" ht="15.75" customHeight="1" x14ac:dyDescent="0.2">
      <c r="A520" s="36" t="s">
        <v>1834</v>
      </c>
      <c r="B520" s="38" t="s">
        <v>1835</v>
      </c>
      <c r="C520" s="34" t="s">
        <v>256</v>
      </c>
      <c r="D520" s="35" t="s">
        <v>1836</v>
      </c>
      <c r="E520" s="45" t="s">
        <v>1833</v>
      </c>
      <c r="F520" s="22" t="str">
        <f>+VLOOKUP(A520,'[1]Proveedor-Comprador'!A:D,4,0)</f>
        <v>ELASTOPLAST</v>
      </c>
      <c r="G520" s="36" t="s">
        <v>267</v>
      </c>
      <c r="H520" s="39"/>
      <c r="I520" s="24" t="str">
        <f>+VLOOKUP(A520,[2]Hoja1!$A:$A,1,0)</f>
        <v>326001101</v>
      </c>
    </row>
    <row r="521" spans="1:9" ht="15.75" customHeight="1" x14ac:dyDescent="0.2">
      <c r="A521" s="36" t="s">
        <v>1837</v>
      </c>
      <c r="B521" s="38" t="s">
        <v>1838</v>
      </c>
      <c r="C521" s="34" t="s">
        <v>256</v>
      </c>
      <c r="D521" s="35" t="s">
        <v>1839</v>
      </c>
      <c r="E521" s="45" t="s">
        <v>1840</v>
      </c>
      <c r="F521" s="22" t="str">
        <f>+VLOOKUP(A521,'[1]Proveedor-Comprador'!A:D,4,0)</f>
        <v>EXTRUSIONES S.A</v>
      </c>
      <c r="G521" s="36" t="s">
        <v>312</v>
      </c>
      <c r="H521" s="39"/>
      <c r="I521" s="24" t="str">
        <f>+VLOOKUP(A521,[2]Hoja1!$A:$A,1,0)</f>
        <v>W10873928</v>
      </c>
    </row>
    <row r="522" spans="1:9" ht="15.75" customHeight="1" x14ac:dyDescent="0.2">
      <c r="A522" s="36" t="s">
        <v>1841</v>
      </c>
      <c r="B522" s="38" t="s">
        <v>1842</v>
      </c>
      <c r="C522" s="34" t="s">
        <v>256</v>
      </c>
      <c r="D522" s="35" t="s">
        <v>1843</v>
      </c>
      <c r="E522" s="45" t="s">
        <v>1844</v>
      </c>
      <c r="F522" s="22" t="str">
        <f>+VLOOKUP(A522,'[1]Proveedor-Comprador'!A:D,4,0)</f>
        <v>Marcazeta S.A.S</v>
      </c>
      <c r="G522" s="36" t="s">
        <v>251</v>
      </c>
      <c r="H522" s="39" t="s">
        <v>279</v>
      </c>
      <c r="I522" s="24" t="s">
        <v>253</v>
      </c>
    </row>
    <row r="523" spans="1:9" ht="15.75" customHeight="1" x14ac:dyDescent="0.2">
      <c r="A523" s="36" t="s">
        <v>1845</v>
      </c>
      <c r="B523" s="38" t="s">
        <v>1846</v>
      </c>
      <c r="C523" s="34" t="s">
        <v>256</v>
      </c>
      <c r="D523" s="35" t="s">
        <v>1847</v>
      </c>
      <c r="E523" s="45" t="s">
        <v>1848</v>
      </c>
      <c r="F523" s="22" t="str">
        <f>+VLOOKUP(A523,'[1]Proveedor-Comprador'!A:D,4,0)</f>
        <v>Askoll Brasil Ltda</v>
      </c>
      <c r="G523" s="36" t="s">
        <v>284</v>
      </c>
      <c r="H523" s="39"/>
      <c r="I523" s="24" t="str">
        <f>+VLOOKUP(A523,[2]Hoja1!$A:$A,1,0)</f>
        <v>W10872853</v>
      </c>
    </row>
    <row r="524" spans="1:9" ht="15.75" customHeight="1" x14ac:dyDescent="0.2">
      <c r="A524" s="36" t="s">
        <v>1849</v>
      </c>
      <c r="B524" s="38" t="s">
        <v>1850</v>
      </c>
      <c r="C524" s="34" t="s">
        <v>256</v>
      </c>
      <c r="D524" s="35" t="s">
        <v>1850</v>
      </c>
      <c r="E524" s="45" t="s">
        <v>1848</v>
      </c>
      <c r="F524" s="22" t="str">
        <f>+VLOOKUP(A524,'[1]Proveedor-Comprador'!A:D,4,0)</f>
        <v>Askoll Brasil Ltda</v>
      </c>
      <c r="G524" s="36" t="s">
        <v>284</v>
      </c>
      <c r="H524" s="39"/>
      <c r="I524" s="24" t="str">
        <f>+VLOOKUP(A524,[2]Hoja1!$A:$A,1,0)</f>
        <v>W10872849</v>
      </c>
    </row>
    <row r="525" spans="1:9" ht="15.75" customHeight="1" x14ac:dyDescent="0.2">
      <c r="A525" s="36" t="s">
        <v>1851</v>
      </c>
      <c r="B525" s="38" t="s">
        <v>1852</v>
      </c>
      <c r="C525" s="34" t="s">
        <v>256</v>
      </c>
      <c r="D525" s="35" t="s">
        <v>1853</v>
      </c>
      <c r="E525" s="45" t="s">
        <v>1848</v>
      </c>
      <c r="F525" s="22" t="str">
        <f>+VLOOKUP(A525,'[1]Proveedor-Comprador'!A:D,4,0)</f>
        <v>Askoll Brasil Ltda</v>
      </c>
      <c r="G525" s="36" t="s">
        <v>284</v>
      </c>
      <c r="H525" s="39"/>
      <c r="I525" s="24" t="str">
        <f>+VLOOKUP(A525,[2]Hoja1!$A:$A,1,0)</f>
        <v>W11337740</v>
      </c>
    </row>
    <row r="526" spans="1:9" ht="15.75" customHeight="1" x14ac:dyDescent="0.2">
      <c r="A526" s="36" t="s">
        <v>1854</v>
      </c>
      <c r="B526" s="38" t="s">
        <v>1855</v>
      </c>
      <c r="C526" s="34" t="s">
        <v>256</v>
      </c>
      <c r="D526" s="35" t="s">
        <v>1856</v>
      </c>
      <c r="E526" s="45" t="s">
        <v>1848</v>
      </c>
      <c r="F526" s="22" t="str">
        <f>+VLOOKUP(A526,'[1]Proveedor-Comprador'!A:D,4,0)</f>
        <v>Askoll Brasil Ltda</v>
      </c>
      <c r="G526" s="36" t="s">
        <v>284</v>
      </c>
      <c r="H526" s="39"/>
      <c r="I526" s="24" t="str">
        <f>+VLOOKUP(A526,[2]Hoja1!$A:$A,1,0)</f>
        <v>W10872851</v>
      </c>
    </row>
    <row r="527" spans="1:9" ht="15.75" customHeight="1" x14ac:dyDescent="0.2">
      <c r="A527" s="36" t="s">
        <v>1857</v>
      </c>
      <c r="B527" s="38" t="s">
        <v>1858</v>
      </c>
      <c r="C527" s="34" t="s">
        <v>256</v>
      </c>
      <c r="D527" s="35" t="s">
        <v>1859</v>
      </c>
      <c r="E527" s="45" t="s">
        <v>1860</v>
      </c>
      <c r="F527" s="22" t="str">
        <f>+VLOOKUP(A527,'[1]Proveedor-Comprador'!A:D,4,0)</f>
        <v>Whirlpool S/A</v>
      </c>
      <c r="G527" s="36" t="s">
        <v>284</v>
      </c>
      <c r="H527" s="39"/>
      <c r="I527" s="24" t="str">
        <f>+VLOOKUP(A527,[2]Hoja1!$A:$A,1,0)</f>
        <v>000360420</v>
      </c>
    </row>
    <row r="528" spans="1:9" ht="15.75" customHeight="1" x14ac:dyDescent="0.2">
      <c r="A528" s="36" t="s">
        <v>1861</v>
      </c>
      <c r="B528" s="38" t="s">
        <v>1862</v>
      </c>
      <c r="C528" s="34" t="s">
        <v>256</v>
      </c>
      <c r="D528" s="35" t="s">
        <v>1862</v>
      </c>
      <c r="E528" s="45" t="s">
        <v>1862</v>
      </c>
      <c r="F528" s="22" t="str">
        <f>+VLOOKUP(A528,'[1]Proveedor-Comprador'!A:D,4,0)</f>
        <v>Riduco S.A.</v>
      </c>
      <c r="G528" s="36" t="s">
        <v>312</v>
      </c>
      <c r="H528" s="39"/>
      <c r="I528" s="24" t="str">
        <f>+VLOOKUP(A528,[2]Hoja1!$A:$A,1,0)</f>
        <v>W10719069</v>
      </c>
    </row>
    <row r="529" spans="1:9" ht="15.75" customHeight="1" x14ac:dyDescent="0.2">
      <c r="A529" s="36" t="s">
        <v>1863</v>
      </c>
      <c r="B529" s="38" t="s">
        <v>1864</v>
      </c>
      <c r="C529" s="34" t="s">
        <v>256</v>
      </c>
      <c r="D529" s="35" t="s">
        <v>1865</v>
      </c>
      <c r="E529" s="45" t="s">
        <v>1866</v>
      </c>
      <c r="F529" s="22" t="str">
        <f>+VLOOKUP(A529,'[1]Proveedor-Comprador'!A:D,4,0)</f>
        <v>UNION INDUSTRY</v>
      </c>
      <c r="G529" s="36" t="s">
        <v>267</v>
      </c>
      <c r="H529" s="39"/>
      <c r="I529" s="24" t="str">
        <f>+VLOOKUP(A529,[2]Hoja1!$A:$A,1,0)</f>
        <v>W11135576</v>
      </c>
    </row>
    <row r="530" spans="1:9" ht="15.75" customHeight="1" x14ac:dyDescent="0.2">
      <c r="A530" s="36" t="s">
        <v>1867</v>
      </c>
      <c r="B530" s="38" t="s">
        <v>1868</v>
      </c>
      <c r="C530" s="34" t="s">
        <v>256</v>
      </c>
      <c r="D530" s="35" t="s">
        <v>1869</v>
      </c>
      <c r="E530" s="45" t="s">
        <v>1866</v>
      </c>
      <c r="F530" s="22" t="str">
        <f>+VLOOKUP(A530,'[1]Proveedor-Comprador'!A:D,4,0)</f>
        <v>UNION INDUSTRY</v>
      </c>
      <c r="G530" s="36" t="s">
        <v>267</v>
      </c>
      <c r="H530" s="39"/>
      <c r="I530" s="24" t="str">
        <f>+VLOOKUP(A530,[2]Hoja1!$A:$A,1,0)</f>
        <v>W11722195</v>
      </c>
    </row>
    <row r="531" spans="1:9" ht="15.75" customHeight="1" x14ac:dyDescent="0.2">
      <c r="A531" s="36" t="s">
        <v>1870</v>
      </c>
      <c r="B531" s="38" t="s">
        <v>1871</v>
      </c>
      <c r="C531" s="34" t="s">
        <v>256</v>
      </c>
      <c r="D531" s="35" t="s">
        <v>1872</v>
      </c>
      <c r="E531" s="45" t="s">
        <v>1866</v>
      </c>
      <c r="F531" s="22" t="str">
        <f>+VLOOKUP(A531,'[1]Proveedor-Comprador'!A:D,4,0)</f>
        <v>Anhui Tian Yida (TYD)</v>
      </c>
      <c r="G531" s="36" t="s">
        <v>312</v>
      </c>
      <c r="H531" s="39"/>
      <c r="I531" s="24" t="str">
        <f>+VLOOKUP(A531,[2]Hoja1!$A:$A,1,0)</f>
        <v>W11411580</v>
      </c>
    </row>
    <row r="532" spans="1:9" ht="15.75" customHeight="1" x14ac:dyDescent="0.2">
      <c r="A532" s="36" t="s">
        <v>1873</v>
      </c>
      <c r="B532" s="38" t="s">
        <v>1874</v>
      </c>
      <c r="C532" s="34" t="s">
        <v>256</v>
      </c>
      <c r="D532" s="35" t="s">
        <v>1875</v>
      </c>
      <c r="E532" s="45" t="s">
        <v>1866</v>
      </c>
      <c r="F532" s="22" t="str">
        <f>+VLOOKUP(A532,'[1]Proveedor-Comprador'!A:D,4,0)</f>
        <v>UNION INDUSTRY</v>
      </c>
      <c r="G532" s="36" t="s">
        <v>267</v>
      </c>
      <c r="H532" s="39"/>
      <c r="I532" s="24" t="str">
        <f>+VLOOKUP(A532,[2]Hoja1!$A:$A,1,0)</f>
        <v>W11705885</v>
      </c>
    </row>
    <row r="533" spans="1:9" ht="15.75" customHeight="1" x14ac:dyDescent="0.2">
      <c r="A533" s="36" t="s">
        <v>1876</v>
      </c>
      <c r="B533" s="38" t="s">
        <v>1877</v>
      </c>
      <c r="C533" s="34" t="s">
        <v>256</v>
      </c>
      <c r="D533" s="35" t="s">
        <v>1878</v>
      </c>
      <c r="E533" s="45" t="s">
        <v>1866</v>
      </c>
      <c r="F533" s="22" t="str">
        <f>+VLOOKUP(A533,'[1]Proveedor-Comprador'!A:D,4,0)</f>
        <v>Iprocom S.A.</v>
      </c>
      <c r="G533" s="36" t="s">
        <v>312</v>
      </c>
      <c r="H533" s="39"/>
      <c r="I533" s="24" t="str">
        <f>+VLOOKUP(A533,[2]Hoja1!$A:$A,1,0)</f>
        <v>W11345206</v>
      </c>
    </row>
    <row r="534" spans="1:9" ht="15.75" customHeight="1" x14ac:dyDescent="0.2">
      <c r="A534" s="36" t="s">
        <v>1879</v>
      </c>
      <c r="B534" s="38" t="s">
        <v>1874</v>
      </c>
      <c r="C534" s="34" t="s">
        <v>256</v>
      </c>
      <c r="D534" s="35" t="s">
        <v>1880</v>
      </c>
      <c r="E534" s="45" t="s">
        <v>1866</v>
      </c>
      <c r="F534" s="22" t="str">
        <f>+VLOOKUP(A534,'[1]Proveedor-Comprador'!A:D,4,0)</f>
        <v>UNION INDUSTRY</v>
      </c>
      <c r="G534" s="36" t="s">
        <v>259</v>
      </c>
      <c r="H534" s="39"/>
      <c r="I534" s="24" t="str">
        <f>+VLOOKUP(A534,[2]Hoja1!$A:$A,1,0)</f>
        <v>W11728573</v>
      </c>
    </row>
    <row r="535" spans="1:9" ht="15.75" customHeight="1" x14ac:dyDescent="0.2">
      <c r="A535" s="36" t="s">
        <v>1881</v>
      </c>
      <c r="B535" s="38" t="s">
        <v>1882</v>
      </c>
      <c r="C535" s="34" t="s">
        <v>256</v>
      </c>
      <c r="D535" s="35" t="s">
        <v>1883</v>
      </c>
      <c r="E535" s="45" t="s">
        <v>1866</v>
      </c>
      <c r="F535" s="22" t="str">
        <f>+VLOOKUP(A535,'[1]Proveedor-Comprador'!A:D,4,0)</f>
        <v>UNION INDUSTRY</v>
      </c>
      <c r="G535" s="36" t="s">
        <v>259</v>
      </c>
      <c r="H535" s="39"/>
      <c r="I535" s="24" t="str">
        <f>+VLOOKUP(A535,[2]Hoja1!$A:$A,1,0)</f>
        <v>W11728575</v>
      </c>
    </row>
    <row r="536" spans="1:9" ht="15.75" customHeight="1" x14ac:dyDescent="0.2">
      <c r="A536" s="36" t="s">
        <v>1884</v>
      </c>
      <c r="B536" s="38" t="s">
        <v>1885</v>
      </c>
      <c r="C536" s="34" t="s">
        <v>256</v>
      </c>
      <c r="D536" s="35" t="s">
        <v>1886</v>
      </c>
      <c r="E536" s="45" t="s">
        <v>1887</v>
      </c>
      <c r="F536" s="22" t="str">
        <f>+VLOOKUP(A536,'[1]Proveedor-Comprador'!A:D,4,0)</f>
        <v>Fundalco</v>
      </c>
      <c r="G536" s="36" t="s">
        <v>267</v>
      </c>
      <c r="H536" s="39"/>
      <c r="I536" s="24" t="str">
        <f>+VLOOKUP(A536,[2]Hoja1!$A:$A,1,0)</f>
        <v>W11561657</v>
      </c>
    </row>
    <row r="537" spans="1:9" ht="15.75" customHeight="1" x14ac:dyDescent="0.2">
      <c r="A537" s="36" t="s">
        <v>1888</v>
      </c>
      <c r="B537" s="38" t="s">
        <v>1889</v>
      </c>
      <c r="C537" s="34" t="s">
        <v>256</v>
      </c>
      <c r="D537" s="35" t="s">
        <v>1890</v>
      </c>
      <c r="E537" s="45" t="s">
        <v>1891</v>
      </c>
      <c r="F537" s="22" t="str">
        <f>+VLOOKUP(A537,'[1]Proveedor-Comprador'!A:D,4,0)</f>
        <v>Riduco S.A.</v>
      </c>
      <c r="G537" s="36" t="s">
        <v>267</v>
      </c>
      <c r="H537" s="39"/>
      <c r="I537" s="24" t="str">
        <f>+VLOOKUP(A537,[2]Hoja1!$A:$A,1,0)</f>
        <v>W11491988</v>
      </c>
    </row>
    <row r="538" spans="1:9" ht="15.75" customHeight="1" x14ac:dyDescent="0.2">
      <c r="A538" s="36" t="s">
        <v>1892</v>
      </c>
      <c r="B538" s="38" t="s">
        <v>1893</v>
      </c>
      <c r="C538" s="34" t="s">
        <v>256</v>
      </c>
      <c r="D538" s="35" t="s">
        <v>1894</v>
      </c>
      <c r="E538" s="45" t="s">
        <v>1891</v>
      </c>
      <c r="F538" s="22" t="str">
        <f>+VLOOKUP(A538,'[1]Proveedor-Comprador'!A:D,4,0)</f>
        <v>Riduco S.A.</v>
      </c>
      <c r="G538" s="36" t="s">
        <v>267</v>
      </c>
      <c r="H538" s="39"/>
      <c r="I538" s="24" t="str">
        <f>+VLOOKUP(A538,[2]Hoja1!$A:$A,1,0)</f>
        <v>W11491987</v>
      </c>
    </row>
    <row r="539" spans="1:9" ht="15.75" customHeight="1" x14ac:dyDescent="0.2">
      <c r="A539" s="36" t="s">
        <v>1895</v>
      </c>
      <c r="B539" s="38" t="s">
        <v>1896</v>
      </c>
      <c r="C539" s="34" t="s">
        <v>256</v>
      </c>
      <c r="D539" s="35" t="s">
        <v>1897</v>
      </c>
      <c r="E539" s="45" t="s">
        <v>1891</v>
      </c>
      <c r="F539" s="22" t="str">
        <f>+VLOOKUP(A539,'[1]Proveedor-Comprador'!A:D,4,0)</f>
        <v>Riduco S.A.</v>
      </c>
      <c r="G539" s="36" t="s">
        <v>267</v>
      </c>
      <c r="H539" s="39"/>
      <c r="I539" s="24" t="str">
        <f>+VLOOKUP(A539,[2]Hoja1!$A:$A,1,0)</f>
        <v>W11491991</v>
      </c>
    </row>
    <row r="540" spans="1:9" ht="15.75" customHeight="1" x14ac:dyDescent="0.2">
      <c r="A540" s="36" t="s">
        <v>1898</v>
      </c>
      <c r="B540" s="38" t="s">
        <v>1899</v>
      </c>
      <c r="C540" s="34" t="s">
        <v>256</v>
      </c>
      <c r="D540" s="35" t="s">
        <v>1900</v>
      </c>
      <c r="E540" s="45" t="s">
        <v>1891</v>
      </c>
      <c r="F540" s="22" t="str">
        <f>+VLOOKUP(A540,'[1]Proveedor-Comprador'!A:D,4,0)</f>
        <v>Riduco S.A.</v>
      </c>
      <c r="G540" s="36" t="s">
        <v>267</v>
      </c>
      <c r="H540" s="39"/>
      <c r="I540" s="24" t="str">
        <f>+VLOOKUP(A540,[2]Hoja1!$A:$A,1,0)</f>
        <v>W11491990</v>
      </c>
    </row>
    <row r="541" spans="1:9" ht="15.75" customHeight="1" x14ac:dyDescent="0.2">
      <c r="A541" s="36" t="s">
        <v>1901</v>
      </c>
      <c r="B541" s="38" t="s">
        <v>1902</v>
      </c>
      <c r="C541" s="34" t="s">
        <v>256</v>
      </c>
      <c r="D541" s="35" t="s">
        <v>1903</v>
      </c>
      <c r="E541" s="45" t="s">
        <v>1904</v>
      </c>
      <c r="F541" s="22" t="str">
        <f>+VLOOKUP(A541,'[1]Proveedor-Comprador'!A:D,4,0)</f>
        <v>HBA HUTCHINSON BRASIL AUT</v>
      </c>
      <c r="G541" s="36" t="s">
        <v>284</v>
      </c>
      <c r="H541" s="39"/>
      <c r="I541" s="24" t="str">
        <f>+VLOOKUP(A541,[2]Hoja1!$A:$A,1,0)</f>
        <v>W10470951</v>
      </c>
    </row>
    <row r="542" spans="1:9" ht="15.75" customHeight="1" x14ac:dyDescent="0.2">
      <c r="A542" s="36" t="s">
        <v>1905</v>
      </c>
      <c r="B542" s="38" t="s">
        <v>1906</v>
      </c>
      <c r="C542" s="34" t="s">
        <v>256</v>
      </c>
      <c r="D542" s="35" t="s">
        <v>1907</v>
      </c>
      <c r="E542" s="45" t="s">
        <v>1908</v>
      </c>
      <c r="F542" s="22" t="str">
        <f>+VLOOKUP(A542,'[1]Proveedor-Comprador'!A:D,4,0)</f>
        <v>PLASTICOS TRUHER S.A.</v>
      </c>
      <c r="G542" s="36" t="s">
        <v>284</v>
      </c>
      <c r="H542" s="39"/>
      <c r="I542" s="24" t="str">
        <f>+VLOOKUP(A542,[2]Hoja1!$A:$A,1,0)</f>
        <v>W10763062</v>
      </c>
    </row>
    <row r="543" spans="1:9" ht="15.75" customHeight="1" x14ac:dyDescent="0.2">
      <c r="A543" s="36" t="s">
        <v>1909</v>
      </c>
      <c r="B543" s="38" t="s">
        <v>1910</v>
      </c>
      <c r="C543" s="34" t="s">
        <v>256</v>
      </c>
      <c r="D543" s="35" t="s">
        <v>1911</v>
      </c>
      <c r="E543" s="45" t="s">
        <v>1912</v>
      </c>
      <c r="F543" s="22" t="str">
        <f>+VLOOKUP(A543,'[1]Proveedor-Comprador'!A:D,4,0)</f>
        <v>PLASTICOS TRUHER S.A.</v>
      </c>
      <c r="G543" s="36" t="s">
        <v>312</v>
      </c>
      <c r="H543" s="39"/>
      <c r="I543" s="24" t="str">
        <f>+VLOOKUP(A543,[2]Hoja1!$A:$A,1,0)</f>
        <v>W11641188</v>
      </c>
    </row>
    <row r="544" spans="1:9" ht="15.75" customHeight="1" x14ac:dyDescent="0.2">
      <c r="A544" s="36" t="s">
        <v>1913</v>
      </c>
      <c r="B544" s="38" t="s">
        <v>1914</v>
      </c>
      <c r="C544" s="34" t="s">
        <v>256</v>
      </c>
      <c r="D544" s="35" t="s">
        <v>1915</v>
      </c>
      <c r="E544" s="45" t="s">
        <v>1912</v>
      </c>
      <c r="F544" s="22" t="str">
        <f>+VLOOKUP(A544,'[1]Proveedor-Comprador'!A:D,4,0)</f>
        <v>PLASTICOS TRUHER S.A.</v>
      </c>
      <c r="G544" s="36" t="s">
        <v>312</v>
      </c>
      <c r="H544" s="39"/>
      <c r="I544" s="24" t="str">
        <f>+VLOOKUP(A544,[2]Hoja1!$A:$A,1,0)</f>
        <v>W11548729</v>
      </c>
    </row>
    <row r="545" spans="1:9" ht="15.75" customHeight="1" x14ac:dyDescent="0.2">
      <c r="A545" s="36" t="s">
        <v>1916</v>
      </c>
      <c r="B545" s="38" t="s">
        <v>1917</v>
      </c>
      <c r="C545" s="34" t="s">
        <v>256</v>
      </c>
      <c r="D545" s="35" t="s">
        <v>1918</v>
      </c>
      <c r="E545" s="45" t="s">
        <v>1912</v>
      </c>
      <c r="F545" s="22" t="str">
        <f>+VLOOKUP(A545,'[1]Proveedor-Comprador'!A:D,4,0)</f>
        <v>Riduco S.A.</v>
      </c>
      <c r="G545" s="36" t="s">
        <v>312</v>
      </c>
      <c r="H545" s="39"/>
      <c r="I545" s="24" t="str">
        <f>+VLOOKUP(A545,[2]Hoja1!$A:$A,1,0)</f>
        <v>W11705447</v>
      </c>
    </row>
    <row r="546" spans="1:9" ht="15.75" customHeight="1" x14ac:dyDescent="0.2">
      <c r="A546" s="36" t="s">
        <v>1919</v>
      </c>
      <c r="B546" s="38" t="s">
        <v>1920</v>
      </c>
      <c r="C546" s="34" t="s">
        <v>256</v>
      </c>
      <c r="D546" s="35" t="s">
        <v>1921</v>
      </c>
      <c r="E546" s="45" t="s">
        <v>1912</v>
      </c>
      <c r="F546" s="22" t="str">
        <f>+VLOOKUP(A546,'[1]Proveedor-Comprador'!A:D,4,0)</f>
        <v>Riduco S.A.</v>
      </c>
      <c r="G546" s="36" t="s">
        <v>267</v>
      </c>
      <c r="H546" s="39"/>
      <c r="I546" s="24" t="str">
        <f>+VLOOKUP(A546,[2]Hoja1!$A:$A,1,0)</f>
        <v>W11487591</v>
      </c>
    </row>
    <row r="547" spans="1:9" ht="15.75" customHeight="1" x14ac:dyDescent="0.2">
      <c r="A547" s="36" t="s">
        <v>1922</v>
      </c>
      <c r="B547" s="38" t="s">
        <v>1920</v>
      </c>
      <c r="C547" s="34" t="s">
        <v>256</v>
      </c>
      <c r="D547" s="35" t="s">
        <v>1923</v>
      </c>
      <c r="E547" s="45" t="s">
        <v>1912</v>
      </c>
      <c r="F547" s="22" t="str">
        <f>+VLOOKUP(A547,'[1]Proveedor-Comprador'!A:D,4,0)</f>
        <v>Riduco S.A.</v>
      </c>
      <c r="G547" s="36" t="s">
        <v>267</v>
      </c>
      <c r="H547" s="39"/>
      <c r="I547" s="24" t="str">
        <f>+VLOOKUP(A547,[2]Hoja1!$A:$A,1,0)</f>
        <v>W11502600</v>
      </c>
    </row>
    <row r="548" spans="1:9" ht="15.75" customHeight="1" x14ac:dyDescent="0.2">
      <c r="A548" s="36" t="s">
        <v>1924</v>
      </c>
      <c r="B548" s="38" t="s">
        <v>1925</v>
      </c>
      <c r="C548" s="34" t="s">
        <v>256</v>
      </c>
      <c r="D548" s="35" t="s">
        <v>1926</v>
      </c>
      <c r="E548" s="45" t="s">
        <v>1912</v>
      </c>
      <c r="F548" s="22" t="str">
        <f>+VLOOKUP(A548,'[1]Proveedor-Comprador'!A:D,4,0)</f>
        <v>Riduco S.A.</v>
      </c>
      <c r="G548" s="36" t="s">
        <v>267</v>
      </c>
      <c r="H548" s="39"/>
      <c r="I548" s="24" t="str">
        <f>+VLOOKUP(A548,[2]Hoja1!$A:$A,1,0)</f>
        <v>W11642306</v>
      </c>
    </row>
    <row r="549" spans="1:9" ht="15.75" customHeight="1" x14ac:dyDescent="0.2">
      <c r="A549" s="36" t="s">
        <v>1927</v>
      </c>
      <c r="B549" s="38" t="s">
        <v>1928</v>
      </c>
      <c r="C549" s="34" t="s">
        <v>256</v>
      </c>
      <c r="D549" s="35" t="s">
        <v>1929</v>
      </c>
      <c r="E549" s="45" t="s">
        <v>1912</v>
      </c>
      <c r="F549" s="22" t="str">
        <f>+VLOOKUP(A549,'[1]Proveedor-Comprador'!A:D,4,0)</f>
        <v>PLASTICOS TRUHER S.A.</v>
      </c>
      <c r="G549" s="36" t="s">
        <v>312</v>
      </c>
      <c r="H549" s="39"/>
      <c r="I549" s="24" t="str">
        <f>+VLOOKUP(A549,[2]Hoja1!$A:$A,1,0)</f>
        <v>W11705449</v>
      </c>
    </row>
    <row r="550" spans="1:9" ht="15.75" customHeight="1" x14ac:dyDescent="0.2">
      <c r="A550" s="36" t="s">
        <v>1930</v>
      </c>
      <c r="B550" s="38" t="s">
        <v>1191</v>
      </c>
      <c r="C550" s="34" t="s">
        <v>256</v>
      </c>
      <c r="D550" s="35" t="s">
        <v>1931</v>
      </c>
      <c r="E550" s="45" t="s">
        <v>1912</v>
      </c>
      <c r="F550" s="22" t="str">
        <f>+VLOOKUP(A550,'[1]Proveedor-Comprador'!A:D,4,0)</f>
        <v>PLASTICOS TRUHER S.A.</v>
      </c>
      <c r="G550" s="36" t="s">
        <v>312</v>
      </c>
      <c r="H550" s="39"/>
      <c r="I550" s="24" t="str">
        <f>+VLOOKUP(A550,[2]Hoja1!$A:$A,1,0)</f>
        <v>W11705448</v>
      </c>
    </row>
    <row r="551" spans="1:9" ht="15.75" customHeight="1" x14ac:dyDescent="0.2">
      <c r="A551" s="36" t="s">
        <v>1932</v>
      </c>
      <c r="B551" s="38" t="s">
        <v>1920</v>
      </c>
      <c r="C551" s="34" t="s">
        <v>256</v>
      </c>
      <c r="D551" s="35" t="s">
        <v>1933</v>
      </c>
      <c r="E551" s="45" t="s">
        <v>1912</v>
      </c>
      <c r="F551" s="22" t="str">
        <f>+VLOOKUP(A551,'[1]Proveedor-Comprador'!A:D,4,0)</f>
        <v>Riduco S.A.</v>
      </c>
      <c r="G551" s="36" t="s">
        <v>267</v>
      </c>
      <c r="H551" s="39"/>
      <c r="I551" s="24" t="str">
        <f>+VLOOKUP(A551,[2]Hoja1!$A:$A,1,0)</f>
        <v>W11502608</v>
      </c>
    </row>
    <row r="552" spans="1:9" ht="15.75" customHeight="1" x14ac:dyDescent="0.2">
      <c r="A552" s="36" t="s">
        <v>1934</v>
      </c>
      <c r="B552" s="38" t="s">
        <v>1935</v>
      </c>
      <c r="C552" s="34" t="s">
        <v>256</v>
      </c>
      <c r="D552" s="35" t="s">
        <v>1936</v>
      </c>
      <c r="E552" s="45" t="s">
        <v>1937</v>
      </c>
      <c r="F552" s="22" t="str">
        <f>+VLOOKUP(A552,'[1]Proveedor-Comprador'!A:D,4,0)</f>
        <v>JABIL CIRCUIT (GUANGZHOU) LTD</v>
      </c>
      <c r="G552" s="36" t="s">
        <v>312</v>
      </c>
      <c r="H552" s="39"/>
      <c r="I552" s="24" t="str">
        <f>+VLOOKUP(A552,[2]Hoja1!$A:$A,1,0)</f>
        <v>W11130596</v>
      </c>
    </row>
    <row r="553" spans="1:9" ht="15.75" customHeight="1" x14ac:dyDescent="0.2">
      <c r="A553" s="36" t="s">
        <v>1938</v>
      </c>
      <c r="B553" s="38" t="s">
        <v>1939</v>
      </c>
      <c r="C553" s="34" t="s">
        <v>261</v>
      </c>
      <c r="D553" s="35" t="s">
        <v>1940</v>
      </c>
      <c r="E553" s="45" t="s">
        <v>1937</v>
      </c>
      <c r="F553" s="22" t="str">
        <f>+VLOOKUP(A553,'[1]Proveedor-Comprador'!A:D,4,0)</f>
        <v>ILLINOIS TOOL WORKS, INC</v>
      </c>
      <c r="G553" s="36" t="s">
        <v>312</v>
      </c>
      <c r="H553" s="39"/>
      <c r="I553" s="24" t="str">
        <f>+VLOOKUP(A553,[2]Hoja1!$A:$A,1,0)</f>
        <v>W10414411</v>
      </c>
    </row>
    <row r="554" spans="1:9" ht="15.75" customHeight="1" x14ac:dyDescent="0.2">
      <c r="A554" s="36" t="s">
        <v>1941</v>
      </c>
      <c r="B554" s="38" t="s">
        <v>1942</v>
      </c>
      <c r="C554" s="34" t="s">
        <v>256</v>
      </c>
      <c r="D554" s="35" t="s">
        <v>1942</v>
      </c>
      <c r="E554" s="45" t="s">
        <v>1942</v>
      </c>
      <c r="F554" s="22" t="str">
        <f>+VLOOKUP(A554,'[1]Proveedor-Comprador'!A:D,4,0)</f>
        <v>Whirlpool S/A</v>
      </c>
      <c r="G554" s="36" t="s">
        <v>312</v>
      </c>
      <c r="H554" s="39"/>
      <c r="I554" s="24" t="str">
        <f>+VLOOKUP(A554,[2]Hoja1!$A:$A,1,0)</f>
        <v>W10472321</v>
      </c>
    </row>
    <row r="555" spans="1:9" ht="15.75" customHeight="1" x14ac:dyDescent="0.2">
      <c r="A555" s="36" t="s">
        <v>1943</v>
      </c>
      <c r="B555" s="38" t="s">
        <v>1944</v>
      </c>
      <c r="C555" s="34" t="s">
        <v>256</v>
      </c>
      <c r="D555" s="35" t="s">
        <v>1945</v>
      </c>
      <c r="E555" s="45" t="s">
        <v>1946</v>
      </c>
      <c r="F555" s="22" t="str">
        <f>+VLOOKUP(A555,'[1]Proveedor-Comprador'!A:D,4,0)</f>
        <v>ELASTOPLAST</v>
      </c>
      <c r="G555" s="36" t="s">
        <v>267</v>
      </c>
      <c r="H555" s="39"/>
      <c r="I555" s="24" t="str">
        <f>+VLOOKUP(A555,[2]Hoja1!$A:$A,1,0)</f>
        <v>W11531804</v>
      </c>
    </row>
    <row r="556" spans="1:9" ht="15.75" customHeight="1" x14ac:dyDescent="0.2">
      <c r="A556" s="36" t="s">
        <v>1947</v>
      </c>
      <c r="B556" s="38" t="s">
        <v>1948</v>
      </c>
      <c r="C556" s="34" t="s">
        <v>1949</v>
      </c>
      <c r="D556" s="35" t="s">
        <v>1950</v>
      </c>
      <c r="E556" s="45" t="s">
        <v>1951</v>
      </c>
      <c r="F556" s="22" t="str">
        <f>+VLOOKUP(A556,'[1]Proveedor-Comprador'!A:D,4,0)</f>
        <v>TESA TAPE COLOMBIA LTDA</v>
      </c>
      <c r="G556" s="36" t="s">
        <v>284</v>
      </c>
      <c r="H556" s="39"/>
      <c r="I556" s="24" t="str">
        <f>+VLOOKUP(A556,[2]Hoja1!$A:$A,1,0)</f>
        <v>W11287572</v>
      </c>
    </row>
    <row r="557" spans="1:9" ht="15.75" customHeight="1" x14ac:dyDescent="0.2">
      <c r="A557" s="36" t="s">
        <v>1952</v>
      </c>
      <c r="B557" s="38" t="s">
        <v>1953</v>
      </c>
      <c r="C557" s="34" t="s">
        <v>1949</v>
      </c>
      <c r="D557" s="35" t="s">
        <v>1954</v>
      </c>
      <c r="E557" s="45" t="s">
        <v>1951</v>
      </c>
      <c r="F557" s="22" t="str">
        <f>+VLOOKUP(A557,'[1]Proveedor-Comprador'!A:D,4,0)</f>
        <v>TESA TAPE COLOMBIA LTDA</v>
      </c>
      <c r="G557" s="36" t="s">
        <v>284</v>
      </c>
      <c r="H557" s="39"/>
      <c r="I557" s="24" t="str">
        <f>+VLOOKUP(A557,[2]Hoja1!$A:$A,1,0)</f>
        <v>W11287573</v>
      </c>
    </row>
    <row r="558" spans="1:9" ht="15.75" customHeight="1" x14ac:dyDescent="0.2">
      <c r="A558" s="36" t="s">
        <v>1955</v>
      </c>
      <c r="B558" s="38" t="s">
        <v>1956</v>
      </c>
      <c r="C558" s="34" t="s">
        <v>1949</v>
      </c>
      <c r="D558" s="35" t="s">
        <v>1957</v>
      </c>
      <c r="E558" s="45" t="s">
        <v>1958</v>
      </c>
      <c r="F558" s="22" t="str">
        <f>+VLOOKUP(A558,'[1]Proveedor-Comprador'!A:D,4,0)</f>
        <v>LÍNEA ADHESIVA S.A.</v>
      </c>
      <c r="G558" s="36" t="s">
        <v>284</v>
      </c>
      <c r="H558" s="39"/>
      <c r="I558" s="24" t="str">
        <f>+VLOOKUP(A558,[2]Hoja1!$A:$A,1,0)</f>
        <v>W11250152</v>
      </c>
    </row>
    <row r="559" spans="1:9" ht="15.75" customHeight="1" x14ac:dyDescent="0.2">
      <c r="A559" s="36" t="s">
        <v>1959</v>
      </c>
      <c r="B559" s="38" t="s">
        <v>1960</v>
      </c>
      <c r="C559" s="34" t="s">
        <v>1949</v>
      </c>
      <c r="D559" s="35" t="s">
        <v>1961</v>
      </c>
      <c r="E559" s="45" t="s">
        <v>1962</v>
      </c>
      <c r="F559" s="22" t="str">
        <f>+VLOOKUP(A559,'[1]Proveedor-Comprador'!A:D,4,0)</f>
        <v>TESA TAPE COLOMBIA LTDA</v>
      </c>
      <c r="G559" s="36" t="s">
        <v>267</v>
      </c>
      <c r="H559" s="39"/>
      <c r="I559" s="24" t="str">
        <f>+VLOOKUP(A559,[2]Hoja1!$A:$A,1,0)</f>
        <v>004314824</v>
      </c>
    </row>
    <row r="560" spans="1:9" ht="15.75" customHeight="1" x14ac:dyDescent="0.2">
      <c r="A560" s="36" t="s">
        <v>1963</v>
      </c>
      <c r="B560" s="38" t="s">
        <v>1964</v>
      </c>
      <c r="C560" s="34" t="s">
        <v>1949</v>
      </c>
      <c r="D560" s="35" t="s">
        <v>1965</v>
      </c>
      <c r="E560" s="45" t="s">
        <v>1966</v>
      </c>
      <c r="F560" s="22" t="str">
        <f>+VLOOKUP(A560,'[1]Proveedor-Comprador'!A:D,4,0)</f>
        <v>TESA TAPE COLOMBIA LTDA</v>
      </c>
      <c r="G560" s="36" t="s">
        <v>284</v>
      </c>
      <c r="H560" s="39"/>
      <c r="I560" s="24" t="str">
        <f>+VLOOKUP(A560,[2]Hoja1!$A:$A,1,0)</f>
        <v>W11296042</v>
      </c>
    </row>
    <row r="561" spans="1:9" ht="15.75" customHeight="1" x14ac:dyDescent="0.2">
      <c r="A561" s="36" t="s">
        <v>1967</v>
      </c>
      <c r="B561" s="38" t="s">
        <v>1968</v>
      </c>
      <c r="C561" s="34" t="s">
        <v>1949</v>
      </c>
      <c r="D561" s="35" t="s">
        <v>1969</v>
      </c>
      <c r="E561" s="45" t="s">
        <v>1970</v>
      </c>
      <c r="F561" s="22" t="str">
        <f>+VLOOKUP(A561,'[1]Proveedor-Comprador'!A:D,4,0)</f>
        <v>TESA TAPE COLOMBIA LTDA</v>
      </c>
      <c r="G561" s="36" t="s">
        <v>259</v>
      </c>
      <c r="H561" s="39"/>
      <c r="I561" s="24" t="str">
        <f>+VLOOKUP(A561,[2]Hoja1!$A:$A,1,0)</f>
        <v>W11745625</v>
      </c>
    </row>
    <row r="562" spans="1:9" ht="15.75" customHeight="1" x14ac:dyDescent="0.2">
      <c r="A562" s="36" t="s">
        <v>1971</v>
      </c>
      <c r="B562" s="38" t="s">
        <v>1972</v>
      </c>
      <c r="C562" s="34" t="s">
        <v>256</v>
      </c>
      <c r="D562" s="35" t="s">
        <v>1973</v>
      </c>
      <c r="E562" s="45" t="s">
        <v>1974</v>
      </c>
      <c r="F562" s="22" t="str">
        <f>+VLOOKUP(A562,'[1]Proveedor-Comprador'!A:D,4,0)</f>
        <v>FUNDACION CIUDAD DON BOSCO</v>
      </c>
      <c r="G562" s="36" t="s">
        <v>312</v>
      </c>
      <c r="H562" s="39"/>
      <c r="I562" s="24" t="str">
        <f>+VLOOKUP(A562,[2]Hoja1!$A:$A,1,0)</f>
        <v>W11703394</v>
      </c>
    </row>
    <row r="563" spans="1:9" ht="15.75" customHeight="1" x14ac:dyDescent="0.2">
      <c r="A563" s="36" t="s">
        <v>1975</v>
      </c>
      <c r="B563" s="38" t="s">
        <v>1976</v>
      </c>
      <c r="C563" s="34" t="s">
        <v>256</v>
      </c>
      <c r="D563" s="35" t="s">
        <v>1977</v>
      </c>
      <c r="E563" s="45" t="s">
        <v>1978</v>
      </c>
      <c r="F563" s="22" t="str">
        <f>+VLOOKUP(A563,'[1]Proveedor-Comprador'!A:D,4,0)</f>
        <v>Sanderson MacLeod Inc.</v>
      </c>
      <c r="G563" s="36" t="s">
        <v>267</v>
      </c>
      <c r="H563" s="39" t="s">
        <v>279</v>
      </c>
      <c r="I563" s="24" t="str">
        <f>+VLOOKUP(A563,[2]Hoja1!$A:$A,1,0)</f>
        <v>W11524506</v>
      </c>
    </row>
    <row r="564" spans="1:9" ht="15.75" customHeight="1" x14ac:dyDescent="0.2">
      <c r="A564" s="36" t="s">
        <v>1979</v>
      </c>
      <c r="B564" s="38" t="s">
        <v>1980</v>
      </c>
      <c r="C564" s="34" t="s">
        <v>256</v>
      </c>
      <c r="D564" s="35" t="s">
        <v>1981</v>
      </c>
      <c r="E564" s="45" t="s">
        <v>1980</v>
      </c>
      <c r="F564" s="22" t="str">
        <f>+VLOOKUP(A564,'[1]Proveedor-Comprador'!A:D,4,0)</f>
        <v>SHENG YE ELECTRIC</v>
      </c>
      <c r="G564" s="36" t="s">
        <v>284</v>
      </c>
      <c r="H564" s="39"/>
      <c r="I564" s="24" t="str">
        <f>+VLOOKUP(A564,[2]Hoja1!$A:$A,1,0)</f>
        <v>W11448282</v>
      </c>
    </row>
    <row r="565" spans="1:9" ht="15.75" customHeight="1" x14ac:dyDescent="0.2">
      <c r="A565" s="36" t="s">
        <v>1982</v>
      </c>
      <c r="B565" s="38" t="s">
        <v>1980</v>
      </c>
      <c r="C565" s="34" t="s">
        <v>256</v>
      </c>
      <c r="D565" s="35" t="s">
        <v>1983</v>
      </c>
      <c r="E565" s="45" t="s">
        <v>1980</v>
      </c>
      <c r="F565" s="22" t="str">
        <f>+VLOOKUP(A565,'[1]Proveedor-Comprador'!A:D,4,0)</f>
        <v>SHENG YE ELECTRIC</v>
      </c>
      <c r="G565" s="36" t="s">
        <v>284</v>
      </c>
      <c r="H565" s="39"/>
      <c r="I565" s="24" t="str">
        <f>+VLOOKUP(A565,[2]Hoja1!$A:$A,1,0)</f>
        <v>W11448283</v>
      </c>
    </row>
    <row r="566" spans="1:9" ht="15.75" customHeight="1" x14ac:dyDescent="0.2">
      <c r="A566" s="36" t="s">
        <v>1984</v>
      </c>
      <c r="B566" s="38" t="s">
        <v>1985</v>
      </c>
      <c r="C566" s="34" t="s">
        <v>256</v>
      </c>
      <c r="D566" s="35" t="s">
        <v>1986</v>
      </c>
      <c r="E566" s="45" t="s">
        <v>1986</v>
      </c>
      <c r="F566" s="22" t="str">
        <f>+VLOOKUP(A566,'[1]Proveedor-Comprador'!A:D,4,0)</f>
        <v>Iprocom S.A.</v>
      </c>
      <c r="G566" s="36" t="s">
        <v>312</v>
      </c>
      <c r="H566" s="39"/>
      <c r="I566" s="24" t="str">
        <f>+VLOOKUP(A566,[2]Hoja1!$A:$A,1,0)</f>
        <v>W10699981</v>
      </c>
    </row>
    <row r="567" spans="1:9" ht="15.75" customHeight="1" x14ac:dyDescent="0.2">
      <c r="A567" s="36" t="s">
        <v>1987</v>
      </c>
      <c r="B567" s="38" t="s">
        <v>1988</v>
      </c>
      <c r="C567" s="34" t="s">
        <v>256</v>
      </c>
      <c r="D567" s="35" t="s">
        <v>1989</v>
      </c>
      <c r="E567" s="45" t="s">
        <v>1990</v>
      </c>
      <c r="F567" s="22" t="str">
        <f>+VLOOKUP(A567,'[1]Proveedor-Comprador'!A:D,4,0)</f>
        <v>ECI (HUIZHOU) COMPANY LIMITED</v>
      </c>
      <c r="G567" s="36" t="s">
        <v>267</v>
      </c>
      <c r="H567" s="39"/>
      <c r="I567" s="24" t="str">
        <f>+VLOOKUP(A567,[2]Hoja1!$A:$A,1,0)</f>
        <v>W11493046</v>
      </c>
    </row>
    <row r="568" spans="1:9" ht="15.75" customHeight="1" x14ac:dyDescent="0.2">
      <c r="A568" s="36" t="s">
        <v>1991</v>
      </c>
      <c r="B568" s="38" t="s">
        <v>1992</v>
      </c>
      <c r="C568" s="34" t="s">
        <v>256</v>
      </c>
      <c r="D568" s="35" t="s">
        <v>1993</v>
      </c>
      <c r="E568" s="45" t="s">
        <v>1990</v>
      </c>
      <c r="F568" s="22" t="str">
        <f>+VLOOKUP(A568,'[1]Proveedor-Comprador'!A:D,4,0)</f>
        <v>ECI (HUIZHOU) COMPANY LIMITED</v>
      </c>
      <c r="G568" s="36" t="s">
        <v>267</v>
      </c>
      <c r="H568" s="39"/>
      <c r="I568" s="24" t="str">
        <f>+VLOOKUP(A568,[2]Hoja1!$A:$A,1,0)</f>
        <v>W11489407</v>
      </c>
    </row>
    <row r="569" spans="1:9" ht="15.75" customHeight="1" x14ac:dyDescent="0.2">
      <c r="A569" s="36" t="s">
        <v>1994</v>
      </c>
      <c r="B569" s="38" t="s">
        <v>1992</v>
      </c>
      <c r="C569" s="34" t="s">
        <v>256</v>
      </c>
      <c r="D569" s="35" t="s">
        <v>1995</v>
      </c>
      <c r="E569" s="45" t="s">
        <v>1990</v>
      </c>
      <c r="F569" s="22" t="str">
        <f>+VLOOKUP(A569,'[1]Proveedor-Comprador'!A:D,4,0)</f>
        <v>ECI (HUIZHOU) COMPANY LIMITED</v>
      </c>
      <c r="G569" s="36" t="s">
        <v>267</v>
      </c>
      <c r="H569" s="39"/>
      <c r="I569" s="24" t="str">
        <f>+VLOOKUP(A569,[2]Hoja1!$A:$A,1,0)</f>
        <v>W11489408</v>
      </c>
    </row>
    <row r="570" spans="1:9" ht="15.75" customHeight="1" x14ac:dyDescent="0.2">
      <c r="A570" s="36" t="s">
        <v>1996</v>
      </c>
      <c r="B570" s="38" t="s">
        <v>387</v>
      </c>
      <c r="C570" s="34" t="s">
        <v>256</v>
      </c>
      <c r="D570" s="35" t="s">
        <v>1997</v>
      </c>
      <c r="E570" s="45" t="s">
        <v>1990</v>
      </c>
      <c r="F570" s="22" t="str">
        <f>+VLOOKUP(A570,'[1]Proveedor-Comprador'!A:D,4,0)</f>
        <v>ECI (HUIZHOU) COMPANY LIMITED</v>
      </c>
      <c r="G570" s="36" t="s">
        <v>267</v>
      </c>
      <c r="H570" s="39"/>
      <c r="I570" s="24" t="str">
        <f>+VLOOKUP(A570,[2]Hoja1!$A:$A,1,0)</f>
        <v>W11489406</v>
      </c>
    </row>
    <row r="571" spans="1:9" ht="15.75" customHeight="1" x14ac:dyDescent="0.2">
      <c r="A571" s="36" t="s">
        <v>1998</v>
      </c>
      <c r="B571" s="38" t="s">
        <v>1999</v>
      </c>
      <c r="C571" s="34" t="s">
        <v>256</v>
      </c>
      <c r="D571" s="35" t="s">
        <v>2000</v>
      </c>
      <c r="E571" s="45" t="s">
        <v>1990</v>
      </c>
      <c r="F571" s="22" t="str">
        <f>+VLOOKUP(A571,'[1]Proveedor-Comprador'!A:D,4,0)</f>
        <v>ECI (HUIZHOU) COMPANY LIMITED</v>
      </c>
      <c r="G571" s="36" t="s">
        <v>267</v>
      </c>
      <c r="H571" s="39"/>
      <c r="I571" s="24" t="str">
        <f>+VLOOKUP(A571,[2]Hoja1!$A:$A,1,0)</f>
        <v>W11489405</v>
      </c>
    </row>
    <row r="572" spans="1:9" ht="15.75" customHeight="1" x14ac:dyDescent="0.2">
      <c r="A572" s="36" t="s">
        <v>2001</v>
      </c>
      <c r="B572" s="38" t="s">
        <v>2002</v>
      </c>
      <c r="C572" s="34" t="s">
        <v>256</v>
      </c>
      <c r="D572" s="35" t="s">
        <v>2003</v>
      </c>
      <c r="E572" s="45" t="s">
        <v>2004</v>
      </c>
      <c r="F572" s="22" t="str">
        <f>+VLOOKUP(A572,'[1]Proveedor-Comprador'!A:D,4,0)</f>
        <v>ECI (HUIZHOU) COMPANY LIMITED</v>
      </c>
      <c r="G572" s="36" t="s">
        <v>267</v>
      </c>
      <c r="H572" s="39"/>
      <c r="I572" s="24" t="str">
        <f>+VLOOKUP(A572,[2]Hoja1!$A:$A,1,0)</f>
        <v>W11498561</v>
      </c>
    </row>
    <row r="573" spans="1:9" ht="15.75" customHeight="1" x14ac:dyDescent="0.2">
      <c r="A573" s="36" t="s">
        <v>2005</v>
      </c>
      <c r="B573" s="38" t="s">
        <v>2006</v>
      </c>
      <c r="C573" s="34" t="s">
        <v>256</v>
      </c>
      <c r="D573" s="35" t="s">
        <v>2007</v>
      </c>
      <c r="E573" s="45" t="s">
        <v>2004</v>
      </c>
      <c r="F573" s="22" t="str">
        <f>+VLOOKUP(A573,'[1]Proveedor-Comprador'!A:D,4,0)</f>
        <v>ECI (HUIZHOU) COMPANY LIMITED</v>
      </c>
      <c r="G573" s="36" t="s">
        <v>267</v>
      </c>
      <c r="H573" s="39"/>
      <c r="I573" s="24" t="str">
        <f>+VLOOKUP(A573,[2]Hoja1!$A:$A,1,0)</f>
        <v>W11498562</v>
      </c>
    </row>
    <row r="574" spans="1:9" ht="15.75" customHeight="1" x14ac:dyDescent="0.2">
      <c r="A574" s="36" t="s">
        <v>2008</v>
      </c>
      <c r="B574" s="38" t="s">
        <v>2002</v>
      </c>
      <c r="C574" s="34" t="s">
        <v>256</v>
      </c>
      <c r="D574" s="35" t="s">
        <v>2009</v>
      </c>
      <c r="E574" s="45" t="s">
        <v>2004</v>
      </c>
      <c r="F574" s="22" t="str">
        <f>+VLOOKUP(A574,'[1]Proveedor-Comprador'!A:D,4,0)</f>
        <v>ECI (HUIZHOU) COMPANY LIMITED</v>
      </c>
      <c r="G574" s="36" t="s">
        <v>267</v>
      </c>
      <c r="H574" s="39"/>
      <c r="I574" s="24" t="str">
        <f>+VLOOKUP(A574,[2]Hoja1!$A:$A,1,0)</f>
        <v>W11663210</v>
      </c>
    </row>
    <row r="575" spans="1:9" ht="15.75" customHeight="1" x14ac:dyDescent="0.2">
      <c r="A575" s="36" t="s">
        <v>2010</v>
      </c>
      <c r="B575" s="38" t="s">
        <v>2011</v>
      </c>
      <c r="C575" s="34" t="s">
        <v>256</v>
      </c>
      <c r="D575" s="35" t="s">
        <v>2012</v>
      </c>
      <c r="E575" s="45" t="s">
        <v>2004</v>
      </c>
      <c r="F575" s="22" t="str">
        <f>+VLOOKUP(A575,'[1]Proveedor-Comprador'!A:D,4,0)</f>
        <v>BRASCABOS COMPONENTES ELE</v>
      </c>
      <c r="G575" s="36" t="s">
        <v>267</v>
      </c>
      <c r="H575" s="39"/>
      <c r="I575" s="24" t="str">
        <f>+VLOOKUP(A575,[2]Hoja1!$A:$A,1,0)</f>
        <v>W11542236</v>
      </c>
    </row>
    <row r="576" spans="1:9" ht="15.75" customHeight="1" x14ac:dyDescent="0.2">
      <c r="A576" s="36" t="s">
        <v>2013</v>
      </c>
      <c r="B576" s="38" t="s">
        <v>2014</v>
      </c>
      <c r="C576" s="34" t="s">
        <v>256</v>
      </c>
      <c r="D576" s="35" t="s">
        <v>2015</v>
      </c>
      <c r="E576" s="45" t="s">
        <v>2016</v>
      </c>
      <c r="F576" s="22" t="str">
        <f>+VLOOKUP(A576,'[1]Proveedor-Comprador'!A:D,4,0)</f>
        <v>Iprocom S.A.</v>
      </c>
      <c r="G576" s="36" t="s">
        <v>312</v>
      </c>
      <c r="H576" s="39"/>
      <c r="I576" s="24" t="str">
        <f>+VLOOKUP(A576,[2]Hoja1!$A:$A,1,0)</f>
        <v>W11345202</v>
      </c>
    </row>
    <row r="577" spans="1:9" ht="15.75" customHeight="1" x14ac:dyDescent="0.2">
      <c r="A577" s="36" t="s">
        <v>2017</v>
      </c>
      <c r="B577" s="38" t="s">
        <v>2018</v>
      </c>
      <c r="C577" s="34" t="s">
        <v>256</v>
      </c>
      <c r="D577" s="35" t="s">
        <v>2019</v>
      </c>
      <c r="E577" s="45" t="s">
        <v>2016</v>
      </c>
      <c r="F577" s="22" t="str">
        <f>+VLOOKUP(A577,'[1]Proveedor-Comprador'!A:D,4,0)</f>
        <v>Iprocom S.A.</v>
      </c>
      <c r="G577" s="36" t="s">
        <v>312</v>
      </c>
      <c r="H577" s="39"/>
      <c r="I577" s="24" t="str">
        <f>+VLOOKUP(A577,[2]Hoja1!$A:$A,1,0)</f>
        <v>W11345203</v>
      </c>
    </row>
    <row r="578" spans="1:9" ht="15.75" customHeight="1" x14ac:dyDescent="0.2">
      <c r="A578" s="36" t="s">
        <v>2020</v>
      </c>
      <c r="B578" s="38" t="s">
        <v>2021</v>
      </c>
      <c r="C578" s="34" t="s">
        <v>256</v>
      </c>
      <c r="D578" s="35" t="s">
        <v>2021</v>
      </c>
      <c r="E578" s="45" t="s">
        <v>2022</v>
      </c>
      <c r="F578" s="22" t="str">
        <f>+VLOOKUP(A578,'[1]Proveedor-Comprador'!A:D,4,0)</f>
        <v>Riduco S.A.</v>
      </c>
      <c r="G578" s="36" t="s">
        <v>251</v>
      </c>
      <c r="H578" s="39" t="s">
        <v>279</v>
      </c>
      <c r="I578" s="24" t="str">
        <f>+VLOOKUP(A578,[2]Hoja1!$A:$A,1,0)</f>
        <v>W10644238</v>
      </c>
    </row>
    <row r="579" spans="1:9" ht="15.75" customHeight="1" x14ac:dyDescent="0.2">
      <c r="A579" s="36" t="s">
        <v>2023</v>
      </c>
      <c r="B579" s="38" t="s">
        <v>2024</v>
      </c>
      <c r="C579" s="34" t="s">
        <v>256</v>
      </c>
      <c r="D579" s="35" t="s">
        <v>2025</v>
      </c>
      <c r="E579" s="45" t="s">
        <v>2022</v>
      </c>
      <c r="F579" s="22" t="str">
        <f>+VLOOKUP(A579,'[1]Proveedor-Comprador'!A:D,4,0)</f>
        <v>Riduco S.A.</v>
      </c>
      <c r="G579" s="36" t="s">
        <v>251</v>
      </c>
      <c r="H579" s="39" t="s">
        <v>279</v>
      </c>
      <c r="I579" s="24" t="str">
        <f>+VLOOKUP(A579,[2]Hoja1!$A:$A,1,0)</f>
        <v>W10674850</v>
      </c>
    </row>
    <row r="580" spans="1:9" ht="15.75" customHeight="1" x14ac:dyDescent="0.2">
      <c r="A580" s="36" t="s">
        <v>2026</v>
      </c>
      <c r="B580" s="38" t="s">
        <v>2027</v>
      </c>
      <c r="C580" s="34" t="s">
        <v>256</v>
      </c>
      <c r="D580" s="35" t="s">
        <v>2028</v>
      </c>
      <c r="E580" s="45" t="s">
        <v>2029</v>
      </c>
      <c r="F580" s="22" t="str">
        <f>+VLOOKUP(A580,'[1]Proveedor-Comprador'!A:D,4,0)</f>
        <v>Iprocom S.A.</v>
      </c>
      <c r="G580" s="36" t="s">
        <v>312</v>
      </c>
      <c r="H580" s="39"/>
      <c r="I580" s="24" t="str">
        <f>+VLOOKUP(A580,[2]Hoja1!$A:$A,1,0)</f>
        <v>W11401479</v>
      </c>
    </row>
    <row r="581" spans="1:9" ht="15.75" customHeight="1" x14ac:dyDescent="0.2">
      <c r="A581" s="36" t="s">
        <v>2030</v>
      </c>
      <c r="B581" s="38" t="s">
        <v>2031</v>
      </c>
      <c r="C581" s="34" t="s">
        <v>256</v>
      </c>
      <c r="D581" s="35" t="s">
        <v>2032</v>
      </c>
      <c r="E581" s="45" t="s">
        <v>2033</v>
      </c>
      <c r="F581" s="22" t="str">
        <f>+VLOOKUP(A581,'[1]Proveedor-Comprador'!A:D,4,0)</f>
        <v>Riduco S.A.</v>
      </c>
      <c r="G581" s="36" t="s">
        <v>267</v>
      </c>
      <c r="H581" s="39"/>
      <c r="I581" s="24" t="str">
        <f>+VLOOKUP(A581,[2]Hoja1!$A:$A,1,0)</f>
        <v>W11502219</v>
      </c>
    </row>
    <row r="582" spans="1:9" ht="15.75" customHeight="1" x14ac:dyDescent="0.2">
      <c r="A582" s="36" t="s">
        <v>2034</v>
      </c>
      <c r="B582" s="38" t="s">
        <v>2031</v>
      </c>
      <c r="C582" s="34" t="s">
        <v>256</v>
      </c>
      <c r="D582" s="35" t="s">
        <v>2035</v>
      </c>
      <c r="E582" s="45" t="s">
        <v>2033</v>
      </c>
      <c r="F582" s="22" t="str">
        <f>+VLOOKUP(A582,'[1]Proveedor-Comprador'!A:D,4,0)</f>
        <v>Riduco S.A.</v>
      </c>
      <c r="G582" s="36" t="s">
        <v>267</v>
      </c>
      <c r="H582" s="39"/>
      <c r="I582" s="24" t="str">
        <f>+VLOOKUP(A582,[2]Hoja1!$A:$A,1,0)</f>
        <v>W11502215</v>
      </c>
    </row>
    <row r="583" spans="1:9" ht="15.75" customHeight="1" x14ac:dyDescent="0.2">
      <c r="A583" s="36" t="s">
        <v>2036</v>
      </c>
      <c r="B583" s="38" t="s">
        <v>2037</v>
      </c>
      <c r="C583" s="34" t="s">
        <v>256</v>
      </c>
      <c r="D583" s="35" t="s">
        <v>2038</v>
      </c>
      <c r="E583" s="45" t="s">
        <v>2033</v>
      </c>
      <c r="F583" s="22" t="str">
        <f>+VLOOKUP(A583,'[1]Proveedor-Comprador'!A:D,4,0)</f>
        <v>Riduco S.A.</v>
      </c>
      <c r="G583" s="36" t="s">
        <v>267</v>
      </c>
      <c r="H583" s="39"/>
      <c r="I583" s="24" t="str">
        <f>+VLOOKUP(A583,[2]Hoja1!$A:$A,1,0)</f>
        <v>W11524675</v>
      </c>
    </row>
    <row r="584" spans="1:9" ht="15.75" customHeight="1" x14ac:dyDescent="0.2">
      <c r="A584" s="36" t="s">
        <v>2039</v>
      </c>
      <c r="B584" s="38" t="s">
        <v>2040</v>
      </c>
      <c r="C584" s="34" t="s">
        <v>256</v>
      </c>
      <c r="D584" s="35" t="s">
        <v>2041</v>
      </c>
      <c r="E584" s="45" t="s">
        <v>2042</v>
      </c>
      <c r="F584" s="22" t="str">
        <f>+VLOOKUP(A584,'[1]Proveedor-Comprador'!A:D,4,0)</f>
        <v>PLASTICOS TRUHER S.A.</v>
      </c>
      <c r="G584" s="36" t="s">
        <v>267</v>
      </c>
      <c r="H584" s="39"/>
      <c r="I584" s="24" t="str">
        <f>+VLOOKUP(A584,[2]Hoja1!$A:$A,1,0)</f>
        <v>W11733727</v>
      </c>
    </row>
    <row r="585" spans="1:9" ht="15.75" customHeight="1" x14ac:dyDescent="0.2">
      <c r="A585" s="36" t="s">
        <v>2043</v>
      </c>
      <c r="B585" s="38" t="s">
        <v>2044</v>
      </c>
      <c r="C585" s="34" t="s">
        <v>256</v>
      </c>
      <c r="D585" s="35" t="s">
        <v>2045</v>
      </c>
      <c r="E585" s="45" t="s">
        <v>2042</v>
      </c>
      <c r="F585" s="22" t="str">
        <f>+VLOOKUP(A585,'[1]Proveedor-Comprador'!A:D,4,0)</f>
        <v>PLASTICOS TRUHER S.A.</v>
      </c>
      <c r="G585" s="36" t="s">
        <v>267</v>
      </c>
      <c r="H585" s="39"/>
      <c r="I585" s="24" t="str">
        <f>+VLOOKUP(A585,[2]Hoja1!$A:$A,1,0)</f>
        <v>W11730254</v>
      </c>
    </row>
    <row r="586" spans="1:9" ht="15.75" customHeight="1" x14ac:dyDescent="0.2">
      <c r="A586" s="36" t="s">
        <v>2046</v>
      </c>
      <c r="B586" s="38" t="s">
        <v>2047</v>
      </c>
      <c r="C586" s="34" t="s">
        <v>256</v>
      </c>
      <c r="D586" s="35" t="s">
        <v>2048</v>
      </c>
      <c r="E586" s="45" t="s">
        <v>2049</v>
      </c>
      <c r="F586" s="22" t="str">
        <f>+VLOOKUP(A586,'[1]Proveedor-Comprador'!A:D,4,0)</f>
        <v>Associated Spring Do Bras</v>
      </c>
      <c r="G586" s="36" t="s">
        <v>284</v>
      </c>
      <c r="H586" s="39"/>
      <c r="I586" s="24" t="str">
        <f>+VLOOKUP(A586,[2]Hoja1!$A:$A,1,0)</f>
        <v>326000208</v>
      </c>
    </row>
    <row r="587" spans="1:9" ht="15.75" customHeight="1" x14ac:dyDescent="0.2">
      <c r="A587" s="36" t="s">
        <v>2050</v>
      </c>
      <c r="B587" s="38" t="s">
        <v>2051</v>
      </c>
      <c r="C587" s="34" t="s">
        <v>256</v>
      </c>
      <c r="D587" s="35" t="s">
        <v>2052</v>
      </c>
      <c r="E587" s="45" t="s">
        <v>332</v>
      </c>
      <c r="F587" s="22" t="str">
        <f>+VLOOKUP(A587,'[1]Proveedor-Comprador'!A:D,4,0)</f>
        <v>I.P.C. INDUSTRIA PARTISTA</v>
      </c>
      <c r="G587" s="36" t="s">
        <v>312</v>
      </c>
      <c r="H587" s="39"/>
      <c r="I587" s="24" t="str">
        <f>+VLOOKUP(A587,[2]Hoja1!$A:$A,1,0)</f>
        <v>W11369694</v>
      </c>
    </row>
    <row r="588" spans="1:9" ht="15.75" customHeight="1" x14ac:dyDescent="0.2">
      <c r="A588" s="36" t="s">
        <v>2053</v>
      </c>
      <c r="B588" s="38" t="s">
        <v>2054</v>
      </c>
      <c r="C588" s="34" t="s">
        <v>256</v>
      </c>
      <c r="D588" s="35" t="s">
        <v>2055</v>
      </c>
      <c r="E588" s="45" t="s">
        <v>332</v>
      </c>
      <c r="F588" s="22" t="str">
        <f>+VLOOKUP(A588,'[1]Proveedor-Comprador'!A:D,4,0)</f>
        <v>I.P.C. INDUSTRIA PARTISTA</v>
      </c>
      <c r="G588" s="36" t="s">
        <v>312</v>
      </c>
      <c r="H588" s="39"/>
      <c r="I588" s="24" t="str">
        <f>+VLOOKUP(A588,[2]Hoja1!$A:$A,1,0)</f>
        <v>W11369695</v>
      </c>
    </row>
    <row r="589" spans="1:9" ht="15.75" customHeight="1" x14ac:dyDescent="0.2">
      <c r="A589" s="36" t="s">
        <v>2056</v>
      </c>
      <c r="B589" s="38" t="s">
        <v>387</v>
      </c>
      <c r="C589" s="34" t="s">
        <v>256</v>
      </c>
      <c r="D589" s="35" t="s">
        <v>2057</v>
      </c>
      <c r="E589" s="45" t="s">
        <v>332</v>
      </c>
      <c r="F589" s="22" t="str">
        <f>+VLOOKUP(A589,'[1]Proveedor-Comprador'!A:D,4,0)</f>
        <v>BRASCABOS COMPONENTES ELE</v>
      </c>
      <c r="G589" s="36" t="s">
        <v>312</v>
      </c>
      <c r="H589" s="39"/>
      <c r="I589" s="24" t="str">
        <f>+VLOOKUP(A589,[2]Hoja1!$A:$A,1,0)</f>
        <v>W11563288</v>
      </c>
    </row>
    <row r="590" spans="1:9" ht="15.75" customHeight="1" x14ac:dyDescent="0.2">
      <c r="A590" s="36" t="s">
        <v>2058</v>
      </c>
      <c r="B590" s="38" t="s">
        <v>2059</v>
      </c>
      <c r="C590" s="34" t="s">
        <v>256</v>
      </c>
      <c r="D590" s="35" t="s">
        <v>2060</v>
      </c>
      <c r="E590" s="45" t="s">
        <v>332</v>
      </c>
      <c r="F590" s="22" t="str">
        <f>+VLOOKUP(A590,'[1]Proveedor-Comprador'!A:D,4,0)</f>
        <v>I.P.C. INDUSTRIA PARTISTA</v>
      </c>
      <c r="G590" s="36" t="s">
        <v>312</v>
      </c>
      <c r="H590" s="39"/>
      <c r="I590" s="24" t="str">
        <f>+VLOOKUP(A590,[2]Hoja1!$A:$A,1,0)</f>
        <v>W11125022</v>
      </c>
    </row>
    <row r="591" spans="1:9" ht="15.75" customHeight="1" x14ac:dyDescent="0.2">
      <c r="A591" s="36" t="s">
        <v>2061</v>
      </c>
      <c r="B591" s="38" t="s">
        <v>2062</v>
      </c>
      <c r="C591" s="34" t="s">
        <v>256</v>
      </c>
      <c r="D591" s="35" t="s">
        <v>2063</v>
      </c>
      <c r="E591" s="45" t="s">
        <v>332</v>
      </c>
      <c r="F591" s="22" t="str">
        <f>+VLOOKUP(A591,'[1]Proveedor-Comprador'!A:D,4,0)</f>
        <v>I.P.C. INDUSTRIA PARTISTA</v>
      </c>
      <c r="G591" s="36" t="s">
        <v>312</v>
      </c>
      <c r="H591" s="39"/>
      <c r="I591" s="24" t="str">
        <f>+VLOOKUP(A591,[2]Hoja1!$A:$A,1,0)</f>
        <v>W11245133</v>
      </c>
    </row>
    <row r="592" spans="1:9" ht="15.75" customHeight="1" x14ac:dyDescent="0.2">
      <c r="A592" s="36" t="s">
        <v>2064</v>
      </c>
      <c r="B592" s="38" t="s">
        <v>2065</v>
      </c>
      <c r="C592" s="34" t="s">
        <v>256</v>
      </c>
      <c r="D592" s="35" t="s">
        <v>2066</v>
      </c>
      <c r="E592" s="45" t="s">
        <v>332</v>
      </c>
      <c r="F592" s="22" t="str">
        <f>+VLOOKUP(A592,'[1]Proveedor-Comprador'!A:D,4,0)</f>
        <v>I.P.C. INDUSTRIA PARTISTA</v>
      </c>
      <c r="G592" s="36" t="s">
        <v>312</v>
      </c>
      <c r="H592" s="39"/>
      <c r="I592" s="24" t="str">
        <f>+VLOOKUP(A592,[2]Hoja1!$A:$A,1,0)</f>
        <v>W11026576</v>
      </c>
    </row>
    <row r="593" spans="1:9" ht="15.75" customHeight="1" x14ac:dyDescent="0.2">
      <c r="A593" s="36" t="s">
        <v>2067</v>
      </c>
      <c r="B593" s="38" t="s">
        <v>2068</v>
      </c>
      <c r="C593" s="34" t="s">
        <v>256</v>
      </c>
      <c r="D593" s="35" t="s">
        <v>2069</v>
      </c>
      <c r="E593" s="45" t="s">
        <v>330</v>
      </c>
      <c r="F593" s="22" t="str">
        <f>+VLOOKUP(A593,'[1]Proveedor-Comprador'!A:D,4,0)</f>
        <v>BRASCABOS COMPONENTES ELE</v>
      </c>
      <c r="G593" s="36" t="s">
        <v>312</v>
      </c>
      <c r="H593" s="39"/>
      <c r="I593" s="24" t="str">
        <f>+VLOOKUP(A593,[2]Hoja1!$A:$A,1,0)</f>
        <v>W11522618</v>
      </c>
    </row>
    <row r="594" spans="1:9" ht="15.75" customHeight="1" x14ac:dyDescent="0.2">
      <c r="A594" s="36" t="s">
        <v>2070</v>
      </c>
      <c r="B594" s="38" t="s">
        <v>2071</v>
      </c>
      <c r="C594" s="34" t="s">
        <v>256</v>
      </c>
      <c r="D594" s="35" t="s">
        <v>2072</v>
      </c>
      <c r="E594" s="45" t="s">
        <v>330</v>
      </c>
      <c r="F594" s="22" t="str">
        <f>+VLOOKUP(A594,'[1]Proveedor-Comprador'!A:D,4,0)</f>
        <v>ECI (HUIZHOU) COMPANY LIMITED</v>
      </c>
      <c r="G594" s="36" t="s">
        <v>312</v>
      </c>
      <c r="H594" s="39"/>
      <c r="I594" s="24" t="str">
        <f>+VLOOKUP(A594,[2]Hoja1!$A:$A,1,0)</f>
        <v>W11416424</v>
      </c>
    </row>
    <row r="595" spans="1:9" ht="15.75" customHeight="1" x14ac:dyDescent="0.2">
      <c r="A595" s="36" t="s">
        <v>2073</v>
      </c>
      <c r="B595" s="38" t="s">
        <v>2074</v>
      </c>
      <c r="C595" s="34" t="s">
        <v>256</v>
      </c>
      <c r="D595" s="35" t="s">
        <v>2075</v>
      </c>
      <c r="E595" s="45" t="s">
        <v>330</v>
      </c>
      <c r="F595" s="22" t="str">
        <f>+VLOOKUP(A595,'[1]Proveedor-Comprador'!A:D,4,0)</f>
        <v>ECI (HUIZHOU) COMPANY LIMITED</v>
      </c>
      <c r="G595" s="36" t="s">
        <v>312</v>
      </c>
      <c r="H595" s="39"/>
      <c r="I595" s="24" t="str">
        <f>+VLOOKUP(A595,[2]Hoja1!$A:$A,1,0)</f>
        <v>W11416433</v>
      </c>
    </row>
    <row r="596" spans="1:9" ht="15.75" customHeight="1" x14ac:dyDescent="0.2">
      <c r="A596" s="36" t="s">
        <v>2076</v>
      </c>
      <c r="B596" s="38" t="s">
        <v>2077</v>
      </c>
      <c r="C596" s="34" t="s">
        <v>256</v>
      </c>
      <c r="D596" s="35" t="s">
        <v>2077</v>
      </c>
      <c r="E596" s="45" t="s">
        <v>2077</v>
      </c>
      <c r="F596" s="22" t="str">
        <f>+VLOOKUP(A596,'[1]Proveedor-Comprador'!A:D,4,0)</f>
        <v>PLASTICOS TRUHER S.A.</v>
      </c>
      <c r="G596" s="36" t="s">
        <v>284</v>
      </c>
      <c r="H596" s="39"/>
      <c r="I596" s="24" t="str">
        <f>+VLOOKUP(A596,[2]Hoja1!$A:$A,1,0)</f>
        <v>W10682572</v>
      </c>
    </row>
    <row r="597" spans="1:9" ht="15.75" customHeight="1" x14ac:dyDescent="0.2">
      <c r="A597" s="36" t="s">
        <v>2078</v>
      </c>
      <c r="B597" s="38" t="s">
        <v>2079</v>
      </c>
      <c r="C597" s="34" t="s">
        <v>256</v>
      </c>
      <c r="D597" s="35" t="s">
        <v>2079</v>
      </c>
      <c r="E597" s="45" t="s">
        <v>2079</v>
      </c>
      <c r="F597" s="22" t="str">
        <f>+VLOOKUP(A597,'[1]Proveedor-Comprador'!A:D,4,0)</f>
        <v>AUTOINDUSTRIAL CAMEL S.A</v>
      </c>
      <c r="G597" s="36" t="s">
        <v>284</v>
      </c>
      <c r="H597" s="39"/>
      <c r="I597" s="24" t="str">
        <f>+VLOOKUP(A597,[2]Hoja1!$A:$A,1,0)</f>
        <v>W10847201</v>
      </c>
    </row>
    <row r="598" spans="1:9" ht="15.75" customHeight="1" x14ac:dyDescent="0.2">
      <c r="A598" s="36" t="s">
        <v>2080</v>
      </c>
      <c r="B598" s="38" t="s">
        <v>2081</v>
      </c>
      <c r="C598" s="34" t="s">
        <v>256</v>
      </c>
      <c r="D598" s="35" t="s">
        <v>2082</v>
      </c>
      <c r="E598" s="45" t="s">
        <v>2083</v>
      </c>
      <c r="F598" s="22" t="str">
        <f>+VLOOKUP(A598,'[1]Proveedor-Comprador'!A:D,4,0)</f>
        <v>PLASTICOS TRUHER S.A.</v>
      </c>
      <c r="G598" s="36" t="s">
        <v>267</v>
      </c>
      <c r="H598" s="39"/>
      <c r="I598" s="24" t="str">
        <f>+VLOOKUP(A598,[2]Hoja1!$A:$A,1,0)</f>
        <v>326037688</v>
      </c>
    </row>
    <row r="599" spans="1:9" ht="15.75" customHeight="1" x14ac:dyDescent="0.2">
      <c r="A599" s="36" t="s">
        <v>2084</v>
      </c>
      <c r="B599" s="38" t="s">
        <v>2085</v>
      </c>
      <c r="C599" s="34" t="s">
        <v>256</v>
      </c>
      <c r="D599" s="35" t="s">
        <v>2086</v>
      </c>
      <c r="E599" s="45" t="s">
        <v>2087</v>
      </c>
      <c r="F599" s="22" t="str">
        <f>+VLOOKUP(A599,'[1]Proveedor-Comprador'!A:D,4,0)</f>
        <v>AUTOINDUSTRIAL CAMEL S.A</v>
      </c>
      <c r="G599" s="36" t="s">
        <v>312</v>
      </c>
      <c r="H599" s="39"/>
      <c r="I599" s="24" t="str">
        <f>+VLOOKUP(A599,[2]Hoja1!$A:$A,1,0)</f>
        <v>W11156660</v>
      </c>
    </row>
    <row r="600" spans="1:9" ht="15.75" customHeight="1" x14ac:dyDescent="0.2">
      <c r="A600" s="36" t="s">
        <v>2088</v>
      </c>
      <c r="B600" s="38" t="s">
        <v>2089</v>
      </c>
      <c r="C600" s="34" t="s">
        <v>256</v>
      </c>
      <c r="D600" s="35" t="s">
        <v>2090</v>
      </c>
      <c r="E600" s="45" t="s">
        <v>2091</v>
      </c>
      <c r="F600" s="22" t="str">
        <f>+VLOOKUP(A600,'[1]Proveedor-Comprador'!A:D,4,0)</f>
        <v>Riduco S.A.</v>
      </c>
      <c r="G600" s="36" t="s">
        <v>284</v>
      </c>
      <c r="H600" s="39"/>
      <c r="I600" s="24" t="str">
        <f>+VLOOKUP(A600,[2]Hoja1!$A:$A,1,0)</f>
        <v>W11392678</v>
      </c>
    </row>
    <row r="601" spans="1:9" ht="15.75" customHeight="1" x14ac:dyDescent="0.2">
      <c r="A601" s="36" t="s">
        <v>2092</v>
      </c>
      <c r="B601" s="38" t="s">
        <v>2093</v>
      </c>
      <c r="C601" s="34" t="s">
        <v>256</v>
      </c>
      <c r="D601" s="35" t="s">
        <v>2094</v>
      </c>
      <c r="E601" s="45" t="s">
        <v>2094</v>
      </c>
      <c r="F601" s="22" t="str">
        <f>+VLOOKUP(A601,'[1]Proveedor-Comprador'!A:D,4,0)</f>
        <v>Riduco S.A.</v>
      </c>
      <c r="G601" s="36" t="s">
        <v>284</v>
      </c>
      <c r="H601" s="39"/>
      <c r="I601" s="24" t="str">
        <f>+VLOOKUP(A601,[2]Hoja1!$A:$A,1,0)</f>
        <v>W11351950</v>
      </c>
    </row>
    <row r="602" spans="1:9" ht="15.75" customHeight="1" x14ac:dyDescent="0.2">
      <c r="A602" s="36" t="s">
        <v>2095</v>
      </c>
      <c r="B602" s="38" t="s">
        <v>2096</v>
      </c>
      <c r="C602" s="34" t="s">
        <v>256</v>
      </c>
      <c r="D602" s="35" t="s">
        <v>2097</v>
      </c>
      <c r="E602" s="45" t="s">
        <v>2098</v>
      </c>
      <c r="F602" s="22" t="str">
        <f>+VLOOKUP(A602,'[1]Proveedor-Comprador'!A:D,4,0)</f>
        <v>Riduco S.A.</v>
      </c>
      <c r="G602" s="36" t="s">
        <v>284</v>
      </c>
      <c r="H602" s="39"/>
      <c r="I602" s="24" t="str">
        <f>+VLOOKUP(A602,[2]Hoja1!$A:$A,1,0)</f>
        <v>W11552073</v>
      </c>
    </row>
    <row r="603" spans="1:9" ht="15.75" customHeight="1" x14ac:dyDescent="0.2">
      <c r="A603" s="36" t="s">
        <v>2099</v>
      </c>
      <c r="B603" s="38" t="s">
        <v>2100</v>
      </c>
      <c r="C603" s="34" t="s">
        <v>256</v>
      </c>
      <c r="D603" s="35" t="s">
        <v>2101</v>
      </c>
      <c r="E603" s="45" t="s">
        <v>363</v>
      </c>
      <c r="F603" s="22" t="str">
        <f>+VLOOKUP(A603,'[1]Proveedor-Comprador'!A:D,4,0)</f>
        <v>INDUSTRIAS HACEB S.A.</v>
      </c>
      <c r="G603" s="36" t="s">
        <v>312</v>
      </c>
      <c r="H603" s="39"/>
      <c r="I603" s="24" t="str">
        <f>+VLOOKUP(A603,[2]Hoja1!$A:$A,1,0)</f>
        <v>W11433905</v>
      </c>
    </row>
    <row r="604" spans="1:9" ht="15.75" customHeight="1" x14ac:dyDescent="0.2">
      <c r="A604" s="36" t="s">
        <v>2102</v>
      </c>
      <c r="B604" s="38" t="s">
        <v>2103</v>
      </c>
      <c r="C604" s="34" t="s">
        <v>256</v>
      </c>
      <c r="D604" s="35" t="s">
        <v>2104</v>
      </c>
      <c r="E604" s="45" t="s">
        <v>363</v>
      </c>
      <c r="F604" s="22" t="str">
        <f>+VLOOKUP(A604,'[1]Proveedor-Comprador'!A:D,4,0)</f>
        <v>INDUSTRIAS HACEB S.A.</v>
      </c>
      <c r="G604" s="36" t="s">
        <v>267</v>
      </c>
      <c r="H604" s="39"/>
      <c r="I604" s="24" t="str">
        <f>+VLOOKUP(A604,[2]Hoja1!$A:$A,1,0)</f>
        <v>W11477318</v>
      </c>
    </row>
    <row r="605" spans="1:9" ht="15.75" customHeight="1" x14ac:dyDescent="0.2">
      <c r="A605" s="36" t="s">
        <v>2105</v>
      </c>
      <c r="B605" s="38" t="s">
        <v>2106</v>
      </c>
      <c r="C605" s="34" t="s">
        <v>256</v>
      </c>
      <c r="D605" s="35" t="s">
        <v>2107</v>
      </c>
      <c r="E605" s="45" t="s">
        <v>363</v>
      </c>
      <c r="F605" s="22" t="str">
        <f>+VLOOKUP(A605,'[1]Proveedor-Comprador'!A:D,4,0)</f>
        <v>INDUSTRIAS HACEB S.A.</v>
      </c>
      <c r="G605" s="36" t="s">
        <v>267</v>
      </c>
      <c r="H605" s="39"/>
      <c r="I605" s="24" t="str">
        <f>+VLOOKUP(A605,[2]Hoja1!$A:$A,1,0)</f>
        <v>W11477319</v>
      </c>
    </row>
    <row r="606" spans="1:9" ht="15.75" customHeight="1" x14ac:dyDescent="0.2">
      <c r="A606" s="36" t="s">
        <v>2108</v>
      </c>
      <c r="B606" s="38" t="s">
        <v>2109</v>
      </c>
      <c r="C606" s="34" t="s">
        <v>256</v>
      </c>
      <c r="D606" s="35" t="s">
        <v>2110</v>
      </c>
      <c r="E606" s="45" t="s">
        <v>363</v>
      </c>
      <c r="F606" s="22" t="str">
        <f>+VLOOKUP(A606,'[1]Proveedor-Comprador'!A:D,4,0)</f>
        <v>INDUSTRIAS HACEB S.A.</v>
      </c>
      <c r="G606" s="36" t="s">
        <v>312</v>
      </c>
      <c r="H606" s="39"/>
      <c r="I606" s="24" t="str">
        <f>+VLOOKUP(A606,[2]Hoja1!$A:$A,1,0)</f>
        <v>W10706398</v>
      </c>
    </row>
    <row r="607" spans="1:9" ht="15.75" customHeight="1" x14ac:dyDescent="0.2">
      <c r="A607" s="36" t="s">
        <v>2111</v>
      </c>
      <c r="B607" s="38" t="s">
        <v>2112</v>
      </c>
      <c r="C607" s="34" t="s">
        <v>256</v>
      </c>
      <c r="D607" s="35" t="s">
        <v>2113</v>
      </c>
      <c r="E607" s="45" t="s">
        <v>363</v>
      </c>
      <c r="F607" s="22" t="str">
        <f>+VLOOKUP(A607,'[1]Proveedor-Comprador'!A:D,4,0)</f>
        <v>INDUSTRIAS HACEB S.A.</v>
      </c>
      <c r="G607" s="36" t="s">
        <v>312</v>
      </c>
      <c r="H607" s="39"/>
      <c r="I607" s="24" t="str">
        <f>+VLOOKUP(A607,[2]Hoja1!$A:$A,1,0)</f>
        <v>W10716069</v>
      </c>
    </row>
    <row r="608" spans="1:9" ht="15.75" customHeight="1" x14ac:dyDescent="0.2">
      <c r="A608" s="36" t="s">
        <v>2114</v>
      </c>
      <c r="B608" s="38" t="s">
        <v>2115</v>
      </c>
      <c r="C608" s="34" t="s">
        <v>256</v>
      </c>
      <c r="D608" s="35" t="s">
        <v>2116</v>
      </c>
      <c r="E608" s="45" t="s">
        <v>363</v>
      </c>
      <c r="F608" s="22" t="str">
        <f>+VLOOKUP(A608,'[1]Proveedor-Comprador'!A:D,4,0)</f>
        <v>INDUSTRIAS HACEB S.A.</v>
      </c>
      <c r="G608" s="36" t="s">
        <v>267</v>
      </c>
      <c r="H608" s="39"/>
      <c r="I608" s="24" t="str">
        <f>+VLOOKUP(A608,[2]Hoja1!$A:$A,1,0)</f>
        <v>W11503274</v>
      </c>
    </row>
    <row r="609" spans="1:9" ht="15.75" customHeight="1" x14ac:dyDescent="0.2">
      <c r="A609" s="36" t="s">
        <v>2117</v>
      </c>
      <c r="B609" s="38" t="s">
        <v>2118</v>
      </c>
      <c r="C609" s="34" t="s">
        <v>256</v>
      </c>
      <c r="D609" s="35" t="s">
        <v>2119</v>
      </c>
      <c r="E609" s="45" t="s">
        <v>363</v>
      </c>
      <c r="F609" s="22" t="str">
        <f>+VLOOKUP(A609,'[1]Proveedor-Comprador'!A:D,4,0)</f>
        <v>INDUSTRIAS HACEB S.A.</v>
      </c>
      <c r="G609" s="36" t="s">
        <v>267</v>
      </c>
      <c r="H609" s="39"/>
      <c r="I609" s="24" t="str">
        <f>+VLOOKUP(A609,[2]Hoja1!$A:$A,1,0)</f>
        <v>W11503273</v>
      </c>
    </row>
    <row r="610" spans="1:9" ht="15.75" customHeight="1" x14ac:dyDescent="0.2">
      <c r="A610" s="36" t="s">
        <v>2120</v>
      </c>
      <c r="B610" s="38" t="s">
        <v>2121</v>
      </c>
      <c r="C610" s="34" t="s">
        <v>256</v>
      </c>
      <c r="D610" s="35" t="s">
        <v>2122</v>
      </c>
      <c r="E610" s="45" t="s">
        <v>2122</v>
      </c>
      <c r="F610" s="22" t="str">
        <f>+VLOOKUP(A610,'[1]Proveedor-Comprador'!A:D,4,0)</f>
        <v>Continental Parafusos S/A</v>
      </c>
      <c r="G610" s="36" t="s">
        <v>284</v>
      </c>
      <c r="H610" s="39"/>
      <c r="I610" s="24" t="str">
        <f>+VLOOKUP(A610,[2]Hoja1!$A:$A,1,0)</f>
        <v>000390510</v>
      </c>
    </row>
    <row r="611" spans="1:9" ht="15.75" customHeight="1" x14ac:dyDescent="0.2">
      <c r="A611" s="36" t="s">
        <v>2123</v>
      </c>
      <c r="B611" s="38" t="s">
        <v>2124</v>
      </c>
      <c r="C611" s="34" t="s">
        <v>256</v>
      </c>
      <c r="D611" s="35" t="s">
        <v>2125</v>
      </c>
      <c r="E611" s="45" t="s">
        <v>2126</v>
      </c>
      <c r="F611" s="22" t="str">
        <f>+VLOOKUP(A611,'[1]Proveedor-Comprador'!A:D,4,0)</f>
        <v>INDUSTRIAS HACEB S.A.</v>
      </c>
      <c r="G611" s="36" t="s">
        <v>267</v>
      </c>
      <c r="H611" s="39"/>
      <c r="I611" s="24" t="str">
        <f>+VLOOKUP(A611,[2]Hoja1!$A:$A,1,0)</f>
        <v>W11475770</v>
      </c>
    </row>
    <row r="612" spans="1:9" ht="15.75" customHeight="1" x14ac:dyDescent="0.2">
      <c r="A612" s="36" t="s">
        <v>2127</v>
      </c>
      <c r="B612" s="38" t="s">
        <v>2128</v>
      </c>
      <c r="C612" s="34" t="s">
        <v>256</v>
      </c>
      <c r="D612" s="35" t="s">
        <v>2129</v>
      </c>
      <c r="E612" s="45" t="s">
        <v>2126</v>
      </c>
      <c r="F612" s="22" t="str">
        <f>+VLOOKUP(A612,'[1]Proveedor-Comprador'!A:D,4,0)</f>
        <v>INDUSTRIAS HACEB S.A.</v>
      </c>
      <c r="G612" s="36" t="s">
        <v>312</v>
      </c>
      <c r="H612" s="39"/>
      <c r="I612" s="24" t="str">
        <f>+VLOOKUP(A612,[2]Hoja1!$A:$A,1,0)</f>
        <v>W10686587</v>
      </c>
    </row>
    <row r="613" spans="1:9" ht="15.75" customHeight="1" x14ac:dyDescent="0.2">
      <c r="A613" s="36" t="s">
        <v>2130</v>
      </c>
      <c r="B613" s="38" t="s">
        <v>2131</v>
      </c>
      <c r="C613" s="34" t="s">
        <v>256</v>
      </c>
      <c r="D613" s="35" t="s">
        <v>2132</v>
      </c>
      <c r="E613" s="45" t="s">
        <v>2126</v>
      </c>
      <c r="F613" s="22" t="str">
        <f>+VLOOKUP(A613,'[1]Proveedor-Comprador'!A:D,4,0)</f>
        <v>INDUSTRIAS HACEB S.A.</v>
      </c>
      <c r="G613" s="36" t="s">
        <v>312</v>
      </c>
      <c r="H613" s="39"/>
      <c r="I613" s="24" t="str">
        <f>+VLOOKUP(A613,[2]Hoja1!$A:$A,1,0)</f>
        <v>W10716679</v>
      </c>
    </row>
    <row r="614" spans="1:9" ht="15.75" customHeight="1" x14ac:dyDescent="0.2">
      <c r="A614" s="36" t="s">
        <v>2133</v>
      </c>
      <c r="B614" s="38" t="s">
        <v>2134</v>
      </c>
      <c r="C614" s="34" t="s">
        <v>256</v>
      </c>
      <c r="D614" s="35" t="s">
        <v>2135</v>
      </c>
      <c r="E614" s="45" t="s">
        <v>2126</v>
      </c>
      <c r="F614" s="22" t="str">
        <f>+VLOOKUP(A614,'[1]Proveedor-Comprador'!A:D,4,0)</f>
        <v>INDUSTRIAS HACEB S.A.</v>
      </c>
      <c r="G614" s="36" t="s">
        <v>267</v>
      </c>
      <c r="H614" s="39"/>
      <c r="I614" s="24" t="str">
        <f>+VLOOKUP(A614,[2]Hoja1!$A:$A,1,0)</f>
        <v>W11475769</v>
      </c>
    </row>
    <row r="615" spans="1:9" ht="15.75" customHeight="1" x14ac:dyDescent="0.2">
      <c r="A615" s="36" t="s">
        <v>2136</v>
      </c>
      <c r="B615" s="38" t="s">
        <v>2137</v>
      </c>
      <c r="C615" s="34" t="s">
        <v>256</v>
      </c>
      <c r="D615" s="35" t="s">
        <v>2138</v>
      </c>
      <c r="E615" s="45" t="s">
        <v>2126</v>
      </c>
      <c r="F615" s="22" t="str">
        <f>+VLOOKUP(A615,'[1]Proveedor-Comprador'!A:D,4,0)</f>
        <v>INDUSTRIAS HACEB S.A.</v>
      </c>
      <c r="G615" s="36" t="s">
        <v>312</v>
      </c>
      <c r="H615" s="39"/>
      <c r="I615" s="24" t="str">
        <f>+VLOOKUP(A615,[2]Hoja1!$A:$A,1,0)</f>
        <v>W10686585</v>
      </c>
    </row>
    <row r="616" spans="1:9" ht="15.75" customHeight="1" x14ac:dyDescent="0.2">
      <c r="A616" s="36" t="s">
        <v>2139</v>
      </c>
      <c r="B616" s="38" t="s">
        <v>2140</v>
      </c>
      <c r="C616" s="34" t="s">
        <v>256</v>
      </c>
      <c r="D616" s="35" t="s">
        <v>2141</v>
      </c>
      <c r="E616" s="45" t="s">
        <v>2126</v>
      </c>
      <c r="F616" s="22" t="str">
        <f>+VLOOKUP(A616,'[1]Proveedor-Comprador'!A:D,4,0)</f>
        <v>INDUSTRIAS HACEB S.A.</v>
      </c>
      <c r="G616" s="36" t="s">
        <v>312</v>
      </c>
      <c r="H616" s="39"/>
      <c r="I616" s="24" t="str">
        <f>+VLOOKUP(A616,[2]Hoja1!$A:$A,1,0)</f>
        <v>W10716681</v>
      </c>
    </row>
    <row r="617" spans="1:9" ht="15.75" customHeight="1" x14ac:dyDescent="0.2">
      <c r="A617" s="36" t="s">
        <v>2142</v>
      </c>
      <c r="B617" s="38" t="s">
        <v>2143</v>
      </c>
      <c r="C617" s="34" t="s">
        <v>256</v>
      </c>
      <c r="D617" s="35" t="s">
        <v>2144</v>
      </c>
      <c r="E617" s="45" t="s">
        <v>2145</v>
      </c>
      <c r="F617" s="22" t="str">
        <f>+VLOOKUP(A617,'[1]Proveedor-Comprador'!A:D,4,0)</f>
        <v>EXTRUSIONES S.A</v>
      </c>
      <c r="G617" s="36" t="s">
        <v>267</v>
      </c>
      <c r="H617" s="39"/>
      <c r="I617" s="24" t="str">
        <f>+VLOOKUP(A617,[2]Hoja1!$A:$A,1,0)</f>
        <v>W11575228</v>
      </c>
    </row>
    <row r="618" spans="1:9" ht="15.75" customHeight="1" x14ac:dyDescent="0.2">
      <c r="A618" s="36" t="s">
        <v>2146</v>
      </c>
      <c r="B618" s="38" t="s">
        <v>2147</v>
      </c>
      <c r="C618" s="34" t="s">
        <v>256</v>
      </c>
      <c r="D618" s="35" t="s">
        <v>2148</v>
      </c>
      <c r="E618" s="45" t="s">
        <v>2145</v>
      </c>
      <c r="F618" s="22" t="str">
        <f>+VLOOKUP(A618,'[1]Proveedor-Comprador'!A:D,4,0)</f>
        <v>ELASTOPLAST</v>
      </c>
      <c r="G618" s="36" t="s">
        <v>267</v>
      </c>
      <c r="H618" s="39"/>
      <c r="I618" s="24" t="str">
        <f>+VLOOKUP(A618,[2]Hoja1!$A:$A,1,0)</f>
        <v>W11491995</v>
      </c>
    </row>
    <row r="619" spans="1:9" ht="15.75" customHeight="1" x14ac:dyDescent="0.2">
      <c r="A619" s="36" t="s">
        <v>2149</v>
      </c>
      <c r="B619" s="38" t="s">
        <v>2150</v>
      </c>
      <c r="C619" s="34" t="s">
        <v>256</v>
      </c>
      <c r="D619" s="35" t="s">
        <v>2151</v>
      </c>
      <c r="E619" s="45" t="s">
        <v>258</v>
      </c>
      <c r="F619" s="22" t="str">
        <f>+VLOOKUP(A619,'[1]Proveedor-Comprador'!A:D,4,0)</f>
        <v>INDUSTRIAS HACEB S.A.</v>
      </c>
      <c r="G619" s="36" t="s">
        <v>312</v>
      </c>
      <c r="H619" s="39"/>
      <c r="I619" s="24" t="str">
        <f>+VLOOKUP(A619,[2]Hoja1!$A:$A,1,0)</f>
        <v>W10817342</v>
      </c>
    </row>
    <row r="620" spans="1:9" ht="15.75" customHeight="1" x14ac:dyDescent="0.2">
      <c r="A620" s="36" t="s">
        <v>2152</v>
      </c>
      <c r="B620" s="38" t="s">
        <v>2153</v>
      </c>
      <c r="C620" s="34" t="s">
        <v>256</v>
      </c>
      <c r="D620" s="35" t="s">
        <v>2154</v>
      </c>
      <c r="E620" s="45" t="s">
        <v>392</v>
      </c>
      <c r="F620" s="22" t="str">
        <f>+VLOOKUP(A620,'[1]Proveedor-Comprador'!A:D,4,0)</f>
        <v>Whirlpool S/A</v>
      </c>
      <c r="G620" s="36" t="s">
        <v>259</v>
      </c>
      <c r="H620" s="39"/>
      <c r="I620" s="24" t="str">
        <f>+VLOOKUP(A620,[2]Hoja1!$A:$A,1,0)</f>
        <v>W11535808</v>
      </c>
    </row>
    <row r="621" spans="1:9" ht="15.75" customHeight="1" x14ac:dyDescent="0.2">
      <c r="A621" s="36" t="s">
        <v>2155</v>
      </c>
      <c r="B621" s="38" t="s">
        <v>2156</v>
      </c>
      <c r="C621" s="34" t="s">
        <v>256</v>
      </c>
      <c r="D621" s="35" t="s">
        <v>2157</v>
      </c>
      <c r="E621" s="45" t="s">
        <v>2158</v>
      </c>
      <c r="F621" s="22" t="str">
        <f>+VLOOKUP(A621,'[1]Proveedor-Comprador'!A:D,4,0)</f>
        <v>Leshi Leili Trade Co.Ltd</v>
      </c>
      <c r="G621" s="36" t="s">
        <v>284</v>
      </c>
      <c r="H621" s="39"/>
      <c r="I621" s="24" t="str">
        <f>+VLOOKUP(A621,[2]Hoja1!$A:$A,1,0)</f>
        <v>W11428263</v>
      </c>
    </row>
    <row r="622" spans="1:9" ht="15.75" customHeight="1" x14ac:dyDescent="0.2">
      <c r="A622" s="36" t="s">
        <v>2159</v>
      </c>
      <c r="B622" s="38" t="s">
        <v>2160</v>
      </c>
      <c r="C622" s="34" t="s">
        <v>256</v>
      </c>
      <c r="D622" s="35" t="s">
        <v>2161</v>
      </c>
      <c r="E622" s="45" t="s">
        <v>2158</v>
      </c>
      <c r="F622" s="22" t="str">
        <f>+VLOOKUP(A622,'[1]Proveedor-Comprador'!A:D,4,0)</f>
        <v>Leshi Leili Trade Co.Ltd</v>
      </c>
      <c r="G622" s="36" t="s">
        <v>284</v>
      </c>
      <c r="H622" s="39"/>
      <c r="I622" s="24" t="str">
        <f>+VLOOKUP(A622,[2]Hoja1!$A:$A,1,0)</f>
        <v>W11428264</v>
      </c>
    </row>
    <row r="623" spans="1:9" ht="15.75" customHeight="1" x14ac:dyDescent="0.2">
      <c r="A623" s="36" t="s">
        <v>2162</v>
      </c>
      <c r="B623" s="38" t="s">
        <v>2163</v>
      </c>
      <c r="C623" s="34" t="s">
        <v>256</v>
      </c>
      <c r="D623" s="35" t="s">
        <v>2164</v>
      </c>
      <c r="E623" s="45" t="s">
        <v>2165</v>
      </c>
      <c r="F623" s="22" t="str">
        <f>+VLOOKUP(A623,'[1]Proveedor-Comprador'!A:D,4,0)</f>
        <v>TH PLASTICS INC</v>
      </c>
      <c r="G623" s="36" t="s">
        <v>342</v>
      </c>
      <c r="H623" s="39"/>
      <c r="I623" s="24" t="str">
        <f>+VLOOKUP(A623,[2]Hoja1!$A:$A,1,0)</f>
        <v>3357397</v>
      </c>
    </row>
    <row r="624" spans="1:9" ht="15.75" customHeight="1" x14ac:dyDescent="0.2">
      <c r="A624" s="36" t="s">
        <v>2166</v>
      </c>
      <c r="B624" s="38" t="s">
        <v>2167</v>
      </c>
      <c r="C624" s="34" t="s">
        <v>256</v>
      </c>
      <c r="D624" s="35" t="s">
        <v>2168</v>
      </c>
      <c r="E624" s="45" t="s">
        <v>2169</v>
      </c>
      <c r="F624" s="22" t="str">
        <f>+VLOOKUP(A624,'[1]Proveedor-Comprador'!A:D,4,0)</f>
        <v>ARNESES Y GOMAS S.A</v>
      </c>
      <c r="G624" s="36" t="s">
        <v>284</v>
      </c>
      <c r="H624" s="39"/>
      <c r="I624" s="24" t="str">
        <f>+VLOOKUP(A624,[2]Hoja1!$A:$A,1,0)</f>
        <v>W11034433</v>
      </c>
    </row>
    <row r="625" spans="1:9" ht="15.75" customHeight="1" x14ac:dyDescent="0.2">
      <c r="A625" s="36" t="s">
        <v>2170</v>
      </c>
      <c r="B625" s="38" t="s">
        <v>2171</v>
      </c>
      <c r="C625" s="34" t="s">
        <v>256</v>
      </c>
      <c r="D625" s="35" t="s">
        <v>2172</v>
      </c>
      <c r="E625" s="45" t="s">
        <v>2173</v>
      </c>
      <c r="F625" s="22" t="str">
        <f>+VLOOKUP(A625,'[1]Proveedor-Comprador'!A:D,4,0)</f>
        <v>Whirlpool S/A</v>
      </c>
      <c r="G625" s="36" t="s">
        <v>284</v>
      </c>
      <c r="H625" s="39"/>
      <c r="I625" s="24" t="str">
        <f>+VLOOKUP(A625,[2]Hoja1!$A:$A,1,0)</f>
        <v>326031815</v>
      </c>
    </row>
    <row r="626" spans="1:9" ht="15.75" customHeight="1" x14ac:dyDescent="0.2">
      <c r="A626" s="36" t="s">
        <v>2174</v>
      </c>
      <c r="B626" s="38" t="s">
        <v>2175</v>
      </c>
      <c r="C626" s="34" t="s">
        <v>256</v>
      </c>
      <c r="D626" s="35" t="s">
        <v>2175</v>
      </c>
      <c r="E626" s="45" t="s">
        <v>2176</v>
      </c>
      <c r="F626" s="22" t="str">
        <f>+VLOOKUP(A626,'[1]Proveedor-Comprador'!A:D,4,0)</f>
        <v>IBEROTECH S.A.S</v>
      </c>
      <c r="G626" s="36" t="s">
        <v>284</v>
      </c>
      <c r="H626" s="39"/>
      <c r="I626" s="24" t="str">
        <f>+VLOOKUP(A626,[2]Hoja1!$A:$A,1,0)</f>
        <v>W10777926</v>
      </c>
    </row>
    <row r="627" spans="1:9" ht="15.75" customHeight="1" x14ac:dyDescent="0.2">
      <c r="A627" s="36" t="s">
        <v>2177</v>
      </c>
      <c r="B627" s="38" t="s">
        <v>2178</v>
      </c>
      <c r="C627" s="34" t="s">
        <v>256</v>
      </c>
      <c r="D627" s="35" t="s">
        <v>2179</v>
      </c>
      <c r="E627" s="45" t="s">
        <v>295</v>
      </c>
      <c r="F627" s="22" t="str">
        <f>+VLOOKUP(A627,'[1]Proveedor-Comprador'!A:D,4,0)</f>
        <v>INDUSTRIAS HACEB S.A.</v>
      </c>
      <c r="G627" s="36" t="s">
        <v>312</v>
      </c>
      <c r="H627" s="39"/>
      <c r="I627" s="24" t="str">
        <f>+VLOOKUP(A627,[2]Hoja1!$A:$A,1,0)</f>
        <v>W11401376</v>
      </c>
    </row>
    <row r="628" spans="1:9" ht="15.75" customHeight="1" x14ac:dyDescent="0.2">
      <c r="A628" s="36" t="s">
        <v>2180</v>
      </c>
      <c r="B628" s="38" t="s">
        <v>2181</v>
      </c>
      <c r="C628" s="34" t="s">
        <v>256</v>
      </c>
      <c r="D628" s="35" t="s">
        <v>2182</v>
      </c>
      <c r="E628" s="45" t="s">
        <v>2183</v>
      </c>
      <c r="F628" s="22" t="str">
        <f>+VLOOKUP(A628,'[1]Proveedor-Comprador'!A:D,4,0)</f>
        <v>PLASTICOS TRUHER S.A.</v>
      </c>
      <c r="G628" s="36" t="s">
        <v>259</v>
      </c>
      <c r="H628" s="39"/>
      <c r="I628" s="24" t="str">
        <f>+VLOOKUP(A628,[2]Hoja1!$A:$A,1,0)</f>
        <v>W11657121</v>
      </c>
    </row>
    <row r="629" spans="1:9" ht="15.75" customHeight="1" x14ac:dyDescent="0.2">
      <c r="A629" s="36" t="s">
        <v>2184</v>
      </c>
      <c r="B629" s="38" t="s">
        <v>2185</v>
      </c>
      <c r="C629" s="34" t="s">
        <v>256</v>
      </c>
      <c r="D629" s="35" t="s">
        <v>2186</v>
      </c>
      <c r="E629" s="45" t="s">
        <v>2183</v>
      </c>
      <c r="F629" s="22" t="str">
        <f>+VLOOKUP(A629,'[1]Proveedor-Comprador'!A:D,4,0)</f>
        <v>PLASTICOS TRUHER S.A.</v>
      </c>
      <c r="G629" s="36" t="s">
        <v>259</v>
      </c>
      <c r="H629" s="39"/>
      <c r="I629" s="24" t="str">
        <f>+VLOOKUP(A629,[2]Hoja1!$A:$A,1,0)</f>
        <v>W11657125</v>
      </c>
    </row>
    <row r="630" spans="1:9" ht="15.75" customHeight="1" x14ac:dyDescent="0.2">
      <c r="A630" s="36" t="s">
        <v>2187</v>
      </c>
      <c r="B630" s="38" t="s">
        <v>2188</v>
      </c>
      <c r="C630" s="34" t="s">
        <v>256</v>
      </c>
      <c r="D630" s="35" t="s">
        <v>2189</v>
      </c>
      <c r="E630" s="45" t="s">
        <v>1912</v>
      </c>
      <c r="F630" s="22" t="str">
        <f>+VLOOKUP(A630,'[1]Proveedor-Comprador'!A:D,4,0)</f>
        <v>SI-3</v>
      </c>
      <c r="G630" s="36" t="s">
        <v>342</v>
      </c>
      <c r="H630" s="39"/>
      <c r="I630" s="24" t="str">
        <f>+VLOOKUP(A630,[2]Hoja1!$A:$A,1,0)</f>
        <v>W11723528</v>
      </c>
    </row>
    <row r="631" spans="1:9" ht="15.75" customHeight="1" x14ac:dyDescent="0.2">
      <c r="A631" s="36" t="s">
        <v>2190</v>
      </c>
      <c r="B631" s="38" t="s">
        <v>2191</v>
      </c>
      <c r="C631" s="34" t="s">
        <v>256</v>
      </c>
      <c r="D631" s="35" t="s">
        <v>2192</v>
      </c>
      <c r="E631" s="45" t="s">
        <v>311</v>
      </c>
      <c r="F631" s="22" t="str">
        <f>+VLOOKUP(A631,'[1]Proveedor-Comprador'!A:D,4,0)</f>
        <v>SHANGHAI JINGSHI ELECTRIC</v>
      </c>
      <c r="G631" s="36" t="s">
        <v>342</v>
      </c>
      <c r="H631" s="39"/>
      <c r="I631" s="24" t="str">
        <f>+VLOOKUP(A631,[2]Hoja1!$A:$A,1,0)</f>
        <v>W11727213</v>
      </c>
    </row>
    <row r="632" spans="1:9" ht="15.75" customHeight="1" x14ac:dyDescent="0.2">
      <c r="A632" s="36" t="s">
        <v>2193</v>
      </c>
      <c r="B632" s="38" t="s">
        <v>2194</v>
      </c>
      <c r="C632" s="34" t="s">
        <v>256</v>
      </c>
      <c r="D632" s="35" t="s">
        <v>2195</v>
      </c>
      <c r="E632" s="45" t="s">
        <v>1990</v>
      </c>
      <c r="F632" s="22" t="str">
        <f>+VLOOKUP(A632,'[1]Proveedor-Comprador'!A:D,4,0)</f>
        <v>SHANGHAI JINGSHI ELECTRIC</v>
      </c>
      <c r="G632" s="36" t="s">
        <v>342</v>
      </c>
      <c r="H632" s="39"/>
      <c r="I632" s="24" t="str">
        <f>+VLOOKUP(A632,[2]Hoja1!$A:$A,1,0)</f>
        <v>W11733713</v>
      </c>
    </row>
    <row r="633" spans="1:9" ht="15.75" customHeight="1" x14ac:dyDescent="0.2">
      <c r="A633" s="36" t="s">
        <v>2196</v>
      </c>
      <c r="B633" s="38" t="s">
        <v>2197</v>
      </c>
      <c r="C633" s="34" t="s">
        <v>256</v>
      </c>
      <c r="D633" s="35" t="s">
        <v>2198</v>
      </c>
      <c r="E633" s="45" t="s">
        <v>2199</v>
      </c>
      <c r="F633" s="22" t="str">
        <f>+VLOOKUP(A633,'[1]Proveedor-Comprador'!A:D,4,0)</f>
        <v>AUTOINDUSTRIAL CAMEL S.A</v>
      </c>
      <c r="G633" s="36" t="s">
        <v>267</v>
      </c>
      <c r="H633" s="39"/>
      <c r="I633" s="24" t="str">
        <f>+VLOOKUP(A633,[2]Hoja1!$A:$A,1,0)</f>
        <v>W11762939</v>
      </c>
    </row>
    <row r="634" spans="1:9" ht="15.75" customHeight="1" x14ac:dyDescent="0.2">
      <c r="A634" s="36" t="s">
        <v>2200</v>
      </c>
      <c r="B634" s="36" t="s">
        <v>309</v>
      </c>
      <c r="C634" s="34" t="s">
        <v>256</v>
      </c>
      <c r="D634" s="36" t="s">
        <v>2201</v>
      </c>
      <c r="E634" s="45" t="s">
        <v>311</v>
      </c>
      <c r="F634" s="22" t="str">
        <f>+VLOOKUP(A634,'[1]Proveedor-Comprador'!A:D,4,0)</f>
        <v>SHANGHAI JINGSHI ELECTRIC</v>
      </c>
      <c r="G634" s="36" t="s">
        <v>312</v>
      </c>
      <c r="H634" s="40"/>
      <c r="I634" s="24" t="str">
        <f>+VLOOKUP(A634,[2]Hoja1!$A:$A,1,0)</f>
        <v>W11707207</v>
      </c>
    </row>
    <row r="635" spans="1:9" ht="15.75" customHeight="1" x14ac:dyDescent="0.2">
      <c r="A635" s="36" t="s">
        <v>2202</v>
      </c>
      <c r="B635" s="36" t="s">
        <v>309</v>
      </c>
      <c r="C635" s="34" t="s">
        <v>256</v>
      </c>
      <c r="D635" s="36" t="s">
        <v>2203</v>
      </c>
      <c r="E635" s="45" t="s">
        <v>311</v>
      </c>
      <c r="F635" s="22" t="str">
        <f>+VLOOKUP(A635,'[1]Proveedor-Comprador'!A:D,4,0)</f>
        <v>SHANGHAI JINGSHI ELECTRIC</v>
      </c>
      <c r="G635" s="36" t="s">
        <v>312</v>
      </c>
      <c r="H635" s="40"/>
      <c r="I635" s="24" t="str">
        <f>+VLOOKUP(A635,[2]Hoja1!$A:$A,1,0)</f>
        <v>W11707210</v>
      </c>
    </row>
    <row r="636" spans="1:9" ht="15.75" customHeight="1" x14ac:dyDescent="0.2">
      <c r="A636" s="36" t="s">
        <v>2204</v>
      </c>
      <c r="B636" s="36" t="s">
        <v>2205</v>
      </c>
      <c r="C636" s="34" t="s">
        <v>256</v>
      </c>
      <c r="D636" s="36" t="s">
        <v>2206</v>
      </c>
      <c r="E636" s="45" t="s">
        <v>283</v>
      </c>
      <c r="F636" s="22" t="str">
        <f>+VLOOKUP(A636,'[1]Proveedor-Comprador'!A:D,4,0)</f>
        <v>INDUSTRIAS CATO S.A.</v>
      </c>
      <c r="G636" s="36" t="s">
        <v>267</v>
      </c>
      <c r="H636" s="40"/>
      <c r="I636" s="24" t="str">
        <f>+VLOOKUP(A636,[2]Hoja1!$A:$A,1,0)</f>
        <v>W11749274</v>
      </c>
    </row>
    <row r="637" spans="1:9" ht="15.75" customHeight="1" x14ac:dyDescent="0.2">
      <c r="A637" s="36" t="s">
        <v>2207</v>
      </c>
      <c r="B637" s="36" t="s">
        <v>2208</v>
      </c>
      <c r="C637" s="34" t="s">
        <v>256</v>
      </c>
      <c r="D637" s="36" t="s">
        <v>2209</v>
      </c>
      <c r="E637" s="45" t="s">
        <v>295</v>
      </c>
      <c r="F637" s="22" t="str">
        <f>+VLOOKUP(A637,'[1]Proveedor-Comprador'!A:D,4,0)</f>
        <v>INDUSTRIAS HACEB S.A.</v>
      </c>
      <c r="G637" s="36" t="s">
        <v>267</v>
      </c>
      <c r="H637" s="40"/>
      <c r="I637" s="24" t="str">
        <f>+VLOOKUP(A637,[2]Hoja1!$A:$A,1,0)</f>
        <v>W11763200</v>
      </c>
    </row>
    <row r="638" spans="1:9" ht="15.75" customHeight="1" x14ac:dyDescent="0.2">
      <c r="A638" s="36" t="s">
        <v>2210</v>
      </c>
      <c r="B638" s="36" t="s">
        <v>2211</v>
      </c>
      <c r="C638" s="34" t="s">
        <v>256</v>
      </c>
      <c r="D638" s="36" t="s">
        <v>2212</v>
      </c>
      <c r="E638" s="45" t="s">
        <v>1626</v>
      </c>
      <c r="F638" s="22" t="str">
        <f>+VLOOKUP(A638,'[1]Proveedor-Comprador'!A:D,4,0)</f>
        <v>LÍNEA ADHESIVA S.A.</v>
      </c>
      <c r="G638" s="36" t="s">
        <v>267</v>
      </c>
      <c r="H638" s="40"/>
      <c r="I638" s="24" t="str">
        <f>+VLOOKUP(A638,[2]Hoja1!$A:$A,1,0)</f>
        <v>W11772768</v>
      </c>
    </row>
    <row r="639" spans="1:9" ht="15.75" customHeight="1" x14ac:dyDescent="0.2">
      <c r="A639" s="36" t="s">
        <v>2213</v>
      </c>
      <c r="B639" s="36" t="s">
        <v>416</v>
      </c>
      <c r="C639" s="34" t="s">
        <v>256</v>
      </c>
      <c r="D639" s="36" t="s">
        <v>2214</v>
      </c>
      <c r="E639" s="45" t="s">
        <v>1626</v>
      </c>
      <c r="F639" s="22" t="str">
        <f>+VLOOKUP(A639,'[1]Proveedor-Comprador'!A:D,4,0)</f>
        <v>LÍNEA ADHESIVA S.A.</v>
      </c>
      <c r="G639" s="36" t="s">
        <v>267</v>
      </c>
      <c r="H639" s="40"/>
      <c r="I639" s="24" t="str">
        <f>+VLOOKUP(A639,[2]Hoja1!$A:$A,1,0)</f>
        <v>W11772841</v>
      </c>
    </row>
    <row r="640" spans="1:9" ht="15.75" customHeight="1" x14ac:dyDescent="0.2">
      <c r="A640" s="36" t="s">
        <v>2215</v>
      </c>
      <c r="B640" s="36" t="s">
        <v>2216</v>
      </c>
      <c r="C640" s="34" t="s">
        <v>256</v>
      </c>
      <c r="D640" s="35" t="s">
        <v>2217</v>
      </c>
      <c r="E640" s="45" t="s">
        <v>1640</v>
      </c>
      <c r="F640" s="22" t="str">
        <f>+VLOOKUP(A640,'[1]Proveedor-Comprador'!A:D,4,0)</f>
        <v>LÍNEA ADHESIVA S.A.</v>
      </c>
      <c r="G640" s="36" t="s">
        <v>267</v>
      </c>
      <c r="H640" s="40"/>
      <c r="I640" s="24" t="str">
        <f>+VLOOKUP(A640,[2]Hoja1!$A:$A,1,0)</f>
        <v>W11772969</v>
      </c>
    </row>
    <row r="641" spans="1:9" ht="15.75" customHeight="1" x14ac:dyDescent="0.2">
      <c r="A641" s="32" t="s">
        <v>2218</v>
      </c>
      <c r="B641" s="33" t="s">
        <v>2219</v>
      </c>
      <c r="C641" s="34" t="s">
        <v>256</v>
      </c>
      <c r="D641" s="35" t="s">
        <v>2220</v>
      </c>
      <c r="E641" s="45" t="s">
        <v>708</v>
      </c>
      <c r="F641" s="22" t="str">
        <f>+VLOOKUP(A641,'[1]Proveedor-Comprador'!A:D,4,0)</f>
        <v>Iprocom S.A.</v>
      </c>
      <c r="G641" s="37" t="s">
        <v>312</v>
      </c>
      <c r="H641" s="37"/>
      <c r="I641" s="24" t="str">
        <f>+VLOOKUP(A641,[2]Hoja1!$A:$A,1,0)</f>
        <v>W11361021</v>
      </c>
    </row>
    <row r="642" spans="1:9" ht="15.75" customHeight="1" x14ac:dyDescent="0.2">
      <c r="A642" s="41" t="s">
        <v>2221</v>
      </c>
      <c r="B642" s="38" t="s">
        <v>2222</v>
      </c>
      <c r="C642" s="34" t="s">
        <v>256</v>
      </c>
      <c r="D642" s="35" t="s">
        <v>2223</v>
      </c>
      <c r="E642" s="45" t="s">
        <v>1990</v>
      </c>
      <c r="F642" s="22" t="str">
        <f>+VLOOKUP(A642,'[1]Proveedor-Comprador'!A:D,4,0)</f>
        <v>SHANGHAI JINGSHI ELECTRIC</v>
      </c>
      <c r="G642" s="36" t="s">
        <v>259</v>
      </c>
      <c r="H642" s="40"/>
      <c r="I642" s="24" t="str">
        <f>+VLOOKUP(A642,[2]Hoja1!$A:$A,1,0)</f>
        <v>W11733714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Y124"/>
  <sheetViews>
    <sheetView workbookViewId="0">
      <selection activeCell="G15" sqref="G15"/>
    </sheetView>
  </sheetViews>
  <sheetFormatPr baseColWidth="10" defaultColWidth="9.140625" defaultRowHeight="12.75" x14ac:dyDescent="0.2"/>
  <cols>
    <col min="1" max="1" width="11" style="57" bestFit="1" customWidth="1"/>
    <col min="2" max="2" width="33" bestFit="1" customWidth="1"/>
    <col min="3" max="3" width="8" bestFit="1" customWidth="1"/>
    <col min="4" max="4" width="9" bestFit="1" customWidth="1"/>
    <col min="5" max="5" width="22" bestFit="1" customWidth="1"/>
    <col min="6" max="6" width="16" bestFit="1" customWidth="1"/>
    <col min="7" max="7" width="14" bestFit="1" customWidth="1"/>
    <col min="8" max="8" width="20" customWidth="1"/>
    <col min="9" max="9" width="11" bestFit="1" customWidth="1"/>
    <col min="10" max="10" width="16.85546875" customWidth="1"/>
    <col min="11" max="11" width="20.42578125" customWidth="1"/>
    <col min="12" max="12" width="17.5703125" customWidth="1"/>
    <col min="13" max="13" width="16" bestFit="1" customWidth="1"/>
    <col min="14" max="14" width="17" bestFit="1" customWidth="1"/>
    <col min="15" max="16" width="19" bestFit="1" customWidth="1"/>
    <col min="17" max="17" width="16" bestFit="1" customWidth="1"/>
    <col min="18" max="18" width="12" bestFit="1" customWidth="1"/>
    <col min="19" max="19" width="13" bestFit="1" customWidth="1"/>
    <col min="20" max="20" width="20" bestFit="1" customWidth="1"/>
    <col min="21" max="21" width="13" bestFit="1" customWidth="1"/>
    <col min="22" max="23" width="7" bestFit="1" customWidth="1"/>
    <col min="24" max="24" width="21" bestFit="1" customWidth="1"/>
    <col min="25" max="25" width="20" bestFit="1" customWidth="1"/>
  </cols>
  <sheetData>
    <row r="1" spans="1:25" ht="51" x14ac:dyDescent="0.2">
      <c r="A1" s="1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0" t="s">
        <v>219</v>
      </c>
      <c r="I1" s="1" t="s">
        <v>220</v>
      </c>
      <c r="J1" s="10" t="s">
        <v>221</v>
      </c>
      <c r="K1" s="10" t="s">
        <v>222</v>
      </c>
      <c r="L1" s="10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R1" s="10" t="s">
        <v>229</v>
      </c>
      <c r="S1" s="1" t="s">
        <v>230</v>
      </c>
      <c r="T1" s="1" t="s">
        <v>231</v>
      </c>
      <c r="U1" s="10" t="s">
        <v>232</v>
      </c>
      <c r="V1" s="10" t="s">
        <v>233</v>
      </c>
      <c r="W1" s="10" t="s">
        <v>234</v>
      </c>
      <c r="X1" s="1" t="s">
        <v>235</v>
      </c>
      <c r="Y1" s="1" t="s">
        <v>236</v>
      </c>
    </row>
    <row r="2" spans="1:25" x14ac:dyDescent="0.2">
      <c r="A2" s="57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s="2">
        <v>196</v>
      </c>
      <c r="K2" s="2">
        <v>0</v>
      </c>
      <c r="L2" s="2">
        <v>0</v>
      </c>
      <c r="M2" s="3">
        <v>45843</v>
      </c>
      <c r="N2" t="s">
        <v>4</v>
      </c>
      <c r="O2" s="3">
        <v>45843</v>
      </c>
      <c r="P2" s="3"/>
      <c r="Q2" t="s">
        <v>8</v>
      </c>
      <c r="R2" t="s">
        <v>9</v>
      </c>
      <c r="S2" s="4">
        <v>0.93305555555555997</v>
      </c>
      <c r="T2" t="s">
        <v>4</v>
      </c>
      <c r="U2" t="s">
        <v>10</v>
      </c>
      <c r="V2" s="5">
        <v>0</v>
      </c>
      <c r="W2" s="5">
        <v>0</v>
      </c>
      <c r="X2" t="s">
        <v>4</v>
      </c>
      <c r="Y2" t="s">
        <v>4</v>
      </c>
    </row>
    <row r="3" spans="1:25" x14ac:dyDescent="0.2">
      <c r="A3" s="57" t="s">
        <v>0</v>
      </c>
      <c r="B3" t="s">
        <v>1</v>
      </c>
      <c r="C3" t="s">
        <v>2</v>
      </c>
      <c r="D3" t="s">
        <v>3</v>
      </c>
      <c r="E3" t="s">
        <v>4</v>
      </c>
      <c r="F3" t="s">
        <v>4</v>
      </c>
      <c r="G3" t="s">
        <v>5</v>
      </c>
      <c r="H3" t="s">
        <v>6</v>
      </c>
      <c r="I3" t="s">
        <v>7</v>
      </c>
      <c r="J3" s="2">
        <v>196</v>
      </c>
      <c r="K3" s="2">
        <v>0</v>
      </c>
      <c r="L3" s="2">
        <v>0</v>
      </c>
      <c r="M3" s="3">
        <v>45843</v>
      </c>
      <c r="N3" t="s">
        <v>4</v>
      </c>
      <c r="O3" s="3">
        <v>45843</v>
      </c>
      <c r="P3" s="3"/>
      <c r="Q3" t="s">
        <v>11</v>
      </c>
      <c r="R3" t="s">
        <v>9</v>
      </c>
      <c r="S3" s="4">
        <v>0.93305555555555997</v>
      </c>
      <c r="T3" t="s">
        <v>4</v>
      </c>
      <c r="U3" t="s">
        <v>10</v>
      </c>
      <c r="V3" s="5">
        <v>0</v>
      </c>
      <c r="W3" s="5">
        <v>0</v>
      </c>
      <c r="X3" t="s">
        <v>4</v>
      </c>
      <c r="Y3" t="s">
        <v>4</v>
      </c>
    </row>
    <row r="4" spans="1:25" x14ac:dyDescent="0.2">
      <c r="A4" s="57" t="s">
        <v>12</v>
      </c>
      <c r="B4" t="s">
        <v>13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t="s">
        <v>14</v>
      </c>
      <c r="J4" s="2">
        <v>196</v>
      </c>
      <c r="K4" s="2">
        <v>0</v>
      </c>
      <c r="L4" s="2">
        <v>0</v>
      </c>
      <c r="M4" s="3">
        <v>45855</v>
      </c>
      <c r="N4" t="s">
        <v>4</v>
      </c>
      <c r="O4" s="3">
        <v>45855</v>
      </c>
      <c r="P4" s="3"/>
      <c r="Q4" t="s">
        <v>15</v>
      </c>
      <c r="R4" t="s">
        <v>9</v>
      </c>
      <c r="S4" s="4">
        <v>0.63915509259258996</v>
      </c>
      <c r="T4" t="s">
        <v>4</v>
      </c>
      <c r="U4" t="s">
        <v>10</v>
      </c>
      <c r="V4" s="5">
        <v>0</v>
      </c>
      <c r="W4" s="5">
        <v>0</v>
      </c>
      <c r="X4" t="s">
        <v>4</v>
      </c>
      <c r="Y4" t="s">
        <v>4</v>
      </c>
    </row>
    <row r="5" spans="1:25" x14ac:dyDescent="0.2">
      <c r="A5" s="57" t="s">
        <v>0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16</v>
      </c>
      <c r="H5" t="s">
        <v>17</v>
      </c>
      <c r="I5" t="s">
        <v>18</v>
      </c>
      <c r="J5" s="2">
        <v>196</v>
      </c>
      <c r="K5" s="2">
        <v>0</v>
      </c>
      <c r="L5" s="2">
        <v>0</v>
      </c>
      <c r="M5" s="3">
        <v>45843</v>
      </c>
      <c r="N5" t="s">
        <v>4</v>
      </c>
      <c r="O5" s="3">
        <v>45843</v>
      </c>
      <c r="P5" s="3"/>
      <c r="Q5" t="s">
        <v>19</v>
      </c>
      <c r="R5" t="s">
        <v>20</v>
      </c>
      <c r="S5" s="4">
        <v>0.91809027777777996</v>
      </c>
      <c r="T5" t="s">
        <v>4</v>
      </c>
      <c r="U5" t="s">
        <v>10</v>
      </c>
      <c r="V5" s="5">
        <v>0</v>
      </c>
      <c r="W5" s="5">
        <v>0</v>
      </c>
      <c r="X5" t="s">
        <v>4</v>
      </c>
      <c r="Y5" t="s">
        <v>4</v>
      </c>
    </row>
    <row r="6" spans="1:25" x14ac:dyDescent="0.2">
      <c r="A6" s="57" t="s">
        <v>0</v>
      </c>
      <c r="B6" t="s">
        <v>1</v>
      </c>
      <c r="C6" t="s">
        <v>2</v>
      </c>
      <c r="D6" t="s">
        <v>3</v>
      </c>
      <c r="E6" t="s">
        <v>4</v>
      </c>
      <c r="F6" t="s">
        <v>4</v>
      </c>
      <c r="G6" t="s">
        <v>16</v>
      </c>
      <c r="H6" t="s">
        <v>21</v>
      </c>
      <c r="I6" t="s">
        <v>22</v>
      </c>
      <c r="J6" s="2">
        <v>196</v>
      </c>
      <c r="K6" s="2">
        <v>0</v>
      </c>
      <c r="L6" s="2">
        <v>0</v>
      </c>
      <c r="M6" s="3">
        <v>45843</v>
      </c>
      <c r="N6" t="s">
        <v>4</v>
      </c>
      <c r="O6" s="3">
        <v>45843</v>
      </c>
      <c r="P6" s="3"/>
      <c r="Q6" t="s">
        <v>23</v>
      </c>
      <c r="R6" t="s">
        <v>20</v>
      </c>
      <c r="S6" s="4">
        <v>0.73988425925926005</v>
      </c>
      <c r="T6" t="s">
        <v>4</v>
      </c>
      <c r="U6" t="s">
        <v>10</v>
      </c>
      <c r="V6" s="5">
        <v>0</v>
      </c>
      <c r="W6" s="5">
        <v>0</v>
      </c>
      <c r="X6" t="s">
        <v>4</v>
      </c>
      <c r="Y6" t="s">
        <v>4</v>
      </c>
    </row>
    <row r="7" spans="1:25" x14ac:dyDescent="0.2">
      <c r="A7" s="57" t="s">
        <v>0</v>
      </c>
      <c r="B7" t="s">
        <v>1</v>
      </c>
      <c r="C7" t="s">
        <v>2</v>
      </c>
      <c r="D7" t="s">
        <v>3</v>
      </c>
      <c r="E7" t="s">
        <v>4</v>
      </c>
      <c r="F7" t="s">
        <v>4</v>
      </c>
      <c r="G7" t="s">
        <v>16</v>
      </c>
      <c r="H7" t="s">
        <v>21</v>
      </c>
      <c r="I7" t="s">
        <v>24</v>
      </c>
      <c r="J7" s="2">
        <v>0</v>
      </c>
      <c r="K7" s="2">
        <v>0</v>
      </c>
      <c r="L7" s="2">
        <v>196</v>
      </c>
      <c r="M7" s="3">
        <v>45839</v>
      </c>
      <c r="N7" t="s">
        <v>4</v>
      </c>
      <c r="O7" s="3">
        <v>45860</v>
      </c>
      <c r="P7" s="3"/>
      <c r="Q7" t="s">
        <v>25</v>
      </c>
      <c r="R7" t="s">
        <v>20</v>
      </c>
      <c r="S7" s="4">
        <v>0.36907407407407</v>
      </c>
      <c r="T7" t="s">
        <v>4</v>
      </c>
      <c r="U7" t="s">
        <v>10</v>
      </c>
      <c r="V7" s="5">
        <v>0</v>
      </c>
      <c r="W7" s="5">
        <v>0</v>
      </c>
      <c r="X7" t="s">
        <v>4</v>
      </c>
      <c r="Y7" t="s">
        <v>4</v>
      </c>
    </row>
    <row r="8" spans="1:25" x14ac:dyDescent="0.2">
      <c r="A8" s="57" t="s">
        <v>0</v>
      </c>
      <c r="B8" t="s">
        <v>1</v>
      </c>
      <c r="C8" t="s">
        <v>2</v>
      </c>
      <c r="D8" t="s">
        <v>3</v>
      </c>
      <c r="E8" t="s">
        <v>4</v>
      </c>
      <c r="F8" t="s">
        <v>4</v>
      </c>
      <c r="G8" t="s">
        <v>16</v>
      </c>
      <c r="H8" t="s">
        <v>6</v>
      </c>
      <c r="I8" t="s">
        <v>26</v>
      </c>
      <c r="J8" s="2">
        <v>196</v>
      </c>
      <c r="K8" s="2">
        <v>0</v>
      </c>
      <c r="L8" s="2">
        <v>0</v>
      </c>
      <c r="M8" s="3">
        <v>45843</v>
      </c>
      <c r="N8" t="s">
        <v>4</v>
      </c>
      <c r="O8" s="3">
        <v>45843</v>
      </c>
      <c r="P8" s="3"/>
      <c r="Q8" t="s">
        <v>27</v>
      </c>
      <c r="R8" t="s">
        <v>20</v>
      </c>
      <c r="S8" s="4">
        <v>0.93057870370369999</v>
      </c>
      <c r="T8" t="s">
        <v>4</v>
      </c>
      <c r="U8" t="s">
        <v>10</v>
      </c>
      <c r="V8" s="5">
        <v>0</v>
      </c>
      <c r="W8" s="5">
        <v>0</v>
      </c>
      <c r="X8" t="s">
        <v>4</v>
      </c>
      <c r="Y8" t="s">
        <v>4</v>
      </c>
    </row>
    <row r="9" spans="1:25" x14ac:dyDescent="0.2">
      <c r="A9" s="57" t="s">
        <v>0</v>
      </c>
      <c r="B9" t="s">
        <v>1</v>
      </c>
      <c r="C9" t="s">
        <v>2</v>
      </c>
      <c r="D9" t="s">
        <v>3</v>
      </c>
      <c r="E9" t="s">
        <v>4</v>
      </c>
      <c r="F9" t="s">
        <v>4</v>
      </c>
      <c r="G9" t="s">
        <v>5</v>
      </c>
      <c r="H9" t="s">
        <v>17</v>
      </c>
      <c r="I9" t="s">
        <v>28</v>
      </c>
      <c r="J9" s="2">
        <v>196</v>
      </c>
      <c r="K9" s="2">
        <v>0</v>
      </c>
      <c r="L9" s="2">
        <v>0</v>
      </c>
      <c r="M9" s="3">
        <v>45839</v>
      </c>
      <c r="N9" t="s">
        <v>4</v>
      </c>
      <c r="O9" s="3">
        <v>45839</v>
      </c>
      <c r="P9" s="3"/>
      <c r="Q9" t="s">
        <v>29</v>
      </c>
      <c r="R9" t="s">
        <v>9</v>
      </c>
      <c r="S9" s="4">
        <v>0.41708333333332998</v>
      </c>
      <c r="T9" t="s">
        <v>4</v>
      </c>
      <c r="U9" t="s">
        <v>10</v>
      </c>
      <c r="V9" s="5">
        <v>0</v>
      </c>
      <c r="W9" s="5">
        <v>0</v>
      </c>
      <c r="X9" t="s">
        <v>4</v>
      </c>
      <c r="Y9" t="s">
        <v>4</v>
      </c>
    </row>
    <row r="10" spans="1:25" x14ac:dyDescent="0.2">
      <c r="A10" s="57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4</v>
      </c>
      <c r="G10" t="s">
        <v>5</v>
      </c>
      <c r="H10" t="s">
        <v>17</v>
      </c>
      <c r="I10" t="s">
        <v>28</v>
      </c>
      <c r="J10" s="2">
        <v>196</v>
      </c>
      <c r="K10" s="2">
        <v>0</v>
      </c>
      <c r="L10" s="2">
        <v>0</v>
      </c>
      <c r="M10" s="3">
        <v>45839</v>
      </c>
      <c r="N10" t="s">
        <v>4</v>
      </c>
      <c r="O10" s="3">
        <v>45839</v>
      </c>
      <c r="P10" s="3"/>
      <c r="Q10" t="s">
        <v>30</v>
      </c>
      <c r="R10" t="s">
        <v>9</v>
      </c>
      <c r="S10" s="4">
        <v>0.41708333333332998</v>
      </c>
      <c r="T10" t="s">
        <v>4</v>
      </c>
      <c r="U10" t="s">
        <v>10</v>
      </c>
      <c r="V10" s="5">
        <v>0</v>
      </c>
      <c r="W10" s="5">
        <v>0</v>
      </c>
      <c r="X10" t="s">
        <v>4</v>
      </c>
      <c r="Y10" t="s">
        <v>4</v>
      </c>
    </row>
    <row r="11" spans="1:25" x14ac:dyDescent="0.2">
      <c r="A11" s="57" t="s">
        <v>31</v>
      </c>
      <c r="B11" t="s">
        <v>32</v>
      </c>
      <c r="C11" t="s">
        <v>2</v>
      </c>
      <c r="D11" t="s">
        <v>3</v>
      </c>
      <c r="E11" t="s">
        <v>4</v>
      </c>
      <c r="F11" t="s">
        <v>4</v>
      </c>
      <c r="G11" t="s">
        <v>5</v>
      </c>
      <c r="H11" t="s">
        <v>17</v>
      </c>
      <c r="I11" t="s">
        <v>33</v>
      </c>
      <c r="J11" s="2">
        <v>147</v>
      </c>
      <c r="K11" s="2">
        <v>0</v>
      </c>
      <c r="L11" s="2">
        <v>0</v>
      </c>
      <c r="M11" s="3">
        <v>45851</v>
      </c>
      <c r="N11" t="s">
        <v>4</v>
      </c>
      <c r="O11" s="3">
        <v>45851</v>
      </c>
      <c r="P11" s="3"/>
      <c r="Q11" t="s">
        <v>34</v>
      </c>
      <c r="R11" t="s">
        <v>9</v>
      </c>
      <c r="S11" s="4">
        <v>0.55006944444443995</v>
      </c>
      <c r="T11" t="s">
        <v>4</v>
      </c>
      <c r="U11" t="s">
        <v>35</v>
      </c>
      <c r="V11" s="5">
        <v>0</v>
      </c>
      <c r="W11" s="5">
        <v>0</v>
      </c>
      <c r="X11" t="s">
        <v>4</v>
      </c>
      <c r="Y11" t="s">
        <v>4</v>
      </c>
    </row>
    <row r="12" spans="1:25" x14ac:dyDescent="0.2">
      <c r="A12" s="57" t="s">
        <v>31</v>
      </c>
      <c r="B12" t="s">
        <v>32</v>
      </c>
      <c r="C12" t="s">
        <v>2</v>
      </c>
      <c r="D12" t="s">
        <v>3</v>
      </c>
      <c r="E12" t="s">
        <v>4</v>
      </c>
      <c r="F12" t="s">
        <v>4</v>
      </c>
      <c r="G12" t="s">
        <v>5</v>
      </c>
      <c r="H12" t="s">
        <v>17</v>
      </c>
      <c r="I12" t="s">
        <v>33</v>
      </c>
      <c r="J12" s="2">
        <v>147</v>
      </c>
      <c r="K12" s="2">
        <v>0</v>
      </c>
      <c r="L12" s="2">
        <v>0</v>
      </c>
      <c r="M12" s="3">
        <v>45851</v>
      </c>
      <c r="N12" t="s">
        <v>4</v>
      </c>
      <c r="O12" s="3">
        <v>45851</v>
      </c>
      <c r="P12" s="3"/>
      <c r="Q12" t="s">
        <v>36</v>
      </c>
      <c r="R12" t="s">
        <v>9</v>
      </c>
      <c r="S12" s="4">
        <v>0.55006944444443995</v>
      </c>
      <c r="T12" t="s">
        <v>4</v>
      </c>
      <c r="U12" t="s">
        <v>35</v>
      </c>
      <c r="V12" s="5">
        <v>0</v>
      </c>
      <c r="W12" s="5">
        <v>0</v>
      </c>
      <c r="X12" t="s">
        <v>4</v>
      </c>
      <c r="Y12" t="s">
        <v>4</v>
      </c>
    </row>
    <row r="13" spans="1:25" x14ac:dyDescent="0.2">
      <c r="A13" s="57" t="s">
        <v>31</v>
      </c>
      <c r="B13" t="s">
        <v>32</v>
      </c>
      <c r="C13" t="s">
        <v>2</v>
      </c>
      <c r="D13" t="s">
        <v>3</v>
      </c>
      <c r="E13" t="s">
        <v>4</v>
      </c>
      <c r="F13" t="s">
        <v>4</v>
      </c>
      <c r="G13" t="s">
        <v>5</v>
      </c>
      <c r="H13" t="s">
        <v>17</v>
      </c>
      <c r="I13" t="s">
        <v>37</v>
      </c>
      <c r="J13" s="2">
        <v>147</v>
      </c>
      <c r="K13" s="2">
        <v>0</v>
      </c>
      <c r="L13" s="2">
        <v>0</v>
      </c>
      <c r="M13" s="3">
        <v>45850</v>
      </c>
      <c r="N13" t="s">
        <v>4</v>
      </c>
      <c r="O13" s="3">
        <v>45850</v>
      </c>
      <c r="P13" s="3"/>
      <c r="Q13" t="s">
        <v>38</v>
      </c>
      <c r="R13" t="s">
        <v>9</v>
      </c>
      <c r="S13" s="4">
        <v>0.74407407407407</v>
      </c>
      <c r="T13" t="s">
        <v>4</v>
      </c>
      <c r="U13" t="s">
        <v>35</v>
      </c>
      <c r="V13" s="5">
        <v>0</v>
      </c>
      <c r="W13" s="5">
        <v>0</v>
      </c>
      <c r="X13" t="s">
        <v>4</v>
      </c>
      <c r="Y13" t="s">
        <v>4</v>
      </c>
    </row>
    <row r="14" spans="1:25" x14ac:dyDescent="0.2">
      <c r="A14" s="57" t="s">
        <v>31</v>
      </c>
      <c r="B14" t="s">
        <v>32</v>
      </c>
      <c r="C14" t="s">
        <v>2</v>
      </c>
      <c r="D14" t="s">
        <v>3</v>
      </c>
      <c r="E14" t="s">
        <v>4</v>
      </c>
      <c r="F14" t="s">
        <v>4</v>
      </c>
      <c r="G14" t="s">
        <v>5</v>
      </c>
      <c r="H14" t="s">
        <v>17</v>
      </c>
      <c r="I14" t="s">
        <v>37</v>
      </c>
      <c r="J14" s="2">
        <v>147</v>
      </c>
      <c r="K14" s="2">
        <v>0</v>
      </c>
      <c r="L14" s="2">
        <v>0</v>
      </c>
      <c r="M14" s="3">
        <v>45850</v>
      </c>
      <c r="N14" t="s">
        <v>4</v>
      </c>
      <c r="O14" s="3">
        <v>45850</v>
      </c>
      <c r="P14" s="3"/>
      <c r="Q14" t="s">
        <v>39</v>
      </c>
      <c r="R14" t="s">
        <v>9</v>
      </c>
      <c r="S14" s="4">
        <v>0.74407407407407</v>
      </c>
      <c r="T14" t="s">
        <v>4</v>
      </c>
      <c r="U14" t="s">
        <v>35</v>
      </c>
      <c r="V14" s="5">
        <v>0</v>
      </c>
      <c r="W14" s="5">
        <v>0</v>
      </c>
      <c r="X14" t="s">
        <v>4</v>
      </c>
      <c r="Y14" t="s">
        <v>4</v>
      </c>
    </row>
    <row r="15" spans="1:25" x14ac:dyDescent="0.2">
      <c r="A15" s="57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4</v>
      </c>
      <c r="G15" t="s">
        <v>5</v>
      </c>
      <c r="H15" t="s">
        <v>6</v>
      </c>
      <c r="I15" t="s">
        <v>40</v>
      </c>
      <c r="J15" s="2">
        <v>196</v>
      </c>
      <c r="K15" s="2">
        <v>0</v>
      </c>
      <c r="L15" s="2">
        <v>0</v>
      </c>
      <c r="M15" s="3">
        <v>45839</v>
      </c>
      <c r="N15" t="s">
        <v>4</v>
      </c>
      <c r="O15" s="3">
        <v>45839</v>
      </c>
      <c r="P15" s="3"/>
      <c r="Q15" t="s">
        <v>41</v>
      </c>
      <c r="R15" t="s">
        <v>9</v>
      </c>
      <c r="S15" s="4">
        <v>0.68725694444443997</v>
      </c>
      <c r="T15" t="s">
        <v>4</v>
      </c>
      <c r="U15" t="s">
        <v>10</v>
      </c>
      <c r="V15" s="5">
        <v>0</v>
      </c>
      <c r="W15" s="5">
        <v>0</v>
      </c>
      <c r="X15" t="s">
        <v>4</v>
      </c>
      <c r="Y15" t="s">
        <v>4</v>
      </c>
    </row>
    <row r="16" spans="1:25" x14ac:dyDescent="0.2">
      <c r="A16" s="57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4</v>
      </c>
      <c r="G16" t="s">
        <v>5</v>
      </c>
      <c r="H16" t="s">
        <v>6</v>
      </c>
      <c r="I16" t="s">
        <v>40</v>
      </c>
      <c r="J16" s="2">
        <v>196</v>
      </c>
      <c r="K16" s="2">
        <v>0</v>
      </c>
      <c r="L16" s="2">
        <v>0</v>
      </c>
      <c r="M16" s="3">
        <v>45820</v>
      </c>
      <c r="N16" t="s">
        <v>4</v>
      </c>
      <c r="O16" s="3">
        <v>45820</v>
      </c>
      <c r="P16" s="3"/>
      <c r="Q16" t="s">
        <v>42</v>
      </c>
      <c r="R16" t="s">
        <v>9</v>
      </c>
      <c r="S16" s="4">
        <v>0.68725694444443997</v>
      </c>
      <c r="T16" t="s">
        <v>4</v>
      </c>
      <c r="U16" t="s">
        <v>10</v>
      </c>
      <c r="V16" s="5">
        <v>0</v>
      </c>
      <c r="W16" s="5">
        <v>0</v>
      </c>
      <c r="X16" t="s">
        <v>4</v>
      </c>
      <c r="Y16" t="s">
        <v>4</v>
      </c>
    </row>
    <row r="17" spans="1:25" x14ac:dyDescent="0.2">
      <c r="A17" s="5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4</v>
      </c>
      <c r="G17" t="s">
        <v>5</v>
      </c>
      <c r="H17" t="s">
        <v>21</v>
      </c>
      <c r="I17" t="s">
        <v>43</v>
      </c>
      <c r="J17" s="2">
        <v>196</v>
      </c>
      <c r="K17" s="2">
        <v>0</v>
      </c>
      <c r="L17" s="2">
        <v>0</v>
      </c>
      <c r="M17" s="3">
        <v>45819</v>
      </c>
      <c r="N17" t="s">
        <v>4</v>
      </c>
      <c r="O17" s="3">
        <v>45819</v>
      </c>
      <c r="P17" s="3"/>
      <c r="Q17" t="s">
        <v>44</v>
      </c>
      <c r="R17" t="s">
        <v>9</v>
      </c>
      <c r="S17" s="4">
        <v>0.41652777777778</v>
      </c>
      <c r="T17" t="s">
        <v>4</v>
      </c>
      <c r="U17" t="s">
        <v>10</v>
      </c>
      <c r="V17" s="5">
        <v>0</v>
      </c>
      <c r="W17" s="5">
        <v>0</v>
      </c>
      <c r="X17" t="s">
        <v>4</v>
      </c>
      <c r="Y17" t="s">
        <v>4</v>
      </c>
    </row>
    <row r="18" spans="1:25" x14ac:dyDescent="0.2">
      <c r="A18" s="57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</v>
      </c>
      <c r="G18" t="s">
        <v>5</v>
      </c>
      <c r="H18" t="s">
        <v>21</v>
      </c>
      <c r="I18" t="s">
        <v>43</v>
      </c>
      <c r="J18" s="2">
        <v>196</v>
      </c>
      <c r="K18" s="2">
        <v>0</v>
      </c>
      <c r="L18" s="2">
        <v>0</v>
      </c>
      <c r="M18" s="3">
        <v>45819</v>
      </c>
      <c r="N18" t="s">
        <v>4</v>
      </c>
      <c r="O18" s="3">
        <v>45819</v>
      </c>
      <c r="P18" s="3"/>
      <c r="Q18" t="s">
        <v>45</v>
      </c>
      <c r="R18" t="s">
        <v>9</v>
      </c>
      <c r="S18" s="4">
        <v>0.41652777777778</v>
      </c>
      <c r="T18" t="s">
        <v>4</v>
      </c>
      <c r="U18" t="s">
        <v>10</v>
      </c>
      <c r="V18" s="5">
        <v>0</v>
      </c>
      <c r="W18" s="5">
        <v>0</v>
      </c>
      <c r="X18" t="s">
        <v>4</v>
      </c>
      <c r="Y18" t="s">
        <v>4</v>
      </c>
    </row>
    <row r="19" spans="1:25" x14ac:dyDescent="0.2">
      <c r="A19" s="57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4</v>
      </c>
      <c r="G19" t="s">
        <v>5</v>
      </c>
      <c r="H19" t="s">
        <v>21</v>
      </c>
      <c r="I19" t="s">
        <v>46</v>
      </c>
      <c r="J19" s="2">
        <v>196</v>
      </c>
      <c r="K19" s="2">
        <v>0</v>
      </c>
      <c r="L19" s="2">
        <v>0</v>
      </c>
      <c r="M19" s="3">
        <v>45819</v>
      </c>
      <c r="N19" t="s">
        <v>4</v>
      </c>
      <c r="O19" s="3">
        <v>45819</v>
      </c>
      <c r="P19" s="3"/>
      <c r="Q19" t="s">
        <v>47</v>
      </c>
      <c r="R19" t="s">
        <v>9</v>
      </c>
      <c r="S19" s="4">
        <v>0.45192129629630001</v>
      </c>
      <c r="T19" t="s">
        <v>4</v>
      </c>
      <c r="U19" t="s">
        <v>10</v>
      </c>
      <c r="V19" s="5">
        <v>0</v>
      </c>
      <c r="W19" s="5">
        <v>0</v>
      </c>
      <c r="X19" t="s">
        <v>4</v>
      </c>
      <c r="Y19" t="s">
        <v>4</v>
      </c>
    </row>
    <row r="20" spans="1:25" x14ac:dyDescent="0.2">
      <c r="A20" s="57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4</v>
      </c>
      <c r="G20" t="s">
        <v>5</v>
      </c>
      <c r="H20" t="s">
        <v>21</v>
      </c>
      <c r="I20" t="s">
        <v>46</v>
      </c>
      <c r="J20" s="2">
        <v>196</v>
      </c>
      <c r="K20" s="2">
        <v>0</v>
      </c>
      <c r="L20" s="2">
        <v>0</v>
      </c>
      <c r="M20" s="3">
        <v>45819</v>
      </c>
      <c r="N20" t="s">
        <v>4</v>
      </c>
      <c r="O20" s="3">
        <v>45819</v>
      </c>
      <c r="P20" s="3"/>
      <c r="Q20" t="s">
        <v>48</v>
      </c>
      <c r="R20" t="s">
        <v>9</v>
      </c>
      <c r="S20" s="4">
        <v>0.45192129629630001</v>
      </c>
      <c r="T20" t="s">
        <v>4</v>
      </c>
      <c r="U20" t="s">
        <v>10</v>
      </c>
      <c r="V20" s="5">
        <v>0</v>
      </c>
      <c r="W20" s="5">
        <v>0</v>
      </c>
      <c r="X20" t="s">
        <v>4</v>
      </c>
      <c r="Y20" t="s">
        <v>4</v>
      </c>
    </row>
    <row r="21" spans="1:25" x14ac:dyDescent="0.2">
      <c r="A21" s="57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4</v>
      </c>
      <c r="G21" t="s">
        <v>5</v>
      </c>
      <c r="H21" t="s">
        <v>6</v>
      </c>
      <c r="I21" t="s">
        <v>49</v>
      </c>
      <c r="J21" s="2">
        <v>196</v>
      </c>
      <c r="K21" s="2">
        <v>0</v>
      </c>
      <c r="L21" s="2">
        <v>0</v>
      </c>
      <c r="M21" s="3">
        <v>45819</v>
      </c>
      <c r="N21" t="s">
        <v>4</v>
      </c>
      <c r="O21" s="3">
        <v>45819</v>
      </c>
      <c r="P21" s="3"/>
      <c r="Q21" t="s">
        <v>50</v>
      </c>
      <c r="R21" t="s">
        <v>9</v>
      </c>
      <c r="S21" s="4">
        <v>0.97399305555556004</v>
      </c>
      <c r="T21" t="s">
        <v>4</v>
      </c>
      <c r="U21" t="s">
        <v>10</v>
      </c>
      <c r="V21" s="5">
        <v>0</v>
      </c>
      <c r="W21" s="5">
        <v>0</v>
      </c>
      <c r="X21" t="s">
        <v>4</v>
      </c>
      <c r="Y21" t="s">
        <v>4</v>
      </c>
    </row>
    <row r="22" spans="1:25" x14ac:dyDescent="0.2">
      <c r="A22" s="57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4</v>
      </c>
      <c r="G22" t="s">
        <v>5</v>
      </c>
      <c r="H22" t="s">
        <v>6</v>
      </c>
      <c r="I22" t="s">
        <v>49</v>
      </c>
      <c r="J22" s="2">
        <v>196</v>
      </c>
      <c r="K22" s="2">
        <v>0</v>
      </c>
      <c r="L22" s="2">
        <v>0</v>
      </c>
      <c r="M22" s="3">
        <v>45819</v>
      </c>
      <c r="N22" t="s">
        <v>4</v>
      </c>
      <c r="O22" s="3">
        <v>45819</v>
      </c>
      <c r="P22" s="3"/>
      <c r="Q22" t="s">
        <v>51</v>
      </c>
      <c r="R22" t="s">
        <v>9</v>
      </c>
      <c r="S22" s="4">
        <v>0.97399305555556004</v>
      </c>
      <c r="T22" t="s">
        <v>4</v>
      </c>
      <c r="U22" t="s">
        <v>10</v>
      </c>
      <c r="V22" s="5">
        <v>0</v>
      </c>
      <c r="W22" s="5">
        <v>0</v>
      </c>
      <c r="X22" t="s">
        <v>4</v>
      </c>
      <c r="Y22" t="s">
        <v>4</v>
      </c>
    </row>
    <row r="23" spans="1:25" x14ac:dyDescent="0.2">
      <c r="A23" s="57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4</v>
      </c>
      <c r="G23" t="s">
        <v>5</v>
      </c>
      <c r="H23" t="s">
        <v>6</v>
      </c>
      <c r="I23" t="s">
        <v>52</v>
      </c>
      <c r="J23" s="2">
        <v>196</v>
      </c>
      <c r="K23" s="2">
        <v>0</v>
      </c>
      <c r="L23" s="2">
        <v>0</v>
      </c>
      <c r="M23" s="3">
        <v>45819</v>
      </c>
      <c r="N23" t="s">
        <v>4</v>
      </c>
      <c r="O23" s="3">
        <v>45819</v>
      </c>
      <c r="P23" s="3"/>
      <c r="Q23" t="s">
        <v>53</v>
      </c>
      <c r="R23" t="s">
        <v>9</v>
      </c>
      <c r="S23" s="4">
        <v>0.41334490740740998</v>
      </c>
      <c r="T23" t="s">
        <v>4</v>
      </c>
      <c r="U23" t="s">
        <v>10</v>
      </c>
      <c r="V23" s="5">
        <v>0</v>
      </c>
      <c r="W23" s="5">
        <v>0</v>
      </c>
      <c r="X23" t="s">
        <v>4</v>
      </c>
      <c r="Y23" t="s">
        <v>4</v>
      </c>
    </row>
    <row r="24" spans="1:25" x14ac:dyDescent="0.2">
      <c r="A24" s="57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4</v>
      </c>
      <c r="G24" t="s">
        <v>5</v>
      </c>
      <c r="H24" t="s">
        <v>6</v>
      </c>
      <c r="I24" t="s">
        <v>52</v>
      </c>
      <c r="J24" s="2">
        <v>196</v>
      </c>
      <c r="K24" s="2">
        <v>0</v>
      </c>
      <c r="L24" s="2">
        <v>0</v>
      </c>
      <c r="M24" s="3">
        <v>45819</v>
      </c>
      <c r="N24" t="s">
        <v>4</v>
      </c>
      <c r="O24" s="3">
        <v>45819</v>
      </c>
      <c r="P24" s="3"/>
      <c r="Q24" t="s">
        <v>54</v>
      </c>
      <c r="R24" t="s">
        <v>9</v>
      </c>
      <c r="S24" s="4">
        <v>0.41334490740740998</v>
      </c>
      <c r="T24" t="s">
        <v>4</v>
      </c>
      <c r="U24" t="s">
        <v>10</v>
      </c>
      <c r="V24" s="5">
        <v>0</v>
      </c>
      <c r="W24" s="5">
        <v>0</v>
      </c>
      <c r="X24" t="s">
        <v>4</v>
      </c>
      <c r="Y24" t="s">
        <v>4</v>
      </c>
    </row>
    <row r="25" spans="1:25" x14ac:dyDescent="0.2">
      <c r="A25" s="57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4</v>
      </c>
      <c r="G25" t="s">
        <v>5</v>
      </c>
      <c r="H25" t="s">
        <v>6</v>
      </c>
      <c r="I25" t="s">
        <v>55</v>
      </c>
      <c r="J25" s="2">
        <v>196</v>
      </c>
      <c r="K25" s="2">
        <v>0</v>
      </c>
      <c r="L25" s="2">
        <v>0</v>
      </c>
      <c r="M25" s="3">
        <v>45819</v>
      </c>
      <c r="N25" t="s">
        <v>4</v>
      </c>
      <c r="O25" s="3">
        <v>45819</v>
      </c>
      <c r="P25" s="3"/>
      <c r="Q25" t="s">
        <v>56</v>
      </c>
      <c r="R25" t="s">
        <v>9</v>
      </c>
      <c r="S25" s="4">
        <v>0.40885416666667002</v>
      </c>
      <c r="T25" t="s">
        <v>4</v>
      </c>
      <c r="U25" t="s">
        <v>10</v>
      </c>
      <c r="V25" s="5">
        <v>0</v>
      </c>
      <c r="W25" s="5">
        <v>0</v>
      </c>
      <c r="X25" t="s">
        <v>4</v>
      </c>
      <c r="Y25" t="s">
        <v>4</v>
      </c>
    </row>
    <row r="26" spans="1:25" x14ac:dyDescent="0.2">
      <c r="A26" s="57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4</v>
      </c>
      <c r="G26" t="s">
        <v>5</v>
      </c>
      <c r="H26" t="s">
        <v>6</v>
      </c>
      <c r="I26" t="s">
        <v>55</v>
      </c>
      <c r="J26" s="2">
        <v>196</v>
      </c>
      <c r="K26" s="2">
        <v>0</v>
      </c>
      <c r="L26" s="2">
        <v>0</v>
      </c>
      <c r="M26" s="3">
        <v>45819</v>
      </c>
      <c r="N26" t="s">
        <v>4</v>
      </c>
      <c r="O26" s="3">
        <v>45819</v>
      </c>
      <c r="P26" s="3"/>
      <c r="Q26" t="s">
        <v>57</v>
      </c>
      <c r="R26" t="s">
        <v>9</v>
      </c>
      <c r="S26" s="4">
        <v>0.40885416666667002</v>
      </c>
      <c r="T26" t="s">
        <v>4</v>
      </c>
      <c r="U26" t="s">
        <v>10</v>
      </c>
      <c r="V26" s="5">
        <v>0</v>
      </c>
      <c r="W26" s="5">
        <v>0</v>
      </c>
      <c r="X26" t="s">
        <v>4</v>
      </c>
      <c r="Y26" t="s">
        <v>4</v>
      </c>
    </row>
    <row r="27" spans="1:25" x14ac:dyDescent="0.2">
      <c r="A27" s="5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</v>
      </c>
      <c r="G27" t="s">
        <v>5</v>
      </c>
      <c r="H27" t="s">
        <v>21</v>
      </c>
      <c r="I27" t="s">
        <v>58</v>
      </c>
      <c r="J27" s="2">
        <v>196</v>
      </c>
      <c r="K27" s="2">
        <v>0</v>
      </c>
      <c r="L27" s="2">
        <v>0</v>
      </c>
      <c r="M27" s="3">
        <v>45820</v>
      </c>
      <c r="N27" t="s">
        <v>4</v>
      </c>
      <c r="O27" s="3">
        <v>45820</v>
      </c>
      <c r="P27" s="3"/>
      <c r="Q27" t="s">
        <v>59</v>
      </c>
      <c r="R27" t="s">
        <v>9</v>
      </c>
      <c r="S27" s="4">
        <v>0.70377314814814995</v>
      </c>
      <c r="T27" t="s">
        <v>4</v>
      </c>
      <c r="U27" t="s">
        <v>10</v>
      </c>
      <c r="V27" s="5">
        <v>0</v>
      </c>
      <c r="W27" s="5">
        <v>0</v>
      </c>
      <c r="X27" t="s">
        <v>4</v>
      </c>
      <c r="Y27" t="s">
        <v>4</v>
      </c>
    </row>
    <row r="28" spans="1:25" x14ac:dyDescent="0.2">
      <c r="A28" s="57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4</v>
      </c>
      <c r="G28" t="s">
        <v>5</v>
      </c>
      <c r="H28" t="s">
        <v>21</v>
      </c>
      <c r="I28" t="s">
        <v>58</v>
      </c>
      <c r="J28" s="2">
        <v>196</v>
      </c>
      <c r="K28" s="2">
        <v>0</v>
      </c>
      <c r="L28" s="2">
        <v>0</v>
      </c>
      <c r="M28" s="3">
        <v>45820</v>
      </c>
      <c r="N28" t="s">
        <v>4</v>
      </c>
      <c r="O28" s="3">
        <v>45820</v>
      </c>
      <c r="P28" s="3"/>
      <c r="Q28" t="s">
        <v>60</v>
      </c>
      <c r="R28" t="s">
        <v>9</v>
      </c>
      <c r="S28" s="4">
        <v>0.70377314814814995</v>
      </c>
      <c r="T28" t="s">
        <v>4</v>
      </c>
      <c r="U28" t="s">
        <v>10</v>
      </c>
      <c r="V28" s="5">
        <v>0</v>
      </c>
      <c r="W28" s="5">
        <v>0</v>
      </c>
      <c r="X28" t="s">
        <v>4</v>
      </c>
      <c r="Y28" t="s">
        <v>4</v>
      </c>
    </row>
    <row r="29" spans="1:25" x14ac:dyDescent="0.2">
      <c r="A29" s="57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</v>
      </c>
      <c r="G29" t="s">
        <v>5</v>
      </c>
      <c r="H29" t="s">
        <v>6</v>
      </c>
      <c r="I29" t="s">
        <v>61</v>
      </c>
      <c r="J29" s="2">
        <v>196</v>
      </c>
      <c r="K29" s="2">
        <v>0</v>
      </c>
      <c r="L29" s="2">
        <v>0</v>
      </c>
      <c r="M29" s="3">
        <v>45820</v>
      </c>
      <c r="N29" t="s">
        <v>4</v>
      </c>
      <c r="O29" s="3">
        <v>45820</v>
      </c>
      <c r="P29" s="3"/>
      <c r="Q29" t="s">
        <v>62</v>
      </c>
      <c r="R29" t="s">
        <v>9</v>
      </c>
      <c r="S29" s="4">
        <v>0.83832175925926</v>
      </c>
      <c r="T29" t="s">
        <v>4</v>
      </c>
      <c r="U29" t="s">
        <v>10</v>
      </c>
      <c r="V29" s="5">
        <v>0</v>
      </c>
      <c r="W29" s="5">
        <v>0</v>
      </c>
      <c r="X29" t="s">
        <v>4</v>
      </c>
      <c r="Y29" t="s">
        <v>4</v>
      </c>
    </row>
    <row r="30" spans="1:25" x14ac:dyDescent="0.2">
      <c r="A30" s="57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</v>
      </c>
      <c r="G30" t="s">
        <v>5</v>
      </c>
      <c r="H30" t="s">
        <v>6</v>
      </c>
      <c r="I30" t="s">
        <v>61</v>
      </c>
      <c r="J30" s="2">
        <v>196</v>
      </c>
      <c r="K30" s="2">
        <v>0</v>
      </c>
      <c r="L30" s="2">
        <v>0</v>
      </c>
      <c r="M30" s="3">
        <v>45820</v>
      </c>
      <c r="N30" t="s">
        <v>4</v>
      </c>
      <c r="O30" s="3">
        <v>45820</v>
      </c>
      <c r="P30" s="3"/>
      <c r="Q30" t="s">
        <v>63</v>
      </c>
      <c r="R30" t="s">
        <v>9</v>
      </c>
      <c r="S30" s="4">
        <v>0.83832175925926</v>
      </c>
      <c r="T30" t="s">
        <v>4</v>
      </c>
      <c r="U30" t="s">
        <v>10</v>
      </c>
      <c r="V30" s="5">
        <v>0</v>
      </c>
      <c r="W30" s="5">
        <v>0</v>
      </c>
      <c r="X30" t="s">
        <v>4</v>
      </c>
      <c r="Y30" t="s">
        <v>4</v>
      </c>
    </row>
    <row r="31" spans="1:25" x14ac:dyDescent="0.2">
      <c r="A31" s="57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</v>
      </c>
      <c r="G31" t="s">
        <v>5</v>
      </c>
      <c r="H31" t="s">
        <v>21</v>
      </c>
      <c r="I31" t="s">
        <v>64</v>
      </c>
      <c r="J31" s="2">
        <v>196</v>
      </c>
      <c r="K31" s="2">
        <v>0</v>
      </c>
      <c r="L31" s="2">
        <v>0</v>
      </c>
      <c r="M31" s="3">
        <v>45820</v>
      </c>
      <c r="N31" t="s">
        <v>4</v>
      </c>
      <c r="O31" s="3">
        <v>45820</v>
      </c>
      <c r="P31" s="3"/>
      <c r="Q31" t="s">
        <v>65</v>
      </c>
      <c r="R31" t="s">
        <v>9</v>
      </c>
      <c r="S31" s="4">
        <v>0.62542824074073999</v>
      </c>
      <c r="T31" t="s">
        <v>4</v>
      </c>
      <c r="U31" t="s">
        <v>10</v>
      </c>
      <c r="V31" s="5">
        <v>0</v>
      </c>
      <c r="W31" s="5">
        <v>0</v>
      </c>
      <c r="X31" t="s">
        <v>4</v>
      </c>
      <c r="Y31" t="s">
        <v>4</v>
      </c>
    </row>
    <row r="32" spans="1:25" x14ac:dyDescent="0.2">
      <c r="A32" s="57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</v>
      </c>
      <c r="G32" t="s">
        <v>5</v>
      </c>
      <c r="H32" t="s">
        <v>21</v>
      </c>
      <c r="I32" t="s">
        <v>64</v>
      </c>
      <c r="J32" s="2">
        <v>196</v>
      </c>
      <c r="K32" s="2">
        <v>0</v>
      </c>
      <c r="L32" s="2">
        <v>0</v>
      </c>
      <c r="M32" s="3">
        <v>45820</v>
      </c>
      <c r="N32" t="s">
        <v>4</v>
      </c>
      <c r="O32" s="3">
        <v>45820</v>
      </c>
      <c r="P32" s="3"/>
      <c r="Q32" t="s">
        <v>66</v>
      </c>
      <c r="R32" t="s">
        <v>9</v>
      </c>
      <c r="S32" s="4">
        <v>0.62542824074073999</v>
      </c>
      <c r="T32" t="s">
        <v>4</v>
      </c>
      <c r="U32" t="s">
        <v>10</v>
      </c>
      <c r="V32" s="5">
        <v>0</v>
      </c>
      <c r="W32" s="5">
        <v>0</v>
      </c>
      <c r="X32" t="s">
        <v>4</v>
      </c>
      <c r="Y32" t="s">
        <v>4</v>
      </c>
    </row>
    <row r="33" spans="1:25" x14ac:dyDescent="0.2">
      <c r="A33" s="57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</v>
      </c>
      <c r="G33" t="s">
        <v>16</v>
      </c>
      <c r="H33" t="s">
        <v>6</v>
      </c>
      <c r="I33" t="s">
        <v>67</v>
      </c>
      <c r="J33" s="2">
        <v>196</v>
      </c>
      <c r="K33" s="2">
        <v>0</v>
      </c>
      <c r="L33" s="2">
        <v>0</v>
      </c>
      <c r="M33" s="3">
        <v>45843</v>
      </c>
      <c r="N33" t="s">
        <v>4</v>
      </c>
      <c r="O33" s="3">
        <v>45843</v>
      </c>
      <c r="P33" s="3"/>
      <c r="Q33" t="s">
        <v>68</v>
      </c>
      <c r="R33" t="s">
        <v>20</v>
      </c>
      <c r="S33" s="4">
        <v>0.73348379629630001</v>
      </c>
      <c r="T33" t="s">
        <v>4</v>
      </c>
      <c r="U33" t="s">
        <v>10</v>
      </c>
      <c r="V33" s="5">
        <v>0</v>
      </c>
      <c r="W33" s="5">
        <v>0</v>
      </c>
      <c r="X33" t="s">
        <v>4</v>
      </c>
      <c r="Y33" t="s">
        <v>4</v>
      </c>
    </row>
    <row r="34" spans="1:25" x14ac:dyDescent="0.2">
      <c r="A34" s="57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</v>
      </c>
      <c r="G34" t="s">
        <v>16</v>
      </c>
      <c r="H34" t="s">
        <v>6</v>
      </c>
      <c r="I34" t="s">
        <v>69</v>
      </c>
      <c r="J34" s="2">
        <v>196</v>
      </c>
      <c r="K34" s="2">
        <v>0</v>
      </c>
      <c r="L34" s="2">
        <v>0</v>
      </c>
      <c r="M34" s="3">
        <v>45843</v>
      </c>
      <c r="N34" t="s">
        <v>4</v>
      </c>
      <c r="O34" s="3">
        <v>45843</v>
      </c>
      <c r="P34" s="3"/>
      <c r="Q34" t="s">
        <v>70</v>
      </c>
      <c r="R34" t="s">
        <v>20</v>
      </c>
      <c r="S34" s="4">
        <v>0.73067129629630001</v>
      </c>
      <c r="T34" t="s">
        <v>4</v>
      </c>
      <c r="U34" t="s">
        <v>10</v>
      </c>
      <c r="V34" s="5">
        <v>0</v>
      </c>
      <c r="W34" s="5">
        <v>0</v>
      </c>
      <c r="X34" t="s">
        <v>4</v>
      </c>
      <c r="Y34" t="s">
        <v>4</v>
      </c>
    </row>
    <row r="35" spans="1:25" x14ac:dyDescent="0.2">
      <c r="A35" s="57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4</v>
      </c>
      <c r="G35" t="s">
        <v>16</v>
      </c>
      <c r="H35" t="s">
        <v>6</v>
      </c>
      <c r="I35" t="s">
        <v>71</v>
      </c>
      <c r="J35" s="2">
        <v>196</v>
      </c>
      <c r="K35" s="2">
        <v>0</v>
      </c>
      <c r="L35" s="2">
        <v>0</v>
      </c>
      <c r="M35" s="3">
        <v>45843</v>
      </c>
      <c r="N35" t="s">
        <v>4</v>
      </c>
      <c r="O35" s="3">
        <v>45843</v>
      </c>
      <c r="P35" s="3"/>
      <c r="Q35" t="s">
        <v>72</v>
      </c>
      <c r="R35" t="s">
        <v>20</v>
      </c>
      <c r="S35" s="4">
        <v>0.82797453703704005</v>
      </c>
      <c r="T35" t="s">
        <v>4</v>
      </c>
      <c r="U35" t="s">
        <v>10</v>
      </c>
      <c r="V35" s="5">
        <v>0</v>
      </c>
      <c r="W35" s="5">
        <v>0</v>
      </c>
      <c r="X35" t="s">
        <v>4</v>
      </c>
      <c r="Y35" t="s">
        <v>4</v>
      </c>
    </row>
    <row r="36" spans="1:25" x14ac:dyDescent="0.2">
      <c r="A36" s="57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4</v>
      </c>
      <c r="G36" t="s">
        <v>16</v>
      </c>
      <c r="H36" t="s">
        <v>6</v>
      </c>
      <c r="I36" t="s">
        <v>73</v>
      </c>
      <c r="J36" s="2">
        <v>196</v>
      </c>
      <c r="K36" s="2">
        <v>0</v>
      </c>
      <c r="L36" s="2">
        <v>0</v>
      </c>
      <c r="M36" s="3">
        <v>45843</v>
      </c>
      <c r="N36" t="s">
        <v>4</v>
      </c>
      <c r="O36" s="3">
        <v>45843</v>
      </c>
      <c r="P36" s="3"/>
      <c r="Q36" t="s">
        <v>74</v>
      </c>
      <c r="R36" t="s">
        <v>20</v>
      </c>
      <c r="S36" s="4">
        <v>0.92805555555555996</v>
      </c>
      <c r="T36" t="s">
        <v>4</v>
      </c>
      <c r="U36" t="s">
        <v>10</v>
      </c>
      <c r="V36" s="5">
        <v>0</v>
      </c>
      <c r="W36" s="5">
        <v>0</v>
      </c>
      <c r="X36" t="s">
        <v>4</v>
      </c>
      <c r="Y36" t="s">
        <v>4</v>
      </c>
    </row>
    <row r="37" spans="1:25" x14ac:dyDescent="0.2">
      <c r="A37" s="5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4</v>
      </c>
      <c r="G37" t="s">
        <v>16</v>
      </c>
      <c r="H37" t="s">
        <v>6</v>
      </c>
      <c r="I37" t="s">
        <v>75</v>
      </c>
      <c r="J37" s="2">
        <v>196</v>
      </c>
      <c r="K37" s="2">
        <v>0</v>
      </c>
      <c r="L37" s="2">
        <v>0</v>
      </c>
      <c r="M37" s="3">
        <v>45843</v>
      </c>
      <c r="N37" t="s">
        <v>4</v>
      </c>
      <c r="O37" s="3">
        <v>45843</v>
      </c>
      <c r="P37" s="3"/>
      <c r="Q37" t="s">
        <v>76</v>
      </c>
      <c r="R37" t="s">
        <v>20</v>
      </c>
      <c r="S37" s="4">
        <v>0.82210648148148002</v>
      </c>
      <c r="T37" t="s">
        <v>4</v>
      </c>
      <c r="U37" t="s">
        <v>10</v>
      </c>
      <c r="V37" s="5">
        <v>0</v>
      </c>
      <c r="W37" s="5">
        <v>0</v>
      </c>
      <c r="X37" t="s">
        <v>4</v>
      </c>
      <c r="Y37" t="s">
        <v>4</v>
      </c>
    </row>
    <row r="38" spans="1:25" x14ac:dyDescent="0.2">
      <c r="A38" s="57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4</v>
      </c>
      <c r="G38" t="s">
        <v>16</v>
      </c>
      <c r="H38" t="s">
        <v>6</v>
      </c>
      <c r="I38" t="s">
        <v>77</v>
      </c>
      <c r="J38" s="2">
        <v>196</v>
      </c>
      <c r="K38" s="2">
        <v>0</v>
      </c>
      <c r="L38" s="2">
        <v>0</v>
      </c>
      <c r="M38" s="3">
        <v>45843</v>
      </c>
      <c r="N38" t="s">
        <v>4</v>
      </c>
      <c r="O38" s="3">
        <v>45843</v>
      </c>
      <c r="P38" s="3"/>
      <c r="Q38" t="s">
        <v>78</v>
      </c>
      <c r="R38" t="s">
        <v>20</v>
      </c>
      <c r="S38" s="4">
        <v>0.81241898148147995</v>
      </c>
      <c r="T38" t="s">
        <v>4</v>
      </c>
      <c r="U38" t="s">
        <v>10</v>
      </c>
      <c r="V38" s="5">
        <v>0</v>
      </c>
      <c r="W38" s="5">
        <v>0</v>
      </c>
      <c r="X38" t="s">
        <v>4</v>
      </c>
      <c r="Y38" t="s">
        <v>4</v>
      </c>
    </row>
    <row r="39" spans="1:25" x14ac:dyDescent="0.2">
      <c r="A39" s="57" t="s">
        <v>31</v>
      </c>
      <c r="B39" t="s">
        <v>32</v>
      </c>
      <c r="C39" t="s">
        <v>2</v>
      </c>
      <c r="D39" t="s">
        <v>3</v>
      </c>
      <c r="E39" t="s">
        <v>4</v>
      </c>
      <c r="F39" t="s">
        <v>4</v>
      </c>
      <c r="G39" t="s">
        <v>16</v>
      </c>
      <c r="H39" t="s">
        <v>17</v>
      </c>
      <c r="I39" t="s">
        <v>79</v>
      </c>
      <c r="J39" s="2">
        <v>147</v>
      </c>
      <c r="K39" s="2">
        <v>0</v>
      </c>
      <c r="L39" s="2">
        <v>0</v>
      </c>
      <c r="M39" s="3">
        <v>45851</v>
      </c>
      <c r="N39" t="s">
        <v>4</v>
      </c>
      <c r="O39" s="3">
        <v>45851</v>
      </c>
      <c r="P39" s="3"/>
      <c r="Q39" t="s">
        <v>80</v>
      </c>
      <c r="R39" t="s">
        <v>20</v>
      </c>
      <c r="S39" s="4">
        <v>0.54766203703703997</v>
      </c>
      <c r="T39" t="s">
        <v>4</v>
      </c>
      <c r="U39" t="s">
        <v>35</v>
      </c>
      <c r="V39" s="5">
        <v>0</v>
      </c>
      <c r="W39" s="5">
        <v>0</v>
      </c>
      <c r="X39" t="s">
        <v>4</v>
      </c>
      <c r="Y39" t="s">
        <v>4</v>
      </c>
    </row>
    <row r="40" spans="1:25" x14ac:dyDescent="0.2">
      <c r="A40" s="57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4</v>
      </c>
      <c r="G40" t="s">
        <v>16</v>
      </c>
      <c r="H40" t="s">
        <v>6</v>
      </c>
      <c r="I40" t="s">
        <v>81</v>
      </c>
      <c r="J40" s="2">
        <v>196</v>
      </c>
      <c r="K40" s="2">
        <v>0</v>
      </c>
      <c r="L40" s="2">
        <v>0</v>
      </c>
      <c r="M40" s="3">
        <v>45843</v>
      </c>
      <c r="N40" t="s">
        <v>4</v>
      </c>
      <c r="O40" s="3">
        <v>45843</v>
      </c>
      <c r="P40" s="3"/>
      <c r="Q40" t="s">
        <v>82</v>
      </c>
      <c r="R40" t="s">
        <v>20</v>
      </c>
      <c r="S40" s="4">
        <v>0.81277777777778004</v>
      </c>
      <c r="T40" t="s">
        <v>4</v>
      </c>
      <c r="U40" t="s">
        <v>10</v>
      </c>
      <c r="V40" s="5">
        <v>0</v>
      </c>
      <c r="W40" s="5">
        <v>0</v>
      </c>
      <c r="X40" t="s">
        <v>4</v>
      </c>
      <c r="Y40" t="s">
        <v>4</v>
      </c>
    </row>
    <row r="41" spans="1:25" x14ac:dyDescent="0.2">
      <c r="A41" s="57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4</v>
      </c>
      <c r="G41" t="s">
        <v>5</v>
      </c>
      <c r="H41" t="s">
        <v>6</v>
      </c>
      <c r="I41" t="s">
        <v>83</v>
      </c>
      <c r="J41" s="2">
        <v>196</v>
      </c>
      <c r="K41" s="2">
        <v>0</v>
      </c>
      <c r="L41" s="2">
        <v>0</v>
      </c>
      <c r="M41" s="3">
        <v>45819</v>
      </c>
      <c r="N41" t="s">
        <v>4</v>
      </c>
      <c r="O41" s="3">
        <v>45819</v>
      </c>
      <c r="P41" s="3"/>
      <c r="Q41" t="s">
        <v>84</v>
      </c>
      <c r="R41" t="s">
        <v>9</v>
      </c>
      <c r="S41" s="4">
        <v>0.98570601851852002</v>
      </c>
      <c r="T41" t="s">
        <v>4</v>
      </c>
      <c r="U41" t="s">
        <v>10</v>
      </c>
      <c r="V41" s="5">
        <v>0</v>
      </c>
      <c r="W41" s="5">
        <v>0</v>
      </c>
      <c r="X41" t="s">
        <v>4</v>
      </c>
      <c r="Y41" t="s">
        <v>4</v>
      </c>
    </row>
    <row r="42" spans="1:25" x14ac:dyDescent="0.2">
      <c r="A42" s="57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4</v>
      </c>
      <c r="G42" t="s">
        <v>5</v>
      </c>
      <c r="H42" t="s">
        <v>6</v>
      </c>
      <c r="I42" t="s">
        <v>83</v>
      </c>
      <c r="J42" s="2">
        <v>196</v>
      </c>
      <c r="K42" s="2">
        <v>0</v>
      </c>
      <c r="L42" s="2">
        <v>0</v>
      </c>
      <c r="M42" s="3">
        <v>45819</v>
      </c>
      <c r="N42" t="s">
        <v>4</v>
      </c>
      <c r="O42" s="3">
        <v>45819</v>
      </c>
      <c r="P42" s="3"/>
      <c r="Q42" t="s">
        <v>85</v>
      </c>
      <c r="R42" t="s">
        <v>9</v>
      </c>
      <c r="S42" s="4">
        <v>0.98570601851852002</v>
      </c>
      <c r="T42" t="s">
        <v>4</v>
      </c>
      <c r="U42" t="s">
        <v>10</v>
      </c>
      <c r="V42" s="5">
        <v>0</v>
      </c>
      <c r="W42" s="5">
        <v>0</v>
      </c>
      <c r="X42" t="s">
        <v>4</v>
      </c>
      <c r="Y42" t="s">
        <v>4</v>
      </c>
    </row>
    <row r="43" spans="1:25" x14ac:dyDescent="0.2">
      <c r="A43" s="57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4</v>
      </c>
      <c r="G43" t="s">
        <v>5</v>
      </c>
      <c r="H43" t="s">
        <v>6</v>
      </c>
      <c r="I43" t="s">
        <v>86</v>
      </c>
      <c r="J43" s="2">
        <v>196</v>
      </c>
      <c r="K43" s="2">
        <v>0</v>
      </c>
      <c r="L43" s="2">
        <v>0</v>
      </c>
      <c r="M43" s="3">
        <v>45819</v>
      </c>
      <c r="N43" t="s">
        <v>4</v>
      </c>
      <c r="O43" s="3">
        <v>45819</v>
      </c>
      <c r="P43" s="3"/>
      <c r="Q43" t="s">
        <v>87</v>
      </c>
      <c r="R43" t="s">
        <v>9</v>
      </c>
      <c r="S43" s="4">
        <v>0.34835648148148002</v>
      </c>
      <c r="T43" t="s">
        <v>4</v>
      </c>
      <c r="U43" t="s">
        <v>10</v>
      </c>
      <c r="V43" s="5">
        <v>0</v>
      </c>
      <c r="W43" s="5">
        <v>0</v>
      </c>
      <c r="X43" t="s">
        <v>4</v>
      </c>
      <c r="Y43" t="s">
        <v>4</v>
      </c>
    </row>
    <row r="44" spans="1:25" x14ac:dyDescent="0.2">
      <c r="A44" s="57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4</v>
      </c>
      <c r="G44" t="s">
        <v>5</v>
      </c>
      <c r="H44" t="s">
        <v>6</v>
      </c>
      <c r="I44" t="s">
        <v>86</v>
      </c>
      <c r="J44" s="2">
        <v>196</v>
      </c>
      <c r="K44" s="2">
        <v>0</v>
      </c>
      <c r="L44" s="2">
        <v>0</v>
      </c>
      <c r="M44" s="3">
        <v>45819</v>
      </c>
      <c r="N44" t="s">
        <v>4</v>
      </c>
      <c r="O44" s="3">
        <v>45819</v>
      </c>
      <c r="P44" s="3"/>
      <c r="Q44" t="s">
        <v>88</v>
      </c>
      <c r="R44" t="s">
        <v>9</v>
      </c>
      <c r="S44" s="4">
        <v>0.34835648148148002</v>
      </c>
      <c r="T44" t="s">
        <v>4</v>
      </c>
      <c r="U44" t="s">
        <v>10</v>
      </c>
      <c r="V44" s="5">
        <v>0</v>
      </c>
      <c r="W44" s="5">
        <v>0</v>
      </c>
      <c r="X44" t="s">
        <v>4</v>
      </c>
      <c r="Y44" t="s">
        <v>4</v>
      </c>
    </row>
    <row r="45" spans="1:25" x14ac:dyDescent="0.2">
      <c r="A45" s="57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4</v>
      </c>
      <c r="G45" t="s">
        <v>5</v>
      </c>
      <c r="H45" t="s">
        <v>6</v>
      </c>
      <c r="I45" t="s">
        <v>89</v>
      </c>
      <c r="J45" s="2">
        <v>196</v>
      </c>
      <c r="K45" s="2">
        <v>0</v>
      </c>
      <c r="L45" s="2">
        <v>0</v>
      </c>
      <c r="M45" s="3">
        <v>45819</v>
      </c>
      <c r="N45" t="s">
        <v>4</v>
      </c>
      <c r="O45" s="3">
        <v>45819</v>
      </c>
      <c r="P45" s="3"/>
      <c r="Q45" t="s">
        <v>90</v>
      </c>
      <c r="R45" t="s">
        <v>9</v>
      </c>
      <c r="S45" s="4">
        <v>0.99052083333332996</v>
      </c>
      <c r="T45" t="s">
        <v>4</v>
      </c>
      <c r="U45" t="s">
        <v>10</v>
      </c>
      <c r="V45" s="5">
        <v>0</v>
      </c>
      <c r="W45" s="5">
        <v>0</v>
      </c>
      <c r="X45" t="s">
        <v>4</v>
      </c>
      <c r="Y45" t="s">
        <v>4</v>
      </c>
    </row>
    <row r="46" spans="1:25" x14ac:dyDescent="0.2">
      <c r="A46" s="57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4</v>
      </c>
      <c r="G46" t="s">
        <v>5</v>
      </c>
      <c r="H46" t="s">
        <v>6</v>
      </c>
      <c r="I46" t="s">
        <v>89</v>
      </c>
      <c r="J46" s="2">
        <v>196</v>
      </c>
      <c r="K46" s="2">
        <v>0</v>
      </c>
      <c r="L46" s="2">
        <v>0</v>
      </c>
      <c r="M46" s="3">
        <v>45819</v>
      </c>
      <c r="N46" t="s">
        <v>4</v>
      </c>
      <c r="O46" s="3">
        <v>45819</v>
      </c>
      <c r="P46" s="3"/>
      <c r="Q46" t="s">
        <v>91</v>
      </c>
      <c r="R46" t="s">
        <v>9</v>
      </c>
      <c r="S46" s="4">
        <v>0.99052083333332996</v>
      </c>
      <c r="T46" t="s">
        <v>4</v>
      </c>
      <c r="U46" t="s">
        <v>10</v>
      </c>
      <c r="V46" s="5">
        <v>0</v>
      </c>
      <c r="W46" s="5">
        <v>0</v>
      </c>
      <c r="X46" t="s">
        <v>4</v>
      </c>
      <c r="Y46" t="s">
        <v>4</v>
      </c>
    </row>
    <row r="47" spans="1:25" x14ac:dyDescent="0.2">
      <c r="A47" s="5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4</v>
      </c>
      <c r="G47" t="s">
        <v>5</v>
      </c>
      <c r="H47" t="s">
        <v>6</v>
      </c>
      <c r="I47" t="s">
        <v>92</v>
      </c>
      <c r="J47" s="2">
        <v>0</v>
      </c>
      <c r="K47" s="2">
        <v>196</v>
      </c>
      <c r="L47" s="2">
        <v>0</v>
      </c>
      <c r="M47" s="3">
        <v>45819</v>
      </c>
      <c r="N47" t="s">
        <v>4</v>
      </c>
      <c r="O47" s="3">
        <v>45819</v>
      </c>
      <c r="P47" s="3"/>
      <c r="Q47" t="s">
        <v>93</v>
      </c>
      <c r="R47" t="s">
        <v>9</v>
      </c>
      <c r="S47" s="4">
        <v>0.99429398148147996</v>
      </c>
      <c r="T47" t="s">
        <v>4</v>
      </c>
      <c r="U47" t="s">
        <v>10</v>
      </c>
      <c r="V47" s="5">
        <v>0</v>
      </c>
      <c r="W47" s="5">
        <v>0</v>
      </c>
      <c r="X47" t="s">
        <v>4</v>
      </c>
      <c r="Y47" t="s">
        <v>4</v>
      </c>
    </row>
    <row r="48" spans="1:25" x14ac:dyDescent="0.2">
      <c r="A48" s="57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4</v>
      </c>
      <c r="G48" t="s">
        <v>5</v>
      </c>
      <c r="H48" t="s">
        <v>6</v>
      </c>
      <c r="I48" t="s">
        <v>92</v>
      </c>
      <c r="J48" s="2">
        <v>196</v>
      </c>
      <c r="K48" s="2">
        <v>0</v>
      </c>
      <c r="L48" s="2">
        <v>0</v>
      </c>
      <c r="M48" s="3">
        <v>45819</v>
      </c>
      <c r="N48" t="s">
        <v>4</v>
      </c>
      <c r="O48" s="3">
        <v>45819</v>
      </c>
      <c r="P48" s="3"/>
      <c r="Q48" t="s">
        <v>94</v>
      </c>
      <c r="R48" t="s">
        <v>9</v>
      </c>
      <c r="S48" s="4">
        <v>0.99429398148147996</v>
      </c>
      <c r="T48" t="s">
        <v>4</v>
      </c>
      <c r="U48" t="s">
        <v>10</v>
      </c>
      <c r="V48" s="5">
        <v>0</v>
      </c>
      <c r="W48" s="5">
        <v>0</v>
      </c>
      <c r="X48" t="s">
        <v>4</v>
      </c>
      <c r="Y48" t="s">
        <v>4</v>
      </c>
    </row>
    <row r="49" spans="1:25" x14ac:dyDescent="0.2">
      <c r="A49" s="57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4</v>
      </c>
      <c r="G49" t="s">
        <v>5</v>
      </c>
      <c r="H49" t="s">
        <v>6</v>
      </c>
      <c r="I49" t="s">
        <v>95</v>
      </c>
      <c r="J49" s="2">
        <v>196</v>
      </c>
      <c r="K49" s="2">
        <v>0</v>
      </c>
      <c r="L49" s="2">
        <v>0</v>
      </c>
      <c r="M49" s="3">
        <v>45820</v>
      </c>
      <c r="N49" t="s">
        <v>4</v>
      </c>
      <c r="O49" s="3">
        <v>45820</v>
      </c>
      <c r="P49" s="3"/>
      <c r="Q49" t="s">
        <v>96</v>
      </c>
      <c r="R49" t="s">
        <v>9</v>
      </c>
      <c r="S49" s="4">
        <v>0.73295138888889</v>
      </c>
      <c r="T49" t="s">
        <v>4</v>
      </c>
      <c r="U49" t="s">
        <v>10</v>
      </c>
      <c r="V49" s="5">
        <v>0</v>
      </c>
      <c r="W49" s="5">
        <v>0</v>
      </c>
      <c r="X49" t="s">
        <v>4</v>
      </c>
      <c r="Y49" t="s">
        <v>4</v>
      </c>
    </row>
    <row r="50" spans="1:25" x14ac:dyDescent="0.2">
      <c r="A50" s="57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4</v>
      </c>
      <c r="G50" t="s">
        <v>5</v>
      </c>
      <c r="H50" t="s">
        <v>6</v>
      </c>
      <c r="I50" t="s">
        <v>95</v>
      </c>
      <c r="J50" s="2">
        <v>196</v>
      </c>
      <c r="K50" s="2">
        <v>0</v>
      </c>
      <c r="L50" s="2">
        <v>0</v>
      </c>
      <c r="M50" s="3">
        <v>45820</v>
      </c>
      <c r="N50" t="s">
        <v>4</v>
      </c>
      <c r="O50" s="3">
        <v>45820</v>
      </c>
      <c r="P50" s="3"/>
      <c r="Q50" t="s">
        <v>97</v>
      </c>
      <c r="R50" t="s">
        <v>9</v>
      </c>
      <c r="S50" s="4">
        <v>0.73295138888889</v>
      </c>
      <c r="T50" t="s">
        <v>4</v>
      </c>
      <c r="U50" t="s">
        <v>10</v>
      </c>
      <c r="V50" s="5">
        <v>0</v>
      </c>
      <c r="W50" s="5">
        <v>0</v>
      </c>
      <c r="X50" t="s">
        <v>4</v>
      </c>
      <c r="Y50" t="s">
        <v>4</v>
      </c>
    </row>
    <row r="51" spans="1:25" x14ac:dyDescent="0.2">
      <c r="A51" s="57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4</v>
      </c>
      <c r="G51" t="s">
        <v>5</v>
      </c>
      <c r="H51" t="s">
        <v>6</v>
      </c>
      <c r="I51" t="s">
        <v>98</v>
      </c>
      <c r="J51" s="2">
        <v>196</v>
      </c>
      <c r="K51" s="2">
        <v>0</v>
      </c>
      <c r="L51" s="2">
        <v>0</v>
      </c>
      <c r="M51" s="3">
        <v>45819</v>
      </c>
      <c r="N51" t="s">
        <v>4</v>
      </c>
      <c r="O51" s="3">
        <v>45819</v>
      </c>
      <c r="P51" s="3"/>
      <c r="Q51" t="s">
        <v>99</v>
      </c>
      <c r="R51" t="s">
        <v>9</v>
      </c>
      <c r="S51" s="4">
        <v>0.41118055555555999</v>
      </c>
      <c r="T51" t="s">
        <v>4</v>
      </c>
      <c r="U51" t="s">
        <v>10</v>
      </c>
      <c r="V51" s="5">
        <v>0</v>
      </c>
      <c r="W51" s="5">
        <v>0</v>
      </c>
      <c r="X51" t="s">
        <v>4</v>
      </c>
      <c r="Y51" t="s">
        <v>4</v>
      </c>
    </row>
    <row r="52" spans="1:25" x14ac:dyDescent="0.2">
      <c r="A52" s="57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4</v>
      </c>
      <c r="G52" t="s">
        <v>5</v>
      </c>
      <c r="H52" t="s">
        <v>6</v>
      </c>
      <c r="I52" t="s">
        <v>98</v>
      </c>
      <c r="J52" s="2">
        <v>196</v>
      </c>
      <c r="K52" s="2">
        <v>0</v>
      </c>
      <c r="L52" s="2">
        <v>0</v>
      </c>
      <c r="M52" s="3">
        <v>45819</v>
      </c>
      <c r="N52" t="s">
        <v>4</v>
      </c>
      <c r="O52" s="3">
        <v>45819</v>
      </c>
      <c r="P52" s="3"/>
      <c r="Q52" t="s">
        <v>100</v>
      </c>
      <c r="R52" t="s">
        <v>9</v>
      </c>
      <c r="S52" s="4">
        <v>0.41118055555555999</v>
      </c>
      <c r="T52" t="s">
        <v>4</v>
      </c>
      <c r="U52" t="s">
        <v>10</v>
      </c>
      <c r="V52" s="5">
        <v>0</v>
      </c>
      <c r="W52" s="5">
        <v>0</v>
      </c>
      <c r="X52" t="s">
        <v>4</v>
      </c>
      <c r="Y52" t="s">
        <v>4</v>
      </c>
    </row>
    <row r="53" spans="1:25" x14ac:dyDescent="0.2">
      <c r="A53" s="57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4</v>
      </c>
      <c r="G53" t="s">
        <v>5</v>
      </c>
      <c r="H53" t="s">
        <v>6</v>
      </c>
      <c r="I53" t="s">
        <v>101</v>
      </c>
      <c r="J53" s="2">
        <v>196</v>
      </c>
      <c r="K53" s="2">
        <v>0</v>
      </c>
      <c r="L53" s="2">
        <v>0</v>
      </c>
      <c r="M53" s="3">
        <v>45820</v>
      </c>
      <c r="N53" t="s">
        <v>4</v>
      </c>
      <c r="O53" s="3">
        <v>45820</v>
      </c>
      <c r="P53" s="3"/>
      <c r="Q53" t="s">
        <v>102</v>
      </c>
      <c r="R53" t="s">
        <v>9</v>
      </c>
      <c r="S53" s="4">
        <v>0.77026620370370003</v>
      </c>
      <c r="T53" t="s">
        <v>4</v>
      </c>
      <c r="U53" t="s">
        <v>10</v>
      </c>
      <c r="V53" s="5">
        <v>0</v>
      </c>
      <c r="W53" s="5">
        <v>0</v>
      </c>
      <c r="X53" t="s">
        <v>4</v>
      </c>
      <c r="Y53" t="s">
        <v>4</v>
      </c>
    </row>
    <row r="54" spans="1:25" x14ac:dyDescent="0.2">
      <c r="A54" s="57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4</v>
      </c>
      <c r="G54" t="s">
        <v>5</v>
      </c>
      <c r="H54" t="s">
        <v>6</v>
      </c>
      <c r="I54" t="s">
        <v>101</v>
      </c>
      <c r="J54" s="2">
        <v>196</v>
      </c>
      <c r="K54" s="2">
        <v>0</v>
      </c>
      <c r="L54" s="2">
        <v>0</v>
      </c>
      <c r="M54" s="3">
        <v>45820</v>
      </c>
      <c r="N54" t="s">
        <v>4</v>
      </c>
      <c r="O54" s="3">
        <v>45820</v>
      </c>
      <c r="P54" s="3"/>
      <c r="Q54" t="s">
        <v>103</v>
      </c>
      <c r="R54" t="s">
        <v>9</v>
      </c>
      <c r="S54" s="4">
        <v>0.77026620370370003</v>
      </c>
      <c r="T54" t="s">
        <v>4</v>
      </c>
      <c r="U54" t="s">
        <v>10</v>
      </c>
      <c r="V54" s="5">
        <v>0</v>
      </c>
      <c r="W54" s="5">
        <v>0</v>
      </c>
      <c r="X54" t="s">
        <v>4</v>
      </c>
      <c r="Y54" t="s">
        <v>4</v>
      </c>
    </row>
    <row r="55" spans="1:25" x14ac:dyDescent="0.2">
      <c r="A55" s="57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4</v>
      </c>
      <c r="G55" t="s">
        <v>5</v>
      </c>
      <c r="H55" t="s">
        <v>21</v>
      </c>
      <c r="I55" t="s">
        <v>104</v>
      </c>
      <c r="J55" s="2">
        <v>196</v>
      </c>
      <c r="K55" s="2">
        <v>0</v>
      </c>
      <c r="L55" s="2">
        <v>0</v>
      </c>
      <c r="M55" s="3">
        <v>45820</v>
      </c>
      <c r="N55" t="s">
        <v>4</v>
      </c>
      <c r="O55" s="3">
        <v>45820</v>
      </c>
      <c r="P55" s="3"/>
      <c r="Q55" t="s">
        <v>105</v>
      </c>
      <c r="R55" t="s">
        <v>9</v>
      </c>
      <c r="S55" s="4">
        <v>0.47035879629630001</v>
      </c>
      <c r="T55" t="s">
        <v>4</v>
      </c>
      <c r="U55" t="s">
        <v>10</v>
      </c>
      <c r="V55" s="5">
        <v>0</v>
      </c>
      <c r="W55" s="5">
        <v>0</v>
      </c>
      <c r="X55" t="s">
        <v>4</v>
      </c>
      <c r="Y55" t="s">
        <v>4</v>
      </c>
    </row>
    <row r="56" spans="1:25" x14ac:dyDescent="0.2">
      <c r="A56" s="57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</v>
      </c>
      <c r="G56" t="s">
        <v>5</v>
      </c>
      <c r="H56" t="s">
        <v>21</v>
      </c>
      <c r="I56" t="s">
        <v>104</v>
      </c>
      <c r="J56" s="2">
        <v>196</v>
      </c>
      <c r="K56" s="2">
        <v>0</v>
      </c>
      <c r="L56" s="2">
        <v>0</v>
      </c>
      <c r="M56" s="3">
        <v>45820</v>
      </c>
      <c r="N56" t="s">
        <v>4</v>
      </c>
      <c r="O56" s="3">
        <v>45820</v>
      </c>
      <c r="P56" s="3"/>
      <c r="Q56" t="s">
        <v>106</v>
      </c>
      <c r="R56" t="s">
        <v>9</v>
      </c>
      <c r="S56" s="4">
        <v>0.47035879629630001</v>
      </c>
      <c r="T56" t="s">
        <v>4</v>
      </c>
      <c r="U56" t="s">
        <v>10</v>
      </c>
      <c r="V56" s="5">
        <v>0</v>
      </c>
      <c r="W56" s="5">
        <v>0</v>
      </c>
      <c r="X56" t="s">
        <v>4</v>
      </c>
      <c r="Y56" t="s">
        <v>4</v>
      </c>
    </row>
    <row r="57" spans="1:25" x14ac:dyDescent="0.2">
      <c r="A57" s="57" t="s">
        <v>31</v>
      </c>
      <c r="B57" t="s">
        <v>32</v>
      </c>
      <c r="C57" t="s">
        <v>2</v>
      </c>
      <c r="D57" t="s">
        <v>3</v>
      </c>
      <c r="E57" t="s">
        <v>4</v>
      </c>
      <c r="F57" t="s">
        <v>4</v>
      </c>
      <c r="G57" t="s">
        <v>5</v>
      </c>
      <c r="H57" t="s">
        <v>17</v>
      </c>
      <c r="I57" t="s">
        <v>107</v>
      </c>
      <c r="J57" s="2">
        <v>147</v>
      </c>
      <c r="K57" s="2">
        <v>0</v>
      </c>
      <c r="L57" s="2">
        <v>0</v>
      </c>
      <c r="M57" s="3">
        <v>45851</v>
      </c>
      <c r="N57" t="s">
        <v>4</v>
      </c>
      <c r="O57" s="3">
        <v>45851</v>
      </c>
      <c r="P57" s="3"/>
      <c r="Q57" t="s">
        <v>108</v>
      </c>
      <c r="R57" t="s">
        <v>9</v>
      </c>
      <c r="S57" s="4">
        <v>0.52732638888889005</v>
      </c>
      <c r="T57" t="s">
        <v>4</v>
      </c>
      <c r="U57" t="s">
        <v>35</v>
      </c>
      <c r="V57" s="5">
        <v>0</v>
      </c>
      <c r="W57" s="5">
        <v>0</v>
      </c>
      <c r="X57" t="s">
        <v>4</v>
      </c>
      <c r="Y57" t="s">
        <v>4</v>
      </c>
    </row>
    <row r="58" spans="1:25" x14ac:dyDescent="0.2">
      <c r="A58" s="57" t="s">
        <v>31</v>
      </c>
      <c r="B58" t="s">
        <v>32</v>
      </c>
      <c r="C58" t="s">
        <v>2</v>
      </c>
      <c r="D58" t="s">
        <v>3</v>
      </c>
      <c r="E58" t="s">
        <v>4</v>
      </c>
      <c r="F58" t="s">
        <v>4</v>
      </c>
      <c r="G58" t="s">
        <v>5</v>
      </c>
      <c r="H58" t="s">
        <v>17</v>
      </c>
      <c r="I58" t="s">
        <v>107</v>
      </c>
      <c r="J58" s="2">
        <v>147</v>
      </c>
      <c r="K58" s="2">
        <v>0</v>
      </c>
      <c r="L58" s="2">
        <v>0</v>
      </c>
      <c r="M58" s="3">
        <v>45851</v>
      </c>
      <c r="N58" t="s">
        <v>4</v>
      </c>
      <c r="O58" s="3">
        <v>45851</v>
      </c>
      <c r="P58" s="3"/>
      <c r="Q58" t="s">
        <v>109</v>
      </c>
      <c r="R58" t="s">
        <v>9</v>
      </c>
      <c r="S58" s="4">
        <v>0.52732638888889005</v>
      </c>
      <c r="T58" t="s">
        <v>4</v>
      </c>
      <c r="U58" t="s">
        <v>35</v>
      </c>
      <c r="V58" s="5">
        <v>0</v>
      </c>
      <c r="W58" s="5">
        <v>0</v>
      </c>
      <c r="X58" t="s">
        <v>4</v>
      </c>
      <c r="Y58" t="s">
        <v>4</v>
      </c>
    </row>
    <row r="59" spans="1:25" x14ac:dyDescent="0.2">
      <c r="A59" s="57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4</v>
      </c>
      <c r="G59" t="s">
        <v>5</v>
      </c>
      <c r="H59" t="s">
        <v>6</v>
      </c>
      <c r="I59" t="s">
        <v>110</v>
      </c>
      <c r="J59" s="2">
        <v>196</v>
      </c>
      <c r="K59" s="2">
        <v>0</v>
      </c>
      <c r="L59" s="2">
        <v>0</v>
      </c>
      <c r="M59" s="3">
        <v>45819</v>
      </c>
      <c r="N59" t="s">
        <v>4</v>
      </c>
      <c r="O59" s="3">
        <v>45819</v>
      </c>
      <c r="P59" s="3"/>
      <c r="Q59" t="s">
        <v>111</v>
      </c>
      <c r="R59" t="s">
        <v>9</v>
      </c>
      <c r="S59" s="4">
        <v>0.41083333333333</v>
      </c>
      <c r="T59" t="s">
        <v>4</v>
      </c>
      <c r="U59" t="s">
        <v>10</v>
      </c>
      <c r="V59" s="5">
        <v>0</v>
      </c>
      <c r="W59" s="5">
        <v>0</v>
      </c>
      <c r="X59" t="s">
        <v>4</v>
      </c>
      <c r="Y59" t="s">
        <v>4</v>
      </c>
    </row>
    <row r="60" spans="1:25" x14ac:dyDescent="0.2">
      <c r="A60" s="57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4</v>
      </c>
      <c r="G60" t="s">
        <v>5</v>
      </c>
      <c r="H60" t="s">
        <v>6</v>
      </c>
      <c r="I60" t="s">
        <v>110</v>
      </c>
      <c r="J60" s="2">
        <v>196</v>
      </c>
      <c r="K60" s="2">
        <v>0</v>
      </c>
      <c r="L60" s="2">
        <v>0</v>
      </c>
      <c r="M60" s="3">
        <v>45819</v>
      </c>
      <c r="N60" t="s">
        <v>4</v>
      </c>
      <c r="O60" s="3">
        <v>45819</v>
      </c>
      <c r="P60" s="3"/>
      <c r="Q60" t="s">
        <v>112</v>
      </c>
      <c r="R60" t="s">
        <v>9</v>
      </c>
      <c r="S60" s="4">
        <v>0.41083333333333</v>
      </c>
      <c r="T60" t="s">
        <v>4</v>
      </c>
      <c r="U60" t="s">
        <v>10</v>
      </c>
      <c r="V60" s="5">
        <v>0</v>
      </c>
      <c r="W60" s="5">
        <v>0</v>
      </c>
      <c r="X60" t="s">
        <v>4</v>
      </c>
      <c r="Y60" t="s">
        <v>4</v>
      </c>
    </row>
    <row r="61" spans="1:25" x14ac:dyDescent="0.2">
      <c r="A61" s="57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4</v>
      </c>
      <c r="G61" t="s">
        <v>5</v>
      </c>
      <c r="H61" t="s">
        <v>6</v>
      </c>
      <c r="I61" t="s">
        <v>113</v>
      </c>
      <c r="J61" s="2">
        <v>196</v>
      </c>
      <c r="K61" s="2">
        <v>0</v>
      </c>
      <c r="L61" s="2">
        <v>0</v>
      </c>
      <c r="M61" s="3">
        <v>45839</v>
      </c>
      <c r="N61" t="s">
        <v>4</v>
      </c>
      <c r="O61" s="3">
        <v>45839</v>
      </c>
      <c r="P61" s="3"/>
      <c r="Q61" t="s">
        <v>114</v>
      </c>
      <c r="R61" t="s">
        <v>9</v>
      </c>
      <c r="S61" s="4">
        <v>0.58637731481481004</v>
      </c>
      <c r="T61" t="s">
        <v>4</v>
      </c>
      <c r="U61" t="s">
        <v>10</v>
      </c>
      <c r="V61" s="5">
        <v>0</v>
      </c>
      <c r="W61" s="5">
        <v>0</v>
      </c>
      <c r="X61" t="s">
        <v>4</v>
      </c>
      <c r="Y61" t="s">
        <v>4</v>
      </c>
    </row>
    <row r="62" spans="1:25" x14ac:dyDescent="0.2">
      <c r="A62" s="57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4</v>
      </c>
      <c r="G62" t="s">
        <v>5</v>
      </c>
      <c r="H62" t="s">
        <v>6</v>
      </c>
      <c r="I62" t="s">
        <v>113</v>
      </c>
      <c r="J62" s="2">
        <v>196</v>
      </c>
      <c r="K62" s="2">
        <v>0</v>
      </c>
      <c r="L62" s="2">
        <v>0</v>
      </c>
      <c r="M62" s="3">
        <v>45840</v>
      </c>
      <c r="N62" t="s">
        <v>4</v>
      </c>
      <c r="O62" s="3">
        <v>45840</v>
      </c>
      <c r="P62" s="3"/>
      <c r="Q62" t="s">
        <v>115</v>
      </c>
      <c r="R62" t="s">
        <v>9</v>
      </c>
      <c r="S62" s="4">
        <v>0.58637731481481004</v>
      </c>
      <c r="T62" t="s">
        <v>4</v>
      </c>
      <c r="U62" t="s">
        <v>10</v>
      </c>
      <c r="V62" s="5">
        <v>0</v>
      </c>
      <c r="W62" s="5">
        <v>0</v>
      </c>
      <c r="X62" t="s">
        <v>4</v>
      </c>
      <c r="Y62" t="s">
        <v>4</v>
      </c>
    </row>
    <row r="63" spans="1:25" x14ac:dyDescent="0.2">
      <c r="A63" s="57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4</v>
      </c>
      <c r="G63" t="s">
        <v>5</v>
      </c>
      <c r="H63" t="s">
        <v>6</v>
      </c>
      <c r="I63" t="s">
        <v>116</v>
      </c>
      <c r="J63" s="2">
        <v>196</v>
      </c>
      <c r="K63" s="2">
        <v>0</v>
      </c>
      <c r="L63" s="2">
        <v>0</v>
      </c>
      <c r="M63" s="3">
        <v>45839</v>
      </c>
      <c r="N63" t="s">
        <v>4</v>
      </c>
      <c r="O63" s="3">
        <v>45839</v>
      </c>
      <c r="P63" s="3"/>
      <c r="Q63" t="s">
        <v>117</v>
      </c>
      <c r="R63" t="s">
        <v>9</v>
      </c>
      <c r="S63" s="4">
        <v>0.96923611111110997</v>
      </c>
      <c r="T63" t="s">
        <v>4</v>
      </c>
      <c r="U63" t="s">
        <v>10</v>
      </c>
      <c r="V63" s="5">
        <v>0</v>
      </c>
      <c r="W63" s="5">
        <v>0</v>
      </c>
      <c r="X63" t="s">
        <v>4</v>
      </c>
      <c r="Y63" t="s">
        <v>4</v>
      </c>
    </row>
    <row r="64" spans="1:25" x14ac:dyDescent="0.2">
      <c r="A64" s="57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4</v>
      </c>
      <c r="G64" t="s">
        <v>5</v>
      </c>
      <c r="H64" t="s">
        <v>6</v>
      </c>
      <c r="I64" t="s">
        <v>116</v>
      </c>
      <c r="J64" s="2">
        <v>196</v>
      </c>
      <c r="K64" s="2">
        <v>0</v>
      </c>
      <c r="L64" s="2">
        <v>0</v>
      </c>
      <c r="M64" s="3">
        <v>45839</v>
      </c>
      <c r="N64" t="s">
        <v>4</v>
      </c>
      <c r="O64" s="3">
        <v>45839</v>
      </c>
      <c r="P64" s="3"/>
      <c r="Q64" t="s">
        <v>118</v>
      </c>
      <c r="R64" t="s">
        <v>9</v>
      </c>
      <c r="S64" s="4">
        <v>0.96923611111110997</v>
      </c>
      <c r="T64" t="s">
        <v>4</v>
      </c>
      <c r="U64" t="s">
        <v>10</v>
      </c>
      <c r="V64" s="5">
        <v>0</v>
      </c>
      <c r="W64" s="5">
        <v>0</v>
      </c>
      <c r="X64" t="s">
        <v>4</v>
      </c>
      <c r="Y64" t="s">
        <v>4</v>
      </c>
    </row>
    <row r="65" spans="1:25" x14ac:dyDescent="0.2">
      <c r="A65" s="57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4</v>
      </c>
      <c r="G65" t="s">
        <v>5</v>
      </c>
      <c r="H65" t="s">
        <v>21</v>
      </c>
      <c r="I65" t="s">
        <v>119</v>
      </c>
      <c r="J65" s="2">
        <v>196</v>
      </c>
      <c r="K65" s="2">
        <v>0</v>
      </c>
      <c r="L65" s="2">
        <v>0</v>
      </c>
      <c r="M65" s="3">
        <v>45819</v>
      </c>
      <c r="N65" t="s">
        <v>4</v>
      </c>
      <c r="O65" s="3">
        <v>45819</v>
      </c>
      <c r="P65" s="3"/>
      <c r="Q65" t="s">
        <v>120</v>
      </c>
      <c r="R65" t="s">
        <v>9</v>
      </c>
      <c r="S65" s="4">
        <v>0.98434027777777999</v>
      </c>
      <c r="T65" t="s">
        <v>4</v>
      </c>
      <c r="U65" t="s">
        <v>10</v>
      </c>
      <c r="V65" s="5">
        <v>0</v>
      </c>
      <c r="W65" s="5">
        <v>0</v>
      </c>
      <c r="X65" t="s">
        <v>4</v>
      </c>
      <c r="Y65" t="s">
        <v>4</v>
      </c>
    </row>
    <row r="66" spans="1:25" x14ac:dyDescent="0.2">
      <c r="A66" s="57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4</v>
      </c>
      <c r="G66" t="s">
        <v>5</v>
      </c>
      <c r="H66" t="s">
        <v>21</v>
      </c>
      <c r="I66" t="s">
        <v>119</v>
      </c>
      <c r="J66" s="2">
        <v>196</v>
      </c>
      <c r="K66" s="2">
        <v>0</v>
      </c>
      <c r="L66" s="2">
        <v>0</v>
      </c>
      <c r="M66" s="3">
        <v>45819</v>
      </c>
      <c r="N66" t="s">
        <v>4</v>
      </c>
      <c r="O66" s="3">
        <v>45819</v>
      </c>
      <c r="P66" s="3"/>
      <c r="Q66" t="s">
        <v>121</v>
      </c>
      <c r="R66" t="s">
        <v>9</v>
      </c>
      <c r="S66" s="4">
        <v>0.98434027777777999</v>
      </c>
      <c r="T66" t="s">
        <v>4</v>
      </c>
      <c r="U66" t="s">
        <v>10</v>
      </c>
      <c r="V66" s="5">
        <v>0</v>
      </c>
      <c r="W66" s="5">
        <v>0</v>
      </c>
      <c r="X66" t="s">
        <v>4</v>
      </c>
      <c r="Y66" t="s">
        <v>4</v>
      </c>
    </row>
    <row r="67" spans="1:25" x14ac:dyDescent="0.2">
      <c r="A67" s="5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4</v>
      </c>
      <c r="G67" t="s">
        <v>122</v>
      </c>
      <c r="H67" t="s">
        <v>123</v>
      </c>
      <c r="I67" t="s">
        <v>124</v>
      </c>
      <c r="J67" s="2">
        <v>0</v>
      </c>
      <c r="K67" s="2">
        <v>0</v>
      </c>
      <c r="L67" s="2">
        <v>196</v>
      </c>
      <c r="M67" s="3">
        <v>45819</v>
      </c>
      <c r="N67" t="s">
        <v>4</v>
      </c>
      <c r="O67" s="3">
        <v>45845</v>
      </c>
      <c r="P67" s="3">
        <v>45845</v>
      </c>
      <c r="Q67" t="s">
        <v>4</v>
      </c>
      <c r="R67" t="s">
        <v>4</v>
      </c>
      <c r="S67" s="4">
        <v>0.71043981481481</v>
      </c>
      <c r="T67" t="s">
        <v>4</v>
      </c>
      <c r="U67" t="s">
        <v>4</v>
      </c>
      <c r="V67" s="5">
        <v>0</v>
      </c>
      <c r="W67" s="5">
        <v>0</v>
      </c>
      <c r="X67" t="s">
        <v>4</v>
      </c>
      <c r="Y67" t="s">
        <v>4</v>
      </c>
    </row>
    <row r="68" spans="1:25" x14ac:dyDescent="0.2">
      <c r="A68" s="57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4</v>
      </c>
      <c r="G68" t="s">
        <v>16</v>
      </c>
      <c r="H68" t="s">
        <v>21</v>
      </c>
      <c r="I68" t="s">
        <v>125</v>
      </c>
      <c r="J68" s="2">
        <v>196</v>
      </c>
      <c r="K68" s="2">
        <v>0</v>
      </c>
      <c r="L68" s="2">
        <v>0</v>
      </c>
      <c r="M68" s="3">
        <v>45843</v>
      </c>
      <c r="N68" t="s">
        <v>4</v>
      </c>
      <c r="O68" s="3">
        <v>45843</v>
      </c>
      <c r="P68" s="3"/>
      <c r="Q68" t="s">
        <v>126</v>
      </c>
      <c r="R68" t="s">
        <v>20</v>
      </c>
      <c r="S68" s="4">
        <v>0.87800925925925999</v>
      </c>
      <c r="T68" t="s">
        <v>4</v>
      </c>
      <c r="U68" t="s">
        <v>10</v>
      </c>
      <c r="V68" s="5">
        <v>0</v>
      </c>
      <c r="W68" s="5">
        <v>0</v>
      </c>
      <c r="X68" t="s">
        <v>4</v>
      </c>
      <c r="Y68" t="s">
        <v>4</v>
      </c>
    </row>
    <row r="69" spans="1:25" x14ac:dyDescent="0.2">
      <c r="A69" s="57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4</v>
      </c>
      <c r="G69" t="s">
        <v>16</v>
      </c>
      <c r="H69" t="s">
        <v>21</v>
      </c>
      <c r="I69" t="s">
        <v>127</v>
      </c>
      <c r="J69" s="2">
        <v>196</v>
      </c>
      <c r="K69" s="2">
        <v>0</v>
      </c>
      <c r="L69" s="2">
        <v>0</v>
      </c>
      <c r="M69" s="3">
        <v>45843</v>
      </c>
      <c r="N69" t="s">
        <v>4</v>
      </c>
      <c r="O69" s="3">
        <v>45843</v>
      </c>
      <c r="P69" s="3"/>
      <c r="Q69" t="s">
        <v>128</v>
      </c>
      <c r="R69" t="s">
        <v>20</v>
      </c>
      <c r="S69" s="4">
        <v>0.83288194444443997</v>
      </c>
      <c r="T69" t="s">
        <v>4</v>
      </c>
      <c r="U69" t="s">
        <v>10</v>
      </c>
      <c r="V69" s="5">
        <v>0</v>
      </c>
      <c r="W69" s="5">
        <v>0</v>
      </c>
      <c r="X69" t="s">
        <v>4</v>
      </c>
      <c r="Y69" t="s">
        <v>4</v>
      </c>
    </row>
    <row r="70" spans="1:25" x14ac:dyDescent="0.2">
      <c r="A70" s="57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4</v>
      </c>
      <c r="G70" t="s">
        <v>16</v>
      </c>
      <c r="H70" t="s">
        <v>6</v>
      </c>
      <c r="I70" t="s">
        <v>129</v>
      </c>
      <c r="J70" s="2">
        <v>196</v>
      </c>
      <c r="K70" s="2">
        <v>0</v>
      </c>
      <c r="L70" s="2">
        <v>0</v>
      </c>
      <c r="M70" s="3">
        <v>45843</v>
      </c>
      <c r="N70" t="s">
        <v>4</v>
      </c>
      <c r="O70" s="3">
        <v>45843</v>
      </c>
      <c r="P70" s="3"/>
      <c r="Q70" t="s">
        <v>130</v>
      </c>
      <c r="R70" t="s">
        <v>20</v>
      </c>
      <c r="S70" s="4">
        <v>0.83105324074074005</v>
      </c>
      <c r="T70" t="s">
        <v>4</v>
      </c>
      <c r="U70" t="s">
        <v>10</v>
      </c>
      <c r="V70" s="5">
        <v>0</v>
      </c>
      <c r="W70" s="5">
        <v>0</v>
      </c>
      <c r="X70" t="s">
        <v>4</v>
      </c>
      <c r="Y70" t="s">
        <v>4</v>
      </c>
    </row>
    <row r="71" spans="1:25" x14ac:dyDescent="0.2">
      <c r="A71" s="57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4</v>
      </c>
      <c r="G71" t="s">
        <v>16</v>
      </c>
      <c r="H71" t="s">
        <v>6</v>
      </c>
      <c r="I71" t="s">
        <v>131</v>
      </c>
      <c r="J71" s="2">
        <v>196</v>
      </c>
      <c r="K71" s="2">
        <v>0</v>
      </c>
      <c r="L71" s="2">
        <v>0</v>
      </c>
      <c r="M71" s="3">
        <v>45843</v>
      </c>
      <c r="N71" t="s">
        <v>4</v>
      </c>
      <c r="O71" s="3">
        <v>45843</v>
      </c>
      <c r="P71" s="3"/>
      <c r="Q71" t="s">
        <v>132</v>
      </c>
      <c r="R71" t="s">
        <v>20</v>
      </c>
      <c r="S71" s="4">
        <v>0.81798611111110997</v>
      </c>
      <c r="T71" t="s">
        <v>4</v>
      </c>
      <c r="U71" t="s">
        <v>10</v>
      </c>
      <c r="V71" s="5">
        <v>0</v>
      </c>
      <c r="W71" s="5">
        <v>0</v>
      </c>
      <c r="X71" t="s">
        <v>4</v>
      </c>
      <c r="Y71" t="s">
        <v>4</v>
      </c>
    </row>
    <row r="72" spans="1:25" x14ac:dyDescent="0.2">
      <c r="A72" s="57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4</v>
      </c>
      <c r="G72" t="s">
        <v>16</v>
      </c>
      <c r="H72" t="s">
        <v>6</v>
      </c>
      <c r="I72" t="s">
        <v>133</v>
      </c>
      <c r="J72" s="2">
        <v>196</v>
      </c>
      <c r="K72" s="2">
        <v>0</v>
      </c>
      <c r="L72" s="2">
        <v>0</v>
      </c>
      <c r="M72" s="3">
        <v>45843</v>
      </c>
      <c r="N72" t="s">
        <v>4</v>
      </c>
      <c r="O72" s="3">
        <v>45843</v>
      </c>
      <c r="P72" s="3"/>
      <c r="Q72" t="s">
        <v>134</v>
      </c>
      <c r="R72" t="s">
        <v>20</v>
      </c>
      <c r="S72" s="4">
        <v>0.83008101851852001</v>
      </c>
      <c r="T72" t="s">
        <v>4</v>
      </c>
      <c r="U72" t="s">
        <v>10</v>
      </c>
      <c r="V72" s="5">
        <v>0</v>
      </c>
      <c r="W72" s="5">
        <v>0</v>
      </c>
      <c r="X72" t="s">
        <v>4</v>
      </c>
      <c r="Y72" t="s">
        <v>4</v>
      </c>
    </row>
    <row r="73" spans="1:25" x14ac:dyDescent="0.2">
      <c r="A73" s="57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4</v>
      </c>
      <c r="G73" t="s">
        <v>16</v>
      </c>
      <c r="H73" t="s">
        <v>6</v>
      </c>
      <c r="I73" t="s">
        <v>135</v>
      </c>
      <c r="J73" s="2">
        <v>196</v>
      </c>
      <c r="K73" s="2">
        <v>0</v>
      </c>
      <c r="L73" s="2">
        <v>0</v>
      </c>
      <c r="M73" s="3">
        <v>45843</v>
      </c>
      <c r="N73" t="s">
        <v>4</v>
      </c>
      <c r="O73" s="3">
        <v>45843</v>
      </c>
      <c r="P73" s="3"/>
      <c r="Q73" t="s">
        <v>136</v>
      </c>
      <c r="R73" t="s">
        <v>20</v>
      </c>
      <c r="S73" s="4">
        <v>0.73261574074073998</v>
      </c>
      <c r="T73" t="s">
        <v>4</v>
      </c>
      <c r="U73" t="s">
        <v>10</v>
      </c>
      <c r="V73" s="5">
        <v>0</v>
      </c>
      <c r="W73" s="5">
        <v>0</v>
      </c>
      <c r="X73" t="s">
        <v>4</v>
      </c>
      <c r="Y73" t="s">
        <v>4</v>
      </c>
    </row>
    <row r="74" spans="1:25" x14ac:dyDescent="0.2">
      <c r="A74" s="57" t="s">
        <v>31</v>
      </c>
      <c r="B74" t="s">
        <v>32</v>
      </c>
      <c r="C74" t="s">
        <v>2</v>
      </c>
      <c r="D74" t="s">
        <v>3</v>
      </c>
      <c r="E74" t="s">
        <v>4</v>
      </c>
      <c r="F74" t="s">
        <v>4</v>
      </c>
      <c r="G74" t="s">
        <v>16</v>
      </c>
      <c r="H74" t="s">
        <v>17</v>
      </c>
      <c r="I74" t="s">
        <v>137</v>
      </c>
      <c r="J74" s="2">
        <v>147</v>
      </c>
      <c r="K74" s="2">
        <v>0</v>
      </c>
      <c r="L74" s="2">
        <v>0</v>
      </c>
      <c r="M74" s="3">
        <v>45854</v>
      </c>
      <c r="N74" t="s">
        <v>4</v>
      </c>
      <c r="O74" s="3">
        <v>45854</v>
      </c>
      <c r="P74" s="3"/>
      <c r="Q74" t="s">
        <v>138</v>
      </c>
      <c r="R74" t="s">
        <v>20</v>
      </c>
      <c r="S74" s="4">
        <v>0.33987268518518998</v>
      </c>
      <c r="T74" t="s">
        <v>4</v>
      </c>
      <c r="U74" t="s">
        <v>35</v>
      </c>
      <c r="V74" s="5">
        <v>0</v>
      </c>
      <c r="W74" s="5">
        <v>0</v>
      </c>
      <c r="X74" t="s">
        <v>4</v>
      </c>
      <c r="Y74" t="s">
        <v>4</v>
      </c>
    </row>
    <row r="75" spans="1:25" x14ac:dyDescent="0.2">
      <c r="A75" s="57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4</v>
      </c>
      <c r="G75" t="s">
        <v>5</v>
      </c>
      <c r="H75" t="s">
        <v>6</v>
      </c>
      <c r="I75" t="s">
        <v>139</v>
      </c>
      <c r="J75" s="2">
        <v>196</v>
      </c>
      <c r="K75" s="2">
        <v>0</v>
      </c>
      <c r="L75" s="2">
        <v>0</v>
      </c>
      <c r="M75" s="3">
        <v>45819</v>
      </c>
      <c r="N75" t="s">
        <v>4</v>
      </c>
      <c r="O75" s="3">
        <v>45819</v>
      </c>
      <c r="P75" s="3"/>
      <c r="Q75" t="s">
        <v>140</v>
      </c>
      <c r="R75" t="s">
        <v>9</v>
      </c>
      <c r="S75" s="4">
        <v>0.34268518518518998</v>
      </c>
      <c r="T75" t="s">
        <v>4</v>
      </c>
      <c r="U75" t="s">
        <v>10</v>
      </c>
      <c r="V75" s="5">
        <v>0</v>
      </c>
      <c r="W75" s="5">
        <v>0</v>
      </c>
      <c r="X75" t="s">
        <v>4</v>
      </c>
      <c r="Y75" t="s">
        <v>4</v>
      </c>
    </row>
    <row r="76" spans="1:25" x14ac:dyDescent="0.2">
      <c r="A76" s="57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4</v>
      </c>
      <c r="G76" t="s">
        <v>5</v>
      </c>
      <c r="H76" t="s">
        <v>6</v>
      </c>
      <c r="I76" t="s">
        <v>139</v>
      </c>
      <c r="J76" s="2">
        <v>196</v>
      </c>
      <c r="K76" s="2">
        <v>0</v>
      </c>
      <c r="L76" s="2">
        <v>0</v>
      </c>
      <c r="M76" s="3">
        <v>45819</v>
      </c>
      <c r="N76" t="s">
        <v>4</v>
      </c>
      <c r="O76" s="3">
        <v>45819</v>
      </c>
      <c r="P76" s="3"/>
      <c r="Q76" t="s">
        <v>141</v>
      </c>
      <c r="R76" t="s">
        <v>9</v>
      </c>
      <c r="S76" s="4">
        <v>0.34268518518518998</v>
      </c>
      <c r="T76" t="s">
        <v>4</v>
      </c>
      <c r="U76" t="s">
        <v>10</v>
      </c>
      <c r="V76" s="5">
        <v>0</v>
      </c>
      <c r="W76" s="5">
        <v>0</v>
      </c>
      <c r="X76" t="s">
        <v>4</v>
      </c>
      <c r="Y76" t="s">
        <v>4</v>
      </c>
    </row>
    <row r="77" spans="1:25" x14ac:dyDescent="0.2">
      <c r="A77" s="5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4</v>
      </c>
      <c r="G77" t="s">
        <v>5</v>
      </c>
      <c r="H77" t="s">
        <v>21</v>
      </c>
      <c r="I77" t="s">
        <v>142</v>
      </c>
      <c r="J77" s="2">
        <v>196</v>
      </c>
      <c r="K77" s="2">
        <v>0</v>
      </c>
      <c r="L77" s="2">
        <v>0</v>
      </c>
      <c r="M77" s="3">
        <v>45820</v>
      </c>
      <c r="N77" t="s">
        <v>4</v>
      </c>
      <c r="O77" s="3">
        <v>45820</v>
      </c>
      <c r="P77" s="3"/>
      <c r="Q77" t="s">
        <v>143</v>
      </c>
      <c r="R77" t="s">
        <v>9</v>
      </c>
      <c r="S77" s="4">
        <v>0.58443287037036995</v>
      </c>
      <c r="T77" t="s">
        <v>4</v>
      </c>
      <c r="U77" t="s">
        <v>10</v>
      </c>
      <c r="V77" s="5">
        <v>0</v>
      </c>
      <c r="W77" s="5">
        <v>0</v>
      </c>
      <c r="X77" t="s">
        <v>4</v>
      </c>
      <c r="Y77" t="s">
        <v>4</v>
      </c>
    </row>
    <row r="78" spans="1:25" x14ac:dyDescent="0.2">
      <c r="A78" s="57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4</v>
      </c>
      <c r="G78" t="s">
        <v>5</v>
      </c>
      <c r="H78" t="s">
        <v>21</v>
      </c>
      <c r="I78" t="s">
        <v>142</v>
      </c>
      <c r="J78" s="2">
        <v>196</v>
      </c>
      <c r="K78" s="2">
        <v>0</v>
      </c>
      <c r="L78" s="2">
        <v>0</v>
      </c>
      <c r="M78" s="3">
        <v>45820</v>
      </c>
      <c r="N78" t="s">
        <v>4</v>
      </c>
      <c r="O78" s="3">
        <v>45820</v>
      </c>
      <c r="P78" s="3"/>
      <c r="Q78" t="s">
        <v>144</v>
      </c>
      <c r="R78" t="s">
        <v>9</v>
      </c>
      <c r="S78" s="4">
        <v>0.58443287037036995</v>
      </c>
      <c r="T78" t="s">
        <v>4</v>
      </c>
      <c r="U78" t="s">
        <v>10</v>
      </c>
      <c r="V78" s="5">
        <v>0</v>
      </c>
      <c r="W78" s="5">
        <v>0</v>
      </c>
      <c r="X78" t="s">
        <v>4</v>
      </c>
      <c r="Y78" t="s">
        <v>4</v>
      </c>
    </row>
    <row r="79" spans="1:25" x14ac:dyDescent="0.2">
      <c r="A79" s="57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4</v>
      </c>
      <c r="G79" t="s">
        <v>5</v>
      </c>
      <c r="H79" t="s">
        <v>6</v>
      </c>
      <c r="I79" t="s">
        <v>145</v>
      </c>
      <c r="J79" s="2">
        <v>196</v>
      </c>
      <c r="K79" s="2">
        <v>0</v>
      </c>
      <c r="L79" s="2">
        <v>0</v>
      </c>
      <c r="M79" s="3">
        <v>45839</v>
      </c>
      <c r="N79" t="s">
        <v>4</v>
      </c>
      <c r="O79" s="3">
        <v>45839</v>
      </c>
      <c r="P79" s="3"/>
      <c r="Q79" t="s">
        <v>146</v>
      </c>
      <c r="R79" t="s">
        <v>9</v>
      </c>
      <c r="S79" s="4">
        <v>0.59018518518519003</v>
      </c>
      <c r="T79" t="s">
        <v>4</v>
      </c>
      <c r="U79" t="s">
        <v>10</v>
      </c>
      <c r="V79" s="5">
        <v>0</v>
      </c>
      <c r="W79" s="5">
        <v>0</v>
      </c>
      <c r="X79" t="s">
        <v>4</v>
      </c>
      <c r="Y79" t="s">
        <v>4</v>
      </c>
    </row>
    <row r="80" spans="1:25" x14ac:dyDescent="0.2">
      <c r="A80" s="57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4</v>
      </c>
      <c r="G80" t="s">
        <v>5</v>
      </c>
      <c r="H80" t="s">
        <v>6</v>
      </c>
      <c r="I80" t="s">
        <v>145</v>
      </c>
      <c r="J80" s="2">
        <v>196</v>
      </c>
      <c r="K80" s="2">
        <v>0</v>
      </c>
      <c r="L80" s="2">
        <v>0</v>
      </c>
      <c r="M80" s="3">
        <v>45839</v>
      </c>
      <c r="N80" t="s">
        <v>4</v>
      </c>
      <c r="O80" s="3">
        <v>45839</v>
      </c>
      <c r="P80" s="3"/>
      <c r="Q80" t="s">
        <v>147</v>
      </c>
      <c r="R80" t="s">
        <v>9</v>
      </c>
      <c r="S80" s="4">
        <v>0.59018518518519003</v>
      </c>
      <c r="T80" t="s">
        <v>4</v>
      </c>
      <c r="U80" t="s">
        <v>10</v>
      </c>
      <c r="V80" s="5">
        <v>0</v>
      </c>
      <c r="W80" s="5">
        <v>0</v>
      </c>
      <c r="X80" t="s">
        <v>4</v>
      </c>
      <c r="Y80" t="s">
        <v>4</v>
      </c>
    </row>
    <row r="81" spans="1:25" x14ac:dyDescent="0.2">
      <c r="A81" s="57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4</v>
      </c>
      <c r="G81" t="s">
        <v>5</v>
      </c>
      <c r="H81" t="s">
        <v>6</v>
      </c>
      <c r="I81" t="s">
        <v>148</v>
      </c>
      <c r="J81" s="2">
        <v>196</v>
      </c>
      <c r="K81" s="2">
        <v>0</v>
      </c>
      <c r="L81" s="2">
        <v>0</v>
      </c>
      <c r="M81" s="3">
        <v>45839</v>
      </c>
      <c r="N81" t="s">
        <v>4</v>
      </c>
      <c r="O81" s="3">
        <v>45839</v>
      </c>
      <c r="P81" s="3"/>
      <c r="Q81" t="s">
        <v>149</v>
      </c>
      <c r="R81" t="s">
        <v>9</v>
      </c>
      <c r="S81" s="4">
        <v>0.53709490740740995</v>
      </c>
      <c r="T81" t="s">
        <v>4</v>
      </c>
      <c r="U81" t="s">
        <v>10</v>
      </c>
      <c r="V81" s="5">
        <v>0</v>
      </c>
      <c r="W81" s="5">
        <v>0</v>
      </c>
      <c r="X81" t="s">
        <v>4</v>
      </c>
      <c r="Y81" t="s">
        <v>4</v>
      </c>
    </row>
    <row r="82" spans="1:25" x14ac:dyDescent="0.2">
      <c r="A82" s="57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4</v>
      </c>
      <c r="G82" t="s">
        <v>5</v>
      </c>
      <c r="H82" t="s">
        <v>6</v>
      </c>
      <c r="I82" t="s">
        <v>148</v>
      </c>
      <c r="J82" s="2">
        <v>196</v>
      </c>
      <c r="K82" s="2">
        <v>0</v>
      </c>
      <c r="L82" s="2">
        <v>0</v>
      </c>
      <c r="M82" s="3">
        <v>45839</v>
      </c>
      <c r="N82" t="s">
        <v>4</v>
      </c>
      <c r="O82" s="3">
        <v>45839</v>
      </c>
      <c r="P82" s="3"/>
      <c r="Q82" t="s">
        <v>150</v>
      </c>
      <c r="R82" t="s">
        <v>9</v>
      </c>
      <c r="S82" s="4">
        <v>0.53709490740740995</v>
      </c>
      <c r="T82" t="s">
        <v>4</v>
      </c>
      <c r="U82" t="s">
        <v>10</v>
      </c>
      <c r="V82" s="5">
        <v>0</v>
      </c>
      <c r="W82" s="5">
        <v>0</v>
      </c>
      <c r="X82" t="s">
        <v>4</v>
      </c>
      <c r="Y82" t="s">
        <v>4</v>
      </c>
    </row>
    <row r="83" spans="1:25" x14ac:dyDescent="0.2">
      <c r="A83" s="57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4</v>
      </c>
      <c r="G83" t="s">
        <v>5</v>
      </c>
      <c r="H83" t="s">
        <v>6</v>
      </c>
      <c r="I83" t="s">
        <v>151</v>
      </c>
      <c r="J83" s="2">
        <v>196</v>
      </c>
      <c r="K83" s="2">
        <v>0</v>
      </c>
      <c r="L83" s="2">
        <v>0</v>
      </c>
      <c r="M83" s="3">
        <v>45839</v>
      </c>
      <c r="N83" t="s">
        <v>4</v>
      </c>
      <c r="O83" s="3">
        <v>45839</v>
      </c>
      <c r="P83" s="3"/>
      <c r="Q83" t="s">
        <v>152</v>
      </c>
      <c r="R83" t="s">
        <v>9</v>
      </c>
      <c r="S83" s="4">
        <v>0.64934027777778003</v>
      </c>
      <c r="T83" t="s">
        <v>4</v>
      </c>
      <c r="U83" t="s">
        <v>10</v>
      </c>
      <c r="V83" s="5">
        <v>0</v>
      </c>
      <c r="W83" s="5">
        <v>0</v>
      </c>
      <c r="X83" t="s">
        <v>4</v>
      </c>
      <c r="Y83" t="s">
        <v>4</v>
      </c>
    </row>
    <row r="84" spans="1:25" x14ac:dyDescent="0.2">
      <c r="A84" s="57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4</v>
      </c>
      <c r="G84" t="s">
        <v>5</v>
      </c>
      <c r="H84" t="s">
        <v>6</v>
      </c>
      <c r="I84" t="s">
        <v>151</v>
      </c>
      <c r="J84" s="2">
        <v>196</v>
      </c>
      <c r="K84" s="2">
        <v>0</v>
      </c>
      <c r="L84" s="2">
        <v>0</v>
      </c>
      <c r="M84" s="3">
        <v>45839</v>
      </c>
      <c r="N84" t="s">
        <v>4</v>
      </c>
      <c r="O84" s="3">
        <v>45839</v>
      </c>
      <c r="P84" s="3"/>
      <c r="Q84" t="s">
        <v>153</v>
      </c>
      <c r="R84" t="s">
        <v>9</v>
      </c>
      <c r="S84" s="4">
        <v>0.64934027777778003</v>
      </c>
      <c r="T84" t="s">
        <v>4</v>
      </c>
      <c r="U84" t="s">
        <v>10</v>
      </c>
      <c r="V84" s="5">
        <v>0</v>
      </c>
      <c r="W84" s="5">
        <v>0</v>
      </c>
      <c r="X84" t="s">
        <v>4</v>
      </c>
      <c r="Y84" t="s">
        <v>4</v>
      </c>
    </row>
    <row r="85" spans="1:25" x14ac:dyDescent="0.2">
      <c r="A85" s="57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4</v>
      </c>
      <c r="G85" t="s">
        <v>5</v>
      </c>
      <c r="H85" t="s">
        <v>6</v>
      </c>
      <c r="I85" t="s">
        <v>154</v>
      </c>
      <c r="J85" s="2">
        <v>196</v>
      </c>
      <c r="K85" s="2">
        <v>0</v>
      </c>
      <c r="L85" s="2">
        <v>0</v>
      </c>
      <c r="M85" s="3">
        <v>45819</v>
      </c>
      <c r="N85" t="s">
        <v>4</v>
      </c>
      <c r="O85" s="3">
        <v>45819</v>
      </c>
      <c r="P85" s="3"/>
      <c r="Q85" t="s">
        <v>155</v>
      </c>
      <c r="R85" t="s">
        <v>9</v>
      </c>
      <c r="S85" s="4">
        <v>0.82518518518519002</v>
      </c>
      <c r="T85" t="s">
        <v>4</v>
      </c>
      <c r="U85" t="s">
        <v>10</v>
      </c>
      <c r="V85" s="5">
        <v>0</v>
      </c>
      <c r="W85" s="5">
        <v>0</v>
      </c>
      <c r="X85" t="s">
        <v>4</v>
      </c>
      <c r="Y85" t="s">
        <v>4</v>
      </c>
    </row>
    <row r="86" spans="1:25" x14ac:dyDescent="0.2">
      <c r="A86" s="57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4</v>
      </c>
      <c r="G86" t="s">
        <v>5</v>
      </c>
      <c r="H86" t="s">
        <v>6</v>
      </c>
      <c r="I86" t="s">
        <v>154</v>
      </c>
      <c r="J86" s="2">
        <v>196</v>
      </c>
      <c r="K86" s="2">
        <v>0</v>
      </c>
      <c r="L86" s="2">
        <v>0</v>
      </c>
      <c r="M86" s="3">
        <v>45819</v>
      </c>
      <c r="N86" t="s">
        <v>4</v>
      </c>
      <c r="O86" s="3">
        <v>45819</v>
      </c>
      <c r="P86" s="3"/>
      <c r="Q86" t="s">
        <v>156</v>
      </c>
      <c r="R86" t="s">
        <v>9</v>
      </c>
      <c r="S86" s="4">
        <v>0.82518518518519002</v>
      </c>
      <c r="T86" t="s">
        <v>4</v>
      </c>
      <c r="U86" t="s">
        <v>10</v>
      </c>
      <c r="V86" s="5">
        <v>0</v>
      </c>
      <c r="W86" s="5">
        <v>0</v>
      </c>
      <c r="X86" t="s">
        <v>4</v>
      </c>
      <c r="Y86" t="s">
        <v>4</v>
      </c>
    </row>
    <row r="87" spans="1:25" x14ac:dyDescent="0.2">
      <c r="A87" s="5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4</v>
      </c>
      <c r="G87" t="s">
        <v>5</v>
      </c>
      <c r="H87" t="s">
        <v>21</v>
      </c>
      <c r="I87" t="s">
        <v>157</v>
      </c>
      <c r="J87" s="2">
        <v>196</v>
      </c>
      <c r="K87" s="2">
        <v>0</v>
      </c>
      <c r="L87" s="2">
        <v>0</v>
      </c>
      <c r="M87" s="3">
        <v>45819</v>
      </c>
      <c r="N87" t="s">
        <v>4</v>
      </c>
      <c r="O87" s="3">
        <v>45819</v>
      </c>
      <c r="P87" s="3"/>
      <c r="Q87" t="s">
        <v>158</v>
      </c>
      <c r="R87" t="s">
        <v>9</v>
      </c>
      <c r="S87" s="4">
        <v>0.94834490740740995</v>
      </c>
      <c r="T87" t="s">
        <v>4</v>
      </c>
      <c r="U87" t="s">
        <v>10</v>
      </c>
      <c r="V87" s="5">
        <v>0</v>
      </c>
      <c r="W87" s="5">
        <v>0</v>
      </c>
      <c r="X87" t="s">
        <v>4</v>
      </c>
      <c r="Y87" t="s">
        <v>4</v>
      </c>
    </row>
    <row r="88" spans="1:25" x14ac:dyDescent="0.2">
      <c r="A88" s="57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4</v>
      </c>
      <c r="G88" t="s">
        <v>5</v>
      </c>
      <c r="H88" t="s">
        <v>21</v>
      </c>
      <c r="I88" t="s">
        <v>157</v>
      </c>
      <c r="J88" s="2">
        <v>196</v>
      </c>
      <c r="K88" s="2">
        <v>0</v>
      </c>
      <c r="L88" s="2">
        <v>0</v>
      </c>
      <c r="M88" s="3">
        <v>45819</v>
      </c>
      <c r="N88" t="s">
        <v>4</v>
      </c>
      <c r="O88" s="3">
        <v>45819</v>
      </c>
      <c r="P88" s="3"/>
      <c r="Q88" t="s">
        <v>159</v>
      </c>
      <c r="R88" t="s">
        <v>9</v>
      </c>
      <c r="S88" s="4">
        <v>0.94834490740740995</v>
      </c>
      <c r="T88" t="s">
        <v>4</v>
      </c>
      <c r="U88" t="s">
        <v>10</v>
      </c>
      <c r="V88" s="5">
        <v>0</v>
      </c>
      <c r="W88" s="5">
        <v>0</v>
      </c>
      <c r="X88" t="s">
        <v>4</v>
      </c>
      <c r="Y88" t="s">
        <v>4</v>
      </c>
    </row>
    <row r="89" spans="1:25" x14ac:dyDescent="0.2">
      <c r="A89" s="57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4</v>
      </c>
      <c r="G89" t="s">
        <v>5</v>
      </c>
      <c r="H89" t="s">
        <v>6</v>
      </c>
      <c r="I89" t="s">
        <v>160</v>
      </c>
      <c r="J89" s="2">
        <v>196</v>
      </c>
      <c r="K89" s="2">
        <v>0</v>
      </c>
      <c r="L89" s="2">
        <v>0</v>
      </c>
      <c r="M89" s="3">
        <v>45839</v>
      </c>
      <c r="N89" t="s">
        <v>4</v>
      </c>
      <c r="O89" s="3">
        <v>45839</v>
      </c>
      <c r="P89" s="3"/>
      <c r="Q89" t="s">
        <v>161</v>
      </c>
      <c r="R89" t="s">
        <v>9</v>
      </c>
      <c r="S89" s="4">
        <v>0.98333333333332995</v>
      </c>
      <c r="T89" t="s">
        <v>4</v>
      </c>
      <c r="U89" t="s">
        <v>10</v>
      </c>
      <c r="V89" s="5">
        <v>0</v>
      </c>
      <c r="W89" s="5">
        <v>0</v>
      </c>
      <c r="X89" t="s">
        <v>4</v>
      </c>
      <c r="Y89" t="s">
        <v>4</v>
      </c>
    </row>
    <row r="90" spans="1:25" x14ac:dyDescent="0.2">
      <c r="A90" s="57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4</v>
      </c>
      <c r="G90" t="s">
        <v>5</v>
      </c>
      <c r="H90" t="s">
        <v>6</v>
      </c>
      <c r="I90" t="s">
        <v>160</v>
      </c>
      <c r="J90" s="2">
        <v>196</v>
      </c>
      <c r="K90" s="2">
        <v>0</v>
      </c>
      <c r="L90" s="2">
        <v>0</v>
      </c>
      <c r="M90" s="3">
        <v>45839</v>
      </c>
      <c r="N90" t="s">
        <v>4</v>
      </c>
      <c r="O90" s="3">
        <v>45839</v>
      </c>
      <c r="P90" s="3"/>
      <c r="Q90" t="s">
        <v>162</v>
      </c>
      <c r="R90" t="s">
        <v>9</v>
      </c>
      <c r="S90" s="4">
        <v>0.98333333333332995</v>
      </c>
      <c r="T90" t="s">
        <v>4</v>
      </c>
      <c r="U90" t="s">
        <v>10</v>
      </c>
      <c r="V90" s="5">
        <v>0</v>
      </c>
      <c r="W90" s="5">
        <v>0</v>
      </c>
      <c r="X90" t="s">
        <v>4</v>
      </c>
      <c r="Y90" t="s">
        <v>4</v>
      </c>
    </row>
    <row r="91" spans="1:25" x14ac:dyDescent="0.2">
      <c r="A91" s="57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4</v>
      </c>
      <c r="G91" t="s">
        <v>5</v>
      </c>
      <c r="H91" t="s">
        <v>6</v>
      </c>
      <c r="I91" t="s">
        <v>163</v>
      </c>
      <c r="J91" s="2">
        <v>196</v>
      </c>
      <c r="K91" s="2">
        <v>0</v>
      </c>
      <c r="L91" s="2">
        <v>0</v>
      </c>
      <c r="M91" s="3">
        <v>45819</v>
      </c>
      <c r="N91" t="s">
        <v>4</v>
      </c>
      <c r="O91" s="3">
        <v>45819</v>
      </c>
      <c r="P91" s="3"/>
      <c r="Q91" t="s">
        <v>164</v>
      </c>
      <c r="R91" t="s">
        <v>9</v>
      </c>
      <c r="S91" s="4">
        <v>0.67482638888889002</v>
      </c>
      <c r="T91" t="s">
        <v>4</v>
      </c>
      <c r="U91" t="s">
        <v>10</v>
      </c>
      <c r="V91" s="5">
        <v>0</v>
      </c>
      <c r="W91" s="5">
        <v>0</v>
      </c>
      <c r="X91" t="s">
        <v>4</v>
      </c>
      <c r="Y91" t="s">
        <v>4</v>
      </c>
    </row>
    <row r="92" spans="1:25" x14ac:dyDescent="0.2">
      <c r="A92" s="57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4</v>
      </c>
      <c r="G92" t="s">
        <v>5</v>
      </c>
      <c r="H92" t="s">
        <v>6</v>
      </c>
      <c r="I92" t="s">
        <v>163</v>
      </c>
      <c r="J92" s="2">
        <v>196</v>
      </c>
      <c r="K92" s="2">
        <v>0</v>
      </c>
      <c r="L92" s="2">
        <v>0</v>
      </c>
      <c r="M92" s="3">
        <v>45819</v>
      </c>
      <c r="N92" t="s">
        <v>4</v>
      </c>
      <c r="O92" s="3">
        <v>45819</v>
      </c>
      <c r="P92" s="3"/>
      <c r="Q92" t="s">
        <v>165</v>
      </c>
      <c r="R92" t="s">
        <v>9</v>
      </c>
      <c r="S92" s="4">
        <v>0.67482638888889002</v>
      </c>
      <c r="T92" t="s">
        <v>4</v>
      </c>
      <c r="U92" t="s">
        <v>10</v>
      </c>
      <c r="V92" s="5">
        <v>0</v>
      </c>
      <c r="W92" s="5">
        <v>0</v>
      </c>
      <c r="X92" t="s">
        <v>4</v>
      </c>
      <c r="Y92" t="s">
        <v>4</v>
      </c>
    </row>
    <row r="93" spans="1:25" x14ac:dyDescent="0.2">
      <c r="A93" s="57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4</v>
      </c>
      <c r="G93" t="s">
        <v>5</v>
      </c>
      <c r="H93" t="s">
        <v>6</v>
      </c>
      <c r="I93" t="s">
        <v>166</v>
      </c>
      <c r="J93" s="2">
        <v>196</v>
      </c>
      <c r="K93" s="2">
        <v>0</v>
      </c>
      <c r="L93" s="2">
        <v>0</v>
      </c>
      <c r="M93" s="3">
        <v>45819</v>
      </c>
      <c r="N93" t="s">
        <v>4</v>
      </c>
      <c r="O93" s="3">
        <v>45819</v>
      </c>
      <c r="P93" s="3"/>
      <c r="Q93" t="s">
        <v>167</v>
      </c>
      <c r="R93" t="s">
        <v>9</v>
      </c>
      <c r="S93" s="4">
        <v>0.44879629629630002</v>
      </c>
      <c r="T93" t="s">
        <v>4</v>
      </c>
      <c r="U93" t="s">
        <v>10</v>
      </c>
      <c r="V93" s="5">
        <v>0</v>
      </c>
      <c r="W93" s="5">
        <v>0</v>
      </c>
      <c r="X93" t="s">
        <v>4</v>
      </c>
      <c r="Y93" t="s">
        <v>4</v>
      </c>
    </row>
    <row r="94" spans="1:25" x14ac:dyDescent="0.2">
      <c r="A94" s="57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4</v>
      </c>
      <c r="G94" t="s">
        <v>5</v>
      </c>
      <c r="H94" t="s">
        <v>6</v>
      </c>
      <c r="I94" t="s">
        <v>166</v>
      </c>
      <c r="J94" s="2">
        <v>196</v>
      </c>
      <c r="K94" s="2">
        <v>0</v>
      </c>
      <c r="L94" s="2">
        <v>0</v>
      </c>
      <c r="M94" s="3">
        <v>45819</v>
      </c>
      <c r="N94" t="s">
        <v>4</v>
      </c>
      <c r="O94" s="3">
        <v>45819</v>
      </c>
      <c r="P94" s="3"/>
      <c r="Q94" t="s">
        <v>168</v>
      </c>
      <c r="R94" t="s">
        <v>9</v>
      </c>
      <c r="S94" s="4">
        <v>0.44879629629630002</v>
      </c>
      <c r="T94" t="s">
        <v>4</v>
      </c>
      <c r="U94" t="s">
        <v>10</v>
      </c>
      <c r="V94" s="5">
        <v>0</v>
      </c>
      <c r="W94" s="5">
        <v>0</v>
      </c>
      <c r="X94" t="s">
        <v>4</v>
      </c>
      <c r="Y94" t="s">
        <v>4</v>
      </c>
    </row>
    <row r="95" spans="1:25" x14ac:dyDescent="0.2">
      <c r="A95" s="57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</v>
      </c>
      <c r="G95" t="s">
        <v>5</v>
      </c>
      <c r="H95" t="s">
        <v>6</v>
      </c>
      <c r="I95" t="s">
        <v>169</v>
      </c>
      <c r="J95" s="2">
        <v>196</v>
      </c>
      <c r="K95" s="2">
        <v>0</v>
      </c>
      <c r="L95" s="2">
        <v>0</v>
      </c>
      <c r="M95" s="3">
        <v>45839</v>
      </c>
      <c r="N95" t="s">
        <v>4</v>
      </c>
      <c r="O95" s="3">
        <v>45839</v>
      </c>
      <c r="P95" s="3"/>
      <c r="Q95" t="s">
        <v>170</v>
      </c>
      <c r="R95" t="s">
        <v>9</v>
      </c>
      <c r="S95" s="4">
        <v>0.61287037037036995</v>
      </c>
      <c r="T95" t="s">
        <v>4</v>
      </c>
      <c r="U95" t="s">
        <v>10</v>
      </c>
      <c r="V95" s="5">
        <v>0</v>
      </c>
      <c r="W95" s="5">
        <v>0</v>
      </c>
      <c r="X95" t="s">
        <v>4</v>
      </c>
      <c r="Y95" t="s">
        <v>4</v>
      </c>
    </row>
    <row r="96" spans="1:25" x14ac:dyDescent="0.2">
      <c r="A96" s="57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4</v>
      </c>
      <c r="G96" t="s">
        <v>5</v>
      </c>
      <c r="H96" t="s">
        <v>6</v>
      </c>
      <c r="I96" t="s">
        <v>169</v>
      </c>
      <c r="J96" s="2">
        <v>196</v>
      </c>
      <c r="K96" s="2">
        <v>0</v>
      </c>
      <c r="L96" s="2">
        <v>0</v>
      </c>
      <c r="M96" s="3">
        <v>45839</v>
      </c>
      <c r="N96" t="s">
        <v>4</v>
      </c>
      <c r="O96" s="3">
        <v>45839</v>
      </c>
      <c r="P96" s="3"/>
      <c r="Q96" t="s">
        <v>171</v>
      </c>
      <c r="R96" t="s">
        <v>9</v>
      </c>
      <c r="S96" s="4">
        <v>0.61287037037036995</v>
      </c>
      <c r="T96" t="s">
        <v>4</v>
      </c>
      <c r="U96" t="s">
        <v>10</v>
      </c>
      <c r="V96" s="5">
        <v>0</v>
      </c>
      <c r="W96" s="5">
        <v>0</v>
      </c>
      <c r="X96" t="s">
        <v>4</v>
      </c>
      <c r="Y96" t="s">
        <v>4</v>
      </c>
    </row>
    <row r="97" spans="1:25" x14ac:dyDescent="0.2">
      <c r="A97" s="5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4</v>
      </c>
      <c r="G97" t="s">
        <v>5</v>
      </c>
      <c r="H97" t="s">
        <v>21</v>
      </c>
      <c r="I97" t="s">
        <v>172</v>
      </c>
      <c r="J97" s="2">
        <v>196</v>
      </c>
      <c r="K97" s="2">
        <v>0</v>
      </c>
      <c r="L97" s="2">
        <v>0</v>
      </c>
      <c r="M97" s="3">
        <v>45839</v>
      </c>
      <c r="N97" t="s">
        <v>4</v>
      </c>
      <c r="O97" s="3">
        <v>45839</v>
      </c>
      <c r="P97" s="3"/>
      <c r="Q97" t="s">
        <v>173</v>
      </c>
      <c r="R97" t="s">
        <v>9</v>
      </c>
      <c r="S97" s="4">
        <v>0.60679398148148</v>
      </c>
      <c r="T97" t="s">
        <v>4</v>
      </c>
      <c r="U97" t="s">
        <v>10</v>
      </c>
      <c r="V97" s="5">
        <v>0</v>
      </c>
      <c r="W97" s="5">
        <v>0</v>
      </c>
      <c r="X97" t="s">
        <v>4</v>
      </c>
      <c r="Y97" t="s">
        <v>4</v>
      </c>
    </row>
    <row r="98" spans="1:25" x14ac:dyDescent="0.2">
      <c r="A98" s="57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4</v>
      </c>
      <c r="G98" t="s">
        <v>5</v>
      </c>
      <c r="H98" t="s">
        <v>21</v>
      </c>
      <c r="I98" t="s">
        <v>172</v>
      </c>
      <c r="J98" s="2">
        <v>196</v>
      </c>
      <c r="K98" s="2">
        <v>0</v>
      </c>
      <c r="L98" s="2">
        <v>0</v>
      </c>
      <c r="M98" s="3">
        <v>45839</v>
      </c>
      <c r="N98" t="s">
        <v>4</v>
      </c>
      <c r="O98" s="3">
        <v>45839</v>
      </c>
      <c r="P98" s="3"/>
      <c r="Q98" t="s">
        <v>174</v>
      </c>
      <c r="R98" t="s">
        <v>9</v>
      </c>
      <c r="S98" s="4">
        <v>0.60679398148148</v>
      </c>
      <c r="T98" t="s">
        <v>4</v>
      </c>
      <c r="U98" t="s">
        <v>10</v>
      </c>
      <c r="V98" s="5">
        <v>0</v>
      </c>
      <c r="W98" s="5">
        <v>0</v>
      </c>
      <c r="X98" t="s">
        <v>4</v>
      </c>
      <c r="Y98" t="s">
        <v>4</v>
      </c>
    </row>
    <row r="99" spans="1:25" x14ac:dyDescent="0.2">
      <c r="A99" s="57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4</v>
      </c>
      <c r="G99" t="s">
        <v>5</v>
      </c>
      <c r="H99" t="s">
        <v>17</v>
      </c>
      <c r="I99" t="s">
        <v>175</v>
      </c>
      <c r="J99" s="2">
        <v>196</v>
      </c>
      <c r="K99" s="2">
        <v>0</v>
      </c>
      <c r="L99" s="2">
        <v>0</v>
      </c>
      <c r="M99" s="3">
        <v>45839</v>
      </c>
      <c r="N99" t="s">
        <v>4</v>
      </c>
      <c r="O99" s="3">
        <v>45839</v>
      </c>
      <c r="P99" s="3"/>
      <c r="Q99" t="s">
        <v>176</v>
      </c>
      <c r="R99" t="s">
        <v>9</v>
      </c>
      <c r="S99" s="4">
        <v>0.57899305555556002</v>
      </c>
      <c r="T99" t="s">
        <v>4</v>
      </c>
      <c r="U99" t="s">
        <v>10</v>
      </c>
      <c r="V99" s="5">
        <v>0</v>
      </c>
      <c r="W99" s="5">
        <v>0</v>
      </c>
      <c r="X99" t="s">
        <v>4</v>
      </c>
      <c r="Y99" t="s">
        <v>4</v>
      </c>
    </row>
    <row r="100" spans="1:25" x14ac:dyDescent="0.2">
      <c r="A100" s="57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4</v>
      </c>
      <c r="G100" t="s">
        <v>5</v>
      </c>
      <c r="H100" t="s">
        <v>17</v>
      </c>
      <c r="I100" t="s">
        <v>175</v>
      </c>
      <c r="J100" s="2">
        <v>196</v>
      </c>
      <c r="K100" s="2">
        <v>0</v>
      </c>
      <c r="L100" s="2">
        <v>0</v>
      </c>
      <c r="M100" s="3">
        <v>45839</v>
      </c>
      <c r="N100" t="s">
        <v>4</v>
      </c>
      <c r="O100" s="3">
        <v>45839</v>
      </c>
      <c r="P100" s="3"/>
      <c r="Q100" t="s">
        <v>177</v>
      </c>
      <c r="R100" t="s">
        <v>9</v>
      </c>
      <c r="S100" s="4">
        <v>0.57899305555556002</v>
      </c>
      <c r="T100" t="s">
        <v>4</v>
      </c>
      <c r="U100" t="s">
        <v>10</v>
      </c>
      <c r="V100" s="5">
        <v>0</v>
      </c>
      <c r="W100" s="5">
        <v>0</v>
      </c>
      <c r="X100" t="s">
        <v>4</v>
      </c>
      <c r="Y100" t="s">
        <v>4</v>
      </c>
    </row>
    <row r="101" spans="1:25" x14ac:dyDescent="0.2">
      <c r="A101" s="57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4</v>
      </c>
      <c r="G101" t="s">
        <v>5</v>
      </c>
      <c r="H101" t="s">
        <v>17</v>
      </c>
      <c r="I101" t="s">
        <v>178</v>
      </c>
      <c r="J101" s="2">
        <v>196</v>
      </c>
      <c r="K101" s="2">
        <v>0</v>
      </c>
      <c r="L101" s="2">
        <v>0</v>
      </c>
      <c r="M101" s="3">
        <v>45839</v>
      </c>
      <c r="N101" t="s">
        <v>4</v>
      </c>
      <c r="O101" s="3">
        <v>45839</v>
      </c>
      <c r="P101" s="3"/>
      <c r="Q101" t="s">
        <v>179</v>
      </c>
      <c r="R101" t="s">
        <v>9</v>
      </c>
      <c r="S101" s="4">
        <v>0.68964120370369997</v>
      </c>
      <c r="T101" t="s">
        <v>4</v>
      </c>
      <c r="U101" t="s">
        <v>10</v>
      </c>
      <c r="V101" s="5">
        <v>0</v>
      </c>
      <c r="W101" s="5">
        <v>0</v>
      </c>
      <c r="X101" t="s">
        <v>4</v>
      </c>
      <c r="Y101" t="s">
        <v>4</v>
      </c>
    </row>
    <row r="102" spans="1:25" x14ac:dyDescent="0.2">
      <c r="A102" s="57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4</v>
      </c>
      <c r="G102" t="s">
        <v>5</v>
      </c>
      <c r="H102" t="s">
        <v>17</v>
      </c>
      <c r="I102" t="s">
        <v>178</v>
      </c>
      <c r="J102" s="2">
        <v>196</v>
      </c>
      <c r="K102" s="2">
        <v>0</v>
      </c>
      <c r="L102" s="2">
        <v>0</v>
      </c>
      <c r="M102" s="3">
        <v>45839</v>
      </c>
      <c r="N102" t="s">
        <v>4</v>
      </c>
      <c r="O102" s="3">
        <v>45839</v>
      </c>
      <c r="P102" s="3"/>
      <c r="Q102" t="s">
        <v>180</v>
      </c>
      <c r="R102" t="s">
        <v>9</v>
      </c>
      <c r="S102" s="4">
        <v>0.68964120370369997</v>
      </c>
      <c r="T102" t="s">
        <v>4</v>
      </c>
      <c r="U102" t="s">
        <v>10</v>
      </c>
      <c r="V102" s="5">
        <v>0</v>
      </c>
      <c r="W102" s="5">
        <v>0</v>
      </c>
      <c r="X102" t="s">
        <v>4</v>
      </c>
      <c r="Y102" t="s">
        <v>4</v>
      </c>
    </row>
    <row r="103" spans="1:25" x14ac:dyDescent="0.2">
      <c r="A103" s="57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4</v>
      </c>
      <c r="G103" t="s">
        <v>5</v>
      </c>
      <c r="H103" t="s">
        <v>6</v>
      </c>
      <c r="I103" t="s">
        <v>181</v>
      </c>
      <c r="J103" s="2">
        <v>196</v>
      </c>
      <c r="K103" s="2">
        <v>0</v>
      </c>
      <c r="L103" s="2">
        <v>0</v>
      </c>
      <c r="M103" s="3">
        <v>45839</v>
      </c>
      <c r="N103" t="s">
        <v>4</v>
      </c>
      <c r="O103" s="3">
        <v>45839</v>
      </c>
      <c r="P103" s="3"/>
      <c r="Q103" t="s">
        <v>182</v>
      </c>
      <c r="R103" t="s">
        <v>9</v>
      </c>
      <c r="S103" s="4">
        <v>0.63973379629630001</v>
      </c>
      <c r="T103" t="s">
        <v>4</v>
      </c>
      <c r="U103" t="s">
        <v>10</v>
      </c>
      <c r="V103" s="5">
        <v>0</v>
      </c>
      <c r="W103" s="5">
        <v>0</v>
      </c>
      <c r="X103" t="s">
        <v>4</v>
      </c>
      <c r="Y103" t="s">
        <v>4</v>
      </c>
    </row>
    <row r="104" spans="1:25" x14ac:dyDescent="0.2">
      <c r="A104" s="57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4</v>
      </c>
      <c r="G104" t="s">
        <v>5</v>
      </c>
      <c r="H104" t="s">
        <v>6</v>
      </c>
      <c r="I104" t="s">
        <v>181</v>
      </c>
      <c r="J104" s="2">
        <v>196</v>
      </c>
      <c r="K104" s="2">
        <v>0</v>
      </c>
      <c r="L104" s="2">
        <v>0</v>
      </c>
      <c r="M104" s="3">
        <v>45839</v>
      </c>
      <c r="N104" t="s">
        <v>4</v>
      </c>
      <c r="O104" s="3">
        <v>45839</v>
      </c>
      <c r="P104" s="3"/>
      <c r="Q104" t="s">
        <v>183</v>
      </c>
      <c r="R104" t="s">
        <v>9</v>
      </c>
      <c r="S104" s="4">
        <v>0.63973379629630001</v>
      </c>
      <c r="T104" t="s">
        <v>4</v>
      </c>
      <c r="U104" t="s">
        <v>10</v>
      </c>
      <c r="V104" s="5">
        <v>0</v>
      </c>
      <c r="W104" s="5">
        <v>0</v>
      </c>
      <c r="X104" t="s">
        <v>4</v>
      </c>
      <c r="Y104" t="s">
        <v>4</v>
      </c>
    </row>
    <row r="105" spans="1:25" x14ac:dyDescent="0.2">
      <c r="A105" s="57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4</v>
      </c>
      <c r="G105" t="s">
        <v>5</v>
      </c>
      <c r="H105" t="s">
        <v>21</v>
      </c>
      <c r="I105" t="s">
        <v>184</v>
      </c>
      <c r="J105" s="2">
        <v>196</v>
      </c>
      <c r="K105" s="2">
        <v>0</v>
      </c>
      <c r="L105" s="2">
        <v>0</v>
      </c>
      <c r="M105" s="3">
        <v>45820</v>
      </c>
      <c r="N105" t="s">
        <v>4</v>
      </c>
      <c r="O105" s="3">
        <v>45820</v>
      </c>
      <c r="P105" s="3"/>
      <c r="Q105" t="s">
        <v>185</v>
      </c>
      <c r="R105" t="s">
        <v>9</v>
      </c>
      <c r="S105" s="4">
        <v>0.77290509259258999</v>
      </c>
      <c r="T105" t="s">
        <v>4</v>
      </c>
      <c r="U105" t="s">
        <v>10</v>
      </c>
      <c r="V105" s="5">
        <v>0</v>
      </c>
      <c r="W105" s="5">
        <v>0</v>
      </c>
      <c r="X105" t="s">
        <v>4</v>
      </c>
      <c r="Y105" t="s">
        <v>4</v>
      </c>
    </row>
    <row r="106" spans="1:25" x14ac:dyDescent="0.2">
      <c r="A106" s="57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4</v>
      </c>
      <c r="G106" t="s">
        <v>5</v>
      </c>
      <c r="H106" t="s">
        <v>21</v>
      </c>
      <c r="I106" t="s">
        <v>184</v>
      </c>
      <c r="J106" s="2">
        <v>196</v>
      </c>
      <c r="K106" s="2">
        <v>0</v>
      </c>
      <c r="L106" s="2">
        <v>0</v>
      </c>
      <c r="M106" s="3">
        <v>45820</v>
      </c>
      <c r="N106" t="s">
        <v>4</v>
      </c>
      <c r="O106" s="3">
        <v>45820</v>
      </c>
      <c r="P106" s="3"/>
      <c r="Q106" t="s">
        <v>186</v>
      </c>
      <c r="R106" t="s">
        <v>9</v>
      </c>
      <c r="S106" s="4">
        <v>0.77290509259258999</v>
      </c>
      <c r="T106" t="s">
        <v>4</v>
      </c>
      <c r="U106" t="s">
        <v>10</v>
      </c>
      <c r="V106" s="5">
        <v>0</v>
      </c>
      <c r="W106" s="5">
        <v>0</v>
      </c>
      <c r="X106" t="s">
        <v>4</v>
      </c>
      <c r="Y106" t="s">
        <v>4</v>
      </c>
    </row>
    <row r="107" spans="1:25" x14ac:dyDescent="0.2">
      <c r="A107" s="5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4</v>
      </c>
      <c r="G107" t="s">
        <v>5</v>
      </c>
      <c r="H107" t="s">
        <v>17</v>
      </c>
      <c r="I107" t="s">
        <v>187</v>
      </c>
      <c r="J107" s="2">
        <v>196</v>
      </c>
      <c r="K107" s="2">
        <v>0</v>
      </c>
      <c r="L107" s="2">
        <v>0</v>
      </c>
      <c r="M107" s="3">
        <v>45839</v>
      </c>
      <c r="N107" t="s">
        <v>4</v>
      </c>
      <c r="O107" s="3">
        <v>45839</v>
      </c>
      <c r="P107" s="3"/>
      <c r="Q107" t="s">
        <v>188</v>
      </c>
      <c r="R107" t="s">
        <v>9</v>
      </c>
      <c r="S107" s="4">
        <v>0.93337962962962995</v>
      </c>
      <c r="T107" t="s">
        <v>4</v>
      </c>
      <c r="U107" t="s">
        <v>10</v>
      </c>
      <c r="V107" s="5">
        <v>0</v>
      </c>
      <c r="W107" s="5">
        <v>0</v>
      </c>
      <c r="X107" t="s">
        <v>4</v>
      </c>
      <c r="Y107" t="s">
        <v>4</v>
      </c>
    </row>
    <row r="108" spans="1:25" x14ac:dyDescent="0.2">
      <c r="A108" s="57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4</v>
      </c>
      <c r="G108" t="s">
        <v>5</v>
      </c>
      <c r="H108" t="s">
        <v>17</v>
      </c>
      <c r="I108" t="s">
        <v>187</v>
      </c>
      <c r="J108" s="2">
        <v>196</v>
      </c>
      <c r="K108" s="2">
        <v>0</v>
      </c>
      <c r="L108" s="2">
        <v>0</v>
      </c>
      <c r="M108" s="3">
        <v>45839</v>
      </c>
      <c r="N108" t="s">
        <v>4</v>
      </c>
      <c r="O108" s="3">
        <v>45839</v>
      </c>
      <c r="P108" s="3"/>
      <c r="Q108" t="s">
        <v>189</v>
      </c>
      <c r="R108" t="s">
        <v>9</v>
      </c>
      <c r="S108" s="4">
        <v>0.93337962962962995</v>
      </c>
      <c r="T108" t="s">
        <v>4</v>
      </c>
      <c r="U108" t="s">
        <v>10</v>
      </c>
      <c r="V108" s="5">
        <v>0</v>
      </c>
      <c r="W108" s="5">
        <v>0</v>
      </c>
      <c r="X108" t="s">
        <v>4</v>
      </c>
      <c r="Y108" t="s">
        <v>4</v>
      </c>
    </row>
    <row r="109" spans="1:25" x14ac:dyDescent="0.2">
      <c r="A109" s="57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4</v>
      </c>
      <c r="G109" t="s">
        <v>5</v>
      </c>
      <c r="H109" t="s">
        <v>21</v>
      </c>
      <c r="I109" t="s">
        <v>190</v>
      </c>
      <c r="J109" s="2">
        <v>196</v>
      </c>
      <c r="K109" s="2">
        <v>0</v>
      </c>
      <c r="L109" s="2">
        <v>0</v>
      </c>
      <c r="M109" s="3">
        <v>45820</v>
      </c>
      <c r="N109" t="s">
        <v>4</v>
      </c>
      <c r="O109" s="3">
        <v>45820</v>
      </c>
      <c r="P109" s="3"/>
      <c r="Q109" t="s">
        <v>191</v>
      </c>
      <c r="R109" t="s">
        <v>9</v>
      </c>
      <c r="S109" s="4">
        <v>0.84181712962962996</v>
      </c>
      <c r="T109" t="s">
        <v>4</v>
      </c>
      <c r="U109" t="s">
        <v>10</v>
      </c>
      <c r="V109" s="5">
        <v>0</v>
      </c>
      <c r="W109" s="5">
        <v>0</v>
      </c>
      <c r="X109" t="s">
        <v>4</v>
      </c>
      <c r="Y109" t="s">
        <v>4</v>
      </c>
    </row>
    <row r="110" spans="1:25" x14ac:dyDescent="0.2">
      <c r="A110" s="57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4</v>
      </c>
      <c r="G110" t="s">
        <v>5</v>
      </c>
      <c r="H110" t="s">
        <v>21</v>
      </c>
      <c r="I110" t="s">
        <v>190</v>
      </c>
      <c r="J110" s="2">
        <v>196</v>
      </c>
      <c r="K110" s="2">
        <v>0</v>
      </c>
      <c r="L110" s="2">
        <v>0</v>
      </c>
      <c r="M110" s="3">
        <v>45820</v>
      </c>
      <c r="N110" t="s">
        <v>4</v>
      </c>
      <c r="O110" s="3">
        <v>45820</v>
      </c>
      <c r="P110" s="3"/>
      <c r="Q110" t="s">
        <v>192</v>
      </c>
      <c r="R110" t="s">
        <v>9</v>
      </c>
      <c r="S110" s="4">
        <v>0.84181712962962996</v>
      </c>
      <c r="T110" t="s">
        <v>4</v>
      </c>
      <c r="U110" t="s">
        <v>10</v>
      </c>
      <c r="V110" s="5">
        <v>0</v>
      </c>
      <c r="W110" s="5">
        <v>0</v>
      </c>
      <c r="X110" t="s">
        <v>4</v>
      </c>
      <c r="Y110" t="s">
        <v>4</v>
      </c>
    </row>
    <row r="111" spans="1:25" x14ac:dyDescent="0.2">
      <c r="A111" s="57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4</v>
      </c>
      <c r="G111" t="s">
        <v>5</v>
      </c>
      <c r="H111" t="s">
        <v>17</v>
      </c>
      <c r="I111" t="s">
        <v>193</v>
      </c>
      <c r="J111" s="2">
        <v>196</v>
      </c>
      <c r="K111" s="2">
        <v>0</v>
      </c>
      <c r="L111" s="2">
        <v>0</v>
      </c>
      <c r="M111" s="3">
        <v>45839</v>
      </c>
      <c r="N111" t="s">
        <v>4</v>
      </c>
      <c r="O111" s="3">
        <v>45839</v>
      </c>
      <c r="P111" s="3"/>
      <c r="Q111" t="s">
        <v>194</v>
      </c>
      <c r="R111" t="s">
        <v>9</v>
      </c>
      <c r="S111" s="4">
        <v>0.94326388888889001</v>
      </c>
      <c r="T111" t="s">
        <v>4</v>
      </c>
      <c r="U111" t="s">
        <v>10</v>
      </c>
      <c r="V111" s="5">
        <v>0</v>
      </c>
      <c r="W111" s="5">
        <v>0</v>
      </c>
      <c r="X111" t="s">
        <v>4</v>
      </c>
      <c r="Y111" t="s">
        <v>4</v>
      </c>
    </row>
    <row r="112" spans="1:25" x14ac:dyDescent="0.2">
      <c r="A112" s="57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4</v>
      </c>
      <c r="G112" t="s">
        <v>5</v>
      </c>
      <c r="H112" t="s">
        <v>17</v>
      </c>
      <c r="I112" t="s">
        <v>193</v>
      </c>
      <c r="J112" s="2">
        <v>196</v>
      </c>
      <c r="K112" s="2">
        <v>0</v>
      </c>
      <c r="L112" s="2">
        <v>0</v>
      </c>
      <c r="M112" s="3">
        <v>45839</v>
      </c>
      <c r="N112" t="s">
        <v>4</v>
      </c>
      <c r="O112" s="3">
        <v>45839</v>
      </c>
      <c r="P112" s="3"/>
      <c r="Q112" t="s">
        <v>195</v>
      </c>
      <c r="R112" t="s">
        <v>9</v>
      </c>
      <c r="S112" s="4">
        <v>0.94326388888889001</v>
      </c>
      <c r="T112" t="s">
        <v>4</v>
      </c>
      <c r="U112" t="s">
        <v>10</v>
      </c>
      <c r="V112" s="5">
        <v>0</v>
      </c>
      <c r="W112" s="5">
        <v>0</v>
      </c>
      <c r="X112" t="s">
        <v>4</v>
      </c>
      <c r="Y112" t="s">
        <v>4</v>
      </c>
    </row>
    <row r="113" spans="1:25" x14ac:dyDescent="0.2">
      <c r="A113" s="57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4</v>
      </c>
      <c r="G113" t="s">
        <v>5</v>
      </c>
      <c r="H113" t="s">
        <v>17</v>
      </c>
      <c r="I113" t="s">
        <v>196</v>
      </c>
      <c r="J113" s="2">
        <v>196</v>
      </c>
      <c r="K113" s="2">
        <v>0</v>
      </c>
      <c r="L113" s="2">
        <v>0</v>
      </c>
      <c r="M113" s="3">
        <v>45839</v>
      </c>
      <c r="N113" t="s">
        <v>4</v>
      </c>
      <c r="O113" s="3">
        <v>45839</v>
      </c>
      <c r="P113" s="3"/>
      <c r="Q113" t="s">
        <v>197</v>
      </c>
      <c r="R113" t="s">
        <v>9</v>
      </c>
      <c r="S113" s="4">
        <v>0.42074074074074003</v>
      </c>
      <c r="T113" t="s">
        <v>4</v>
      </c>
      <c r="U113" t="s">
        <v>10</v>
      </c>
      <c r="V113" s="5">
        <v>0</v>
      </c>
      <c r="W113" s="5">
        <v>0</v>
      </c>
      <c r="X113" t="s">
        <v>4</v>
      </c>
      <c r="Y113" t="s">
        <v>4</v>
      </c>
    </row>
    <row r="114" spans="1:25" x14ac:dyDescent="0.2">
      <c r="A114" s="57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4</v>
      </c>
      <c r="G114" t="s">
        <v>5</v>
      </c>
      <c r="H114" t="s">
        <v>17</v>
      </c>
      <c r="I114" t="s">
        <v>196</v>
      </c>
      <c r="J114" s="2">
        <v>196</v>
      </c>
      <c r="K114" s="2">
        <v>0</v>
      </c>
      <c r="L114" s="2">
        <v>0</v>
      </c>
      <c r="M114" s="3">
        <v>45839</v>
      </c>
      <c r="N114" t="s">
        <v>4</v>
      </c>
      <c r="O114" s="3">
        <v>45839</v>
      </c>
      <c r="P114" s="3"/>
      <c r="Q114" t="s">
        <v>198</v>
      </c>
      <c r="R114" t="s">
        <v>9</v>
      </c>
      <c r="S114" s="4">
        <v>0.42074074074074003</v>
      </c>
      <c r="T114" t="s">
        <v>4</v>
      </c>
      <c r="U114" t="s">
        <v>10</v>
      </c>
      <c r="V114" s="5">
        <v>0</v>
      </c>
      <c r="W114" s="5">
        <v>0</v>
      </c>
      <c r="X114" t="s">
        <v>4</v>
      </c>
      <c r="Y114" t="s">
        <v>4</v>
      </c>
    </row>
    <row r="115" spans="1:25" x14ac:dyDescent="0.2">
      <c r="A115" s="57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4</v>
      </c>
      <c r="G115" t="s">
        <v>5</v>
      </c>
      <c r="H115" t="s">
        <v>17</v>
      </c>
      <c r="I115" t="s">
        <v>199</v>
      </c>
      <c r="J115" s="2">
        <v>196</v>
      </c>
      <c r="K115" s="2">
        <v>0</v>
      </c>
      <c r="L115" s="2">
        <v>0</v>
      </c>
      <c r="M115" s="3">
        <v>45839</v>
      </c>
      <c r="N115" t="s">
        <v>4</v>
      </c>
      <c r="O115" s="3">
        <v>45839</v>
      </c>
      <c r="P115" s="3"/>
      <c r="Q115" t="s">
        <v>200</v>
      </c>
      <c r="R115" t="s">
        <v>9</v>
      </c>
      <c r="S115" s="4">
        <v>0.56501157407406999</v>
      </c>
      <c r="T115" t="s">
        <v>4</v>
      </c>
      <c r="U115" t="s">
        <v>10</v>
      </c>
      <c r="V115" s="5">
        <v>0</v>
      </c>
      <c r="W115" s="5">
        <v>0</v>
      </c>
      <c r="X115" t="s">
        <v>4</v>
      </c>
      <c r="Y115" t="s">
        <v>4</v>
      </c>
    </row>
    <row r="116" spans="1:25" x14ac:dyDescent="0.2">
      <c r="A116" s="57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4</v>
      </c>
      <c r="G116" t="s">
        <v>5</v>
      </c>
      <c r="H116" t="s">
        <v>17</v>
      </c>
      <c r="I116" t="s">
        <v>199</v>
      </c>
      <c r="J116" s="2">
        <v>196</v>
      </c>
      <c r="K116" s="2">
        <v>0</v>
      </c>
      <c r="L116" s="2">
        <v>0</v>
      </c>
      <c r="M116" s="3">
        <v>45839</v>
      </c>
      <c r="N116" t="s">
        <v>4</v>
      </c>
      <c r="O116" s="3">
        <v>45839</v>
      </c>
      <c r="P116" s="3"/>
      <c r="Q116" t="s">
        <v>201</v>
      </c>
      <c r="R116" t="s">
        <v>9</v>
      </c>
      <c r="S116" s="4">
        <v>0.56501157407406999</v>
      </c>
      <c r="T116" t="s">
        <v>4</v>
      </c>
      <c r="U116" t="s">
        <v>10</v>
      </c>
      <c r="V116" s="5">
        <v>0</v>
      </c>
      <c r="W116" s="5">
        <v>0</v>
      </c>
      <c r="X116" t="s">
        <v>4</v>
      </c>
      <c r="Y116" t="s">
        <v>4</v>
      </c>
    </row>
    <row r="117" spans="1:25" x14ac:dyDescent="0.2">
      <c r="A117" s="5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4</v>
      </c>
      <c r="G117" t="s">
        <v>5</v>
      </c>
      <c r="H117" t="s">
        <v>6</v>
      </c>
      <c r="I117" t="s">
        <v>202</v>
      </c>
      <c r="J117" s="2">
        <v>196</v>
      </c>
      <c r="K117" s="2">
        <v>0</v>
      </c>
      <c r="L117" s="2">
        <v>0</v>
      </c>
      <c r="M117" s="3">
        <v>45840</v>
      </c>
      <c r="N117" t="s">
        <v>4</v>
      </c>
      <c r="O117" s="3">
        <v>45840</v>
      </c>
      <c r="P117" s="3"/>
      <c r="Q117" t="s">
        <v>203</v>
      </c>
      <c r="R117" t="s">
        <v>9</v>
      </c>
      <c r="S117" s="4">
        <v>0.38128472222221998</v>
      </c>
      <c r="T117" t="s">
        <v>4</v>
      </c>
      <c r="U117" t="s">
        <v>10</v>
      </c>
      <c r="V117" s="5">
        <v>0</v>
      </c>
      <c r="W117" s="5">
        <v>0</v>
      </c>
      <c r="X117" t="s">
        <v>4</v>
      </c>
      <c r="Y117" t="s">
        <v>4</v>
      </c>
    </row>
    <row r="118" spans="1:25" x14ac:dyDescent="0.2">
      <c r="A118" s="57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4</v>
      </c>
      <c r="G118" t="s">
        <v>5</v>
      </c>
      <c r="H118" t="s">
        <v>6</v>
      </c>
      <c r="I118" t="s">
        <v>202</v>
      </c>
      <c r="J118" s="2">
        <v>196</v>
      </c>
      <c r="K118" s="2">
        <v>0</v>
      </c>
      <c r="L118" s="2">
        <v>0</v>
      </c>
      <c r="M118" s="3">
        <v>45840</v>
      </c>
      <c r="N118" t="s">
        <v>4</v>
      </c>
      <c r="O118" s="3">
        <v>45840</v>
      </c>
      <c r="P118" s="3"/>
      <c r="Q118" t="s">
        <v>204</v>
      </c>
      <c r="R118" t="s">
        <v>9</v>
      </c>
      <c r="S118" s="4">
        <v>0.38128472222221998</v>
      </c>
      <c r="T118" t="s">
        <v>4</v>
      </c>
      <c r="U118" t="s">
        <v>10</v>
      </c>
      <c r="V118" s="5">
        <v>0</v>
      </c>
      <c r="W118" s="5">
        <v>0</v>
      </c>
      <c r="X118" t="s">
        <v>4</v>
      </c>
      <c r="Y118" t="s">
        <v>4</v>
      </c>
    </row>
    <row r="119" spans="1:25" x14ac:dyDescent="0.2">
      <c r="A119" s="57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4</v>
      </c>
      <c r="G119" t="s">
        <v>5</v>
      </c>
      <c r="H119" t="s">
        <v>6</v>
      </c>
      <c r="I119" t="s">
        <v>205</v>
      </c>
      <c r="J119" s="2">
        <v>196</v>
      </c>
      <c r="K119" s="2">
        <v>0</v>
      </c>
      <c r="L119" s="2">
        <v>0</v>
      </c>
      <c r="M119" s="3">
        <v>45820</v>
      </c>
      <c r="N119" t="s">
        <v>4</v>
      </c>
      <c r="O119" s="3">
        <v>45820</v>
      </c>
      <c r="P119" s="3"/>
      <c r="Q119" t="s">
        <v>206</v>
      </c>
      <c r="R119" t="s">
        <v>9</v>
      </c>
      <c r="S119" s="4">
        <v>0.75350694444444</v>
      </c>
      <c r="T119" t="s">
        <v>4</v>
      </c>
      <c r="U119" t="s">
        <v>10</v>
      </c>
      <c r="V119" s="5">
        <v>0</v>
      </c>
      <c r="W119" s="5">
        <v>0</v>
      </c>
      <c r="X119" t="s">
        <v>4</v>
      </c>
      <c r="Y119" t="s">
        <v>4</v>
      </c>
    </row>
    <row r="120" spans="1:25" x14ac:dyDescent="0.2">
      <c r="A120" s="57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4</v>
      </c>
      <c r="G120" t="s">
        <v>5</v>
      </c>
      <c r="H120" t="s">
        <v>6</v>
      </c>
      <c r="I120" t="s">
        <v>205</v>
      </c>
      <c r="J120" s="2">
        <v>196</v>
      </c>
      <c r="K120" s="2">
        <v>0</v>
      </c>
      <c r="L120" s="2">
        <v>0</v>
      </c>
      <c r="M120" s="3">
        <v>45820</v>
      </c>
      <c r="N120" t="s">
        <v>4</v>
      </c>
      <c r="O120" s="3">
        <v>45820</v>
      </c>
      <c r="P120" s="3"/>
      <c r="Q120" t="s">
        <v>207</v>
      </c>
      <c r="R120" t="s">
        <v>9</v>
      </c>
      <c r="S120" s="4">
        <v>0.75350694444444</v>
      </c>
      <c r="T120" t="s">
        <v>4</v>
      </c>
      <c r="U120" t="s">
        <v>10</v>
      </c>
      <c r="V120" s="5">
        <v>0</v>
      </c>
      <c r="W120" s="5">
        <v>0</v>
      </c>
      <c r="X120" t="s">
        <v>4</v>
      </c>
      <c r="Y120" t="s">
        <v>4</v>
      </c>
    </row>
    <row r="121" spans="1:25" x14ac:dyDescent="0.2">
      <c r="A121" s="57" t="s">
        <v>31</v>
      </c>
      <c r="B121" t="s">
        <v>32</v>
      </c>
      <c r="C121" t="s">
        <v>2</v>
      </c>
      <c r="D121" t="s">
        <v>3</v>
      </c>
      <c r="E121" t="s">
        <v>4</v>
      </c>
      <c r="F121" t="s">
        <v>4</v>
      </c>
      <c r="G121" t="s">
        <v>208</v>
      </c>
      <c r="H121" t="s">
        <v>209</v>
      </c>
      <c r="I121" t="s">
        <v>210</v>
      </c>
      <c r="J121" s="2">
        <v>147</v>
      </c>
      <c r="K121" s="2">
        <v>0</v>
      </c>
      <c r="L121" s="2">
        <v>0</v>
      </c>
      <c r="M121" s="3">
        <v>45859</v>
      </c>
      <c r="N121" t="s">
        <v>4</v>
      </c>
      <c r="O121" s="3">
        <v>45859</v>
      </c>
      <c r="P121" s="3"/>
      <c r="Q121" t="s">
        <v>4</v>
      </c>
      <c r="R121" t="s">
        <v>20</v>
      </c>
      <c r="S121" s="4">
        <v>0.78542824074074002</v>
      </c>
      <c r="T121" t="s">
        <v>4</v>
      </c>
      <c r="U121" t="s">
        <v>35</v>
      </c>
      <c r="V121" s="5">
        <v>0</v>
      </c>
      <c r="W121" s="5">
        <v>0</v>
      </c>
      <c r="X121" t="s">
        <v>4</v>
      </c>
      <c r="Y121" t="s">
        <v>4</v>
      </c>
    </row>
    <row r="122" spans="1:25" x14ac:dyDescent="0.2">
      <c r="A122" s="57" t="s">
        <v>12</v>
      </c>
      <c r="B122" t="s">
        <v>13</v>
      </c>
      <c r="C122" t="s">
        <v>2</v>
      </c>
      <c r="D122" t="s">
        <v>3</v>
      </c>
      <c r="E122" t="s">
        <v>4</v>
      </c>
      <c r="F122" t="s">
        <v>4</v>
      </c>
      <c r="G122" t="s">
        <v>208</v>
      </c>
      <c r="H122" t="s">
        <v>209</v>
      </c>
      <c r="I122" t="s">
        <v>210</v>
      </c>
      <c r="J122" s="2">
        <v>196</v>
      </c>
      <c r="K122" s="2">
        <v>0</v>
      </c>
      <c r="L122" s="2">
        <v>0</v>
      </c>
      <c r="M122" s="3">
        <v>45859</v>
      </c>
      <c r="N122" t="s">
        <v>4</v>
      </c>
      <c r="O122" s="3">
        <v>45859</v>
      </c>
      <c r="P122" s="3"/>
      <c r="Q122" t="s">
        <v>4</v>
      </c>
      <c r="R122" t="s">
        <v>20</v>
      </c>
      <c r="S122" s="4">
        <v>0.78542824074074002</v>
      </c>
      <c r="T122" t="s">
        <v>4</v>
      </c>
      <c r="U122" t="s">
        <v>10</v>
      </c>
      <c r="V122" s="5">
        <v>0</v>
      </c>
      <c r="W122" s="5">
        <v>0</v>
      </c>
      <c r="X122" t="s">
        <v>4</v>
      </c>
      <c r="Y122" t="s">
        <v>4</v>
      </c>
    </row>
    <row r="123" spans="1:25" x14ac:dyDescent="0.2">
      <c r="A123" s="57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4</v>
      </c>
      <c r="G123" t="s">
        <v>208</v>
      </c>
      <c r="H123" t="s">
        <v>209</v>
      </c>
      <c r="I123" t="s">
        <v>211</v>
      </c>
      <c r="J123" s="2">
        <v>196</v>
      </c>
      <c r="K123" s="2">
        <v>196</v>
      </c>
      <c r="L123" s="2">
        <v>0</v>
      </c>
      <c r="M123" s="3">
        <v>45860</v>
      </c>
      <c r="N123" t="s">
        <v>4</v>
      </c>
      <c r="O123" s="3">
        <v>45860</v>
      </c>
      <c r="P123" s="3">
        <v>45860</v>
      </c>
      <c r="Q123" t="s">
        <v>4</v>
      </c>
      <c r="R123" t="s">
        <v>9</v>
      </c>
      <c r="S123" s="4">
        <v>0.34457175925925998</v>
      </c>
      <c r="T123" t="s">
        <v>4</v>
      </c>
      <c r="U123" t="s">
        <v>10</v>
      </c>
      <c r="V123" s="5">
        <v>0</v>
      </c>
      <c r="W123" s="5">
        <v>0</v>
      </c>
      <c r="X123" t="s">
        <v>4</v>
      </c>
      <c r="Y123" t="s">
        <v>4</v>
      </c>
    </row>
    <row r="124" spans="1:25" x14ac:dyDescent="0.2">
      <c r="A124" s="11" t="s">
        <v>4</v>
      </c>
      <c r="B124" s="6" t="s">
        <v>4</v>
      </c>
      <c r="C124" s="6" t="s">
        <v>4</v>
      </c>
      <c r="D124" s="6" t="s">
        <v>4</v>
      </c>
      <c r="E124" s="6" t="s">
        <v>4</v>
      </c>
      <c r="F124" s="6" t="s">
        <v>4</v>
      </c>
      <c r="G124" s="6" t="s">
        <v>4</v>
      </c>
      <c r="H124" s="6" t="s">
        <v>4</v>
      </c>
      <c r="I124" s="6" t="s">
        <v>4</v>
      </c>
      <c r="J124" s="7">
        <v>22883</v>
      </c>
      <c r="K124" s="7">
        <v>392</v>
      </c>
      <c r="L124" s="7">
        <v>392</v>
      </c>
      <c r="M124" s="8"/>
      <c r="N124" s="6" t="s">
        <v>4</v>
      </c>
      <c r="O124" s="8"/>
      <c r="P124" s="8"/>
      <c r="Q124" s="6" t="s">
        <v>4</v>
      </c>
      <c r="R124" s="6" t="s">
        <v>4</v>
      </c>
      <c r="S124" s="9"/>
      <c r="T124" s="6" t="s">
        <v>4</v>
      </c>
      <c r="U124" s="6" t="s">
        <v>4</v>
      </c>
      <c r="V124" s="7"/>
      <c r="W124" s="7"/>
      <c r="X124" s="6" t="s">
        <v>4</v>
      </c>
      <c r="Y124" s="6" t="s">
        <v>4</v>
      </c>
    </row>
  </sheetData>
  <autoFilter ref="A1:Y124" xr:uid="{00000000-0001-0000-0000-000000000000}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B8B7-356D-421A-810F-899ADE6D3517}">
  <dimension ref="A1:U13"/>
  <sheetViews>
    <sheetView workbookViewId="0">
      <selection activeCell="K12" sqref="K12"/>
    </sheetView>
  </sheetViews>
  <sheetFormatPr baseColWidth="10" defaultColWidth="8.85546875" defaultRowHeight="12.75" x14ac:dyDescent="0.2"/>
  <cols>
    <col min="1" max="1" width="8" bestFit="1" customWidth="1"/>
    <col min="2" max="2" width="10" bestFit="1" customWidth="1"/>
    <col min="3" max="3" width="21" bestFit="1" customWidth="1"/>
    <col min="4" max="4" width="9" bestFit="1" customWidth="1"/>
    <col min="5" max="5" width="7" bestFit="1" customWidth="1"/>
    <col min="6" max="6" width="12" bestFit="1" customWidth="1"/>
    <col min="7" max="7" width="8" bestFit="1" customWidth="1"/>
    <col min="8" max="8" width="11" bestFit="1" customWidth="1"/>
    <col min="9" max="9" width="9" bestFit="1" customWidth="1"/>
    <col min="10" max="10" width="11.42578125" bestFit="1" customWidth="1"/>
    <col min="11" max="11" width="36" bestFit="1" customWidth="1"/>
    <col min="12" max="12" width="9" bestFit="1" customWidth="1"/>
    <col min="13" max="14" width="10" bestFit="1" customWidth="1"/>
    <col min="15" max="15" width="8" bestFit="1" customWidth="1"/>
    <col min="16" max="16" width="7" bestFit="1" customWidth="1"/>
    <col min="17" max="17" width="12" bestFit="1" customWidth="1"/>
    <col min="18" max="18" width="11" bestFit="1" customWidth="1"/>
    <col min="19" max="19" width="8" bestFit="1" customWidth="1"/>
    <col min="20" max="20" width="10" bestFit="1" customWidth="1"/>
    <col min="21" max="21" width="8" bestFit="1" customWidth="1"/>
  </cols>
  <sheetData>
    <row r="1" spans="1:21" ht="51" x14ac:dyDescent="0.2">
      <c r="A1" s="1" t="s">
        <v>214</v>
      </c>
      <c r="B1" s="10" t="s">
        <v>5801</v>
      </c>
      <c r="C1" s="1" t="s">
        <v>5802</v>
      </c>
      <c r="D1" s="10" t="s">
        <v>5803</v>
      </c>
      <c r="E1" s="10" t="s">
        <v>5804</v>
      </c>
      <c r="F1" s="1" t="s">
        <v>5805</v>
      </c>
      <c r="G1" s="10" t="s">
        <v>5806</v>
      </c>
      <c r="H1" s="1" t="s">
        <v>5807</v>
      </c>
      <c r="I1" s="10" t="s">
        <v>5808</v>
      </c>
      <c r="J1" s="1" t="s">
        <v>212</v>
      </c>
      <c r="K1" s="1" t="s">
        <v>5809</v>
      </c>
      <c r="L1" s="10" t="s">
        <v>5810</v>
      </c>
      <c r="M1" s="10" t="s">
        <v>5811</v>
      </c>
      <c r="N1" s="10" t="s">
        <v>5812</v>
      </c>
      <c r="O1" s="10" t="s">
        <v>5813</v>
      </c>
      <c r="P1" s="1" t="s">
        <v>5814</v>
      </c>
      <c r="Q1" s="1" t="s">
        <v>5815</v>
      </c>
      <c r="R1" s="1" t="s">
        <v>5816</v>
      </c>
      <c r="S1" s="10" t="s">
        <v>5817</v>
      </c>
      <c r="T1" s="10" t="s">
        <v>5818</v>
      </c>
      <c r="U1" s="1" t="s">
        <v>5819</v>
      </c>
    </row>
    <row r="2" spans="1:21" x14ac:dyDescent="0.2">
      <c r="A2" t="s">
        <v>2</v>
      </c>
      <c r="B2" t="s">
        <v>5820</v>
      </c>
      <c r="C2" t="s">
        <v>5821</v>
      </c>
      <c r="D2" t="s">
        <v>5822</v>
      </c>
      <c r="E2" t="s">
        <v>5823</v>
      </c>
      <c r="F2" t="s">
        <v>2351</v>
      </c>
      <c r="G2" s="57" t="s">
        <v>5824</v>
      </c>
      <c r="H2" s="57" t="s">
        <v>2260</v>
      </c>
      <c r="I2" s="57" t="s">
        <v>2272</v>
      </c>
      <c r="J2" s="57" t="s">
        <v>0</v>
      </c>
      <c r="K2" t="s">
        <v>5825</v>
      </c>
      <c r="L2" t="s">
        <v>2680</v>
      </c>
      <c r="M2" s="63">
        <v>1000</v>
      </c>
      <c r="N2" t="s">
        <v>2669</v>
      </c>
      <c r="O2" t="s">
        <v>2262</v>
      </c>
      <c r="P2" t="s">
        <v>2272</v>
      </c>
      <c r="Q2" t="s">
        <v>2256</v>
      </c>
      <c r="R2" t="s">
        <v>2256</v>
      </c>
      <c r="S2" t="s">
        <v>2256</v>
      </c>
      <c r="T2" s="5">
        <v>3000</v>
      </c>
      <c r="U2" s="64" t="s">
        <v>5826</v>
      </c>
    </row>
    <row r="13" spans="1:21" x14ac:dyDescent="0.2">
      <c r="H13" s="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4DF2-414A-41FF-B809-89A57A44865E}">
  <sheetPr filterMode="1">
    <tabColor theme="4" tint="0.59999389629810485"/>
  </sheetPr>
  <dimension ref="A1:R23"/>
  <sheetViews>
    <sheetView zoomScale="145" zoomScaleNormal="145" workbookViewId="0">
      <selection activeCell="D6" sqref="D6"/>
    </sheetView>
  </sheetViews>
  <sheetFormatPr baseColWidth="10" defaultRowHeight="12.75" x14ac:dyDescent="0.2"/>
  <cols>
    <col min="2" max="2" width="34" bestFit="1" customWidth="1"/>
    <col min="5" max="5" width="20.140625" bestFit="1" customWidth="1"/>
    <col min="8" max="8" width="14.140625" bestFit="1" customWidth="1"/>
    <col min="9" max="9" width="13.42578125" bestFit="1" customWidth="1"/>
  </cols>
  <sheetData>
    <row r="1" spans="1:18" ht="38.25" x14ac:dyDescent="0.2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2224</v>
      </c>
      <c r="F1" s="10" t="s">
        <v>2225</v>
      </c>
      <c r="G1" s="10" t="s">
        <v>2226</v>
      </c>
      <c r="H1" s="1" t="s">
        <v>2227</v>
      </c>
      <c r="I1" s="1" t="s">
        <v>2228</v>
      </c>
      <c r="J1" s="1" t="s">
        <v>2229</v>
      </c>
      <c r="K1" s="10" t="s">
        <v>2230</v>
      </c>
      <c r="L1" s="10" t="s">
        <v>2231</v>
      </c>
      <c r="M1" s="10" t="s">
        <v>2232</v>
      </c>
      <c r="N1" s="10" t="s">
        <v>2233</v>
      </c>
      <c r="O1" s="10" t="s">
        <v>2234</v>
      </c>
      <c r="P1" s="10" t="s">
        <v>2235</v>
      </c>
      <c r="Q1" s="10" t="s">
        <v>2236</v>
      </c>
      <c r="R1" s="10" t="s">
        <v>2237</v>
      </c>
    </row>
    <row r="2" spans="1:18" hidden="1" x14ac:dyDescent="0.2">
      <c r="A2" t="s">
        <v>31</v>
      </c>
      <c r="B2" t="s">
        <v>32</v>
      </c>
      <c r="C2" t="s">
        <v>2</v>
      </c>
      <c r="D2" t="s">
        <v>2238</v>
      </c>
      <c r="E2" t="s">
        <v>2239</v>
      </c>
      <c r="F2" t="s">
        <v>2240</v>
      </c>
      <c r="G2" t="s">
        <v>256</v>
      </c>
      <c r="H2" s="2">
        <v>354</v>
      </c>
      <c r="I2" s="2">
        <v>23030886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hidden="1" x14ac:dyDescent="0.2">
      <c r="A3" t="s">
        <v>31</v>
      </c>
      <c r="B3" t="s">
        <v>32</v>
      </c>
      <c r="C3" t="s">
        <v>2</v>
      </c>
      <c r="D3" t="s">
        <v>2241</v>
      </c>
      <c r="E3" t="s">
        <v>2242</v>
      </c>
      <c r="F3" t="s">
        <v>2240</v>
      </c>
      <c r="G3" t="s">
        <v>256</v>
      </c>
      <c r="H3" s="2">
        <v>7366</v>
      </c>
      <c r="I3" s="2">
        <v>479224594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hidden="1" x14ac:dyDescent="0.2">
      <c r="A4" t="s">
        <v>31</v>
      </c>
      <c r="B4" t="s">
        <v>32</v>
      </c>
      <c r="C4" t="s">
        <v>2</v>
      </c>
      <c r="D4" t="s">
        <v>3</v>
      </c>
      <c r="E4" t="s">
        <v>2243</v>
      </c>
      <c r="F4" t="s">
        <v>2240</v>
      </c>
      <c r="G4" t="s">
        <v>256</v>
      </c>
      <c r="H4" s="2">
        <v>1323</v>
      </c>
      <c r="I4" s="2">
        <v>86073057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hidden="1" x14ac:dyDescent="0.2">
      <c r="A5" t="s">
        <v>1290</v>
      </c>
      <c r="B5" t="s">
        <v>32</v>
      </c>
      <c r="C5" t="s">
        <v>2</v>
      </c>
      <c r="D5" t="s">
        <v>2238</v>
      </c>
      <c r="E5" t="s">
        <v>2239</v>
      </c>
      <c r="F5" t="s">
        <v>2240</v>
      </c>
      <c r="G5" t="s">
        <v>256</v>
      </c>
      <c r="H5" s="60">
        <v>1194.8</v>
      </c>
      <c r="I5" s="2">
        <v>88059150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hidden="1" x14ac:dyDescent="0.2">
      <c r="A6" t="s">
        <v>1290</v>
      </c>
      <c r="B6" t="s">
        <v>32</v>
      </c>
      <c r="C6" t="s">
        <v>2</v>
      </c>
      <c r="D6" t="s">
        <v>2244</v>
      </c>
      <c r="E6" t="s">
        <v>2245</v>
      </c>
      <c r="F6" t="s">
        <v>2240</v>
      </c>
      <c r="G6" t="s">
        <v>256</v>
      </c>
      <c r="H6" s="61">
        <v>73.918811099999999</v>
      </c>
      <c r="I6" s="2">
        <v>5380246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18" x14ac:dyDescent="0.2">
      <c r="A7" t="s">
        <v>1290</v>
      </c>
      <c r="B7" t="s">
        <v>32</v>
      </c>
      <c r="C7" t="s">
        <v>2</v>
      </c>
      <c r="D7" t="s">
        <v>2241</v>
      </c>
      <c r="E7" t="s">
        <v>2242</v>
      </c>
      <c r="F7" t="s">
        <v>2240</v>
      </c>
      <c r="G7" t="s">
        <v>256</v>
      </c>
      <c r="H7" s="2">
        <v>98</v>
      </c>
      <c r="I7" s="2">
        <v>7222796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hidden="1" x14ac:dyDescent="0.2">
      <c r="A8" t="s">
        <v>12</v>
      </c>
      <c r="B8" t="s">
        <v>13</v>
      </c>
      <c r="C8" t="s">
        <v>2</v>
      </c>
      <c r="D8" t="s">
        <v>2238</v>
      </c>
      <c r="E8" t="s">
        <v>2239</v>
      </c>
      <c r="F8" t="s">
        <v>2240</v>
      </c>
      <c r="G8" t="s">
        <v>256</v>
      </c>
      <c r="H8" s="2">
        <v>359</v>
      </c>
      <c r="I8" s="2">
        <v>14973890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idden="1" x14ac:dyDescent="0.2">
      <c r="A9" t="s">
        <v>12</v>
      </c>
      <c r="B9" t="s">
        <v>13</v>
      </c>
      <c r="C9" t="s">
        <v>2</v>
      </c>
      <c r="D9" t="s">
        <v>2241</v>
      </c>
      <c r="E9" t="s">
        <v>2242</v>
      </c>
      <c r="F9" t="s">
        <v>2240</v>
      </c>
      <c r="G9" t="s">
        <v>256</v>
      </c>
      <c r="H9" s="2">
        <v>12936</v>
      </c>
      <c r="I9" s="2">
        <v>539560560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idden="1" x14ac:dyDescent="0.2">
      <c r="A10" t="s">
        <v>12</v>
      </c>
      <c r="B10" t="s">
        <v>13</v>
      </c>
      <c r="C10" t="s">
        <v>2</v>
      </c>
      <c r="D10" t="s">
        <v>3</v>
      </c>
      <c r="E10" t="s">
        <v>2243</v>
      </c>
      <c r="F10" t="s">
        <v>2240</v>
      </c>
      <c r="G10" t="s">
        <v>256</v>
      </c>
      <c r="H10" s="2">
        <v>392</v>
      </c>
      <c r="I10" s="2">
        <v>16350320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idden="1" x14ac:dyDescent="0.2">
      <c r="A11" t="s">
        <v>0</v>
      </c>
      <c r="B11" t="s">
        <v>1</v>
      </c>
      <c r="C11" t="s">
        <v>2</v>
      </c>
      <c r="D11" t="s">
        <v>2238</v>
      </c>
      <c r="E11" t="s">
        <v>2239</v>
      </c>
      <c r="F11" t="s">
        <v>2240</v>
      </c>
      <c r="G11" t="s">
        <v>256</v>
      </c>
      <c r="H11" s="59">
        <v>405.2</v>
      </c>
      <c r="I11" s="2">
        <v>16953163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idden="1" x14ac:dyDescent="0.2">
      <c r="A12" t="s">
        <v>0</v>
      </c>
      <c r="B12" t="s">
        <v>1</v>
      </c>
      <c r="C12" t="s">
        <v>2</v>
      </c>
      <c r="D12" t="s">
        <v>2246</v>
      </c>
      <c r="E12" t="s">
        <v>2247</v>
      </c>
      <c r="F12" t="s">
        <v>2240</v>
      </c>
      <c r="G12" t="s">
        <v>256</v>
      </c>
      <c r="H12" s="2">
        <v>15680</v>
      </c>
      <c r="I12" s="2">
        <v>656035520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hidden="1" x14ac:dyDescent="0.2">
      <c r="A13" t="s">
        <v>0</v>
      </c>
      <c r="B13" t="s">
        <v>1</v>
      </c>
      <c r="C13" t="s">
        <v>2</v>
      </c>
      <c r="D13" t="s">
        <v>2241</v>
      </c>
      <c r="E13" t="s">
        <v>2242</v>
      </c>
      <c r="F13" t="s">
        <v>2240</v>
      </c>
      <c r="G13" t="s">
        <v>256</v>
      </c>
      <c r="H13" s="2">
        <v>4704</v>
      </c>
      <c r="I13" s="2">
        <v>196810656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hidden="1" x14ac:dyDescent="0.2">
      <c r="A14" t="s">
        <v>0</v>
      </c>
      <c r="B14" t="s">
        <v>1</v>
      </c>
      <c r="C14" t="s">
        <v>2</v>
      </c>
      <c r="D14" t="s">
        <v>3</v>
      </c>
      <c r="E14" t="s">
        <v>2243</v>
      </c>
      <c r="F14" t="s">
        <v>2240</v>
      </c>
      <c r="G14" t="s">
        <v>256</v>
      </c>
      <c r="H14" s="2">
        <v>21560</v>
      </c>
      <c r="I14" s="2">
        <v>902048840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hidden="1" x14ac:dyDescent="0.2">
      <c r="A15" t="s">
        <v>0</v>
      </c>
      <c r="B15" t="s">
        <v>1</v>
      </c>
      <c r="C15" t="s">
        <v>2</v>
      </c>
      <c r="D15" s="66" t="s">
        <v>5827</v>
      </c>
      <c r="E15" t="s">
        <v>2239</v>
      </c>
      <c r="F15" t="s">
        <v>2240</v>
      </c>
      <c r="G15" t="s">
        <v>256</v>
      </c>
      <c r="H15" s="59">
        <v>1000</v>
      </c>
      <c r="I15" s="2">
        <v>16953163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23" spans="5:5" x14ac:dyDescent="0.2">
      <c r="E23" s="58"/>
    </row>
  </sheetData>
  <autoFilter ref="A1:R15" xr:uid="{C04A4DF2-414A-41FF-B809-89A57A44865E}">
    <filterColumn colId="0">
      <filters>
        <filter val="W11499432"/>
      </filters>
    </filterColumn>
    <filterColumn colId="3">
      <filters>
        <filter val="EXT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07AF-AA05-4825-946D-83AB7EFB77EB}">
  <sheetPr>
    <tabColor rgb="FFFFFF00"/>
  </sheetPr>
  <dimension ref="A1:N123"/>
  <sheetViews>
    <sheetView topLeftCell="A98" workbookViewId="0">
      <selection activeCell="D7" sqref="D7"/>
    </sheetView>
  </sheetViews>
  <sheetFormatPr baseColWidth="10" defaultRowHeight="12.75" x14ac:dyDescent="0.2"/>
  <cols>
    <col min="2" max="2" width="37" customWidth="1"/>
    <col min="3" max="3" width="22.42578125" bestFit="1" customWidth="1"/>
    <col min="5" max="5" width="11.5703125" bestFit="1" customWidth="1"/>
    <col min="6" max="6" width="9.5703125" bestFit="1" customWidth="1"/>
    <col min="7" max="7" width="13.5703125" bestFit="1" customWidth="1"/>
  </cols>
  <sheetData>
    <row r="1" spans="1:10" ht="25.5" x14ac:dyDescent="0.2">
      <c r="A1" s="1" t="s">
        <v>212</v>
      </c>
      <c r="B1" s="1" t="s">
        <v>213</v>
      </c>
      <c r="C1" s="1" t="s">
        <v>5792</v>
      </c>
      <c r="D1" s="1" t="s">
        <v>220</v>
      </c>
      <c r="E1" s="15" t="s">
        <v>221</v>
      </c>
      <c r="F1" s="15" t="s">
        <v>222</v>
      </c>
      <c r="G1" s="15" t="s">
        <v>223</v>
      </c>
      <c r="H1" s="11" t="s">
        <v>237</v>
      </c>
    </row>
    <row r="2" spans="1:10" x14ac:dyDescent="0.2">
      <c r="A2" s="12" t="s">
        <v>0</v>
      </c>
      <c r="B2" s="11" t="str">
        <f>VLOOKUP(A2,'[1]Base de datos_2025'!$A:$E,4,FALSE)</f>
        <v>MECANISMO COPA QIJING 2.0</v>
      </c>
      <c r="C2" s="12" t="s">
        <v>5</v>
      </c>
      <c r="D2" s="12" t="s">
        <v>7</v>
      </c>
      <c r="E2" s="13">
        <v>196</v>
      </c>
      <c r="F2" s="13">
        <v>0</v>
      </c>
      <c r="G2" s="13">
        <v>0</v>
      </c>
      <c r="H2" s="14"/>
    </row>
    <row r="3" spans="1:10" x14ac:dyDescent="0.2">
      <c r="A3" s="12" t="s">
        <v>0</v>
      </c>
      <c r="B3" s="12" t="str">
        <f>VLOOKUP(A3,'[1]Base de datos_2025'!$A:$E,4,FALSE)</f>
        <v>MECANISMO COPA QIJING 2.0</v>
      </c>
      <c r="C3" s="12" t="s">
        <v>5</v>
      </c>
      <c r="D3" s="12" t="s">
        <v>7</v>
      </c>
      <c r="E3" s="13">
        <v>196</v>
      </c>
      <c r="F3" s="13">
        <v>0</v>
      </c>
      <c r="G3" s="13">
        <v>0</v>
      </c>
      <c r="H3" s="14"/>
    </row>
    <row r="4" spans="1:10" x14ac:dyDescent="0.2">
      <c r="A4" s="12" t="s">
        <v>12</v>
      </c>
      <c r="B4" s="12" t="str">
        <f>VLOOKUP(A4,'[1]Base de datos_2025'!$A:$E,4,FALSE)</f>
        <v>MECANISMO COPA QIJING 1.0</v>
      </c>
      <c r="C4" s="12" t="s">
        <v>5</v>
      </c>
      <c r="D4" s="12" t="s">
        <v>14</v>
      </c>
      <c r="E4" s="13">
        <v>196</v>
      </c>
      <c r="F4" s="13">
        <v>0</v>
      </c>
      <c r="G4" s="13">
        <v>0</v>
      </c>
      <c r="H4" s="14"/>
      <c r="J4" s="57" t="s">
        <v>5</v>
      </c>
    </row>
    <row r="5" spans="1:10" x14ac:dyDescent="0.2">
      <c r="A5" s="12" t="s">
        <v>0</v>
      </c>
      <c r="B5" s="12" t="str">
        <f>VLOOKUP(A5,'[1]Base de datos_2025'!$A:$E,4,FALSE)</f>
        <v>MECANISMO COPA QIJING 2.0</v>
      </c>
      <c r="C5" s="12" t="s">
        <v>16</v>
      </c>
      <c r="D5" s="12" t="s">
        <v>18</v>
      </c>
      <c r="E5" s="13">
        <v>196</v>
      </c>
      <c r="F5" s="13">
        <v>0</v>
      </c>
      <c r="G5" s="13">
        <v>0</v>
      </c>
      <c r="H5" s="14"/>
      <c r="J5" s="57" t="s">
        <v>16</v>
      </c>
    </row>
    <row r="6" spans="1:10" x14ac:dyDescent="0.2">
      <c r="A6" s="12" t="s">
        <v>0</v>
      </c>
      <c r="B6" s="12" t="str">
        <f>VLOOKUP(A6,'[1]Base de datos_2025'!$A:$E,4,FALSE)</f>
        <v>MECANISMO COPA QIJING 2.0</v>
      </c>
      <c r="C6" s="12" t="s">
        <v>16</v>
      </c>
      <c r="D6" s="12" t="s">
        <v>22</v>
      </c>
      <c r="E6" s="13">
        <v>196</v>
      </c>
      <c r="F6" s="13">
        <v>0</v>
      </c>
      <c r="G6" s="13">
        <v>0</v>
      </c>
      <c r="H6" s="14"/>
      <c r="J6" s="57" t="s">
        <v>208</v>
      </c>
    </row>
    <row r="7" spans="1:10" x14ac:dyDescent="0.2">
      <c r="A7" s="12" t="s">
        <v>0</v>
      </c>
      <c r="B7" s="12" t="str">
        <f>VLOOKUP(A7,'[1]Base de datos_2025'!$A:$E,4,FALSE)</f>
        <v>MECANISMO COPA QIJING 2.0</v>
      </c>
      <c r="C7" s="12" t="s">
        <v>16</v>
      </c>
      <c r="D7" s="12" t="s">
        <v>24</v>
      </c>
      <c r="E7" s="13">
        <v>0</v>
      </c>
      <c r="F7" s="13">
        <v>0</v>
      </c>
      <c r="G7" s="13">
        <v>196</v>
      </c>
      <c r="H7" s="14"/>
      <c r="J7" s="57" t="s">
        <v>5793</v>
      </c>
    </row>
    <row r="8" spans="1:10" x14ac:dyDescent="0.2">
      <c r="A8" s="12" t="s">
        <v>0</v>
      </c>
      <c r="B8" s="12" t="str">
        <f>VLOOKUP(A8,'[1]Base de datos_2025'!$A:$E,4,FALSE)</f>
        <v>MECANISMO COPA QIJING 2.0</v>
      </c>
      <c r="C8" s="12" t="s">
        <v>16</v>
      </c>
      <c r="D8" s="12" t="s">
        <v>26</v>
      </c>
      <c r="E8" s="13">
        <v>196</v>
      </c>
      <c r="F8" s="13">
        <v>0</v>
      </c>
      <c r="G8" s="13">
        <v>0</v>
      </c>
      <c r="H8" s="14"/>
    </row>
    <row r="9" spans="1:10" x14ac:dyDescent="0.2">
      <c r="A9" s="12" t="s">
        <v>0</v>
      </c>
      <c r="B9" s="12" t="str">
        <f>VLOOKUP(A9,'[1]Base de datos_2025'!$A:$E,4,FALSE)</f>
        <v>MECANISMO COPA QIJING 2.0</v>
      </c>
      <c r="C9" s="12" t="s">
        <v>5</v>
      </c>
      <c r="D9" s="12" t="s">
        <v>28</v>
      </c>
      <c r="E9" s="13">
        <v>196</v>
      </c>
      <c r="F9" s="13">
        <v>0</v>
      </c>
      <c r="G9" s="13">
        <v>0</v>
      </c>
      <c r="H9" s="14"/>
    </row>
    <row r="10" spans="1:10" x14ac:dyDescent="0.2">
      <c r="A10" s="12" t="s">
        <v>0</v>
      </c>
      <c r="B10" s="12" t="str">
        <f>VLOOKUP(A10,'[1]Base de datos_2025'!$A:$E,4,FALSE)</f>
        <v>MECANISMO COPA QIJING 2.0</v>
      </c>
      <c r="C10" s="12" t="s">
        <v>5</v>
      </c>
      <c r="D10" s="12" t="s">
        <v>28</v>
      </c>
      <c r="E10" s="13">
        <v>196</v>
      </c>
      <c r="F10" s="13">
        <v>0</v>
      </c>
      <c r="G10" s="13">
        <v>0</v>
      </c>
      <c r="H10" s="14"/>
    </row>
    <row r="11" spans="1:10" x14ac:dyDescent="0.2">
      <c r="A11" s="12" t="s">
        <v>31</v>
      </c>
      <c r="B11" s="12" t="str">
        <f>VLOOKUP(A11,'[1]Base de datos_2025'!$A:$E,4,FALSE)</f>
        <v>MECANISMO COPA 1.0</v>
      </c>
      <c r="C11" s="12" t="s">
        <v>5</v>
      </c>
      <c r="D11" s="12" t="s">
        <v>33</v>
      </c>
      <c r="E11" s="13">
        <v>147</v>
      </c>
      <c r="F11" s="13">
        <v>0</v>
      </c>
      <c r="G11" s="13">
        <v>0</v>
      </c>
      <c r="H11" s="14"/>
    </row>
    <row r="12" spans="1:10" x14ac:dyDescent="0.2">
      <c r="A12" s="12" t="s">
        <v>31</v>
      </c>
      <c r="B12" s="12" t="str">
        <f>VLOOKUP(A12,'[1]Base de datos_2025'!$A:$E,4,FALSE)</f>
        <v>MECANISMO COPA 1.0</v>
      </c>
      <c r="C12" s="12" t="s">
        <v>5</v>
      </c>
      <c r="D12" s="12" t="s">
        <v>33</v>
      </c>
      <c r="E12" s="13">
        <v>147</v>
      </c>
      <c r="F12" s="13">
        <v>0</v>
      </c>
      <c r="G12" s="13">
        <v>0</v>
      </c>
      <c r="H12" s="14"/>
    </row>
    <row r="13" spans="1:10" x14ac:dyDescent="0.2">
      <c r="A13" s="12" t="s">
        <v>31</v>
      </c>
      <c r="B13" s="12" t="str">
        <f>VLOOKUP(A13,'[1]Base de datos_2025'!$A:$E,4,FALSE)</f>
        <v>MECANISMO COPA 1.0</v>
      </c>
      <c r="C13" s="12" t="s">
        <v>5</v>
      </c>
      <c r="D13" s="12" t="s">
        <v>37</v>
      </c>
      <c r="E13" s="13">
        <v>147</v>
      </c>
      <c r="F13" s="13">
        <v>0</v>
      </c>
      <c r="G13" s="13">
        <v>0</v>
      </c>
      <c r="H13" s="14"/>
    </row>
    <row r="14" spans="1:10" x14ac:dyDescent="0.2">
      <c r="A14" s="12" t="s">
        <v>31</v>
      </c>
      <c r="B14" s="12" t="str">
        <f>VLOOKUP(A14,'[1]Base de datos_2025'!$A:$E,4,FALSE)</f>
        <v>MECANISMO COPA 1.0</v>
      </c>
      <c r="C14" s="12" t="s">
        <v>5</v>
      </c>
      <c r="D14" s="12" t="s">
        <v>37</v>
      </c>
      <c r="E14" s="13">
        <v>147</v>
      </c>
      <c r="F14" s="13">
        <v>0</v>
      </c>
      <c r="G14" s="13">
        <v>0</v>
      </c>
      <c r="H14" s="14"/>
    </row>
    <row r="15" spans="1:10" x14ac:dyDescent="0.2">
      <c r="A15" s="12" t="s">
        <v>0</v>
      </c>
      <c r="B15" s="12" t="str">
        <f>VLOOKUP(A15,'[1]Base de datos_2025'!$A:$E,4,FALSE)</f>
        <v>MECANISMO COPA QIJING 2.0</v>
      </c>
      <c r="C15" s="12" t="s">
        <v>5</v>
      </c>
      <c r="D15" s="12" t="s">
        <v>40</v>
      </c>
      <c r="E15" s="13">
        <v>196</v>
      </c>
      <c r="F15" s="13">
        <v>0</v>
      </c>
      <c r="G15" s="13">
        <v>0</v>
      </c>
      <c r="H15" s="14"/>
    </row>
    <row r="16" spans="1:10" x14ac:dyDescent="0.2">
      <c r="A16" s="12" t="s">
        <v>0</v>
      </c>
      <c r="B16" s="12" t="str">
        <f>VLOOKUP(A16,'[1]Base de datos_2025'!$A:$E,4,FALSE)</f>
        <v>MECANISMO COPA QIJING 2.0</v>
      </c>
      <c r="C16" s="12" t="s">
        <v>5</v>
      </c>
      <c r="D16" s="12" t="s">
        <v>40</v>
      </c>
      <c r="E16" s="13">
        <v>196</v>
      </c>
      <c r="F16" s="13">
        <v>0</v>
      </c>
      <c r="G16" s="13">
        <v>0</v>
      </c>
      <c r="H16" s="14"/>
    </row>
    <row r="17" spans="1:14" x14ac:dyDescent="0.2">
      <c r="A17" s="12" t="s">
        <v>0</v>
      </c>
      <c r="B17" s="12" t="str">
        <f>VLOOKUP(A17,'[1]Base de datos_2025'!$A:$E,4,FALSE)</f>
        <v>MECANISMO COPA QIJING 2.0</v>
      </c>
      <c r="C17" s="12" t="s">
        <v>5</v>
      </c>
      <c r="D17" s="12" t="s">
        <v>43</v>
      </c>
      <c r="E17" s="13">
        <v>196</v>
      </c>
      <c r="F17" s="13">
        <v>0</v>
      </c>
      <c r="G17" s="13">
        <v>0</v>
      </c>
      <c r="H17" s="14"/>
    </row>
    <row r="18" spans="1:14" ht="15" x14ac:dyDescent="0.2">
      <c r="A18" s="12" t="s">
        <v>0</v>
      </c>
      <c r="B18" s="12" t="str">
        <f>VLOOKUP(A18,'[1]Base de datos_2025'!$A:$E,4,FALSE)</f>
        <v>MECANISMO COPA QIJING 2.0</v>
      </c>
      <c r="C18" s="12" t="s">
        <v>5</v>
      </c>
      <c r="D18" s="12" t="s">
        <v>43</v>
      </c>
      <c r="E18" s="13">
        <v>196</v>
      </c>
      <c r="F18" s="13">
        <v>0</v>
      </c>
      <c r="G18" s="13">
        <v>0</v>
      </c>
      <c r="H18" s="14"/>
      <c r="I18" s="67"/>
      <c r="J18" s="68"/>
      <c r="K18" s="67" t="s">
        <v>5787</v>
      </c>
      <c r="L18" s="68"/>
      <c r="M18" s="68"/>
      <c r="N18" s="68"/>
    </row>
    <row r="19" spans="1:14" x14ac:dyDescent="0.2">
      <c r="A19" s="12" t="s">
        <v>0</v>
      </c>
      <c r="B19" s="12" t="str">
        <f>VLOOKUP(A19,'[1]Base de datos_2025'!$A:$E,4,FALSE)</f>
        <v>MECANISMO COPA QIJING 2.0</v>
      </c>
      <c r="C19" s="12" t="s">
        <v>5</v>
      </c>
      <c r="D19" s="12" t="s">
        <v>46</v>
      </c>
      <c r="E19" s="13">
        <v>196</v>
      </c>
      <c r="F19" s="13">
        <v>0</v>
      </c>
      <c r="G19" s="13">
        <v>0</v>
      </c>
      <c r="H19" s="14"/>
    </row>
    <row r="20" spans="1:14" x14ac:dyDescent="0.2">
      <c r="A20" s="12" t="s">
        <v>0</v>
      </c>
      <c r="B20" s="12" t="str">
        <f>VLOOKUP(A20,'[1]Base de datos_2025'!$A:$E,4,FALSE)</f>
        <v>MECANISMO COPA QIJING 2.0</v>
      </c>
      <c r="C20" s="12" t="s">
        <v>5</v>
      </c>
      <c r="D20" s="12" t="s">
        <v>46</v>
      </c>
      <c r="E20" s="13">
        <v>196</v>
      </c>
      <c r="F20" s="13">
        <v>0</v>
      </c>
      <c r="G20" s="13">
        <v>0</v>
      </c>
      <c r="H20" s="14"/>
    </row>
    <row r="21" spans="1:14" x14ac:dyDescent="0.2">
      <c r="A21" s="12" t="s">
        <v>0</v>
      </c>
      <c r="B21" s="12" t="str">
        <f>VLOOKUP(A21,'[1]Base de datos_2025'!$A:$E,4,FALSE)</f>
        <v>MECANISMO COPA QIJING 2.0</v>
      </c>
      <c r="C21" s="12" t="s">
        <v>5</v>
      </c>
      <c r="D21" s="12" t="s">
        <v>49</v>
      </c>
      <c r="E21" s="13">
        <v>196</v>
      </c>
      <c r="F21" s="13">
        <v>0</v>
      </c>
      <c r="G21" s="13">
        <v>0</v>
      </c>
      <c r="H21" s="14"/>
    </row>
    <row r="22" spans="1:14" x14ac:dyDescent="0.2">
      <c r="A22" s="12" t="s">
        <v>0</v>
      </c>
      <c r="B22" s="12" t="str">
        <f>VLOOKUP(A22,'[1]Base de datos_2025'!$A:$E,4,FALSE)</f>
        <v>MECANISMO COPA QIJING 2.0</v>
      </c>
      <c r="C22" s="12" t="s">
        <v>5</v>
      </c>
      <c r="D22" s="12" t="s">
        <v>49</v>
      </c>
      <c r="E22" s="13">
        <v>196</v>
      </c>
      <c r="F22" s="13">
        <v>0</v>
      </c>
      <c r="G22" s="13">
        <v>0</v>
      </c>
      <c r="H22" s="14"/>
    </row>
    <row r="23" spans="1:14" x14ac:dyDescent="0.2">
      <c r="A23" s="12" t="s">
        <v>0</v>
      </c>
      <c r="B23" s="12" t="str">
        <f>VLOOKUP(A23,'[1]Base de datos_2025'!$A:$E,4,FALSE)</f>
        <v>MECANISMO COPA QIJING 2.0</v>
      </c>
      <c r="C23" s="12" t="s">
        <v>5</v>
      </c>
      <c r="D23" s="12" t="s">
        <v>52</v>
      </c>
      <c r="E23" s="13">
        <v>196</v>
      </c>
      <c r="F23" s="13">
        <v>0</v>
      </c>
      <c r="G23" s="13">
        <v>0</v>
      </c>
      <c r="H23" s="14"/>
    </row>
    <row r="24" spans="1:14" x14ac:dyDescent="0.2">
      <c r="A24" s="12" t="s">
        <v>0</v>
      </c>
      <c r="B24" s="12" t="str">
        <f>VLOOKUP(A24,'[1]Base de datos_2025'!$A:$E,4,FALSE)</f>
        <v>MECANISMO COPA QIJING 2.0</v>
      </c>
      <c r="C24" s="12" t="s">
        <v>5</v>
      </c>
      <c r="D24" s="12" t="s">
        <v>52</v>
      </c>
      <c r="E24" s="13">
        <v>196</v>
      </c>
      <c r="F24" s="13">
        <v>0</v>
      </c>
      <c r="G24" s="13">
        <v>0</v>
      </c>
      <c r="H24" s="14"/>
    </row>
    <row r="25" spans="1:14" x14ac:dyDescent="0.2">
      <c r="A25" s="12" t="s">
        <v>0</v>
      </c>
      <c r="B25" s="12" t="str">
        <f>VLOOKUP(A25,'[1]Base de datos_2025'!$A:$E,4,FALSE)</f>
        <v>MECANISMO COPA QIJING 2.0</v>
      </c>
      <c r="C25" s="12" t="s">
        <v>5</v>
      </c>
      <c r="D25" s="12" t="s">
        <v>55</v>
      </c>
      <c r="E25" s="13">
        <v>196</v>
      </c>
      <c r="F25" s="13">
        <v>0</v>
      </c>
      <c r="G25" s="13">
        <v>0</v>
      </c>
      <c r="H25" s="14"/>
    </row>
    <row r="26" spans="1:14" x14ac:dyDescent="0.2">
      <c r="A26" s="12" t="s">
        <v>0</v>
      </c>
      <c r="B26" s="12" t="str">
        <f>VLOOKUP(A26,'[1]Base de datos_2025'!$A:$E,4,FALSE)</f>
        <v>MECANISMO COPA QIJING 2.0</v>
      </c>
      <c r="C26" s="12" t="s">
        <v>5</v>
      </c>
      <c r="D26" s="12" t="s">
        <v>55</v>
      </c>
      <c r="E26" s="13">
        <v>196</v>
      </c>
      <c r="F26" s="13">
        <v>0</v>
      </c>
      <c r="G26" s="13">
        <v>0</v>
      </c>
      <c r="H26" s="14"/>
    </row>
    <row r="27" spans="1:14" x14ac:dyDescent="0.2">
      <c r="A27" s="12" t="s">
        <v>0</v>
      </c>
      <c r="B27" s="12" t="str">
        <f>VLOOKUP(A27,'[1]Base de datos_2025'!$A:$E,4,FALSE)</f>
        <v>MECANISMO COPA QIJING 2.0</v>
      </c>
      <c r="C27" s="12" t="s">
        <v>5</v>
      </c>
      <c r="D27" s="12" t="s">
        <v>58</v>
      </c>
      <c r="E27" s="13">
        <v>196</v>
      </c>
      <c r="F27" s="13">
        <v>0</v>
      </c>
      <c r="G27" s="13">
        <v>0</v>
      </c>
      <c r="H27" s="14"/>
    </row>
    <row r="28" spans="1:14" x14ac:dyDescent="0.2">
      <c r="A28" s="12" t="s">
        <v>0</v>
      </c>
      <c r="B28" s="12" t="str">
        <f>VLOOKUP(A28,'[1]Base de datos_2025'!$A:$E,4,FALSE)</f>
        <v>MECANISMO COPA QIJING 2.0</v>
      </c>
      <c r="C28" s="12" t="s">
        <v>5</v>
      </c>
      <c r="D28" s="12" t="s">
        <v>58</v>
      </c>
      <c r="E28" s="13">
        <v>196</v>
      </c>
      <c r="F28" s="13">
        <v>0</v>
      </c>
      <c r="G28" s="13">
        <v>0</v>
      </c>
      <c r="H28" s="14"/>
    </row>
    <row r="29" spans="1:14" x14ac:dyDescent="0.2">
      <c r="A29" s="12" t="s">
        <v>0</v>
      </c>
      <c r="B29" s="12" t="str">
        <f>VLOOKUP(A29,'[1]Base de datos_2025'!$A:$E,4,FALSE)</f>
        <v>MECANISMO COPA QIJING 2.0</v>
      </c>
      <c r="C29" s="12" t="s">
        <v>5</v>
      </c>
      <c r="D29" s="12" t="s">
        <v>61</v>
      </c>
      <c r="E29" s="13">
        <v>196</v>
      </c>
      <c r="F29" s="13">
        <v>0</v>
      </c>
      <c r="G29" s="13">
        <v>0</v>
      </c>
      <c r="H29" s="14"/>
    </row>
    <row r="30" spans="1:14" x14ac:dyDescent="0.2">
      <c r="A30" s="12" t="s">
        <v>0</v>
      </c>
      <c r="B30" s="12" t="str">
        <f>VLOOKUP(A30,'[1]Base de datos_2025'!$A:$E,4,FALSE)</f>
        <v>MECANISMO COPA QIJING 2.0</v>
      </c>
      <c r="C30" s="12" t="s">
        <v>5</v>
      </c>
      <c r="D30" s="12" t="s">
        <v>61</v>
      </c>
      <c r="E30" s="13">
        <v>196</v>
      </c>
      <c r="F30" s="13">
        <v>0</v>
      </c>
      <c r="G30" s="13">
        <v>0</v>
      </c>
      <c r="H30" s="14"/>
    </row>
    <row r="31" spans="1:14" x14ac:dyDescent="0.2">
      <c r="A31" s="12" t="s">
        <v>0</v>
      </c>
      <c r="B31" s="12" t="str">
        <f>VLOOKUP(A31,'[1]Base de datos_2025'!$A:$E,4,FALSE)</f>
        <v>MECANISMO COPA QIJING 2.0</v>
      </c>
      <c r="C31" s="12" t="s">
        <v>5</v>
      </c>
      <c r="D31" s="12" t="s">
        <v>64</v>
      </c>
      <c r="E31" s="13">
        <v>196</v>
      </c>
      <c r="F31" s="13">
        <v>0</v>
      </c>
      <c r="G31" s="13">
        <v>0</v>
      </c>
      <c r="H31" s="14"/>
    </row>
    <row r="32" spans="1:14" x14ac:dyDescent="0.2">
      <c r="A32" s="12" t="s">
        <v>0</v>
      </c>
      <c r="B32" s="12" t="str">
        <f>VLOOKUP(A32,'[1]Base de datos_2025'!$A:$E,4,FALSE)</f>
        <v>MECANISMO COPA QIJING 2.0</v>
      </c>
      <c r="C32" s="12" t="s">
        <v>5</v>
      </c>
      <c r="D32" s="12" t="s">
        <v>64</v>
      </c>
      <c r="E32" s="13">
        <v>196</v>
      </c>
      <c r="F32" s="13">
        <v>0</v>
      </c>
      <c r="G32" s="13">
        <v>0</v>
      </c>
      <c r="H32" s="14"/>
    </row>
    <row r="33" spans="1:8" x14ac:dyDescent="0.2">
      <c r="A33" s="12" t="s">
        <v>0</v>
      </c>
      <c r="B33" s="12" t="str">
        <f>VLOOKUP(A33,'[1]Base de datos_2025'!$A:$E,4,FALSE)</f>
        <v>MECANISMO COPA QIJING 2.0</v>
      </c>
      <c r="C33" s="12" t="s">
        <v>16</v>
      </c>
      <c r="D33" s="12" t="s">
        <v>67</v>
      </c>
      <c r="E33" s="13">
        <v>196</v>
      </c>
      <c r="F33" s="13">
        <v>0</v>
      </c>
      <c r="G33" s="13">
        <v>0</v>
      </c>
      <c r="H33" s="14"/>
    </row>
    <row r="34" spans="1:8" x14ac:dyDescent="0.2">
      <c r="A34" s="12" t="s">
        <v>0</v>
      </c>
      <c r="B34" s="12" t="str">
        <f>VLOOKUP(A34,'[1]Base de datos_2025'!$A:$E,4,FALSE)</f>
        <v>MECANISMO COPA QIJING 2.0</v>
      </c>
      <c r="C34" s="12" t="s">
        <v>16</v>
      </c>
      <c r="D34" s="12" t="s">
        <v>69</v>
      </c>
      <c r="E34" s="13">
        <v>196</v>
      </c>
      <c r="F34" s="13">
        <v>0</v>
      </c>
      <c r="G34" s="13">
        <v>0</v>
      </c>
      <c r="H34" s="14"/>
    </row>
    <row r="35" spans="1:8" x14ac:dyDescent="0.2">
      <c r="A35" s="12" t="s">
        <v>0</v>
      </c>
      <c r="B35" s="12" t="str">
        <f>VLOOKUP(A35,'[1]Base de datos_2025'!$A:$E,4,FALSE)</f>
        <v>MECANISMO COPA QIJING 2.0</v>
      </c>
      <c r="C35" s="12" t="s">
        <v>16</v>
      </c>
      <c r="D35" s="12" t="s">
        <v>71</v>
      </c>
      <c r="E35" s="13">
        <v>196</v>
      </c>
      <c r="F35" s="13">
        <v>0</v>
      </c>
      <c r="G35" s="13">
        <v>0</v>
      </c>
      <c r="H35" s="14"/>
    </row>
    <row r="36" spans="1:8" x14ac:dyDescent="0.2">
      <c r="A36" s="12" t="s">
        <v>0</v>
      </c>
      <c r="B36" s="12" t="str">
        <f>VLOOKUP(A36,'[1]Base de datos_2025'!$A:$E,4,FALSE)</f>
        <v>MECANISMO COPA QIJING 2.0</v>
      </c>
      <c r="C36" s="12" t="s">
        <v>16</v>
      </c>
      <c r="D36" s="12" t="s">
        <v>73</v>
      </c>
      <c r="E36" s="13">
        <v>196</v>
      </c>
      <c r="F36" s="13">
        <v>0</v>
      </c>
      <c r="G36" s="13">
        <v>0</v>
      </c>
      <c r="H36" s="14"/>
    </row>
    <row r="37" spans="1:8" x14ac:dyDescent="0.2">
      <c r="A37" s="12" t="s">
        <v>0</v>
      </c>
      <c r="B37" s="12" t="str">
        <f>VLOOKUP(A37,'[1]Base de datos_2025'!$A:$E,4,FALSE)</f>
        <v>MECANISMO COPA QIJING 2.0</v>
      </c>
      <c r="C37" s="12" t="s">
        <v>16</v>
      </c>
      <c r="D37" s="12" t="s">
        <v>75</v>
      </c>
      <c r="E37" s="13">
        <v>196</v>
      </c>
      <c r="F37" s="13">
        <v>0</v>
      </c>
      <c r="G37" s="13">
        <v>0</v>
      </c>
      <c r="H37" s="14"/>
    </row>
    <row r="38" spans="1:8" x14ac:dyDescent="0.2">
      <c r="A38" s="12" t="s">
        <v>0</v>
      </c>
      <c r="B38" s="12" t="str">
        <f>VLOOKUP(A38,'[1]Base de datos_2025'!$A:$E,4,FALSE)</f>
        <v>MECANISMO COPA QIJING 2.0</v>
      </c>
      <c r="C38" s="12" t="s">
        <v>16</v>
      </c>
      <c r="D38" s="12" t="s">
        <v>77</v>
      </c>
      <c r="E38" s="13">
        <v>196</v>
      </c>
      <c r="F38" s="13">
        <v>0</v>
      </c>
      <c r="G38" s="13">
        <v>0</v>
      </c>
      <c r="H38" s="14"/>
    </row>
    <row r="39" spans="1:8" x14ac:dyDescent="0.2">
      <c r="A39" s="12" t="s">
        <v>31</v>
      </c>
      <c r="B39" s="12" t="str">
        <f>VLOOKUP(A39,'[1]Base de datos_2025'!$A:$E,4,FALSE)</f>
        <v>MECANISMO COPA 1.0</v>
      </c>
      <c r="C39" s="12" t="s">
        <v>16</v>
      </c>
      <c r="D39" s="12" t="s">
        <v>79</v>
      </c>
      <c r="E39" s="13">
        <v>147</v>
      </c>
      <c r="F39" s="13">
        <v>0</v>
      </c>
      <c r="G39" s="13">
        <v>0</v>
      </c>
      <c r="H39" s="14"/>
    </row>
    <row r="40" spans="1:8" x14ac:dyDescent="0.2">
      <c r="A40" s="12" t="s">
        <v>0</v>
      </c>
      <c r="B40" s="12" t="str">
        <f>VLOOKUP(A40,'[1]Base de datos_2025'!$A:$E,4,FALSE)</f>
        <v>MECANISMO COPA QIJING 2.0</v>
      </c>
      <c r="C40" s="12" t="s">
        <v>16</v>
      </c>
      <c r="D40" s="12" t="s">
        <v>81</v>
      </c>
      <c r="E40" s="13">
        <v>196</v>
      </c>
      <c r="F40" s="13">
        <v>0</v>
      </c>
      <c r="G40" s="13">
        <v>0</v>
      </c>
      <c r="H40" s="14"/>
    </row>
    <row r="41" spans="1:8" x14ac:dyDescent="0.2">
      <c r="A41" s="12" t="s">
        <v>0</v>
      </c>
      <c r="B41" s="12" t="str">
        <f>VLOOKUP(A41,'[1]Base de datos_2025'!$A:$E,4,FALSE)</f>
        <v>MECANISMO COPA QIJING 2.0</v>
      </c>
      <c r="C41" s="12" t="s">
        <v>5</v>
      </c>
      <c r="D41" s="12" t="s">
        <v>83</v>
      </c>
      <c r="E41" s="13">
        <v>196</v>
      </c>
      <c r="F41" s="13">
        <v>0</v>
      </c>
      <c r="G41" s="13">
        <v>0</v>
      </c>
      <c r="H41" s="14"/>
    </row>
    <row r="42" spans="1:8" x14ac:dyDescent="0.2">
      <c r="A42" s="12" t="s">
        <v>0</v>
      </c>
      <c r="B42" s="12" t="str">
        <f>VLOOKUP(A42,'[1]Base de datos_2025'!$A:$E,4,FALSE)</f>
        <v>MECANISMO COPA QIJING 2.0</v>
      </c>
      <c r="C42" s="12" t="s">
        <v>5</v>
      </c>
      <c r="D42" s="12" t="s">
        <v>83</v>
      </c>
      <c r="E42" s="13">
        <v>196</v>
      </c>
      <c r="F42" s="13">
        <v>0</v>
      </c>
      <c r="G42" s="13">
        <v>0</v>
      </c>
      <c r="H42" s="14"/>
    </row>
    <row r="43" spans="1:8" x14ac:dyDescent="0.2">
      <c r="A43" s="12" t="s">
        <v>0</v>
      </c>
      <c r="B43" s="12" t="str">
        <f>VLOOKUP(A43,'[1]Base de datos_2025'!$A:$E,4,FALSE)</f>
        <v>MECANISMO COPA QIJING 2.0</v>
      </c>
      <c r="C43" s="12" t="s">
        <v>5</v>
      </c>
      <c r="D43" s="12" t="s">
        <v>86</v>
      </c>
      <c r="E43" s="13">
        <v>196</v>
      </c>
      <c r="F43" s="13">
        <v>0</v>
      </c>
      <c r="G43" s="13">
        <v>0</v>
      </c>
      <c r="H43" s="14"/>
    </row>
    <row r="44" spans="1:8" x14ac:dyDescent="0.2">
      <c r="A44" s="12" t="s">
        <v>0</v>
      </c>
      <c r="B44" s="12" t="str">
        <f>VLOOKUP(A44,'[1]Base de datos_2025'!$A:$E,4,FALSE)</f>
        <v>MECANISMO COPA QIJING 2.0</v>
      </c>
      <c r="C44" s="12" t="s">
        <v>5</v>
      </c>
      <c r="D44" s="12" t="s">
        <v>86</v>
      </c>
      <c r="E44" s="13">
        <v>196</v>
      </c>
      <c r="F44" s="13">
        <v>0</v>
      </c>
      <c r="G44" s="13">
        <v>0</v>
      </c>
      <c r="H44" s="14"/>
    </row>
    <row r="45" spans="1:8" x14ac:dyDescent="0.2">
      <c r="A45" s="12" t="s">
        <v>0</v>
      </c>
      <c r="B45" s="12" t="str">
        <f>VLOOKUP(A45,'[1]Base de datos_2025'!$A:$E,4,FALSE)</f>
        <v>MECANISMO COPA QIJING 2.0</v>
      </c>
      <c r="C45" s="12" t="s">
        <v>5</v>
      </c>
      <c r="D45" s="12" t="s">
        <v>89</v>
      </c>
      <c r="E45" s="13">
        <v>196</v>
      </c>
      <c r="F45" s="13">
        <v>0</v>
      </c>
      <c r="G45" s="13">
        <v>0</v>
      </c>
      <c r="H45" s="14"/>
    </row>
    <row r="46" spans="1:8" x14ac:dyDescent="0.2">
      <c r="A46" s="12" t="s">
        <v>0</v>
      </c>
      <c r="B46" s="12" t="str">
        <f>VLOOKUP(A46,'[1]Base de datos_2025'!$A:$E,4,FALSE)</f>
        <v>MECANISMO COPA QIJING 2.0</v>
      </c>
      <c r="C46" s="12" t="s">
        <v>5</v>
      </c>
      <c r="D46" s="12" t="s">
        <v>89</v>
      </c>
      <c r="E46" s="13">
        <v>196</v>
      </c>
      <c r="F46" s="13">
        <v>0</v>
      </c>
      <c r="G46" s="13">
        <v>0</v>
      </c>
      <c r="H46" s="14"/>
    </row>
    <row r="47" spans="1:8" x14ac:dyDescent="0.2">
      <c r="A47" s="12" t="s">
        <v>0</v>
      </c>
      <c r="B47" s="12" t="str">
        <f>VLOOKUP(A47,'[1]Base de datos_2025'!$A:$E,4,FALSE)</f>
        <v>MECANISMO COPA QIJING 2.0</v>
      </c>
      <c r="C47" s="12" t="s">
        <v>5</v>
      </c>
      <c r="D47" s="12" t="s">
        <v>92</v>
      </c>
      <c r="E47" s="13">
        <v>0</v>
      </c>
      <c r="F47" s="13">
        <v>196</v>
      </c>
      <c r="G47" s="13">
        <v>0</v>
      </c>
      <c r="H47" s="14"/>
    </row>
    <row r="48" spans="1:8" x14ac:dyDescent="0.2">
      <c r="A48" s="12" t="s">
        <v>0</v>
      </c>
      <c r="B48" s="12" t="str">
        <f>VLOOKUP(A48,'[1]Base de datos_2025'!$A:$E,4,FALSE)</f>
        <v>MECANISMO COPA QIJING 2.0</v>
      </c>
      <c r="C48" s="12" t="s">
        <v>5</v>
      </c>
      <c r="D48" s="12" t="s">
        <v>92</v>
      </c>
      <c r="E48" s="13">
        <v>196</v>
      </c>
      <c r="F48" s="13">
        <v>0</v>
      </c>
      <c r="G48" s="13">
        <v>0</v>
      </c>
      <c r="H48" s="14"/>
    </row>
    <row r="49" spans="1:8" x14ac:dyDescent="0.2">
      <c r="A49" s="12" t="s">
        <v>0</v>
      </c>
      <c r="B49" s="12" t="str">
        <f>VLOOKUP(A49,'[1]Base de datos_2025'!$A:$E,4,FALSE)</f>
        <v>MECANISMO COPA QIJING 2.0</v>
      </c>
      <c r="C49" s="12" t="s">
        <v>5</v>
      </c>
      <c r="D49" s="12" t="s">
        <v>95</v>
      </c>
      <c r="E49" s="13">
        <v>196</v>
      </c>
      <c r="F49" s="13">
        <v>0</v>
      </c>
      <c r="G49" s="13">
        <v>0</v>
      </c>
      <c r="H49" s="14"/>
    </row>
    <row r="50" spans="1:8" x14ac:dyDescent="0.2">
      <c r="A50" s="12" t="s">
        <v>0</v>
      </c>
      <c r="B50" s="12" t="str">
        <f>VLOOKUP(A50,'[1]Base de datos_2025'!$A:$E,4,FALSE)</f>
        <v>MECANISMO COPA QIJING 2.0</v>
      </c>
      <c r="C50" s="12" t="s">
        <v>5</v>
      </c>
      <c r="D50" s="12" t="s">
        <v>95</v>
      </c>
      <c r="E50" s="13">
        <v>196</v>
      </c>
      <c r="F50" s="13">
        <v>0</v>
      </c>
      <c r="G50" s="13">
        <v>0</v>
      </c>
      <c r="H50" s="14"/>
    </row>
    <row r="51" spans="1:8" x14ac:dyDescent="0.2">
      <c r="A51" s="12" t="s">
        <v>0</v>
      </c>
      <c r="B51" s="12" t="str">
        <f>VLOOKUP(A51,'[1]Base de datos_2025'!$A:$E,4,FALSE)</f>
        <v>MECANISMO COPA QIJING 2.0</v>
      </c>
      <c r="C51" s="12" t="s">
        <v>5</v>
      </c>
      <c r="D51" s="12" t="s">
        <v>98</v>
      </c>
      <c r="E51" s="13">
        <v>196</v>
      </c>
      <c r="F51" s="13">
        <v>0</v>
      </c>
      <c r="G51" s="13">
        <v>0</v>
      </c>
      <c r="H51" s="14"/>
    </row>
    <row r="52" spans="1:8" x14ac:dyDescent="0.2">
      <c r="A52" s="12" t="s">
        <v>0</v>
      </c>
      <c r="B52" s="12" t="str">
        <f>VLOOKUP(A52,'[1]Base de datos_2025'!$A:$E,4,FALSE)</f>
        <v>MECANISMO COPA QIJING 2.0</v>
      </c>
      <c r="C52" s="12" t="s">
        <v>5</v>
      </c>
      <c r="D52" s="12" t="s">
        <v>98</v>
      </c>
      <c r="E52" s="13">
        <v>196</v>
      </c>
      <c r="F52" s="13">
        <v>0</v>
      </c>
      <c r="G52" s="13">
        <v>0</v>
      </c>
      <c r="H52" s="14"/>
    </row>
    <row r="53" spans="1:8" x14ac:dyDescent="0.2">
      <c r="A53" s="12" t="s">
        <v>0</v>
      </c>
      <c r="B53" s="12" t="str">
        <f>VLOOKUP(A53,'[1]Base de datos_2025'!$A:$E,4,FALSE)</f>
        <v>MECANISMO COPA QIJING 2.0</v>
      </c>
      <c r="C53" s="12" t="s">
        <v>5</v>
      </c>
      <c r="D53" s="12" t="s">
        <v>101</v>
      </c>
      <c r="E53" s="13">
        <v>196</v>
      </c>
      <c r="F53" s="13">
        <v>0</v>
      </c>
      <c r="G53" s="13">
        <v>0</v>
      </c>
      <c r="H53" s="14"/>
    </row>
    <row r="54" spans="1:8" x14ac:dyDescent="0.2">
      <c r="A54" s="12" t="s">
        <v>0</v>
      </c>
      <c r="B54" s="12" t="str">
        <f>VLOOKUP(A54,'[1]Base de datos_2025'!$A:$E,4,FALSE)</f>
        <v>MECANISMO COPA QIJING 2.0</v>
      </c>
      <c r="C54" s="12" t="s">
        <v>5</v>
      </c>
      <c r="D54" s="12" t="s">
        <v>101</v>
      </c>
      <c r="E54" s="13">
        <v>196</v>
      </c>
      <c r="F54" s="13">
        <v>0</v>
      </c>
      <c r="G54" s="13">
        <v>0</v>
      </c>
      <c r="H54" s="14"/>
    </row>
    <row r="55" spans="1:8" x14ac:dyDescent="0.2">
      <c r="A55" s="12" t="s">
        <v>0</v>
      </c>
      <c r="B55" s="12" t="str">
        <f>VLOOKUP(A55,'[1]Base de datos_2025'!$A:$E,4,FALSE)</f>
        <v>MECANISMO COPA QIJING 2.0</v>
      </c>
      <c r="C55" s="12" t="s">
        <v>5</v>
      </c>
      <c r="D55" s="12" t="s">
        <v>104</v>
      </c>
      <c r="E55" s="13">
        <v>196</v>
      </c>
      <c r="F55" s="13">
        <v>0</v>
      </c>
      <c r="G55" s="13">
        <v>0</v>
      </c>
      <c r="H55" s="14"/>
    </row>
    <row r="56" spans="1:8" x14ac:dyDescent="0.2">
      <c r="A56" s="12" t="s">
        <v>0</v>
      </c>
      <c r="B56" s="12" t="str">
        <f>VLOOKUP(A56,'[1]Base de datos_2025'!$A:$E,4,FALSE)</f>
        <v>MECANISMO COPA QIJING 2.0</v>
      </c>
      <c r="C56" s="12" t="s">
        <v>5</v>
      </c>
      <c r="D56" s="12" t="s">
        <v>104</v>
      </c>
      <c r="E56" s="13">
        <v>196</v>
      </c>
      <c r="F56" s="13">
        <v>0</v>
      </c>
      <c r="G56" s="13">
        <v>0</v>
      </c>
      <c r="H56" s="14"/>
    </row>
    <row r="57" spans="1:8" x14ac:dyDescent="0.2">
      <c r="A57" s="12" t="s">
        <v>31</v>
      </c>
      <c r="B57" s="12" t="str">
        <f>VLOOKUP(A57,'[1]Base de datos_2025'!$A:$E,4,FALSE)</f>
        <v>MECANISMO COPA 1.0</v>
      </c>
      <c r="C57" s="12" t="s">
        <v>5</v>
      </c>
      <c r="D57" s="12" t="s">
        <v>107</v>
      </c>
      <c r="E57" s="13">
        <v>147</v>
      </c>
      <c r="F57" s="13">
        <v>0</v>
      </c>
      <c r="G57" s="13">
        <v>0</v>
      </c>
      <c r="H57" s="14"/>
    </row>
    <row r="58" spans="1:8" x14ac:dyDescent="0.2">
      <c r="A58" s="12" t="s">
        <v>31</v>
      </c>
      <c r="B58" s="12" t="str">
        <f>VLOOKUP(A58,'[1]Base de datos_2025'!$A:$E,4,FALSE)</f>
        <v>MECANISMO COPA 1.0</v>
      </c>
      <c r="C58" s="12" t="s">
        <v>5</v>
      </c>
      <c r="D58" s="12" t="s">
        <v>107</v>
      </c>
      <c r="E58" s="13">
        <v>147</v>
      </c>
      <c r="F58" s="13">
        <v>0</v>
      </c>
      <c r="G58" s="13">
        <v>0</v>
      </c>
      <c r="H58" s="14"/>
    </row>
    <row r="59" spans="1:8" x14ac:dyDescent="0.2">
      <c r="A59" s="12" t="s">
        <v>0</v>
      </c>
      <c r="B59" s="12" t="str">
        <f>VLOOKUP(A59,'[1]Base de datos_2025'!$A:$E,4,FALSE)</f>
        <v>MECANISMO COPA QIJING 2.0</v>
      </c>
      <c r="C59" s="12" t="s">
        <v>5</v>
      </c>
      <c r="D59" s="12" t="s">
        <v>110</v>
      </c>
      <c r="E59" s="13">
        <v>196</v>
      </c>
      <c r="F59" s="13">
        <v>0</v>
      </c>
      <c r="G59" s="13">
        <v>0</v>
      </c>
      <c r="H59" s="14"/>
    </row>
    <row r="60" spans="1:8" x14ac:dyDescent="0.2">
      <c r="A60" s="12" t="s">
        <v>0</v>
      </c>
      <c r="B60" s="12" t="str">
        <f>VLOOKUP(A60,'[1]Base de datos_2025'!$A:$E,4,FALSE)</f>
        <v>MECANISMO COPA QIJING 2.0</v>
      </c>
      <c r="C60" s="12" t="s">
        <v>5</v>
      </c>
      <c r="D60" s="12" t="s">
        <v>110</v>
      </c>
      <c r="E60" s="13">
        <v>196</v>
      </c>
      <c r="F60" s="13">
        <v>0</v>
      </c>
      <c r="G60" s="13">
        <v>0</v>
      </c>
      <c r="H60" s="14"/>
    </row>
    <row r="61" spans="1:8" x14ac:dyDescent="0.2">
      <c r="A61" s="12" t="s">
        <v>0</v>
      </c>
      <c r="B61" s="12" t="str">
        <f>VLOOKUP(A61,'[1]Base de datos_2025'!$A:$E,4,FALSE)</f>
        <v>MECANISMO COPA QIJING 2.0</v>
      </c>
      <c r="C61" s="12" t="s">
        <v>5</v>
      </c>
      <c r="D61" s="12" t="s">
        <v>113</v>
      </c>
      <c r="E61" s="13">
        <v>196</v>
      </c>
      <c r="F61" s="13">
        <v>0</v>
      </c>
      <c r="G61" s="13">
        <v>0</v>
      </c>
      <c r="H61" s="14"/>
    </row>
    <row r="62" spans="1:8" x14ac:dyDescent="0.2">
      <c r="A62" s="12" t="s">
        <v>0</v>
      </c>
      <c r="B62" s="12" t="str">
        <f>VLOOKUP(A62,'[1]Base de datos_2025'!$A:$E,4,FALSE)</f>
        <v>MECANISMO COPA QIJING 2.0</v>
      </c>
      <c r="C62" s="12" t="s">
        <v>5</v>
      </c>
      <c r="D62" s="12" t="s">
        <v>113</v>
      </c>
      <c r="E62" s="13">
        <v>196</v>
      </c>
      <c r="F62" s="13">
        <v>0</v>
      </c>
      <c r="G62" s="13">
        <v>0</v>
      </c>
      <c r="H62" s="14"/>
    </row>
    <row r="63" spans="1:8" x14ac:dyDescent="0.2">
      <c r="A63" s="12" t="s">
        <v>0</v>
      </c>
      <c r="B63" s="12" t="str">
        <f>VLOOKUP(A63,'[1]Base de datos_2025'!$A:$E,4,FALSE)</f>
        <v>MECANISMO COPA QIJING 2.0</v>
      </c>
      <c r="C63" s="12" t="s">
        <v>5</v>
      </c>
      <c r="D63" s="12" t="s">
        <v>116</v>
      </c>
      <c r="E63" s="13">
        <v>196</v>
      </c>
      <c r="F63" s="13">
        <v>0</v>
      </c>
      <c r="G63" s="13">
        <v>0</v>
      </c>
      <c r="H63" s="14"/>
    </row>
    <row r="64" spans="1:8" x14ac:dyDescent="0.2">
      <c r="A64" s="12" t="s">
        <v>0</v>
      </c>
      <c r="B64" s="12" t="str">
        <f>VLOOKUP(A64,'[1]Base de datos_2025'!$A:$E,4,FALSE)</f>
        <v>MECANISMO COPA QIJING 2.0</v>
      </c>
      <c r="C64" s="12" t="s">
        <v>5</v>
      </c>
      <c r="D64" s="12" t="s">
        <v>116</v>
      </c>
      <c r="E64" s="13">
        <v>196</v>
      </c>
      <c r="F64" s="13">
        <v>0</v>
      </c>
      <c r="G64" s="13">
        <v>0</v>
      </c>
      <c r="H64" s="14"/>
    </row>
    <row r="65" spans="1:8" x14ac:dyDescent="0.2">
      <c r="A65" s="12" t="s">
        <v>0</v>
      </c>
      <c r="B65" s="12" t="str">
        <f>VLOOKUP(A65,'[1]Base de datos_2025'!$A:$E,4,FALSE)</f>
        <v>MECANISMO COPA QIJING 2.0</v>
      </c>
      <c r="C65" s="12" t="s">
        <v>5</v>
      </c>
      <c r="D65" s="12" t="s">
        <v>119</v>
      </c>
      <c r="E65" s="13">
        <v>196</v>
      </c>
      <c r="F65" s="13">
        <v>0</v>
      </c>
      <c r="G65" s="13">
        <v>0</v>
      </c>
      <c r="H65" s="14"/>
    </row>
    <row r="66" spans="1:8" x14ac:dyDescent="0.2">
      <c r="A66" s="12" t="s">
        <v>0</v>
      </c>
      <c r="B66" s="12" t="str">
        <f>VLOOKUP(A66,'[1]Base de datos_2025'!$A:$E,4,FALSE)</f>
        <v>MECANISMO COPA QIJING 2.0</v>
      </c>
      <c r="C66" s="12" t="s">
        <v>5</v>
      </c>
      <c r="D66" s="12" t="s">
        <v>119</v>
      </c>
      <c r="E66" s="13">
        <v>196</v>
      </c>
      <c r="F66" s="13">
        <v>0</v>
      </c>
      <c r="G66" s="13">
        <v>0</v>
      </c>
      <c r="H66" s="14"/>
    </row>
    <row r="67" spans="1:8" x14ac:dyDescent="0.2">
      <c r="A67" s="12" t="s">
        <v>0</v>
      </c>
      <c r="B67" s="12" t="str">
        <f>VLOOKUP(A67,'[1]Base de datos_2025'!$A:$E,4,FALSE)</f>
        <v>MECANISMO COPA QIJING 2.0</v>
      </c>
      <c r="C67" s="12" t="s">
        <v>122</v>
      </c>
      <c r="D67" s="12" t="s">
        <v>124</v>
      </c>
      <c r="E67" s="13">
        <v>0</v>
      </c>
      <c r="F67" s="13">
        <v>0</v>
      </c>
      <c r="G67" s="13">
        <v>196</v>
      </c>
      <c r="H67" s="14"/>
    </row>
    <row r="68" spans="1:8" x14ac:dyDescent="0.2">
      <c r="A68" s="12" t="s">
        <v>0</v>
      </c>
      <c r="B68" s="12" t="str">
        <f>VLOOKUP(A68,'[1]Base de datos_2025'!$A:$E,4,FALSE)</f>
        <v>MECANISMO COPA QIJING 2.0</v>
      </c>
      <c r="C68" s="12" t="s">
        <v>16</v>
      </c>
      <c r="D68" s="12" t="s">
        <v>125</v>
      </c>
      <c r="E68" s="13">
        <v>196</v>
      </c>
      <c r="F68" s="13">
        <v>0</v>
      </c>
      <c r="G68" s="13">
        <v>0</v>
      </c>
      <c r="H68" s="14"/>
    </row>
    <row r="69" spans="1:8" x14ac:dyDescent="0.2">
      <c r="A69" s="12" t="s">
        <v>0</v>
      </c>
      <c r="B69" s="12" t="str">
        <f>VLOOKUP(A69,'[1]Base de datos_2025'!$A:$E,4,FALSE)</f>
        <v>MECANISMO COPA QIJING 2.0</v>
      </c>
      <c r="C69" s="12" t="s">
        <v>16</v>
      </c>
      <c r="D69" s="12" t="s">
        <v>127</v>
      </c>
      <c r="E69" s="13">
        <v>196</v>
      </c>
      <c r="F69" s="13">
        <v>0</v>
      </c>
      <c r="G69" s="13">
        <v>0</v>
      </c>
      <c r="H69" s="14"/>
    </row>
    <row r="70" spans="1:8" x14ac:dyDescent="0.2">
      <c r="A70" s="12" t="s">
        <v>0</v>
      </c>
      <c r="B70" s="12" t="str">
        <f>VLOOKUP(A70,'[1]Base de datos_2025'!$A:$E,4,FALSE)</f>
        <v>MECANISMO COPA QIJING 2.0</v>
      </c>
      <c r="C70" s="12" t="s">
        <v>16</v>
      </c>
      <c r="D70" s="12" t="s">
        <v>129</v>
      </c>
      <c r="E70" s="13">
        <v>196</v>
      </c>
      <c r="F70" s="13">
        <v>0</v>
      </c>
      <c r="G70" s="13">
        <v>0</v>
      </c>
      <c r="H70" s="14"/>
    </row>
    <row r="71" spans="1:8" x14ac:dyDescent="0.2">
      <c r="A71" s="12" t="s">
        <v>0</v>
      </c>
      <c r="B71" s="12" t="str">
        <f>VLOOKUP(A71,'[1]Base de datos_2025'!$A:$E,4,FALSE)</f>
        <v>MECANISMO COPA QIJING 2.0</v>
      </c>
      <c r="C71" s="12" t="s">
        <v>16</v>
      </c>
      <c r="D71" s="12" t="s">
        <v>131</v>
      </c>
      <c r="E71" s="13">
        <v>196</v>
      </c>
      <c r="F71" s="13">
        <v>0</v>
      </c>
      <c r="G71" s="13">
        <v>0</v>
      </c>
      <c r="H71" s="14"/>
    </row>
    <row r="72" spans="1:8" x14ac:dyDescent="0.2">
      <c r="A72" s="12" t="s">
        <v>0</v>
      </c>
      <c r="B72" s="12" t="str">
        <f>VLOOKUP(A72,'[1]Base de datos_2025'!$A:$E,4,FALSE)</f>
        <v>MECANISMO COPA QIJING 2.0</v>
      </c>
      <c r="C72" s="12" t="s">
        <v>16</v>
      </c>
      <c r="D72" s="12" t="s">
        <v>133</v>
      </c>
      <c r="E72" s="13">
        <v>196</v>
      </c>
      <c r="F72" s="13">
        <v>0</v>
      </c>
      <c r="G72" s="13">
        <v>0</v>
      </c>
      <c r="H72" s="14"/>
    </row>
    <row r="73" spans="1:8" x14ac:dyDescent="0.2">
      <c r="A73" s="12" t="s">
        <v>0</v>
      </c>
      <c r="B73" s="12" t="str">
        <f>VLOOKUP(A73,'[1]Base de datos_2025'!$A:$E,4,FALSE)</f>
        <v>MECANISMO COPA QIJING 2.0</v>
      </c>
      <c r="C73" s="12" t="s">
        <v>16</v>
      </c>
      <c r="D73" s="12" t="s">
        <v>135</v>
      </c>
      <c r="E73" s="13">
        <v>196</v>
      </c>
      <c r="F73" s="13">
        <v>0</v>
      </c>
      <c r="G73" s="13">
        <v>0</v>
      </c>
      <c r="H73" s="14"/>
    </row>
    <row r="74" spans="1:8" x14ac:dyDescent="0.2">
      <c r="A74" s="12" t="s">
        <v>31</v>
      </c>
      <c r="B74" s="12" t="str">
        <f>VLOOKUP(A74,'[1]Base de datos_2025'!$A:$E,4,FALSE)</f>
        <v>MECANISMO COPA 1.0</v>
      </c>
      <c r="C74" s="12" t="s">
        <v>16</v>
      </c>
      <c r="D74" s="12" t="s">
        <v>137</v>
      </c>
      <c r="E74" s="13">
        <v>147</v>
      </c>
      <c r="F74" s="13">
        <v>0</v>
      </c>
      <c r="G74" s="13">
        <v>0</v>
      </c>
      <c r="H74" s="14"/>
    </row>
    <row r="75" spans="1:8" x14ac:dyDescent="0.2">
      <c r="A75" s="12" t="s">
        <v>0</v>
      </c>
      <c r="B75" s="12" t="str">
        <f>VLOOKUP(A75,'[1]Base de datos_2025'!$A:$E,4,FALSE)</f>
        <v>MECANISMO COPA QIJING 2.0</v>
      </c>
      <c r="C75" s="12" t="s">
        <v>5</v>
      </c>
      <c r="D75" s="12" t="s">
        <v>139</v>
      </c>
      <c r="E75" s="13">
        <v>196</v>
      </c>
      <c r="F75" s="13">
        <v>0</v>
      </c>
      <c r="G75" s="13">
        <v>0</v>
      </c>
      <c r="H75" s="14"/>
    </row>
    <row r="76" spans="1:8" x14ac:dyDescent="0.2">
      <c r="A76" s="12" t="s">
        <v>0</v>
      </c>
      <c r="B76" s="12" t="str">
        <f>VLOOKUP(A76,'[1]Base de datos_2025'!$A:$E,4,FALSE)</f>
        <v>MECANISMO COPA QIJING 2.0</v>
      </c>
      <c r="C76" s="12" t="s">
        <v>5</v>
      </c>
      <c r="D76" s="12" t="s">
        <v>139</v>
      </c>
      <c r="E76" s="13">
        <v>196</v>
      </c>
      <c r="F76" s="13">
        <v>0</v>
      </c>
      <c r="G76" s="13">
        <v>0</v>
      </c>
      <c r="H76" s="14"/>
    </row>
    <row r="77" spans="1:8" x14ac:dyDescent="0.2">
      <c r="A77" s="12" t="s">
        <v>0</v>
      </c>
      <c r="B77" s="12" t="str">
        <f>VLOOKUP(A77,'[1]Base de datos_2025'!$A:$E,4,FALSE)</f>
        <v>MECANISMO COPA QIJING 2.0</v>
      </c>
      <c r="C77" s="12" t="s">
        <v>5</v>
      </c>
      <c r="D77" s="12" t="s">
        <v>142</v>
      </c>
      <c r="E77" s="13">
        <v>196</v>
      </c>
      <c r="F77" s="13">
        <v>0</v>
      </c>
      <c r="G77" s="13">
        <v>0</v>
      </c>
      <c r="H77" s="14"/>
    </row>
    <row r="78" spans="1:8" x14ac:dyDescent="0.2">
      <c r="A78" s="12" t="s">
        <v>0</v>
      </c>
      <c r="B78" s="12" t="str">
        <f>VLOOKUP(A78,'[1]Base de datos_2025'!$A:$E,4,FALSE)</f>
        <v>MECANISMO COPA QIJING 2.0</v>
      </c>
      <c r="C78" s="12" t="s">
        <v>5</v>
      </c>
      <c r="D78" s="12" t="s">
        <v>142</v>
      </c>
      <c r="E78" s="13">
        <v>196</v>
      </c>
      <c r="F78" s="13">
        <v>0</v>
      </c>
      <c r="G78" s="13">
        <v>0</v>
      </c>
      <c r="H78" s="14"/>
    </row>
    <row r="79" spans="1:8" x14ac:dyDescent="0.2">
      <c r="A79" s="12" t="s">
        <v>0</v>
      </c>
      <c r="B79" s="12" t="str">
        <f>VLOOKUP(A79,'[1]Base de datos_2025'!$A:$E,4,FALSE)</f>
        <v>MECANISMO COPA QIJING 2.0</v>
      </c>
      <c r="C79" s="12" t="s">
        <v>5</v>
      </c>
      <c r="D79" s="12" t="s">
        <v>145</v>
      </c>
      <c r="E79" s="13">
        <v>196</v>
      </c>
      <c r="F79" s="13">
        <v>0</v>
      </c>
      <c r="G79" s="13">
        <v>0</v>
      </c>
      <c r="H79" s="14"/>
    </row>
    <row r="80" spans="1:8" x14ac:dyDescent="0.2">
      <c r="A80" s="12" t="s">
        <v>0</v>
      </c>
      <c r="B80" s="12" t="str">
        <f>VLOOKUP(A80,'[1]Base de datos_2025'!$A:$E,4,FALSE)</f>
        <v>MECANISMO COPA QIJING 2.0</v>
      </c>
      <c r="C80" s="12" t="s">
        <v>5</v>
      </c>
      <c r="D80" s="12" t="s">
        <v>145</v>
      </c>
      <c r="E80" s="13">
        <v>196</v>
      </c>
      <c r="F80" s="13">
        <v>0</v>
      </c>
      <c r="G80" s="13">
        <v>0</v>
      </c>
      <c r="H80" s="14"/>
    </row>
    <row r="81" spans="1:8" x14ac:dyDescent="0.2">
      <c r="A81" s="12" t="s">
        <v>0</v>
      </c>
      <c r="B81" s="12" t="str">
        <f>VLOOKUP(A81,'[1]Base de datos_2025'!$A:$E,4,FALSE)</f>
        <v>MECANISMO COPA QIJING 2.0</v>
      </c>
      <c r="C81" s="12" t="s">
        <v>5</v>
      </c>
      <c r="D81" s="12" t="s">
        <v>148</v>
      </c>
      <c r="E81" s="13">
        <v>196</v>
      </c>
      <c r="F81" s="13">
        <v>0</v>
      </c>
      <c r="G81" s="13">
        <v>0</v>
      </c>
      <c r="H81" s="14"/>
    </row>
    <row r="82" spans="1:8" x14ac:dyDescent="0.2">
      <c r="A82" s="12" t="s">
        <v>0</v>
      </c>
      <c r="B82" s="12" t="str">
        <f>VLOOKUP(A82,'[1]Base de datos_2025'!$A:$E,4,FALSE)</f>
        <v>MECANISMO COPA QIJING 2.0</v>
      </c>
      <c r="C82" s="12" t="s">
        <v>5</v>
      </c>
      <c r="D82" s="12" t="s">
        <v>148</v>
      </c>
      <c r="E82" s="13">
        <v>196</v>
      </c>
      <c r="F82" s="13">
        <v>0</v>
      </c>
      <c r="G82" s="13">
        <v>0</v>
      </c>
      <c r="H82" s="14"/>
    </row>
    <row r="83" spans="1:8" x14ac:dyDescent="0.2">
      <c r="A83" s="12" t="s">
        <v>0</v>
      </c>
      <c r="B83" s="12" t="str">
        <f>VLOOKUP(A83,'[1]Base de datos_2025'!$A:$E,4,FALSE)</f>
        <v>MECANISMO COPA QIJING 2.0</v>
      </c>
      <c r="C83" s="12" t="s">
        <v>5</v>
      </c>
      <c r="D83" s="12" t="s">
        <v>151</v>
      </c>
      <c r="E83" s="13">
        <v>196</v>
      </c>
      <c r="F83" s="13">
        <v>0</v>
      </c>
      <c r="G83" s="13">
        <v>0</v>
      </c>
      <c r="H83" s="14"/>
    </row>
    <row r="84" spans="1:8" x14ac:dyDescent="0.2">
      <c r="A84" s="12" t="s">
        <v>0</v>
      </c>
      <c r="B84" s="12" t="str">
        <f>VLOOKUP(A84,'[1]Base de datos_2025'!$A:$E,4,FALSE)</f>
        <v>MECANISMO COPA QIJING 2.0</v>
      </c>
      <c r="C84" s="12" t="s">
        <v>5</v>
      </c>
      <c r="D84" s="12" t="s">
        <v>151</v>
      </c>
      <c r="E84" s="13">
        <v>196</v>
      </c>
      <c r="F84" s="13">
        <v>0</v>
      </c>
      <c r="G84" s="13">
        <v>0</v>
      </c>
      <c r="H84" s="14"/>
    </row>
    <row r="85" spans="1:8" x14ac:dyDescent="0.2">
      <c r="A85" s="12" t="s">
        <v>0</v>
      </c>
      <c r="B85" s="12" t="str">
        <f>VLOOKUP(A85,'[1]Base de datos_2025'!$A:$E,4,FALSE)</f>
        <v>MECANISMO COPA QIJING 2.0</v>
      </c>
      <c r="C85" s="12" t="s">
        <v>5</v>
      </c>
      <c r="D85" s="12" t="s">
        <v>154</v>
      </c>
      <c r="E85" s="13">
        <v>196</v>
      </c>
      <c r="F85" s="13">
        <v>0</v>
      </c>
      <c r="G85" s="13">
        <v>0</v>
      </c>
      <c r="H85" s="14"/>
    </row>
    <row r="86" spans="1:8" x14ac:dyDescent="0.2">
      <c r="A86" s="12" t="s">
        <v>0</v>
      </c>
      <c r="B86" s="12" t="str">
        <f>VLOOKUP(A86,'[1]Base de datos_2025'!$A:$E,4,FALSE)</f>
        <v>MECANISMO COPA QIJING 2.0</v>
      </c>
      <c r="C86" s="12" t="s">
        <v>5</v>
      </c>
      <c r="D86" s="12" t="s">
        <v>154</v>
      </c>
      <c r="E86" s="13">
        <v>196</v>
      </c>
      <c r="F86" s="13">
        <v>0</v>
      </c>
      <c r="G86" s="13">
        <v>0</v>
      </c>
      <c r="H86" s="14"/>
    </row>
    <row r="87" spans="1:8" x14ac:dyDescent="0.2">
      <c r="A87" s="12" t="s">
        <v>0</v>
      </c>
      <c r="B87" s="12" t="str">
        <f>VLOOKUP(A87,'[1]Base de datos_2025'!$A:$E,4,FALSE)</f>
        <v>MECANISMO COPA QIJING 2.0</v>
      </c>
      <c r="C87" s="12" t="s">
        <v>5</v>
      </c>
      <c r="D87" s="12" t="s">
        <v>157</v>
      </c>
      <c r="E87" s="13">
        <v>196</v>
      </c>
      <c r="F87" s="13">
        <v>0</v>
      </c>
      <c r="G87" s="13">
        <v>0</v>
      </c>
      <c r="H87" s="14"/>
    </row>
    <row r="88" spans="1:8" x14ac:dyDescent="0.2">
      <c r="A88" s="12" t="s">
        <v>0</v>
      </c>
      <c r="B88" s="12" t="str">
        <f>VLOOKUP(A88,'[1]Base de datos_2025'!$A:$E,4,FALSE)</f>
        <v>MECANISMO COPA QIJING 2.0</v>
      </c>
      <c r="C88" s="12" t="s">
        <v>5</v>
      </c>
      <c r="D88" s="12" t="s">
        <v>157</v>
      </c>
      <c r="E88" s="13">
        <v>196</v>
      </c>
      <c r="F88" s="13">
        <v>0</v>
      </c>
      <c r="G88" s="13">
        <v>0</v>
      </c>
      <c r="H88" s="14"/>
    </row>
    <row r="89" spans="1:8" x14ac:dyDescent="0.2">
      <c r="A89" s="12" t="s">
        <v>0</v>
      </c>
      <c r="B89" s="12" t="str">
        <f>VLOOKUP(A89,'[1]Base de datos_2025'!$A:$E,4,FALSE)</f>
        <v>MECANISMO COPA QIJING 2.0</v>
      </c>
      <c r="C89" s="12" t="s">
        <v>5</v>
      </c>
      <c r="D89" s="12" t="s">
        <v>160</v>
      </c>
      <c r="E89" s="13">
        <v>196</v>
      </c>
      <c r="F89" s="13">
        <v>0</v>
      </c>
      <c r="G89" s="13">
        <v>0</v>
      </c>
      <c r="H89" s="14"/>
    </row>
    <row r="90" spans="1:8" x14ac:dyDescent="0.2">
      <c r="A90" s="12" t="s">
        <v>0</v>
      </c>
      <c r="B90" s="12" t="str">
        <f>VLOOKUP(A90,'[1]Base de datos_2025'!$A:$E,4,FALSE)</f>
        <v>MECANISMO COPA QIJING 2.0</v>
      </c>
      <c r="C90" s="12" t="s">
        <v>5</v>
      </c>
      <c r="D90" s="12" t="s">
        <v>160</v>
      </c>
      <c r="E90" s="13">
        <v>196</v>
      </c>
      <c r="F90" s="13">
        <v>0</v>
      </c>
      <c r="G90" s="13">
        <v>0</v>
      </c>
      <c r="H90" s="14"/>
    </row>
    <row r="91" spans="1:8" x14ac:dyDescent="0.2">
      <c r="A91" s="12" t="s">
        <v>0</v>
      </c>
      <c r="B91" s="12" t="str">
        <f>VLOOKUP(A91,'[1]Base de datos_2025'!$A:$E,4,FALSE)</f>
        <v>MECANISMO COPA QIJING 2.0</v>
      </c>
      <c r="C91" s="12" t="s">
        <v>5</v>
      </c>
      <c r="D91" s="12" t="s">
        <v>163</v>
      </c>
      <c r="E91" s="13">
        <v>196</v>
      </c>
      <c r="F91" s="13">
        <v>0</v>
      </c>
      <c r="G91" s="13">
        <v>0</v>
      </c>
      <c r="H91" s="14"/>
    </row>
    <row r="92" spans="1:8" x14ac:dyDescent="0.2">
      <c r="A92" s="12" t="s">
        <v>0</v>
      </c>
      <c r="B92" s="12" t="str">
        <f>VLOOKUP(A92,'[1]Base de datos_2025'!$A:$E,4,FALSE)</f>
        <v>MECANISMO COPA QIJING 2.0</v>
      </c>
      <c r="C92" s="12" t="s">
        <v>5</v>
      </c>
      <c r="D92" s="12" t="s">
        <v>163</v>
      </c>
      <c r="E92" s="13">
        <v>196</v>
      </c>
      <c r="F92" s="13">
        <v>0</v>
      </c>
      <c r="G92" s="13">
        <v>0</v>
      </c>
      <c r="H92" s="14"/>
    </row>
    <row r="93" spans="1:8" x14ac:dyDescent="0.2">
      <c r="A93" s="12" t="s">
        <v>0</v>
      </c>
      <c r="B93" s="12" t="str">
        <f>VLOOKUP(A93,'[1]Base de datos_2025'!$A:$E,4,FALSE)</f>
        <v>MECANISMO COPA QIJING 2.0</v>
      </c>
      <c r="C93" s="12" t="s">
        <v>5</v>
      </c>
      <c r="D93" s="12" t="s">
        <v>166</v>
      </c>
      <c r="E93" s="13">
        <v>196</v>
      </c>
      <c r="F93" s="13">
        <v>0</v>
      </c>
      <c r="G93" s="13">
        <v>0</v>
      </c>
      <c r="H93" s="14"/>
    </row>
    <row r="94" spans="1:8" x14ac:dyDescent="0.2">
      <c r="A94" s="12" t="s">
        <v>0</v>
      </c>
      <c r="B94" s="12" t="str">
        <f>VLOOKUP(A94,'[1]Base de datos_2025'!$A:$E,4,FALSE)</f>
        <v>MECANISMO COPA QIJING 2.0</v>
      </c>
      <c r="C94" s="12" t="s">
        <v>5</v>
      </c>
      <c r="D94" s="12" t="s">
        <v>166</v>
      </c>
      <c r="E94" s="13">
        <v>196</v>
      </c>
      <c r="F94" s="13">
        <v>0</v>
      </c>
      <c r="G94" s="13">
        <v>0</v>
      </c>
      <c r="H94" s="14"/>
    </row>
    <row r="95" spans="1:8" x14ac:dyDescent="0.2">
      <c r="A95" s="12" t="s">
        <v>0</v>
      </c>
      <c r="B95" s="12" t="str">
        <f>VLOOKUP(A95,'[1]Base de datos_2025'!$A:$E,4,FALSE)</f>
        <v>MECANISMO COPA QIJING 2.0</v>
      </c>
      <c r="C95" s="12" t="s">
        <v>5</v>
      </c>
      <c r="D95" s="12" t="s">
        <v>169</v>
      </c>
      <c r="E95" s="13">
        <v>196</v>
      </c>
      <c r="F95" s="13">
        <v>0</v>
      </c>
      <c r="G95" s="13">
        <v>0</v>
      </c>
      <c r="H95" s="14"/>
    </row>
    <row r="96" spans="1:8" x14ac:dyDescent="0.2">
      <c r="A96" s="12" t="s">
        <v>0</v>
      </c>
      <c r="B96" s="12" t="str">
        <f>VLOOKUP(A96,'[1]Base de datos_2025'!$A:$E,4,FALSE)</f>
        <v>MECANISMO COPA QIJING 2.0</v>
      </c>
      <c r="C96" s="12" t="s">
        <v>5</v>
      </c>
      <c r="D96" s="12" t="s">
        <v>169</v>
      </c>
      <c r="E96" s="13">
        <v>196</v>
      </c>
      <c r="F96" s="13">
        <v>0</v>
      </c>
      <c r="G96" s="13">
        <v>0</v>
      </c>
      <c r="H96" s="14"/>
    </row>
    <row r="97" spans="1:8" x14ac:dyDescent="0.2">
      <c r="A97" s="12" t="s">
        <v>0</v>
      </c>
      <c r="B97" s="12" t="str">
        <f>VLOOKUP(A97,'[1]Base de datos_2025'!$A:$E,4,FALSE)</f>
        <v>MECANISMO COPA QIJING 2.0</v>
      </c>
      <c r="C97" s="12" t="s">
        <v>5</v>
      </c>
      <c r="D97" s="12" t="s">
        <v>172</v>
      </c>
      <c r="E97" s="13">
        <v>196</v>
      </c>
      <c r="F97" s="13">
        <v>0</v>
      </c>
      <c r="G97" s="13">
        <v>0</v>
      </c>
      <c r="H97" s="14"/>
    </row>
    <row r="98" spans="1:8" x14ac:dyDescent="0.2">
      <c r="A98" s="12" t="s">
        <v>0</v>
      </c>
      <c r="B98" s="12" t="str">
        <f>VLOOKUP(A98,'[1]Base de datos_2025'!$A:$E,4,FALSE)</f>
        <v>MECANISMO COPA QIJING 2.0</v>
      </c>
      <c r="C98" s="12" t="s">
        <v>5</v>
      </c>
      <c r="D98" s="12" t="s">
        <v>172</v>
      </c>
      <c r="E98" s="13">
        <v>196</v>
      </c>
      <c r="F98" s="13">
        <v>0</v>
      </c>
      <c r="G98" s="13">
        <v>0</v>
      </c>
      <c r="H98" s="14"/>
    </row>
    <row r="99" spans="1:8" x14ac:dyDescent="0.2">
      <c r="A99" s="12" t="s">
        <v>0</v>
      </c>
      <c r="B99" s="12" t="str">
        <f>VLOOKUP(A99,'[1]Base de datos_2025'!$A:$E,4,FALSE)</f>
        <v>MECANISMO COPA QIJING 2.0</v>
      </c>
      <c r="C99" s="12" t="s">
        <v>5</v>
      </c>
      <c r="D99" s="12" t="s">
        <v>175</v>
      </c>
      <c r="E99" s="13">
        <v>196</v>
      </c>
      <c r="F99" s="13">
        <v>0</v>
      </c>
      <c r="G99" s="13">
        <v>0</v>
      </c>
      <c r="H99" s="14"/>
    </row>
    <row r="100" spans="1:8" x14ac:dyDescent="0.2">
      <c r="A100" s="12" t="s">
        <v>0</v>
      </c>
      <c r="B100" s="12" t="str">
        <f>VLOOKUP(A100,'[1]Base de datos_2025'!$A:$E,4,FALSE)</f>
        <v>MECANISMO COPA QIJING 2.0</v>
      </c>
      <c r="C100" s="12" t="s">
        <v>5</v>
      </c>
      <c r="D100" s="12" t="s">
        <v>175</v>
      </c>
      <c r="E100" s="13">
        <v>196</v>
      </c>
      <c r="F100" s="13">
        <v>0</v>
      </c>
      <c r="G100" s="13">
        <v>0</v>
      </c>
      <c r="H100" s="14"/>
    </row>
    <row r="101" spans="1:8" x14ac:dyDescent="0.2">
      <c r="A101" s="12" t="s">
        <v>0</v>
      </c>
      <c r="B101" s="12" t="str">
        <f>VLOOKUP(A101,'[1]Base de datos_2025'!$A:$E,4,FALSE)</f>
        <v>MECANISMO COPA QIJING 2.0</v>
      </c>
      <c r="C101" s="12" t="s">
        <v>5</v>
      </c>
      <c r="D101" s="12" t="s">
        <v>178</v>
      </c>
      <c r="E101" s="13">
        <v>196</v>
      </c>
      <c r="F101" s="13">
        <v>0</v>
      </c>
      <c r="G101" s="13">
        <v>0</v>
      </c>
      <c r="H101" s="14"/>
    </row>
    <row r="102" spans="1:8" x14ac:dyDescent="0.2">
      <c r="A102" s="12" t="s">
        <v>0</v>
      </c>
      <c r="B102" s="12" t="str">
        <f>VLOOKUP(A102,'[1]Base de datos_2025'!$A:$E,4,FALSE)</f>
        <v>MECANISMO COPA QIJING 2.0</v>
      </c>
      <c r="C102" s="12" t="s">
        <v>5</v>
      </c>
      <c r="D102" s="12" t="s">
        <v>178</v>
      </c>
      <c r="E102" s="13">
        <v>196</v>
      </c>
      <c r="F102" s="13">
        <v>0</v>
      </c>
      <c r="G102" s="13">
        <v>0</v>
      </c>
      <c r="H102" s="14"/>
    </row>
    <row r="103" spans="1:8" x14ac:dyDescent="0.2">
      <c r="A103" s="12" t="s">
        <v>0</v>
      </c>
      <c r="B103" s="12" t="str">
        <f>VLOOKUP(A103,'[1]Base de datos_2025'!$A:$E,4,FALSE)</f>
        <v>MECANISMO COPA QIJING 2.0</v>
      </c>
      <c r="C103" s="12" t="s">
        <v>5</v>
      </c>
      <c r="D103" s="12" t="s">
        <v>181</v>
      </c>
      <c r="E103" s="13">
        <v>196</v>
      </c>
      <c r="F103" s="13">
        <v>0</v>
      </c>
      <c r="G103" s="13">
        <v>0</v>
      </c>
      <c r="H103" s="14"/>
    </row>
    <row r="104" spans="1:8" x14ac:dyDescent="0.2">
      <c r="A104" s="12" t="s">
        <v>0</v>
      </c>
      <c r="B104" s="12" t="str">
        <f>VLOOKUP(A104,'[1]Base de datos_2025'!$A:$E,4,FALSE)</f>
        <v>MECANISMO COPA QIJING 2.0</v>
      </c>
      <c r="C104" s="12" t="s">
        <v>5</v>
      </c>
      <c r="D104" s="12" t="s">
        <v>181</v>
      </c>
      <c r="E104" s="13">
        <v>196</v>
      </c>
      <c r="F104" s="13">
        <v>0</v>
      </c>
      <c r="G104" s="13">
        <v>0</v>
      </c>
      <c r="H104" s="14"/>
    </row>
    <row r="105" spans="1:8" x14ac:dyDescent="0.2">
      <c r="A105" s="12" t="s">
        <v>0</v>
      </c>
      <c r="B105" s="12" t="str">
        <f>VLOOKUP(A105,'[1]Base de datos_2025'!$A:$E,4,FALSE)</f>
        <v>MECANISMO COPA QIJING 2.0</v>
      </c>
      <c r="C105" s="12" t="s">
        <v>5</v>
      </c>
      <c r="D105" s="12" t="s">
        <v>184</v>
      </c>
      <c r="E105" s="13">
        <v>196</v>
      </c>
      <c r="F105" s="13">
        <v>0</v>
      </c>
      <c r="G105" s="13">
        <v>0</v>
      </c>
      <c r="H105" s="14"/>
    </row>
    <row r="106" spans="1:8" x14ac:dyDescent="0.2">
      <c r="A106" s="12" t="s">
        <v>0</v>
      </c>
      <c r="B106" s="12" t="str">
        <f>VLOOKUP(A106,'[1]Base de datos_2025'!$A:$E,4,FALSE)</f>
        <v>MECANISMO COPA QIJING 2.0</v>
      </c>
      <c r="C106" s="12" t="s">
        <v>5</v>
      </c>
      <c r="D106" s="12" t="s">
        <v>184</v>
      </c>
      <c r="E106" s="13">
        <v>196</v>
      </c>
      <c r="F106" s="13">
        <v>0</v>
      </c>
      <c r="G106" s="13">
        <v>0</v>
      </c>
      <c r="H106" s="14"/>
    </row>
    <row r="107" spans="1:8" x14ac:dyDescent="0.2">
      <c r="A107" s="12" t="s">
        <v>0</v>
      </c>
      <c r="B107" s="12" t="str">
        <f>VLOOKUP(A107,'[1]Base de datos_2025'!$A:$E,4,FALSE)</f>
        <v>MECANISMO COPA QIJING 2.0</v>
      </c>
      <c r="C107" s="12" t="s">
        <v>5</v>
      </c>
      <c r="D107" s="12" t="s">
        <v>187</v>
      </c>
      <c r="E107" s="13">
        <v>196</v>
      </c>
      <c r="F107" s="13">
        <v>0</v>
      </c>
      <c r="G107" s="13">
        <v>0</v>
      </c>
      <c r="H107" s="14"/>
    </row>
    <row r="108" spans="1:8" x14ac:dyDescent="0.2">
      <c r="A108" s="12" t="s">
        <v>0</v>
      </c>
      <c r="B108" s="12" t="str">
        <f>VLOOKUP(A108,'[1]Base de datos_2025'!$A:$E,4,FALSE)</f>
        <v>MECANISMO COPA QIJING 2.0</v>
      </c>
      <c r="C108" s="12" t="s">
        <v>5</v>
      </c>
      <c r="D108" s="12" t="s">
        <v>187</v>
      </c>
      <c r="E108" s="13">
        <v>196</v>
      </c>
      <c r="F108" s="13">
        <v>0</v>
      </c>
      <c r="G108" s="13">
        <v>0</v>
      </c>
      <c r="H108" s="14"/>
    </row>
    <row r="109" spans="1:8" x14ac:dyDescent="0.2">
      <c r="A109" s="12" t="s">
        <v>0</v>
      </c>
      <c r="B109" s="12" t="str">
        <f>VLOOKUP(A109,'[1]Base de datos_2025'!$A:$E,4,FALSE)</f>
        <v>MECANISMO COPA QIJING 2.0</v>
      </c>
      <c r="C109" s="12" t="s">
        <v>5</v>
      </c>
      <c r="D109" s="12" t="s">
        <v>190</v>
      </c>
      <c r="E109" s="13">
        <v>196</v>
      </c>
      <c r="F109" s="13">
        <v>0</v>
      </c>
      <c r="G109" s="13">
        <v>0</v>
      </c>
      <c r="H109" s="14"/>
    </row>
    <row r="110" spans="1:8" x14ac:dyDescent="0.2">
      <c r="A110" s="12" t="s">
        <v>0</v>
      </c>
      <c r="B110" s="12" t="str">
        <f>VLOOKUP(A110,'[1]Base de datos_2025'!$A:$E,4,FALSE)</f>
        <v>MECANISMO COPA QIJING 2.0</v>
      </c>
      <c r="C110" s="12" t="s">
        <v>5</v>
      </c>
      <c r="D110" s="12" t="s">
        <v>190</v>
      </c>
      <c r="E110" s="13">
        <v>196</v>
      </c>
      <c r="F110" s="13">
        <v>0</v>
      </c>
      <c r="G110" s="13">
        <v>0</v>
      </c>
      <c r="H110" s="14"/>
    </row>
    <row r="111" spans="1:8" x14ac:dyDescent="0.2">
      <c r="A111" s="12" t="s">
        <v>0</v>
      </c>
      <c r="B111" s="12" t="str">
        <f>VLOOKUP(A111,'[1]Base de datos_2025'!$A:$E,4,FALSE)</f>
        <v>MECANISMO COPA QIJING 2.0</v>
      </c>
      <c r="C111" s="12" t="s">
        <v>5</v>
      </c>
      <c r="D111" s="12" t="s">
        <v>193</v>
      </c>
      <c r="E111" s="13">
        <v>196</v>
      </c>
      <c r="F111" s="13">
        <v>0</v>
      </c>
      <c r="G111" s="13">
        <v>0</v>
      </c>
      <c r="H111" s="14"/>
    </row>
    <row r="112" spans="1:8" x14ac:dyDescent="0.2">
      <c r="A112" s="12" t="s">
        <v>0</v>
      </c>
      <c r="B112" s="12" t="str">
        <f>VLOOKUP(A112,'[1]Base de datos_2025'!$A:$E,4,FALSE)</f>
        <v>MECANISMO COPA QIJING 2.0</v>
      </c>
      <c r="C112" s="12" t="s">
        <v>5</v>
      </c>
      <c r="D112" s="12" t="s">
        <v>193</v>
      </c>
      <c r="E112" s="13">
        <v>196</v>
      </c>
      <c r="F112" s="13">
        <v>0</v>
      </c>
      <c r="G112" s="13">
        <v>0</v>
      </c>
      <c r="H112" s="14"/>
    </row>
    <row r="113" spans="1:8" x14ac:dyDescent="0.2">
      <c r="A113" s="12" t="s">
        <v>0</v>
      </c>
      <c r="B113" s="12" t="str">
        <f>VLOOKUP(A113,'[1]Base de datos_2025'!$A:$E,4,FALSE)</f>
        <v>MECANISMO COPA QIJING 2.0</v>
      </c>
      <c r="C113" s="12" t="s">
        <v>5</v>
      </c>
      <c r="D113" s="12" t="s">
        <v>196</v>
      </c>
      <c r="E113" s="13">
        <v>196</v>
      </c>
      <c r="F113" s="13">
        <v>0</v>
      </c>
      <c r="G113" s="13">
        <v>0</v>
      </c>
      <c r="H113" s="14"/>
    </row>
    <row r="114" spans="1:8" x14ac:dyDescent="0.2">
      <c r="A114" s="12" t="s">
        <v>0</v>
      </c>
      <c r="B114" s="12" t="str">
        <f>VLOOKUP(A114,'[1]Base de datos_2025'!$A:$E,4,FALSE)</f>
        <v>MECANISMO COPA QIJING 2.0</v>
      </c>
      <c r="C114" s="12" t="s">
        <v>5</v>
      </c>
      <c r="D114" s="12" t="s">
        <v>196</v>
      </c>
      <c r="E114" s="13">
        <v>196</v>
      </c>
      <c r="F114" s="13">
        <v>0</v>
      </c>
      <c r="G114" s="13">
        <v>0</v>
      </c>
      <c r="H114" s="14"/>
    </row>
    <row r="115" spans="1:8" x14ac:dyDescent="0.2">
      <c r="A115" s="12" t="s">
        <v>0</v>
      </c>
      <c r="B115" s="12" t="str">
        <f>VLOOKUP(A115,'[1]Base de datos_2025'!$A:$E,4,FALSE)</f>
        <v>MECANISMO COPA QIJING 2.0</v>
      </c>
      <c r="C115" s="12" t="s">
        <v>5</v>
      </c>
      <c r="D115" s="12" t="s">
        <v>199</v>
      </c>
      <c r="E115" s="13">
        <v>196</v>
      </c>
      <c r="F115" s="13">
        <v>0</v>
      </c>
      <c r="G115" s="13">
        <v>0</v>
      </c>
      <c r="H115" s="14"/>
    </row>
    <row r="116" spans="1:8" x14ac:dyDescent="0.2">
      <c r="A116" s="12" t="s">
        <v>0</v>
      </c>
      <c r="B116" s="12" t="str">
        <f>VLOOKUP(A116,'[1]Base de datos_2025'!$A:$E,4,FALSE)</f>
        <v>MECANISMO COPA QIJING 2.0</v>
      </c>
      <c r="C116" s="12" t="s">
        <v>5</v>
      </c>
      <c r="D116" s="12" t="s">
        <v>199</v>
      </c>
      <c r="E116" s="13">
        <v>196</v>
      </c>
      <c r="F116" s="13">
        <v>0</v>
      </c>
      <c r="G116" s="13">
        <v>0</v>
      </c>
      <c r="H116" s="14"/>
    </row>
    <row r="117" spans="1:8" x14ac:dyDescent="0.2">
      <c r="A117" s="12" t="s">
        <v>0</v>
      </c>
      <c r="B117" s="12" t="str">
        <f>VLOOKUP(A117,'[1]Base de datos_2025'!$A:$E,4,FALSE)</f>
        <v>MECANISMO COPA QIJING 2.0</v>
      </c>
      <c r="C117" s="12" t="s">
        <v>5</v>
      </c>
      <c r="D117" s="12" t="s">
        <v>202</v>
      </c>
      <c r="E117" s="13">
        <v>196</v>
      </c>
      <c r="F117" s="13">
        <v>0</v>
      </c>
      <c r="G117" s="13">
        <v>0</v>
      </c>
      <c r="H117" s="14"/>
    </row>
    <row r="118" spans="1:8" x14ac:dyDescent="0.2">
      <c r="A118" s="12" t="s">
        <v>0</v>
      </c>
      <c r="B118" s="12" t="str">
        <f>VLOOKUP(A118,'[1]Base de datos_2025'!$A:$E,4,FALSE)</f>
        <v>MECANISMO COPA QIJING 2.0</v>
      </c>
      <c r="C118" s="12" t="s">
        <v>5</v>
      </c>
      <c r="D118" s="12" t="s">
        <v>202</v>
      </c>
      <c r="E118" s="13">
        <v>196</v>
      </c>
      <c r="F118" s="13">
        <v>0</v>
      </c>
      <c r="G118" s="13">
        <v>0</v>
      </c>
      <c r="H118" s="14"/>
    </row>
    <row r="119" spans="1:8" x14ac:dyDescent="0.2">
      <c r="A119" s="12" t="s">
        <v>0</v>
      </c>
      <c r="B119" s="12" t="str">
        <f>VLOOKUP(A119,'[1]Base de datos_2025'!$A:$E,4,FALSE)</f>
        <v>MECANISMO COPA QIJING 2.0</v>
      </c>
      <c r="C119" s="12" t="s">
        <v>5</v>
      </c>
      <c r="D119" s="12" t="s">
        <v>205</v>
      </c>
      <c r="E119" s="13">
        <v>196</v>
      </c>
      <c r="F119" s="13">
        <v>0</v>
      </c>
      <c r="G119" s="13">
        <v>0</v>
      </c>
      <c r="H119" s="14"/>
    </row>
    <row r="120" spans="1:8" x14ac:dyDescent="0.2">
      <c r="A120" s="12" t="s">
        <v>0</v>
      </c>
      <c r="B120" s="12" t="str">
        <f>VLOOKUP(A120,'[1]Base de datos_2025'!$A:$E,4,FALSE)</f>
        <v>MECANISMO COPA QIJING 2.0</v>
      </c>
      <c r="C120" s="12" t="s">
        <v>5</v>
      </c>
      <c r="D120" s="12" t="s">
        <v>205</v>
      </c>
      <c r="E120" s="13">
        <v>196</v>
      </c>
      <c r="F120" s="13">
        <v>0</v>
      </c>
      <c r="G120" s="13">
        <v>0</v>
      </c>
      <c r="H120" s="14"/>
    </row>
    <row r="121" spans="1:8" x14ac:dyDescent="0.2">
      <c r="A121" s="12" t="s">
        <v>31</v>
      </c>
      <c r="B121" s="12" t="str">
        <f>VLOOKUP(A121,'[1]Base de datos_2025'!$A:$E,4,FALSE)</f>
        <v>MECANISMO COPA 1.0</v>
      </c>
      <c r="C121" s="12" t="s">
        <v>208</v>
      </c>
      <c r="D121" s="12" t="s">
        <v>210</v>
      </c>
      <c r="E121" s="13">
        <v>147</v>
      </c>
      <c r="F121" s="13">
        <v>0</v>
      </c>
      <c r="G121" s="13">
        <v>0</v>
      </c>
      <c r="H121" s="14"/>
    </row>
    <row r="122" spans="1:8" x14ac:dyDescent="0.2">
      <c r="A122" s="12" t="s">
        <v>12</v>
      </c>
      <c r="B122" s="12" t="str">
        <f>VLOOKUP(A122,'[1]Base de datos_2025'!$A:$E,4,FALSE)</f>
        <v>MECANISMO COPA QIJING 1.0</v>
      </c>
      <c r="C122" s="12" t="s">
        <v>208</v>
      </c>
      <c r="D122" s="12" t="s">
        <v>210</v>
      </c>
      <c r="E122" s="13">
        <v>196</v>
      </c>
      <c r="F122" s="13">
        <v>0</v>
      </c>
      <c r="G122" s="13">
        <v>0</v>
      </c>
      <c r="H122" s="14"/>
    </row>
    <row r="123" spans="1:8" x14ac:dyDescent="0.2">
      <c r="A123" s="12" t="s">
        <v>0</v>
      </c>
      <c r="B123" s="12" t="str">
        <f>VLOOKUP(A123,'[1]Base de datos_2025'!$A:$E,4,FALSE)</f>
        <v>MECANISMO COPA QIJING 2.0</v>
      </c>
      <c r="C123" s="12" t="s">
        <v>208</v>
      </c>
      <c r="D123" s="12" t="s">
        <v>211</v>
      </c>
      <c r="E123" s="13">
        <v>196</v>
      </c>
      <c r="F123" s="13">
        <v>196</v>
      </c>
      <c r="G123" s="13">
        <v>0</v>
      </c>
      <c r="H123" s="14"/>
    </row>
  </sheetData>
  <autoFilter ref="A1:H123" xr:uid="{9ED407AF-AA05-4825-946D-83AB7EFB77EB}"/>
  <mergeCells count="2">
    <mergeCell ref="I18:J18"/>
    <mergeCell ref="K18:N1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5C9A-0E7F-41B9-B8DB-D1BBA21501BB}">
  <sheetPr filterMode="1">
    <tabColor rgb="FFFFFF00"/>
  </sheetPr>
  <dimension ref="A1:J20"/>
  <sheetViews>
    <sheetView workbookViewId="0">
      <selection activeCell="D1" sqref="D1"/>
    </sheetView>
  </sheetViews>
  <sheetFormatPr baseColWidth="10" defaultRowHeight="12.75" x14ac:dyDescent="0.2"/>
  <cols>
    <col min="2" max="2" width="33" bestFit="1" customWidth="1"/>
    <col min="3" max="3" width="8" bestFit="1" customWidth="1"/>
    <col min="4" max="4" width="13.5703125" bestFit="1" customWidth="1"/>
    <col min="7" max="7" width="11.42578125" customWidth="1"/>
  </cols>
  <sheetData>
    <row r="1" spans="1:10" x14ac:dyDescent="0.2">
      <c r="A1" s="1" t="s">
        <v>212</v>
      </c>
      <c r="B1" s="1" t="s">
        <v>213</v>
      </c>
      <c r="C1" s="1" t="s">
        <v>215</v>
      </c>
      <c r="D1" s="1" t="s">
        <v>2227</v>
      </c>
    </row>
    <row r="2" spans="1:10" x14ac:dyDescent="0.2">
      <c r="A2" s="12" t="s">
        <v>31</v>
      </c>
      <c r="B2" s="12" t="s">
        <v>32</v>
      </c>
      <c r="C2" s="12" t="s">
        <v>2238</v>
      </c>
      <c r="D2" s="13">
        <v>354</v>
      </c>
      <c r="F2" t="s">
        <v>5794</v>
      </c>
      <c r="G2">
        <v>5000</v>
      </c>
    </row>
    <row r="3" spans="1:10" x14ac:dyDescent="0.2">
      <c r="A3" s="12" t="s">
        <v>31</v>
      </c>
      <c r="B3" s="12" t="s">
        <v>32</v>
      </c>
      <c r="C3" s="12" t="s">
        <v>2241</v>
      </c>
      <c r="D3" s="13">
        <v>7366</v>
      </c>
      <c r="F3" t="s">
        <v>5795</v>
      </c>
      <c r="G3">
        <v>2300</v>
      </c>
    </row>
    <row r="4" spans="1:10" x14ac:dyDescent="0.2">
      <c r="A4" s="12" t="s">
        <v>31</v>
      </c>
      <c r="B4" s="12" t="s">
        <v>32</v>
      </c>
      <c r="C4" s="12" t="s">
        <v>3</v>
      </c>
      <c r="D4" s="13">
        <v>1323</v>
      </c>
    </row>
    <row r="5" spans="1:10" hidden="1" x14ac:dyDescent="0.2">
      <c r="A5" s="12" t="s">
        <v>1290</v>
      </c>
      <c r="B5" s="12" t="s">
        <v>32</v>
      </c>
      <c r="C5" s="12" t="s">
        <v>2238</v>
      </c>
      <c r="D5" s="47">
        <v>1194.8</v>
      </c>
    </row>
    <row r="6" spans="1:10" hidden="1" x14ac:dyDescent="0.2">
      <c r="A6" s="12" t="s">
        <v>1290</v>
      </c>
      <c r="B6" s="12" t="s">
        <v>32</v>
      </c>
      <c r="C6" s="12" t="s">
        <v>2244</v>
      </c>
      <c r="D6" s="13">
        <v>73</v>
      </c>
    </row>
    <row r="7" spans="1:10" hidden="1" x14ac:dyDescent="0.2">
      <c r="A7" s="12" t="s">
        <v>1290</v>
      </c>
      <c r="B7" s="12" t="s">
        <v>32</v>
      </c>
      <c r="C7" s="12" t="s">
        <v>2241</v>
      </c>
      <c r="D7" s="13">
        <v>98</v>
      </c>
      <c r="F7" s="69" t="s">
        <v>5788</v>
      </c>
      <c r="G7" s="69"/>
      <c r="H7" s="69"/>
      <c r="I7" s="69"/>
      <c r="J7" s="69"/>
    </row>
    <row r="8" spans="1:10" hidden="1" x14ac:dyDescent="0.2">
      <c r="A8" s="12" t="s">
        <v>12</v>
      </c>
      <c r="B8" s="12" t="s">
        <v>13</v>
      </c>
      <c r="C8" s="12" t="s">
        <v>2238</v>
      </c>
      <c r="D8" s="13">
        <v>359</v>
      </c>
    </row>
    <row r="9" spans="1:10" hidden="1" x14ac:dyDescent="0.2">
      <c r="A9" s="12" t="s">
        <v>12</v>
      </c>
      <c r="B9" s="12" t="s">
        <v>13</v>
      </c>
      <c r="C9" s="12" t="s">
        <v>2241</v>
      </c>
      <c r="D9" s="13">
        <v>12936</v>
      </c>
    </row>
    <row r="10" spans="1:10" hidden="1" x14ac:dyDescent="0.2">
      <c r="A10" s="12" t="s">
        <v>12</v>
      </c>
      <c r="B10" s="12" t="s">
        <v>13</v>
      </c>
      <c r="C10" s="12" t="s">
        <v>3</v>
      </c>
      <c r="D10" s="13">
        <v>392</v>
      </c>
    </row>
    <row r="11" spans="1:10" hidden="1" x14ac:dyDescent="0.2">
      <c r="A11" s="12" t="s">
        <v>0</v>
      </c>
      <c r="B11" s="12" t="s">
        <v>1</v>
      </c>
      <c r="C11" s="12" t="s">
        <v>2238</v>
      </c>
      <c r="D11" s="47">
        <v>405.2</v>
      </c>
    </row>
    <row r="12" spans="1:10" hidden="1" x14ac:dyDescent="0.2">
      <c r="A12" s="12" t="s">
        <v>0</v>
      </c>
      <c r="B12" s="12" t="s">
        <v>1</v>
      </c>
      <c r="C12" s="12" t="s">
        <v>2246</v>
      </c>
      <c r="D12" s="13">
        <v>15680</v>
      </c>
    </row>
    <row r="13" spans="1:10" hidden="1" x14ac:dyDescent="0.2">
      <c r="A13" s="12" t="s">
        <v>0</v>
      </c>
      <c r="B13" s="12" t="s">
        <v>1</v>
      </c>
      <c r="C13" s="12" t="s">
        <v>2241</v>
      </c>
      <c r="D13" s="13">
        <v>4704</v>
      </c>
    </row>
    <row r="14" spans="1:10" hidden="1" x14ac:dyDescent="0.2">
      <c r="A14" s="12" t="s">
        <v>0</v>
      </c>
      <c r="B14" s="12" t="s">
        <v>1</v>
      </c>
      <c r="C14" s="12" t="s">
        <v>3</v>
      </c>
      <c r="D14" s="13">
        <v>21560</v>
      </c>
    </row>
    <row r="16" spans="1:10" x14ac:dyDescent="0.2">
      <c r="E16" t="s">
        <v>5796</v>
      </c>
      <c r="F16" s="13">
        <v>7366</v>
      </c>
    </row>
    <row r="17" spans="2:6" x14ac:dyDescent="0.2">
      <c r="E17" t="s">
        <v>5797</v>
      </c>
      <c r="F17">
        <f>SUM(G2:G4)+66</f>
        <v>7366</v>
      </c>
    </row>
    <row r="18" spans="2:6" x14ac:dyDescent="0.2">
      <c r="E18" t="s">
        <v>5798</v>
      </c>
      <c r="F18">
        <v>0</v>
      </c>
    </row>
    <row r="20" spans="2:6" x14ac:dyDescent="0.2">
      <c r="B20" t="s">
        <v>5800</v>
      </c>
      <c r="E20" t="s">
        <v>5799</v>
      </c>
      <c r="F20" s="62">
        <f>D2-66</f>
        <v>288</v>
      </c>
    </row>
  </sheetData>
  <autoFilter ref="A1:D14" xr:uid="{534B5C9A-0E7F-41B9-B8DB-D1BBA21501BB}">
    <filterColumn colId="0">
      <filters>
        <filter val="W10777493"/>
      </filters>
    </filterColumn>
  </autoFilter>
  <mergeCells count="1">
    <mergeCell ref="F7:J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DD8D-AE87-4182-8E81-8C266AEB6321}">
  <sheetPr filterMode="1">
    <tabColor rgb="FF00B0F0"/>
  </sheetPr>
  <dimension ref="A1:AB2375"/>
  <sheetViews>
    <sheetView tabSelected="1" zoomScaleNormal="100" workbookViewId="0">
      <selection activeCell="H73" sqref="H73"/>
    </sheetView>
  </sheetViews>
  <sheetFormatPr baseColWidth="10" defaultRowHeight="12.75" x14ac:dyDescent="0.2"/>
  <cols>
    <col min="4" max="4" width="19.140625" bestFit="1" customWidth="1"/>
    <col min="5" max="5" width="14.7109375" bestFit="1" customWidth="1"/>
    <col min="17" max="17" width="12.85546875" bestFit="1" customWidth="1"/>
  </cols>
  <sheetData>
    <row r="1" spans="1:28" ht="38.25" x14ac:dyDescent="0.2">
      <c r="A1" s="1" t="s">
        <v>212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0" t="s">
        <v>219</v>
      </c>
      <c r="H1" s="1" t="s">
        <v>220</v>
      </c>
      <c r="I1" s="1" t="s">
        <v>221</v>
      </c>
      <c r="J1" s="1" t="s">
        <v>222</v>
      </c>
      <c r="K1" s="10" t="s">
        <v>223</v>
      </c>
      <c r="L1" s="1" t="s">
        <v>224</v>
      </c>
      <c r="M1" s="1" t="s">
        <v>226</v>
      </c>
      <c r="N1" s="1" t="s">
        <v>227</v>
      </c>
      <c r="O1" s="1" t="s">
        <v>228</v>
      </c>
      <c r="P1" s="10" t="s">
        <v>229</v>
      </c>
      <c r="Q1" s="1" t="s">
        <v>230</v>
      </c>
      <c r="R1" s="1" t="s">
        <v>218</v>
      </c>
      <c r="S1" s="1" t="s">
        <v>231</v>
      </c>
      <c r="T1" s="1" t="s">
        <v>2248</v>
      </c>
      <c r="U1" s="10" t="s">
        <v>232</v>
      </c>
      <c r="V1" s="10" t="s">
        <v>233</v>
      </c>
      <c r="W1" s="10" t="s">
        <v>234</v>
      </c>
      <c r="X1" s="10" t="s">
        <v>2249</v>
      </c>
      <c r="Y1" s="10" t="s">
        <v>236</v>
      </c>
      <c r="Z1" s="10" t="s">
        <v>2250</v>
      </c>
      <c r="AA1" s="10" t="s">
        <v>235</v>
      </c>
      <c r="AB1" s="10" t="s">
        <v>236</v>
      </c>
    </row>
    <row r="2" spans="1:28" hidden="1" x14ac:dyDescent="0.2">
      <c r="A2" t="s">
        <v>2251</v>
      </c>
      <c r="B2" t="s">
        <v>4</v>
      </c>
      <c r="C2" t="s">
        <v>4</v>
      </c>
      <c r="D2" t="s">
        <v>4</v>
      </c>
      <c r="E2" t="s">
        <v>4</v>
      </c>
      <c r="F2" t="s">
        <v>2252</v>
      </c>
      <c r="G2" t="s">
        <v>2253</v>
      </c>
      <c r="H2" t="s">
        <v>2254</v>
      </c>
      <c r="I2" s="5">
        <v>0</v>
      </c>
      <c r="J2" s="5">
        <v>0</v>
      </c>
      <c r="K2" s="5">
        <v>0</v>
      </c>
      <c r="L2" s="3"/>
      <c r="M2" s="3"/>
      <c r="N2" s="3"/>
      <c r="O2" t="s">
        <v>4</v>
      </c>
      <c r="P2" t="s">
        <v>2255</v>
      </c>
      <c r="Q2" s="4">
        <v>0.74888888888889005</v>
      </c>
      <c r="R2" t="s">
        <v>4</v>
      </c>
      <c r="S2" t="s">
        <v>4</v>
      </c>
      <c r="T2" t="s">
        <v>2256</v>
      </c>
      <c r="U2" t="s">
        <v>4</v>
      </c>
      <c r="V2" s="5">
        <v>4</v>
      </c>
      <c r="W2" s="5">
        <v>4</v>
      </c>
      <c r="X2" s="2">
        <v>0</v>
      </c>
      <c r="Y2" t="s">
        <v>4</v>
      </c>
      <c r="Z2" t="s">
        <v>4</v>
      </c>
      <c r="AA2" t="s">
        <v>4</v>
      </c>
      <c r="AB2" t="s">
        <v>4</v>
      </c>
    </row>
    <row r="3" spans="1:28" hidden="1" x14ac:dyDescent="0.2">
      <c r="A3" t="s">
        <v>2251</v>
      </c>
      <c r="B3" t="s">
        <v>4</v>
      </c>
      <c r="C3" t="s">
        <v>4</v>
      </c>
      <c r="D3" t="s">
        <v>4</v>
      </c>
      <c r="E3" t="s">
        <v>4</v>
      </c>
      <c r="F3" t="s">
        <v>2257</v>
      </c>
      <c r="G3" t="s">
        <v>123</v>
      </c>
      <c r="H3" t="s">
        <v>2258</v>
      </c>
      <c r="I3" s="5">
        <v>0</v>
      </c>
      <c r="J3" s="5">
        <v>0</v>
      </c>
      <c r="K3" s="5">
        <v>0</v>
      </c>
      <c r="L3" s="3"/>
      <c r="M3" s="3"/>
      <c r="N3" s="3"/>
      <c r="O3" t="s">
        <v>4</v>
      </c>
      <c r="P3" t="s">
        <v>4</v>
      </c>
      <c r="Q3" s="4">
        <v>0</v>
      </c>
      <c r="R3" t="s">
        <v>4</v>
      </c>
      <c r="S3" t="s">
        <v>4</v>
      </c>
      <c r="T3" t="s">
        <v>2256</v>
      </c>
      <c r="U3" t="s">
        <v>4</v>
      </c>
      <c r="V3" s="5">
        <v>0</v>
      </c>
      <c r="W3" s="5">
        <v>0</v>
      </c>
      <c r="X3" s="2">
        <v>0</v>
      </c>
      <c r="Y3" t="s">
        <v>4</v>
      </c>
      <c r="Z3" t="s">
        <v>4</v>
      </c>
      <c r="AA3" t="s">
        <v>4</v>
      </c>
      <c r="AB3" t="s">
        <v>4</v>
      </c>
    </row>
    <row r="4" spans="1:28" hidden="1" x14ac:dyDescent="0.2">
      <c r="A4" t="s">
        <v>2251</v>
      </c>
      <c r="B4" t="s">
        <v>4</v>
      </c>
      <c r="C4" t="s">
        <v>4</v>
      </c>
      <c r="D4" t="s">
        <v>4</v>
      </c>
      <c r="E4" t="s">
        <v>4</v>
      </c>
      <c r="F4" t="s">
        <v>2257</v>
      </c>
      <c r="G4" t="s">
        <v>123</v>
      </c>
      <c r="H4" t="s">
        <v>2259</v>
      </c>
      <c r="I4" s="5">
        <v>0</v>
      </c>
      <c r="J4" s="5">
        <v>0</v>
      </c>
      <c r="K4" s="5">
        <v>0</v>
      </c>
      <c r="L4" s="3"/>
      <c r="M4" s="3"/>
      <c r="N4" s="3"/>
      <c r="O4" t="s">
        <v>4</v>
      </c>
      <c r="P4" t="s">
        <v>4</v>
      </c>
      <c r="Q4" s="4">
        <v>0</v>
      </c>
      <c r="R4" t="s">
        <v>4</v>
      </c>
      <c r="S4" t="s">
        <v>4</v>
      </c>
      <c r="T4" t="s">
        <v>2256</v>
      </c>
      <c r="U4" t="s">
        <v>4</v>
      </c>
      <c r="V4" s="5">
        <v>0</v>
      </c>
      <c r="W4" s="5">
        <v>0</v>
      </c>
      <c r="X4" s="2">
        <v>0</v>
      </c>
      <c r="Y4" t="s">
        <v>4</v>
      </c>
      <c r="Z4" t="s">
        <v>4</v>
      </c>
      <c r="AA4" t="s">
        <v>4</v>
      </c>
      <c r="AB4" t="s">
        <v>4</v>
      </c>
    </row>
    <row r="5" spans="1:28" hidden="1" x14ac:dyDescent="0.2">
      <c r="A5" t="s">
        <v>522</v>
      </c>
      <c r="B5" t="s">
        <v>2</v>
      </c>
      <c r="C5" t="s">
        <v>3</v>
      </c>
      <c r="D5" t="s">
        <v>4</v>
      </c>
      <c r="E5" t="s">
        <v>4</v>
      </c>
      <c r="F5" t="s">
        <v>122</v>
      </c>
      <c r="G5" t="s">
        <v>123</v>
      </c>
      <c r="H5" t="s">
        <v>124</v>
      </c>
      <c r="I5" s="2">
        <v>0</v>
      </c>
      <c r="J5" s="2">
        <v>0</v>
      </c>
      <c r="K5" s="2">
        <v>2000</v>
      </c>
      <c r="L5" s="3">
        <v>45860</v>
      </c>
      <c r="M5" s="3">
        <v>45860</v>
      </c>
      <c r="N5" s="3"/>
      <c r="O5" t="s">
        <v>4</v>
      </c>
      <c r="P5" t="s">
        <v>4</v>
      </c>
      <c r="Q5" s="4">
        <v>0.46918981481480998</v>
      </c>
      <c r="R5" t="s">
        <v>122</v>
      </c>
      <c r="S5" t="s">
        <v>4</v>
      </c>
      <c r="T5" t="s">
        <v>2256</v>
      </c>
      <c r="U5" t="s">
        <v>4</v>
      </c>
      <c r="V5" s="5">
        <v>0</v>
      </c>
      <c r="W5" s="5">
        <v>0</v>
      </c>
      <c r="X5" s="2">
        <v>0</v>
      </c>
      <c r="Y5" t="s">
        <v>4</v>
      </c>
      <c r="Z5" t="s">
        <v>4</v>
      </c>
      <c r="AA5" t="s">
        <v>4</v>
      </c>
      <c r="AB5" t="s">
        <v>4</v>
      </c>
    </row>
    <row r="6" spans="1:28" hidden="1" x14ac:dyDescent="0.2">
      <c r="A6" t="s">
        <v>1266</v>
      </c>
      <c r="B6" t="s">
        <v>2</v>
      </c>
      <c r="C6" t="s">
        <v>3</v>
      </c>
      <c r="D6" t="s">
        <v>4</v>
      </c>
      <c r="E6" t="s">
        <v>4</v>
      </c>
      <c r="F6" t="s">
        <v>122</v>
      </c>
      <c r="G6" t="s">
        <v>123</v>
      </c>
      <c r="H6" t="s">
        <v>124</v>
      </c>
      <c r="I6" s="2">
        <v>0</v>
      </c>
      <c r="J6" s="2">
        <v>0</v>
      </c>
      <c r="K6" s="2">
        <v>1680</v>
      </c>
      <c r="L6" s="3">
        <v>45856</v>
      </c>
      <c r="M6" s="3">
        <v>45859</v>
      </c>
      <c r="N6" s="3">
        <v>45859</v>
      </c>
      <c r="O6" t="s">
        <v>4</v>
      </c>
      <c r="P6" t="s">
        <v>4</v>
      </c>
      <c r="Q6" s="4">
        <v>0.46918981481480998</v>
      </c>
      <c r="R6" t="s">
        <v>122</v>
      </c>
      <c r="S6" t="s">
        <v>4</v>
      </c>
      <c r="T6" t="s">
        <v>2260</v>
      </c>
      <c r="U6" t="s">
        <v>4</v>
      </c>
      <c r="V6" s="5">
        <v>0</v>
      </c>
      <c r="W6" s="5">
        <v>0</v>
      </c>
      <c r="X6" s="2">
        <v>0</v>
      </c>
      <c r="Y6" t="s">
        <v>4</v>
      </c>
      <c r="Z6" t="s">
        <v>4</v>
      </c>
      <c r="AA6" t="s">
        <v>4</v>
      </c>
      <c r="AB6" t="s">
        <v>4</v>
      </c>
    </row>
    <row r="7" spans="1:28" hidden="1" x14ac:dyDescent="0.2">
      <c r="A7" t="s">
        <v>2155</v>
      </c>
      <c r="B7" t="s">
        <v>2</v>
      </c>
      <c r="C7" t="s">
        <v>3</v>
      </c>
      <c r="D7" t="s">
        <v>4</v>
      </c>
      <c r="E7" t="s">
        <v>4</v>
      </c>
      <c r="F7" t="s">
        <v>122</v>
      </c>
      <c r="G7" t="s">
        <v>123</v>
      </c>
      <c r="H7" t="s">
        <v>124</v>
      </c>
      <c r="I7" s="2">
        <v>0</v>
      </c>
      <c r="J7" s="2">
        <v>0</v>
      </c>
      <c r="K7" s="2">
        <v>2400</v>
      </c>
      <c r="L7" s="3">
        <v>45860</v>
      </c>
      <c r="M7" s="3">
        <v>45860</v>
      </c>
      <c r="N7" s="3">
        <v>45860</v>
      </c>
      <c r="O7" t="s">
        <v>4</v>
      </c>
      <c r="P7" t="s">
        <v>4</v>
      </c>
      <c r="Q7" s="4">
        <v>0.46918981481480998</v>
      </c>
      <c r="R7" t="s">
        <v>122</v>
      </c>
      <c r="S7" t="s">
        <v>4</v>
      </c>
      <c r="T7" t="s">
        <v>2256</v>
      </c>
      <c r="U7" t="s">
        <v>4</v>
      </c>
      <c r="V7" s="5">
        <v>0</v>
      </c>
      <c r="W7" s="5">
        <v>0</v>
      </c>
      <c r="X7" s="2">
        <v>0</v>
      </c>
      <c r="Y7" t="s">
        <v>4</v>
      </c>
      <c r="Z7" t="s">
        <v>4</v>
      </c>
      <c r="AA7" t="s">
        <v>4</v>
      </c>
      <c r="AB7" t="s">
        <v>4</v>
      </c>
    </row>
    <row r="8" spans="1:28" hidden="1" x14ac:dyDescent="0.2">
      <c r="A8" t="s">
        <v>1573</v>
      </c>
      <c r="B8" t="s">
        <v>2</v>
      </c>
      <c r="C8" t="s">
        <v>3</v>
      </c>
      <c r="D8" t="s">
        <v>4</v>
      </c>
      <c r="E8" t="s">
        <v>4</v>
      </c>
      <c r="F8" t="s">
        <v>122</v>
      </c>
      <c r="G8" t="s">
        <v>123</v>
      </c>
      <c r="H8" t="s">
        <v>124</v>
      </c>
      <c r="I8" s="2">
        <v>0</v>
      </c>
      <c r="J8" s="2">
        <v>0</v>
      </c>
      <c r="K8" s="2">
        <v>90</v>
      </c>
      <c r="L8" s="3">
        <v>45859</v>
      </c>
      <c r="M8" s="3">
        <v>45859</v>
      </c>
      <c r="N8" s="3">
        <v>45859</v>
      </c>
      <c r="O8" t="s">
        <v>4</v>
      </c>
      <c r="P8" t="s">
        <v>4</v>
      </c>
      <c r="Q8" s="4">
        <v>0.46918981481480998</v>
      </c>
      <c r="R8" t="s">
        <v>122</v>
      </c>
      <c r="S8" t="s">
        <v>4</v>
      </c>
      <c r="T8" t="s">
        <v>2261</v>
      </c>
      <c r="U8" t="s">
        <v>4</v>
      </c>
      <c r="V8" s="5">
        <v>0</v>
      </c>
      <c r="W8" s="5">
        <v>0</v>
      </c>
      <c r="X8" s="2">
        <v>0</v>
      </c>
      <c r="Y8" t="s">
        <v>4</v>
      </c>
      <c r="Z8" t="s">
        <v>4</v>
      </c>
      <c r="AA8" t="s">
        <v>4</v>
      </c>
      <c r="AB8" t="s">
        <v>4</v>
      </c>
    </row>
    <row r="9" spans="1:28" hidden="1" x14ac:dyDescent="0.2">
      <c r="A9" t="s">
        <v>1466</v>
      </c>
      <c r="B9" t="s">
        <v>2</v>
      </c>
      <c r="C9" t="s">
        <v>3</v>
      </c>
      <c r="D9" t="s">
        <v>4</v>
      </c>
      <c r="E9" t="s">
        <v>4</v>
      </c>
      <c r="F9" t="s">
        <v>122</v>
      </c>
      <c r="G9" t="s">
        <v>123</v>
      </c>
      <c r="H9" t="s">
        <v>124</v>
      </c>
      <c r="I9" s="2">
        <v>0</v>
      </c>
      <c r="J9" s="2">
        <v>0</v>
      </c>
      <c r="K9" s="2">
        <v>60</v>
      </c>
      <c r="L9" s="3">
        <v>45856</v>
      </c>
      <c r="M9" s="3">
        <v>45859</v>
      </c>
      <c r="N9" s="3">
        <v>45859</v>
      </c>
      <c r="O9" t="s">
        <v>4</v>
      </c>
      <c r="P9" t="s">
        <v>4</v>
      </c>
      <c r="Q9" s="4">
        <v>0.46918981481480998</v>
      </c>
      <c r="R9" t="s">
        <v>122</v>
      </c>
      <c r="S9" t="s">
        <v>4</v>
      </c>
      <c r="T9" t="s">
        <v>2260</v>
      </c>
      <c r="U9" t="s">
        <v>4</v>
      </c>
      <c r="V9" s="5">
        <v>0</v>
      </c>
      <c r="W9" s="5">
        <v>0</v>
      </c>
      <c r="X9" s="2">
        <v>0</v>
      </c>
      <c r="Y9" t="s">
        <v>4</v>
      </c>
      <c r="Z9" t="s">
        <v>4</v>
      </c>
      <c r="AA9" t="s">
        <v>4</v>
      </c>
      <c r="AB9" t="s">
        <v>4</v>
      </c>
    </row>
    <row r="10" spans="1:28" hidden="1" x14ac:dyDescent="0.2">
      <c r="A10" t="s">
        <v>686</v>
      </c>
      <c r="B10" t="s">
        <v>2</v>
      </c>
      <c r="C10" t="s">
        <v>3</v>
      </c>
      <c r="D10" t="s">
        <v>4</v>
      </c>
      <c r="E10" t="s">
        <v>4</v>
      </c>
      <c r="F10" t="s">
        <v>122</v>
      </c>
      <c r="G10" t="s">
        <v>123</v>
      </c>
      <c r="H10" t="s">
        <v>124</v>
      </c>
      <c r="I10" s="2">
        <v>0</v>
      </c>
      <c r="J10" s="2">
        <v>0</v>
      </c>
      <c r="K10" s="2">
        <v>210</v>
      </c>
      <c r="L10" s="3">
        <v>45857</v>
      </c>
      <c r="M10" s="3">
        <v>45857</v>
      </c>
      <c r="N10" s="3">
        <v>45857</v>
      </c>
      <c r="O10" t="s">
        <v>4</v>
      </c>
      <c r="P10" t="s">
        <v>4</v>
      </c>
      <c r="Q10" s="4">
        <v>0.46918981481480998</v>
      </c>
      <c r="R10" t="s">
        <v>122</v>
      </c>
      <c r="S10" t="s">
        <v>4</v>
      </c>
      <c r="T10" t="s">
        <v>2262</v>
      </c>
      <c r="U10" t="s">
        <v>4</v>
      </c>
      <c r="V10" s="5">
        <v>0</v>
      </c>
      <c r="W10" s="5">
        <v>0</v>
      </c>
      <c r="X10" s="2">
        <v>0</v>
      </c>
      <c r="Y10" t="s">
        <v>4</v>
      </c>
      <c r="Z10" t="s">
        <v>4</v>
      </c>
      <c r="AA10" t="s">
        <v>4</v>
      </c>
      <c r="AB10" t="s">
        <v>4</v>
      </c>
    </row>
    <row r="11" spans="1:28" hidden="1" x14ac:dyDescent="0.2">
      <c r="A11" t="s">
        <v>0</v>
      </c>
      <c r="B11" t="s">
        <v>2</v>
      </c>
      <c r="C11" t="s">
        <v>3</v>
      </c>
      <c r="D11" t="s">
        <v>4</v>
      </c>
      <c r="E11" t="s">
        <v>4</v>
      </c>
      <c r="F11" t="s">
        <v>122</v>
      </c>
      <c r="G11" t="s">
        <v>123</v>
      </c>
      <c r="H11" t="s">
        <v>124</v>
      </c>
      <c r="I11" s="2">
        <v>0</v>
      </c>
      <c r="J11" s="2">
        <v>0</v>
      </c>
      <c r="K11" s="2">
        <v>196</v>
      </c>
      <c r="L11" s="3">
        <v>45819</v>
      </c>
      <c r="M11" s="3">
        <v>45845</v>
      </c>
      <c r="N11" s="3">
        <v>45845</v>
      </c>
      <c r="O11" t="s">
        <v>4</v>
      </c>
      <c r="P11" t="s">
        <v>4</v>
      </c>
      <c r="Q11" s="4">
        <v>0.46918981481480998</v>
      </c>
      <c r="R11" t="s">
        <v>122</v>
      </c>
      <c r="S11" t="s">
        <v>4</v>
      </c>
      <c r="T11" t="s">
        <v>2263</v>
      </c>
      <c r="U11" t="s">
        <v>4</v>
      </c>
      <c r="V11" s="5">
        <v>0</v>
      </c>
      <c r="W11" s="5">
        <v>0</v>
      </c>
      <c r="X11" s="2">
        <v>0</v>
      </c>
      <c r="Y11" t="s">
        <v>4</v>
      </c>
      <c r="Z11" t="s">
        <v>4</v>
      </c>
      <c r="AA11" t="s">
        <v>4</v>
      </c>
      <c r="AB11" t="s">
        <v>4</v>
      </c>
    </row>
    <row r="12" spans="1:28" hidden="1" x14ac:dyDescent="0.2">
      <c r="A12" t="s">
        <v>2193</v>
      </c>
      <c r="B12" t="s">
        <v>2</v>
      </c>
      <c r="C12" t="s">
        <v>3</v>
      </c>
      <c r="D12" t="s">
        <v>4</v>
      </c>
      <c r="E12" t="s">
        <v>4</v>
      </c>
      <c r="F12" t="s">
        <v>122</v>
      </c>
      <c r="G12" t="s">
        <v>123</v>
      </c>
      <c r="H12" t="s">
        <v>124</v>
      </c>
      <c r="I12" s="2">
        <v>4800</v>
      </c>
      <c r="J12" s="2">
        <v>0</v>
      </c>
      <c r="K12" s="2">
        <v>0</v>
      </c>
      <c r="L12" s="3">
        <v>45859</v>
      </c>
      <c r="M12" s="3">
        <v>45860</v>
      </c>
      <c r="N12" s="3">
        <v>45860</v>
      </c>
      <c r="O12" t="s">
        <v>4</v>
      </c>
      <c r="P12" t="s">
        <v>4</v>
      </c>
      <c r="Q12" s="4">
        <v>0.46918981481480998</v>
      </c>
      <c r="R12" t="s">
        <v>122</v>
      </c>
      <c r="S12" t="s">
        <v>4</v>
      </c>
      <c r="T12" t="s">
        <v>2261</v>
      </c>
      <c r="U12" t="s">
        <v>4</v>
      </c>
      <c r="V12" s="5">
        <v>0</v>
      </c>
      <c r="W12" s="5">
        <v>0</v>
      </c>
      <c r="X12" s="2">
        <v>0</v>
      </c>
      <c r="Y12" t="s">
        <v>4</v>
      </c>
      <c r="Z12" t="s">
        <v>4</v>
      </c>
      <c r="AA12" t="s">
        <v>4</v>
      </c>
      <c r="AB12" t="s">
        <v>4</v>
      </c>
    </row>
    <row r="13" spans="1:28" hidden="1" x14ac:dyDescent="0.2">
      <c r="A13" t="s">
        <v>2039</v>
      </c>
      <c r="B13" t="s">
        <v>2</v>
      </c>
      <c r="C13" t="s">
        <v>3</v>
      </c>
      <c r="D13" t="s">
        <v>4</v>
      </c>
      <c r="E13" t="s">
        <v>4</v>
      </c>
      <c r="F13" t="s">
        <v>122</v>
      </c>
      <c r="G13" t="s">
        <v>123</v>
      </c>
      <c r="H13" t="s">
        <v>124</v>
      </c>
      <c r="I13" s="2">
        <v>0</v>
      </c>
      <c r="J13" s="2">
        <v>0</v>
      </c>
      <c r="K13" s="2">
        <v>432</v>
      </c>
      <c r="L13" s="3">
        <v>45860</v>
      </c>
      <c r="M13" s="3">
        <v>45860</v>
      </c>
      <c r="N13" s="3">
        <v>45860</v>
      </c>
      <c r="O13" t="s">
        <v>4</v>
      </c>
      <c r="P13" t="s">
        <v>4</v>
      </c>
      <c r="Q13" s="4">
        <v>0.46918981481480998</v>
      </c>
      <c r="R13" t="s">
        <v>122</v>
      </c>
      <c r="S13" t="s">
        <v>4</v>
      </c>
      <c r="T13" t="s">
        <v>2256</v>
      </c>
      <c r="U13" t="s">
        <v>4</v>
      </c>
      <c r="V13" s="5">
        <v>0</v>
      </c>
      <c r="W13" s="5">
        <v>0</v>
      </c>
      <c r="X13" s="2">
        <v>0</v>
      </c>
      <c r="Y13" t="s">
        <v>4</v>
      </c>
      <c r="Z13" t="s">
        <v>4</v>
      </c>
      <c r="AA13" t="s">
        <v>4</v>
      </c>
      <c r="AB13" t="s">
        <v>4</v>
      </c>
    </row>
    <row r="14" spans="1:28" hidden="1" x14ac:dyDescent="0.2">
      <c r="A14" t="s">
        <v>2251</v>
      </c>
      <c r="B14" t="s">
        <v>4</v>
      </c>
      <c r="C14" t="s">
        <v>4</v>
      </c>
      <c r="D14" t="s">
        <v>4</v>
      </c>
      <c r="E14" t="s">
        <v>4</v>
      </c>
      <c r="F14" t="s">
        <v>122</v>
      </c>
      <c r="G14" t="s">
        <v>123</v>
      </c>
      <c r="H14" t="s">
        <v>2259</v>
      </c>
      <c r="I14" s="5">
        <v>0</v>
      </c>
      <c r="J14" s="5">
        <v>0</v>
      </c>
      <c r="K14" s="5">
        <v>0</v>
      </c>
      <c r="L14" s="3"/>
      <c r="M14" s="3"/>
      <c r="N14" s="3"/>
      <c r="O14" t="s">
        <v>4</v>
      </c>
      <c r="P14" t="s">
        <v>4</v>
      </c>
      <c r="Q14" s="4">
        <v>0</v>
      </c>
      <c r="R14" t="s">
        <v>4</v>
      </c>
      <c r="S14" t="s">
        <v>4</v>
      </c>
      <c r="T14" t="s">
        <v>2256</v>
      </c>
      <c r="U14" t="s">
        <v>4</v>
      </c>
      <c r="V14" s="5">
        <v>0</v>
      </c>
      <c r="W14" s="5">
        <v>0</v>
      </c>
      <c r="X14" s="2">
        <v>0</v>
      </c>
      <c r="Y14" t="s">
        <v>4</v>
      </c>
      <c r="Z14" t="s">
        <v>4</v>
      </c>
      <c r="AA14" t="s">
        <v>4</v>
      </c>
      <c r="AB14" t="s">
        <v>4</v>
      </c>
    </row>
    <row r="15" spans="1:28" hidden="1" x14ac:dyDescent="0.2">
      <c r="A15" t="s">
        <v>2251</v>
      </c>
      <c r="B15" t="s">
        <v>4</v>
      </c>
      <c r="C15" t="s">
        <v>4</v>
      </c>
      <c r="D15" t="s">
        <v>4</v>
      </c>
      <c r="E15" t="s">
        <v>4</v>
      </c>
      <c r="F15" t="s">
        <v>2264</v>
      </c>
      <c r="G15" t="s">
        <v>123</v>
      </c>
      <c r="H15" t="s">
        <v>2265</v>
      </c>
      <c r="I15" s="5">
        <v>0</v>
      </c>
      <c r="J15" s="5">
        <v>0</v>
      </c>
      <c r="K15" s="5">
        <v>0</v>
      </c>
      <c r="L15" s="3"/>
      <c r="M15" s="3"/>
      <c r="N15" s="3"/>
      <c r="O15" t="s">
        <v>4</v>
      </c>
      <c r="P15" t="s">
        <v>4</v>
      </c>
      <c r="Q15" s="4">
        <v>0</v>
      </c>
      <c r="R15" t="s">
        <v>4</v>
      </c>
      <c r="S15" t="s">
        <v>4</v>
      </c>
      <c r="T15" t="s">
        <v>2256</v>
      </c>
      <c r="U15" t="s">
        <v>4</v>
      </c>
      <c r="V15" s="5">
        <v>0</v>
      </c>
      <c r="W15" s="5">
        <v>0</v>
      </c>
      <c r="X15" s="2">
        <v>0</v>
      </c>
      <c r="Y15" t="s">
        <v>4</v>
      </c>
      <c r="Z15" t="s">
        <v>4</v>
      </c>
      <c r="AA15" t="s">
        <v>4</v>
      </c>
      <c r="AB15" t="s">
        <v>4</v>
      </c>
    </row>
    <row r="16" spans="1:28" hidden="1" x14ac:dyDescent="0.2">
      <c r="A16" t="s">
        <v>2251</v>
      </c>
      <c r="B16" t="s">
        <v>4</v>
      </c>
      <c r="C16" t="s">
        <v>4</v>
      </c>
      <c r="D16" t="s">
        <v>4</v>
      </c>
      <c r="E16" t="s">
        <v>4</v>
      </c>
      <c r="F16" t="s">
        <v>2266</v>
      </c>
      <c r="G16" t="s">
        <v>123</v>
      </c>
      <c r="H16" t="s">
        <v>2267</v>
      </c>
      <c r="I16" s="5">
        <v>0</v>
      </c>
      <c r="J16" s="5">
        <v>0</v>
      </c>
      <c r="K16" s="5">
        <v>0</v>
      </c>
      <c r="L16" s="3"/>
      <c r="M16" s="3"/>
      <c r="N16" s="3"/>
      <c r="O16" t="s">
        <v>4</v>
      </c>
      <c r="P16" t="s">
        <v>4</v>
      </c>
      <c r="Q16" s="4">
        <v>0.97979166666666995</v>
      </c>
      <c r="R16" t="s">
        <v>4</v>
      </c>
      <c r="S16" t="s">
        <v>4</v>
      </c>
      <c r="T16" t="s">
        <v>2256</v>
      </c>
      <c r="U16" t="s">
        <v>4</v>
      </c>
      <c r="V16" s="5">
        <v>0</v>
      </c>
      <c r="W16" s="5">
        <v>0</v>
      </c>
      <c r="X16" s="2">
        <v>0</v>
      </c>
      <c r="Y16" t="s">
        <v>4</v>
      </c>
      <c r="Z16" t="s">
        <v>4</v>
      </c>
      <c r="AA16" t="s">
        <v>4</v>
      </c>
      <c r="AB16" t="s">
        <v>4</v>
      </c>
    </row>
    <row r="17" spans="1:28" hidden="1" x14ac:dyDescent="0.2">
      <c r="A17" t="s">
        <v>2251</v>
      </c>
      <c r="B17" t="s">
        <v>4</v>
      </c>
      <c r="C17" t="s">
        <v>4</v>
      </c>
      <c r="D17" t="s">
        <v>4</v>
      </c>
      <c r="E17" t="s">
        <v>4</v>
      </c>
      <c r="F17" t="s">
        <v>2268</v>
      </c>
      <c r="G17" t="s">
        <v>123</v>
      </c>
      <c r="H17" t="s">
        <v>2269</v>
      </c>
      <c r="I17" s="5">
        <v>0</v>
      </c>
      <c r="J17" s="5">
        <v>0</v>
      </c>
      <c r="K17" s="5">
        <v>0</v>
      </c>
      <c r="L17" s="3"/>
      <c r="M17" s="3"/>
      <c r="N17" s="3"/>
      <c r="O17" t="s">
        <v>4</v>
      </c>
      <c r="P17" t="s">
        <v>4</v>
      </c>
      <c r="Q17" s="4">
        <v>0</v>
      </c>
      <c r="R17" t="s">
        <v>4</v>
      </c>
      <c r="S17" t="s">
        <v>4</v>
      </c>
      <c r="T17" t="s">
        <v>2256</v>
      </c>
      <c r="U17" t="s">
        <v>4</v>
      </c>
      <c r="V17" s="5">
        <v>0</v>
      </c>
      <c r="W17" s="5">
        <v>0</v>
      </c>
      <c r="X17" s="2">
        <v>0</v>
      </c>
      <c r="Y17" t="s">
        <v>4</v>
      </c>
      <c r="Z17" t="s">
        <v>4</v>
      </c>
      <c r="AA17" t="s">
        <v>4</v>
      </c>
      <c r="AB17" t="s">
        <v>4</v>
      </c>
    </row>
    <row r="18" spans="1:28" hidden="1" x14ac:dyDescent="0.2">
      <c r="A18" t="s">
        <v>2046</v>
      </c>
      <c r="B18" t="s">
        <v>2</v>
      </c>
      <c r="C18" t="s">
        <v>3</v>
      </c>
      <c r="D18" t="s">
        <v>4</v>
      </c>
      <c r="E18" t="s">
        <v>4</v>
      </c>
      <c r="F18" t="s">
        <v>2270</v>
      </c>
      <c r="G18" t="s">
        <v>123</v>
      </c>
      <c r="H18" t="s">
        <v>2271</v>
      </c>
      <c r="I18" s="2">
        <v>0</v>
      </c>
      <c r="J18" s="2">
        <v>360</v>
      </c>
      <c r="K18" s="2">
        <v>0</v>
      </c>
      <c r="L18" s="3">
        <v>45860</v>
      </c>
      <c r="M18" s="3">
        <v>45860</v>
      </c>
      <c r="N18" s="3"/>
      <c r="O18" t="s">
        <v>4</v>
      </c>
      <c r="P18" t="s">
        <v>4</v>
      </c>
      <c r="Q18" s="4">
        <v>0.52156250000000004</v>
      </c>
      <c r="R18" t="s">
        <v>2270</v>
      </c>
      <c r="S18" t="s">
        <v>4</v>
      </c>
      <c r="T18" t="s">
        <v>2256</v>
      </c>
      <c r="U18" t="s">
        <v>10</v>
      </c>
      <c r="V18" s="5">
        <v>0</v>
      </c>
      <c r="W18" s="5">
        <v>0</v>
      </c>
      <c r="X18" s="2">
        <v>0</v>
      </c>
      <c r="Y18" t="s">
        <v>4</v>
      </c>
      <c r="Z18" t="s">
        <v>4</v>
      </c>
      <c r="AA18" t="s">
        <v>4</v>
      </c>
      <c r="AB18" t="s">
        <v>4</v>
      </c>
    </row>
    <row r="19" spans="1:28" hidden="1" x14ac:dyDescent="0.2">
      <c r="A19" t="s">
        <v>590</v>
      </c>
      <c r="B19" t="s">
        <v>2</v>
      </c>
      <c r="C19" t="s">
        <v>3</v>
      </c>
      <c r="D19" t="s">
        <v>4</v>
      </c>
      <c r="E19" t="s">
        <v>4</v>
      </c>
      <c r="F19" t="s">
        <v>2270</v>
      </c>
      <c r="G19" t="s">
        <v>123</v>
      </c>
      <c r="H19" t="s">
        <v>2271</v>
      </c>
      <c r="I19" s="2">
        <v>24000</v>
      </c>
      <c r="J19" s="2">
        <v>0</v>
      </c>
      <c r="K19" s="2">
        <v>0</v>
      </c>
      <c r="L19" s="3">
        <v>45859</v>
      </c>
      <c r="M19" s="3">
        <v>45859</v>
      </c>
      <c r="N19" s="3"/>
      <c r="O19" t="s">
        <v>4</v>
      </c>
      <c r="P19" t="s">
        <v>4</v>
      </c>
      <c r="Q19" s="4">
        <v>0.52156250000000004</v>
      </c>
      <c r="R19" t="s">
        <v>2270</v>
      </c>
      <c r="S19" t="s">
        <v>4</v>
      </c>
      <c r="T19" t="s">
        <v>2261</v>
      </c>
      <c r="U19" t="s">
        <v>10</v>
      </c>
      <c r="V19" s="5">
        <v>0</v>
      </c>
      <c r="W19" s="5">
        <v>0</v>
      </c>
      <c r="X19" s="2">
        <v>0</v>
      </c>
      <c r="Y19" t="s">
        <v>4</v>
      </c>
      <c r="Z19" t="s">
        <v>4</v>
      </c>
      <c r="AA19" t="s">
        <v>4</v>
      </c>
      <c r="AB19" t="s">
        <v>4</v>
      </c>
    </row>
    <row r="20" spans="1:28" hidden="1" x14ac:dyDescent="0.2">
      <c r="A20" t="s">
        <v>593</v>
      </c>
      <c r="B20" t="s">
        <v>2</v>
      </c>
      <c r="C20" t="s">
        <v>3</v>
      </c>
      <c r="D20" t="s">
        <v>4</v>
      </c>
      <c r="E20" t="s">
        <v>4</v>
      </c>
      <c r="F20" t="s">
        <v>2270</v>
      </c>
      <c r="G20" t="s">
        <v>123</v>
      </c>
      <c r="H20" t="s">
        <v>2271</v>
      </c>
      <c r="I20" s="2">
        <v>20000</v>
      </c>
      <c r="J20" s="2">
        <v>0</v>
      </c>
      <c r="K20" s="2">
        <v>0</v>
      </c>
      <c r="L20" s="3">
        <v>45859</v>
      </c>
      <c r="M20" s="3">
        <v>45859</v>
      </c>
      <c r="N20" s="3"/>
      <c r="O20" t="s">
        <v>4</v>
      </c>
      <c r="P20" t="s">
        <v>4</v>
      </c>
      <c r="Q20" s="4">
        <v>0.52156250000000004</v>
      </c>
      <c r="R20" t="s">
        <v>2270</v>
      </c>
      <c r="S20" t="s">
        <v>4</v>
      </c>
      <c r="T20" t="s">
        <v>2261</v>
      </c>
      <c r="U20" t="s">
        <v>10</v>
      </c>
      <c r="V20" s="5">
        <v>0</v>
      </c>
      <c r="W20" s="5">
        <v>0</v>
      </c>
      <c r="X20" s="2">
        <v>0</v>
      </c>
      <c r="Y20" t="s">
        <v>4</v>
      </c>
      <c r="Z20" t="s">
        <v>4</v>
      </c>
      <c r="AA20" t="s">
        <v>4</v>
      </c>
      <c r="AB20" t="s">
        <v>4</v>
      </c>
    </row>
    <row r="21" spans="1:28" hidden="1" x14ac:dyDescent="0.2">
      <c r="A21" t="s">
        <v>2155</v>
      </c>
      <c r="B21" t="s">
        <v>2</v>
      </c>
      <c r="C21" t="s">
        <v>3</v>
      </c>
      <c r="D21" t="s">
        <v>4</v>
      </c>
      <c r="E21" t="s">
        <v>4</v>
      </c>
      <c r="F21" t="s">
        <v>2270</v>
      </c>
      <c r="G21" t="s">
        <v>123</v>
      </c>
      <c r="H21" t="s">
        <v>2271</v>
      </c>
      <c r="I21" s="2">
        <v>0</v>
      </c>
      <c r="J21" s="2">
        <v>600</v>
      </c>
      <c r="K21" s="2">
        <v>0</v>
      </c>
      <c r="L21" s="3">
        <v>45860</v>
      </c>
      <c r="M21" s="3">
        <v>45860</v>
      </c>
      <c r="N21" s="3"/>
      <c r="O21" t="s">
        <v>4</v>
      </c>
      <c r="P21" t="s">
        <v>4</v>
      </c>
      <c r="Q21" s="4">
        <v>0.52156250000000004</v>
      </c>
      <c r="R21" t="s">
        <v>2270</v>
      </c>
      <c r="S21" t="s">
        <v>4</v>
      </c>
      <c r="T21" t="s">
        <v>2256</v>
      </c>
      <c r="U21" t="s">
        <v>10</v>
      </c>
      <c r="V21" s="5">
        <v>0</v>
      </c>
      <c r="W21" s="5">
        <v>0</v>
      </c>
      <c r="X21" s="2">
        <v>0</v>
      </c>
      <c r="Y21" t="s">
        <v>4</v>
      </c>
      <c r="Z21" t="s">
        <v>4</v>
      </c>
      <c r="AA21" t="s">
        <v>4</v>
      </c>
      <c r="AB21" t="s">
        <v>4</v>
      </c>
    </row>
    <row r="22" spans="1:28" hidden="1" x14ac:dyDescent="0.2">
      <c r="A22" t="s">
        <v>491</v>
      </c>
      <c r="B22" t="s">
        <v>2</v>
      </c>
      <c r="C22" t="s">
        <v>3</v>
      </c>
      <c r="D22" t="s">
        <v>4</v>
      </c>
      <c r="E22" t="s">
        <v>4</v>
      </c>
      <c r="F22" t="s">
        <v>2270</v>
      </c>
      <c r="G22" t="s">
        <v>123</v>
      </c>
      <c r="H22" t="s">
        <v>2271</v>
      </c>
      <c r="I22" s="2">
        <v>720</v>
      </c>
      <c r="J22" s="2">
        <v>0</v>
      </c>
      <c r="K22" s="2">
        <v>0</v>
      </c>
      <c r="L22" s="3">
        <v>45859</v>
      </c>
      <c r="M22" s="3">
        <v>45860</v>
      </c>
      <c r="N22" s="3">
        <v>45860</v>
      </c>
      <c r="O22" t="s">
        <v>4</v>
      </c>
      <c r="P22" t="s">
        <v>4</v>
      </c>
      <c r="Q22" s="4">
        <v>0.52156250000000004</v>
      </c>
      <c r="R22" t="s">
        <v>2270</v>
      </c>
      <c r="S22" t="s">
        <v>4</v>
      </c>
      <c r="T22" t="s">
        <v>2261</v>
      </c>
      <c r="U22" t="s">
        <v>4</v>
      </c>
      <c r="V22" s="5">
        <v>0</v>
      </c>
      <c r="W22" s="5">
        <v>0</v>
      </c>
      <c r="X22" s="2">
        <v>0</v>
      </c>
      <c r="Y22" t="s">
        <v>4</v>
      </c>
      <c r="Z22" t="s">
        <v>4</v>
      </c>
      <c r="AA22" t="s">
        <v>4</v>
      </c>
      <c r="AB22" t="s">
        <v>4</v>
      </c>
    </row>
    <row r="23" spans="1:28" hidden="1" x14ac:dyDescent="0.2">
      <c r="A23" t="s">
        <v>1181</v>
      </c>
      <c r="B23" t="s">
        <v>2</v>
      </c>
      <c r="C23" t="s">
        <v>3</v>
      </c>
      <c r="D23" t="s">
        <v>4</v>
      </c>
      <c r="E23" t="s">
        <v>4</v>
      </c>
      <c r="F23" t="s">
        <v>2270</v>
      </c>
      <c r="G23" t="s">
        <v>123</v>
      </c>
      <c r="H23" t="s">
        <v>2271</v>
      </c>
      <c r="I23" s="2">
        <v>0</v>
      </c>
      <c r="J23" s="2">
        <v>0</v>
      </c>
      <c r="K23" s="2">
        <v>40</v>
      </c>
      <c r="L23" s="3">
        <v>45853</v>
      </c>
      <c r="M23" s="3">
        <v>45853</v>
      </c>
      <c r="N23" s="3"/>
      <c r="O23" t="s">
        <v>4</v>
      </c>
      <c r="P23" t="s">
        <v>4</v>
      </c>
      <c r="Q23" s="4">
        <v>0.52156250000000004</v>
      </c>
      <c r="R23" t="s">
        <v>2270</v>
      </c>
      <c r="S23" t="s">
        <v>4</v>
      </c>
      <c r="T23" t="s">
        <v>2272</v>
      </c>
      <c r="U23" t="s">
        <v>4</v>
      </c>
      <c r="V23" s="5">
        <v>0</v>
      </c>
      <c r="W23" s="5">
        <v>0</v>
      </c>
      <c r="X23" s="2">
        <v>0</v>
      </c>
      <c r="Y23" t="s">
        <v>4</v>
      </c>
      <c r="Z23" t="s">
        <v>4</v>
      </c>
      <c r="AA23" t="s">
        <v>4</v>
      </c>
      <c r="AB23" t="s">
        <v>4</v>
      </c>
    </row>
    <row r="24" spans="1:28" hidden="1" x14ac:dyDescent="0.2">
      <c r="A24" t="s">
        <v>1054</v>
      </c>
      <c r="B24" t="s">
        <v>2</v>
      </c>
      <c r="C24" t="s">
        <v>3</v>
      </c>
      <c r="D24" t="s">
        <v>4</v>
      </c>
      <c r="E24" t="s">
        <v>4</v>
      </c>
      <c r="F24" t="s">
        <v>2270</v>
      </c>
      <c r="G24" t="s">
        <v>123</v>
      </c>
      <c r="H24" t="s">
        <v>2271</v>
      </c>
      <c r="I24" s="2">
        <v>0</v>
      </c>
      <c r="J24" s="2">
        <v>352</v>
      </c>
      <c r="K24" s="2">
        <v>0</v>
      </c>
      <c r="L24" s="3">
        <v>45860</v>
      </c>
      <c r="M24" s="3">
        <v>45860</v>
      </c>
      <c r="N24" s="3"/>
      <c r="O24" t="s">
        <v>4</v>
      </c>
      <c r="P24" t="s">
        <v>4</v>
      </c>
      <c r="Q24" s="4">
        <v>0.52156250000000004</v>
      </c>
      <c r="R24" t="s">
        <v>2270</v>
      </c>
      <c r="S24" t="s">
        <v>4</v>
      </c>
      <c r="T24" t="s">
        <v>2256</v>
      </c>
      <c r="U24" t="s">
        <v>10</v>
      </c>
      <c r="V24" s="5">
        <v>0</v>
      </c>
      <c r="W24" s="5">
        <v>0</v>
      </c>
      <c r="X24" s="2">
        <v>0</v>
      </c>
      <c r="Y24" t="s">
        <v>4</v>
      </c>
      <c r="Z24" t="s">
        <v>4</v>
      </c>
      <c r="AA24" t="s">
        <v>4</v>
      </c>
      <c r="AB24" t="s">
        <v>4</v>
      </c>
    </row>
    <row r="25" spans="1:28" hidden="1" x14ac:dyDescent="0.2">
      <c r="A25" t="s">
        <v>2193</v>
      </c>
      <c r="B25" t="s">
        <v>2</v>
      </c>
      <c r="C25" t="s">
        <v>3</v>
      </c>
      <c r="D25" t="s">
        <v>4</v>
      </c>
      <c r="E25" t="s">
        <v>4</v>
      </c>
      <c r="F25" t="s">
        <v>2270</v>
      </c>
      <c r="G25" t="s">
        <v>123</v>
      </c>
      <c r="H25" t="s">
        <v>2271</v>
      </c>
      <c r="I25" s="2">
        <v>0</v>
      </c>
      <c r="J25" s="2">
        <v>400</v>
      </c>
      <c r="K25" s="2">
        <v>400</v>
      </c>
      <c r="L25" s="3">
        <v>45860</v>
      </c>
      <c r="M25" s="3">
        <v>45860</v>
      </c>
      <c r="N25" s="3"/>
      <c r="O25" t="s">
        <v>4</v>
      </c>
      <c r="P25" t="s">
        <v>4</v>
      </c>
      <c r="Q25" s="4">
        <v>0.52156250000000004</v>
      </c>
      <c r="R25" t="s">
        <v>2270</v>
      </c>
      <c r="S25" t="s">
        <v>4</v>
      </c>
      <c r="T25" t="s">
        <v>2256</v>
      </c>
      <c r="U25" t="s">
        <v>10</v>
      </c>
      <c r="V25" s="5">
        <v>0</v>
      </c>
      <c r="W25" s="5">
        <v>0</v>
      </c>
      <c r="X25" s="2">
        <v>0</v>
      </c>
      <c r="Y25" t="s">
        <v>4</v>
      </c>
      <c r="Z25" t="s">
        <v>4</v>
      </c>
      <c r="AA25" t="s">
        <v>4</v>
      </c>
      <c r="AB25" t="s">
        <v>4</v>
      </c>
    </row>
    <row r="26" spans="1:28" x14ac:dyDescent="0.2">
      <c r="A26" t="s">
        <v>2251</v>
      </c>
      <c r="B26" t="s">
        <v>4</v>
      </c>
      <c r="C26" t="s">
        <v>4</v>
      </c>
      <c r="D26" t="s">
        <v>4</v>
      </c>
      <c r="E26" t="s">
        <v>4</v>
      </c>
      <c r="F26" t="s">
        <v>2273</v>
      </c>
      <c r="G26" t="s">
        <v>123</v>
      </c>
      <c r="H26" t="s">
        <v>2274</v>
      </c>
      <c r="I26" s="5">
        <v>0</v>
      </c>
      <c r="J26" s="5">
        <v>0</v>
      </c>
      <c r="K26" s="5">
        <v>0</v>
      </c>
      <c r="L26" s="3"/>
      <c r="M26" s="3"/>
      <c r="N26" s="3"/>
      <c r="O26" t="s">
        <v>4</v>
      </c>
      <c r="P26" t="s">
        <v>4</v>
      </c>
      <c r="Q26" s="4">
        <v>0.91666666666666996</v>
      </c>
      <c r="R26" t="s">
        <v>4</v>
      </c>
      <c r="S26" t="s">
        <v>4</v>
      </c>
      <c r="T26" t="s">
        <v>2256</v>
      </c>
      <c r="U26" t="s">
        <v>4</v>
      </c>
      <c r="V26" s="5">
        <v>0</v>
      </c>
      <c r="W26" s="5">
        <v>0</v>
      </c>
      <c r="X26" s="2">
        <v>0</v>
      </c>
      <c r="Y26" t="s">
        <v>4</v>
      </c>
      <c r="Z26" t="s">
        <v>4</v>
      </c>
      <c r="AA26" t="s">
        <v>4</v>
      </c>
      <c r="AB26" t="s">
        <v>4</v>
      </c>
    </row>
    <row r="27" spans="1:28" hidden="1" x14ac:dyDescent="0.2">
      <c r="A27" t="s">
        <v>2251</v>
      </c>
      <c r="B27" t="s">
        <v>4</v>
      </c>
      <c r="C27" t="s">
        <v>4</v>
      </c>
      <c r="D27" t="s">
        <v>4</v>
      </c>
      <c r="E27" t="s">
        <v>4</v>
      </c>
      <c r="F27" t="s">
        <v>2275</v>
      </c>
      <c r="G27" t="s">
        <v>123</v>
      </c>
      <c r="H27" t="s">
        <v>2276</v>
      </c>
      <c r="I27" s="5">
        <v>0</v>
      </c>
      <c r="J27" s="5">
        <v>0</v>
      </c>
      <c r="K27" s="5">
        <v>0</v>
      </c>
      <c r="L27" s="3"/>
      <c r="M27" s="3"/>
      <c r="N27" s="3"/>
      <c r="O27" t="s">
        <v>4</v>
      </c>
      <c r="P27" t="s">
        <v>4</v>
      </c>
      <c r="Q27" s="4">
        <v>0</v>
      </c>
      <c r="R27" t="s">
        <v>4</v>
      </c>
      <c r="S27" t="s">
        <v>4</v>
      </c>
      <c r="T27" t="s">
        <v>2256</v>
      </c>
      <c r="U27" t="s">
        <v>4</v>
      </c>
      <c r="V27" s="5">
        <v>0</v>
      </c>
      <c r="W27" s="5">
        <v>0</v>
      </c>
      <c r="X27" s="2">
        <v>0</v>
      </c>
      <c r="Y27" t="s">
        <v>4</v>
      </c>
      <c r="Z27" t="s">
        <v>4</v>
      </c>
      <c r="AA27" t="s">
        <v>4</v>
      </c>
      <c r="AB27" t="s">
        <v>4</v>
      </c>
    </row>
    <row r="28" spans="1:28" hidden="1" x14ac:dyDescent="0.2">
      <c r="A28" t="s">
        <v>2251</v>
      </c>
      <c r="B28" t="s">
        <v>4</v>
      </c>
      <c r="C28" t="s">
        <v>4</v>
      </c>
      <c r="D28" t="s">
        <v>4</v>
      </c>
      <c r="E28" t="s">
        <v>4</v>
      </c>
      <c r="F28" t="s">
        <v>2277</v>
      </c>
      <c r="G28" t="s">
        <v>123</v>
      </c>
      <c r="H28" t="s">
        <v>2278</v>
      </c>
      <c r="I28" s="5">
        <v>0</v>
      </c>
      <c r="J28" s="5">
        <v>0</v>
      </c>
      <c r="K28" s="5">
        <v>0</v>
      </c>
      <c r="L28" s="3"/>
      <c r="M28" s="3"/>
      <c r="N28" s="3"/>
      <c r="O28" t="s">
        <v>4</v>
      </c>
      <c r="P28" t="s">
        <v>4</v>
      </c>
      <c r="Q28" s="4">
        <v>0.4584375</v>
      </c>
      <c r="R28" t="s">
        <v>4</v>
      </c>
      <c r="S28" t="s">
        <v>4</v>
      </c>
      <c r="T28" t="s">
        <v>2256</v>
      </c>
      <c r="U28" t="s">
        <v>4</v>
      </c>
      <c r="V28" s="5">
        <v>0</v>
      </c>
      <c r="W28" s="5">
        <v>0</v>
      </c>
      <c r="X28" s="2">
        <v>0</v>
      </c>
      <c r="Y28" t="s">
        <v>4</v>
      </c>
      <c r="Z28" t="s">
        <v>4</v>
      </c>
      <c r="AA28" t="s">
        <v>4</v>
      </c>
      <c r="AB28" t="s">
        <v>4</v>
      </c>
    </row>
    <row r="29" spans="1:28" hidden="1" x14ac:dyDescent="0.2">
      <c r="A29" t="s">
        <v>2251</v>
      </c>
      <c r="B29" t="s">
        <v>4</v>
      </c>
      <c r="C29" t="s">
        <v>4</v>
      </c>
      <c r="D29" t="s">
        <v>4</v>
      </c>
      <c r="E29" t="s">
        <v>4</v>
      </c>
      <c r="F29" t="s">
        <v>2277</v>
      </c>
      <c r="G29" t="s">
        <v>123</v>
      </c>
      <c r="H29" t="s">
        <v>2279</v>
      </c>
      <c r="I29" s="5">
        <v>0</v>
      </c>
      <c r="J29" s="5">
        <v>0</v>
      </c>
      <c r="K29" s="5">
        <v>0</v>
      </c>
      <c r="L29" s="3"/>
      <c r="M29" s="3"/>
      <c r="N29" s="3"/>
      <c r="O29" t="s">
        <v>4</v>
      </c>
      <c r="P29" t="s">
        <v>4</v>
      </c>
      <c r="Q29" s="4">
        <v>0</v>
      </c>
      <c r="R29" t="s">
        <v>4</v>
      </c>
      <c r="S29" t="s">
        <v>4</v>
      </c>
      <c r="T29" t="s">
        <v>2256</v>
      </c>
      <c r="U29" t="s">
        <v>4</v>
      </c>
      <c r="V29" s="5">
        <v>0</v>
      </c>
      <c r="W29" s="5">
        <v>0</v>
      </c>
      <c r="X29" s="2">
        <v>0</v>
      </c>
      <c r="Y29" t="s">
        <v>4</v>
      </c>
      <c r="Z29" t="s">
        <v>4</v>
      </c>
      <c r="AA29" t="s">
        <v>4</v>
      </c>
      <c r="AB29" t="s">
        <v>4</v>
      </c>
    </row>
    <row r="30" spans="1:28" hidden="1" x14ac:dyDescent="0.2">
      <c r="A30" t="s">
        <v>2251</v>
      </c>
      <c r="B30" t="s">
        <v>4</v>
      </c>
      <c r="C30" t="s">
        <v>4</v>
      </c>
      <c r="D30" t="s">
        <v>4</v>
      </c>
      <c r="E30" t="s">
        <v>4</v>
      </c>
      <c r="F30" t="s">
        <v>2277</v>
      </c>
      <c r="G30" t="s">
        <v>123</v>
      </c>
      <c r="H30" t="s">
        <v>2280</v>
      </c>
      <c r="I30" s="5">
        <v>0</v>
      </c>
      <c r="J30" s="5">
        <v>0</v>
      </c>
      <c r="K30" s="5">
        <v>0</v>
      </c>
      <c r="L30" s="3"/>
      <c r="M30" s="3"/>
      <c r="N30" s="3"/>
      <c r="O30" t="s">
        <v>4</v>
      </c>
      <c r="P30" t="s">
        <v>4</v>
      </c>
      <c r="Q30" s="4">
        <v>0</v>
      </c>
      <c r="R30" t="s">
        <v>4</v>
      </c>
      <c r="S30" t="s">
        <v>4</v>
      </c>
      <c r="T30" t="s">
        <v>2256</v>
      </c>
      <c r="U30" t="s">
        <v>4</v>
      </c>
      <c r="V30" s="5">
        <v>0</v>
      </c>
      <c r="W30" s="5">
        <v>0</v>
      </c>
      <c r="X30" s="2">
        <v>0</v>
      </c>
      <c r="Y30" t="s">
        <v>4</v>
      </c>
      <c r="Z30" t="s">
        <v>4</v>
      </c>
      <c r="AA30" t="s">
        <v>4</v>
      </c>
      <c r="AB30" t="s">
        <v>4</v>
      </c>
    </row>
    <row r="31" spans="1:28" hidden="1" x14ac:dyDescent="0.2">
      <c r="A31" t="s">
        <v>2251</v>
      </c>
      <c r="B31" t="s">
        <v>4</v>
      </c>
      <c r="C31" t="s">
        <v>4</v>
      </c>
      <c r="D31" t="s">
        <v>4</v>
      </c>
      <c r="E31" t="s">
        <v>4</v>
      </c>
      <c r="F31" t="s">
        <v>2252</v>
      </c>
      <c r="G31" t="s">
        <v>2281</v>
      </c>
      <c r="H31" t="s">
        <v>2282</v>
      </c>
      <c r="I31" s="5">
        <v>0</v>
      </c>
      <c r="J31" s="5">
        <v>0</v>
      </c>
      <c r="K31" s="5">
        <v>0</v>
      </c>
      <c r="L31" s="3"/>
      <c r="M31" s="3"/>
      <c r="N31" s="3"/>
      <c r="O31" t="s">
        <v>4</v>
      </c>
      <c r="P31" t="s">
        <v>2283</v>
      </c>
      <c r="Q31" s="4">
        <v>0</v>
      </c>
      <c r="R31" t="s">
        <v>4</v>
      </c>
      <c r="S31" t="s">
        <v>4</v>
      </c>
      <c r="T31" t="s">
        <v>2256</v>
      </c>
      <c r="U31" t="s">
        <v>4</v>
      </c>
      <c r="V31" s="5">
        <v>0</v>
      </c>
      <c r="W31" s="5">
        <v>0</v>
      </c>
      <c r="X31" s="2">
        <v>0</v>
      </c>
      <c r="Y31" t="s">
        <v>4</v>
      </c>
      <c r="Z31" t="s">
        <v>4</v>
      </c>
      <c r="AA31" t="s">
        <v>4</v>
      </c>
      <c r="AB31" t="s">
        <v>4</v>
      </c>
    </row>
    <row r="32" spans="1:28" hidden="1" x14ac:dyDescent="0.2">
      <c r="A32" t="s">
        <v>2251</v>
      </c>
      <c r="B32" t="s">
        <v>4</v>
      </c>
      <c r="C32" t="s">
        <v>4</v>
      </c>
      <c r="D32" t="s">
        <v>4</v>
      </c>
      <c r="E32" t="s">
        <v>4</v>
      </c>
      <c r="F32" t="s">
        <v>2252</v>
      </c>
      <c r="G32" t="s">
        <v>2281</v>
      </c>
      <c r="H32" t="s">
        <v>2284</v>
      </c>
      <c r="I32" s="5">
        <v>0</v>
      </c>
      <c r="J32" s="5">
        <v>0</v>
      </c>
      <c r="K32" s="5">
        <v>0</v>
      </c>
      <c r="L32" s="3"/>
      <c r="M32" s="3"/>
      <c r="N32" s="3"/>
      <c r="O32" t="s">
        <v>4</v>
      </c>
      <c r="P32" t="s">
        <v>2283</v>
      </c>
      <c r="Q32" s="4">
        <v>0</v>
      </c>
      <c r="R32" t="s">
        <v>4</v>
      </c>
      <c r="S32" t="s">
        <v>4</v>
      </c>
      <c r="T32" t="s">
        <v>2256</v>
      </c>
      <c r="U32" t="s">
        <v>4</v>
      </c>
      <c r="V32" s="5">
        <v>0</v>
      </c>
      <c r="W32" s="5">
        <v>0</v>
      </c>
      <c r="X32" s="2">
        <v>0</v>
      </c>
      <c r="Y32" t="s">
        <v>4</v>
      </c>
      <c r="Z32" t="s">
        <v>4</v>
      </c>
      <c r="AA32" t="s">
        <v>4</v>
      </c>
      <c r="AB32" t="s">
        <v>4</v>
      </c>
    </row>
    <row r="33" spans="1:28" hidden="1" x14ac:dyDescent="0.2">
      <c r="A33" t="s">
        <v>454</v>
      </c>
      <c r="B33" t="s">
        <v>2</v>
      </c>
      <c r="C33" t="s">
        <v>3</v>
      </c>
      <c r="D33" t="s">
        <v>4</v>
      </c>
      <c r="E33" t="s">
        <v>4</v>
      </c>
      <c r="F33" t="s">
        <v>2252</v>
      </c>
      <c r="G33" t="s">
        <v>2253</v>
      </c>
      <c r="H33" t="s">
        <v>2285</v>
      </c>
      <c r="I33" s="2">
        <v>300</v>
      </c>
      <c r="J33" s="2">
        <v>0</v>
      </c>
      <c r="K33" s="2">
        <v>0</v>
      </c>
      <c r="L33" s="3">
        <v>45856</v>
      </c>
      <c r="M33" s="3">
        <v>45856</v>
      </c>
      <c r="N33" s="3"/>
      <c r="O33" t="s">
        <v>2286</v>
      </c>
      <c r="P33" t="s">
        <v>2255</v>
      </c>
      <c r="Q33" s="4">
        <v>0.39001157407407</v>
      </c>
      <c r="R33" t="s">
        <v>2252</v>
      </c>
      <c r="S33" t="s">
        <v>4</v>
      </c>
      <c r="T33" t="s">
        <v>2260</v>
      </c>
      <c r="U33" t="s">
        <v>2287</v>
      </c>
      <c r="V33" s="5">
        <v>0</v>
      </c>
      <c r="W33" s="5">
        <v>0</v>
      </c>
      <c r="X33" s="2">
        <v>0</v>
      </c>
      <c r="Y33" t="s">
        <v>4</v>
      </c>
      <c r="Z33" t="s">
        <v>4</v>
      </c>
      <c r="AA33" t="s">
        <v>4</v>
      </c>
      <c r="AB33" t="s">
        <v>4</v>
      </c>
    </row>
    <row r="34" spans="1:28" hidden="1" x14ac:dyDescent="0.2">
      <c r="A34" t="s">
        <v>454</v>
      </c>
      <c r="B34" t="s">
        <v>2</v>
      </c>
      <c r="C34" t="s">
        <v>3</v>
      </c>
      <c r="D34" t="s">
        <v>4</v>
      </c>
      <c r="E34" t="s">
        <v>4</v>
      </c>
      <c r="F34" t="s">
        <v>2252</v>
      </c>
      <c r="G34" t="s">
        <v>2253</v>
      </c>
      <c r="H34" t="s">
        <v>2285</v>
      </c>
      <c r="I34" s="2">
        <v>300</v>
      </c>
      <c r="J34" s="2">
        <v>0</v>
      </c>
      <c r="K34" s="2">
        <v>0</v>
      </c>
      <c r="L34" s="3">
        <v>45856</v>
      </c>
      <c r="M34" s="3">
        <v>45856</v>
      </c>
      <c r="N34" s="3"/>
      <c r="O34" t="s">
        <v>2288</v>
      </c>
      <c r="P34" t="s">
        <v>2255</v>
      </c>
      <c r="Q34" s="4">
        <v>0.39001157407407</v>
      </c>
      <c r="R34" t="s">
        <v>2252</v>
      </c>
      <c r="S34" t="s">
        <v>4</v>
      </c>
      <c r="T34" t="s">
        <v>2260</v>
      </c>
      <c r="U34" t="s">
        <v>2287</v>
      </c>
      <c r="V34" s="5">
        <v>0</v>
      </c>
      <c r="W34" s="5">
        <v>0</v>
      </c>
      <c r="X34" s="2">
        <v>0</v>
      </c>
      <c r="Y34" t="s">
        <v>4</v>
      </c>
      <c r="Z34" t="s">
        <v>4</v>
      </c>
      <c r="AA34" t="s">
        <v>4</v>
      </c>
      <c r="AB34" t="s">
        <v>4</v>
      </c>
    </row>
    <row r="35" spans="1:28" hidden="1" x14ac:dyDescent="0.2">
      <c r="A35" t="s">
        <v>454</v>
      </c>
      <c r="B35" t="s">
        <v>2</v>
      </c>
      <c r="C35" t="s">
        <v>3</v>
      </c>
      <c r="D35" t="s">
        <v>4</v>
      </c>
      <c r="E35" t="s">
        <v>4</v>
      </c>
      <c r="F35" t="s">
        <v>2252</v>
      </c>
      <c r="G35" t="s">
        <v>2253</v>
      </c>
      <c r="H35" t="s">
        <v>2285</v>
      </c>
      <c r="I35" s="2">
        <v>300</v>
      </c>
      <c r="J35" s="2">
        <v>0</v>
      </c>
      <c r="K35" s="2">
        <v>0</v>
      </c>
      <c r="L35" s="3">
        <v>45818</v>
      </c>
      <c r="M35" s="3">
        <v>45818</v>
      </c>
      <c r="N35" s="3"/>
      <c r="O35" t="s">
        <v>2289</v>
      </c>
      <c r="P35" t="s">
        <v>2255</v>
      </c>
      <c r="Q35" s="4">
        <v>0.39001157407407</v>
      </c>
      <c r="R35" t="s">
        <v>2252</v>
      </c>
      <c r="S35" t="s">
        <v>4</v>
      </c>
      <c r="T35" t="s">
        <v>2290</v>
      </c>
      <c r="U35" t="s">
        <v>2287</v>
      </c>
      <c r="V35" s="5">
        <v>0</v>
      </c>
      <c r="W35" s="5">
        <v>0</v>
      </c>
      <c r="X35" s="2">
        <v>0</v>
      </c>
      <c r="Y35" t="s">
        <v>4</v>
      </c>
      <c r="Z35" t="s">
        <v>4</v>
      </c>
      <c r="AA35" t="s">
        <v>4</v>
      </c>
      <c r="AB35" t="s">
        <v>4</v>
      </c>
    </row>
    <row r="36" spans="1:28" hidden="1" x14ac:dyDescent="0.2">
      <c r="A36" t="s">
        <v>460</v>
      </c>
      <c r="B36" t="s">
        <v>2</v>
      </c>
      <c r="C36" t="s">
        <v>3</v>
      </c>
      <c r="D36" t="s">
        <v>4</v>
      </c>
      <c r="E36" t="s">
        <v>4</v>
      </c>
      <c r="F36" t="s">
        <v>2252</v>
      </c>
      <c r="G36" t="s">
        <v>2253</v>
      </c>
      <c r="H36" t="s">
        <v>2291</v>
      </c>
      <c r="I36" s="2">
        <v>300</v>
      </c>
      <c r="J36" s="2">
        <v>0</v>
      </c>
      <c r="K36" s="2">
        <v>0</v>
      </c>
      <c r="L36" s="3">
        <v>45819</v>
      </c>
      <c r="M36" s="3">
        <v>45819</v>
      </c>
      <c r="N36" s="3"/>
      <c r="O36" t="s">
        <v>2292</v>
      </c>
      <c r="P36" t="s">
        <v>2255</v>
      </c>
      <c r="Q36" s="4">
        <v>0.94100694444444</v>
      </c>
      <c r="R36" t="s">
        <v>2252</v>
      </c>
      <c r="S36" t="s">
        <v>4</v>
      </c>
      <c r="T36" t="s">
        <v>2263</v>
      </c>
      <c r="U36" t="s">
        <v>2287</v>
      </c>
      <c r="V36" s="5">
        <v>0</v>
      </c>
      <c r="W36" s="5">
        <v>0</v>
      </c>
      <c r="X36" s="2">
        <v>0</v>
      </c>
      <c r="Y36" t="s">
        <v>4</v>
      </c>
      <c r="Z36" t="s">
        <v>4</v>
      </c>
      <c r="AA36" t="s">
        <v>4</v>
      </c>
      <c r="AB36" t="s">
        <v>4</v>
      </c>
    </row>
    <row r="37" spans="1:28" hidden="1" x14ac:dyDescent="0.2">
      <c r="A37" t="s">
        <v>460</v>
      </c>
      <c r="B37" t="s">
        <v>2</v>
      </c>
      <c r="C37" t="s">
        <v>3</v>
      </c>
      <c r="D37" t="s">
        <v>4</v>
      </c>
      <c r="E37" t="s">
        <v>4</v>
      </c>
      <c r="F37" t="s">
        <v>2252</v>
      </c>
      <c r="G37" t="s">
        <v>2253</v>
      </c>
      <c r="H37" t="s">
        <v>2291</v>
      </c>
      <c r="I37" s="2">
        <v>300</v>
      </c>
      <c r="J37" s="2">
        <v>0</v>
      </c>
      <c r="K37" s="2">
        <v>0</v>
      </c>
      <c r="L37" s="3">
        <v>45819</v>
      </c>
      <c r="M37" s="3">
        <v>45819</v>
      </c>
      <c r="N37" s="3"/>
      <c r="O37" t="s">
        <v>2293</v>
      </c>
      <c r="P37" t="s">
        <v>2255</v>
      </c>
      <c r="Q37" s="4">
        <v>0.94100694444444</v>
      </c>
      <c r="R37" t="s">
        <v>2252</v>
      </c>
      <c r="S37" t="s">
        <v>4</v>
      </c>
      <c r="T37" t="s">
        <v>2263</v>
      </c>
      <c r="U37" t="s">
        <v>2287</v>
      </c>
      <c r="V37" s="5">
        <v>0</v>
      </c>
      <c r="W37" s="5">
        <v>0</v>
      </c>
      <c r="X37" s="2">
        <v>0</v>
      </c>
      <c r="Y37" t="s">
        <v>4</v>
      </c>
      <c r="Z37" t="s">
        <v>4</v>
      </c>
      <c r="AA37" t="s">
        <v>4</v>
      </c>
      <c r="AB37" t="s">
        <v>4</v>
      </c>
    </row>
    <row r="38" spans="1:28" hidden="1" x14ac:dyDescent="0.2">
      <c r="A38" t="s">
        <v>451</v>
      </c>
      <c r="B38" t="s">
        <v>2</v>
      </c>
      <c r="C38" t="s">
        <v>3</v>
      </c>
      <c r="D38" t="s">
        <v>4</v>
      </c>
      <c r="E38" t="s">
        <v>4</v>
      </c>
      <c r="F38" t="s">
        <v>2252</v>
      </c>
      <c r="G38" t="s">
        <v>2253</v>
      </c>
      <c r="H38" t="s">
        <v>2294</v>
      </c>
      <c r="I38" s="2">
        <v>300</v>
      </c>
      <c r="J38" s="2">
        <v>0</v>
      </c>
      <c r="K38" s="2">
        <v>0</v>
      </c>
      <c r="L38" s="3">
        <v>45856</v>
      </c>
      <c r="M38" s="3">
        <v>45856</v>
      </c>
      <c r="N38" s="3"/>
      <c r="O38" t="s">
        <v>2295</v>
      </c>
      <c r="P38" t="s">
        <v>2255</v>
      </c>
      <c r="Q38" s="4">
        <v>0.39581018518519001</v>
      </c>
      <c r="R38" t="s">
        <v>2252</v>
      </c>
      <c r="S38" t="s">
        <v>4</v>
      </c>
      <c r="T38" t="s">
        <v>2260</v>
      </c>
      <c r="U38" t="s">
        <v>2287</v>
      </c>
      <c r="V38" s="5">
        <v>0</v>
      </c>
      <c r="W38" s="5">
        <v>0</v>
      </c>
      <c r="X38" s="2">
        <v>0</v>
      </c>
      <c r="Y38" t="s">
        <v>4</v>
      </c>
      <c r="Z38" t="s">
        <v>4</v>
      </c>
      <c r="AA38" t="s">
        <v>4</v>
      </c>
      <c r="AB38" t="s">
        <v>4</v>
      </c>
    </row>
    <row r="39" spans="1:28" hidden="1" x14ac:dyDescent="0.2">
      <c r="A39" t="s">
        <v>451</v>
      </c>
      <c r="B39" t="s">
        <v>2</v>
      </c>
      <c r="C39" t="s">
        <v>3</v>
      </c>
      <c r="D39" t="s">
        <v>4</v>
      </c>
      <c r="E39" t="s">
        <v>4</v>
      </c>
      <c r="F39" t="s">
        <v>2252</v>
      </c>
      <c r="G39" t="s">
        <v>2253</v>
      </c>
      <c r="H39" t="s">
        <v>2294</v>
      </c>
      <c r="I39" s="2">
        <v>300</v>
      </c>
      <c r="J39" s="2">
        <v>0</v>
      </c>
      <c r="K39" s="2">
        <v>0</v>
      </c>
      <c r="L39" s="3">
        <v>45856</v>
      </c>
      <c r="M39" s="3">
        <v>45856</v>
      </c>
      <c r="N39" s="3"/>
      <c r="O39" t="s">
        <v>2296</v>
      </c>
      <c r="P39" t="s">
        <v>2255</v>
      </c>
      <c r="Q39" s="4">
        <v>0.39581018518519001</v>
      </c>
      <c r="R39" t="s">
        <v>2252</v>
      </c>
      <c r="S39" t="s">
        <v>4</v>
      </c>
      <c r="T39" t="s">
        <v>2260</v>
      </c>
      <c r="U39" t="s">
        <v>2287</v>
      </c>
      <c r="V39" s="5">
        <v>0</v>
      </c>
      <c r="W39" s="5">
        <v>0</v>
      </c>
      <c r="X39" s="2">
        <v>0</v>
      </c>
      <c r="Y39" t="s">
        <v>4</v>
      </c>
      <c r="Z39" t="s">
        <v>4</v>
      </c>
      <c r="AA39" t="s">
        <v>4</v>
      </c>
      <c r="AB39" t="s">
        <v>4</v>
      </c>
    </row>
    <row r="40" spans="1:28" hidden="1" x14ac:dyDescent="0.2">
      <c r="A40" t="s">
        <v>448</v>
      </c>
      <c r="B40" t="s">
        <v>2</v>
      </c>
      <c r="C40" t="s">
        <v>3</v>
      </c>
      <c r="D40" t="s">
        <v>4</v>
      </c>
      <c r="E40" t="s">
        <v>4</v>
      </c>
      <c r="F40" t="s">
        <v>2252</v>
      </c>
      <c r="G40" t="s">
        <v>2253</v>
      </c>
      <c r="H40" t="s">
        <v>2297</v>
      </c>
      <c r="I40" s="2">
        <v>300</v>
      </c>
      <c r="J40" s="2">
        <v>0</v>
      </c>
      <c r="K40" s="2">
        <v>0</v>
      </c>
      <c r="L40" s="3">
        <v>45854</v>
      </c>
      <c r="M40" s="3">
        <v>45854</v>
      </c>
      <c r="N40" s="3"/>
      <c r="O40" t="s">
        <v>2298</v>
      </c>
      <c r="P40" t="s">
        <v>2255</v>
      </c>
      <c r="Q40" s="4">
        <v>0.95724537037037005</v>
      </c>
      <c r="R40" t="s">
        <v>2252</v>
      </c>
      <c r="S40" t="s">
        <v>4</v>
      </c>
      <c r="T40" t="s">
        <v>2299</v>
      </c>
      <c r="U40" t="s">
        <v>2287</v>
      </c>
      <c r="V40" s="5">
        <v>0</v>
      </c>
      <c r="W40" s="5">
        <v>0</v>
      </c>
      <c r="X40" s="2">
        <v>0</v>
      </c>
      <c r="Y40" t="s">
        <v>4</v>
      </c>
      <c r="Z40" t="s">
        <v>4</v>
      </c>
      <c r="AA40" t="s">
        <v>4</v>
      </c>
      <c r="AB40" t="s">
        <v>4</v>
      </c>
    </row>
    <row r="41" spans="1:28" hidden="1" x14ac:dyDescent="0.2">
      <c r="A41" t="s">
        <v>448</v>
      </c>
      <c r="B41" t="s">
        <v>2</v>
      </c>
      <c r="C41" t="s">
        <v>3</v>
      </c>
      <c r="D41" t="s">
        <v>4</v>
      </c>
      <c r="E41" t="s">
        <v>4</v>
      </c>
      <c r="F41" t="s">
        <v>2252</v>
      </c>
      <c r="G41" t="s">
        <v>2253</v>
      </c>
      <c r="H41" t="s">
        <v>2297</v>
      </c>
      <c r="I41" s="2">
        <v>300</v>
      </c>
      <c r="J41" s="2">
        <v>0</v>
      </c>
      <c r="K41" s="2">
        <v>0</v>
      </c>
      <c r="L41" s="3">
        <v>45854</v>
      </c>
      <c r="M41" s="3">
        <v>45854</v>
      </c>
      <c r="N41" s="3"/>
      <c r="O41" t="s">
        <v>2300</v>
      </c>
      <c r="P41" t="s">
        <v>2255</v>
      </c>
      <c r="Q41" s="4">
        <v>0.95724537037037005</v>
      </c>
      <c r="R41" t="s">
        <v>2252</v>
      </c>
      <c r="S41" t="s">
        <v>4</v>
      </c>
      <c r="T41" t="s">
        <v>2299</v>
      </c>
      <c r="U41" t="s">
        <v>2287</v>
      </c>
      <c r="V41" s="5">
        <v>0</v>
      </c>
      <c r="W41" s="5">
        <v>0</v>
      </c>
      <c r="X41" s="2">
        <v>0</v>
      </c>
      <c r="Y41" t="s">
        <v>4</v>
      </c>
      <c r="Z41" t="s">
        <v>4</v>
      </c>
      <c r="AA41" t="s">
        <v>4</v>
      </c>
      <c r="AB41" t="s">
        <v>4</v>
      </c>
    </row>
    <row r="42" spans="1:28" hidden="1" x14ac:dyDescent="0.2">
      <c r="A42" t="s">
        <v>448</v>
      </c>
      <c r="B42" t="s">
        <v>2</v>
      </c>
      <c r="C42" t="s">
        <v>3</v>
      </c>
      <c r="D42" t="s">
        <v>4</v>
      </c>
      <c r="E42" t="s">
        <v>4</v>
      </c>
      <c r="F42" t="s">
        <v>2252</v>
      </c>
      <c r="G42" t="s">
        <v>2253</v>
      </c>
      <c r="H42" t="s">
        <v>2297</v>
      </c>
      <c r="I42" s="2">
        <v>300</v>
      </c>
      <c r="J42" s="2">
        <v>0</v>
      </c>
      <c r="K42" s="2">
        <v>0</v>
      </c>
      <c r="L42" s="3">
        <v>45854</v>
      </c>
      <c r="M42" s="3">
        <v>45854</v>
      </c>
      <c r="N42" s="3"/>
      <c r="O42" t="s">
        <v>2301</v>
      </c>
      <c r="P42" t="s">
        <v>2255</v>
      </c>
      <c r="Q42" s="4">
        <v>0.95724537037037005</v>
      </c>
      <c r="R42" t="s">
        <v>2252</v>
      </c>
      <c r="S42" t="s">
        <v>4</v>
      </c>
      <c r="T42" t="s">
        <v>2299</v>
      </c>
      <c r="U42" t="s">
        <v>2287</v>
      </c>
      <c r="V42" s="5">
        <v>0</v>
      </c>
      <c r="W42" s="5">
        <v>0</v>
      </c>
      <c r="X42" s="2">
        <v>0</v>
      </c>
      <c r="Y42" t="s">
        <v>4</v>
      </c>
      <c r="Z42" t="s">
        <v>4</v>
      </c>
      <c r="AA42" t="s">
        <v>4</v>
      </c>
      <c r="AB42" t="s">
        <v>4</v>
      </c>
    </row>
    <row r="43" spans="1:28" hidden="1" x14ac:dyDescent="0.2">
      <c r="A43" t="s">
        <v>448</v>
      </c>
      <c r="B43" t="s">
        <v>2</v>
      </c>
      <c r="C43" t="s">
        <v>3</v>
      </c>
      <c r="D43" t="s">
        <v>4</v>
      </c>
      <c r="E43" t="s">
        <v>4</v>
      </c>
      <c r="F43" t="s">
        <v>2252</v>
      </c>
      <c r="G43" t="s">
        <v>2253</v>
      </c>
      <c r="H43" t="s">
        <v>2297</v>
      </c>
      <c r="I43" s="2">
        <v>300</v>
      </c>
      <c r="J43" s="2">
        <v>0</v>
      </c>
      <c r="K43" s="2">
        <v>0</v>
      </c>
      <c r="L43" s="3">
        <v>45854</v>
      </c>
      <c r="M43" s="3">
        <v>45854</v>
      </c>
      <c r="N43" s="3"/>
      <c r="O43" t="s">
        <v>2302</v>
      </c>
      <c r="P43" t="s">
        <v>2255</v>
      </c>
      <c r="Q43" s="4">
        <v>0.95724537037037005</v>
      </c>
      <c r="R43" t="s">
        <v>2252</v>
      </c>
      <c r="S43" t="s">
        <v>4</v>
      </c>
      <c r="T43" t="s">
        <v>2299</v>
      </c>
      <c r="U43" t="s">
        <v>2287</v>
      </c>
      <c r="V43" s="5">
        <v>0</v>
      </c>
      <c r="W43" s="5">
        <v>0</v>
      </c>
      <c r="X43" s="2">
        <v>0</v>
      </c>
      <c r="Y43" t="s">
        <v>4</v>
      </c>
      <c r="Z43" t="s">
        <v>4</v>
      </c>
      <c r="AA43" t="s">
        <v>4</v>
      </c>
      <c r="AB43" t="s">
        <v>4</v>
      </c>
    </row>
    <row r="44" spans="1:28" hidden="1" x14ac:dyDescent="0.2">
      <c r="A44" t="s">
        <v>438</v>
      </c>
      <c r="B44" t="s">
        <v>2</v>
      </c>
      <c r="C44" t="s">
        <v>3</v>
      </c>
      <c r="D44" t="s">
        <v>4</v>
      </c>
      <c r="E44" t="s">
        <v>4</v>
      </c>
      <c r="F44" t="s">
        <v>2252</v>
      </c>
      <c r="G44" t="s">
        <v>2253</v>
      </c>
      <c r="H44" t="s">
        <v>2303</v>
      </c>
      <c r="I44" s="2">
        <v>300</v>
      </c>
      <c r="J44" s="2">
        <v>0</v>
      </c>
      <c r="K44" s="2">
        <v>0</v>
      </c>
      <c r="L44" s="3">
        <v>45859</v>
      </c>
      <c r="M44" s="3">
        <v>45859</v>
      </c>
      <c r="N44" s="3"/>
      <c r="O44" t="s">
        <v>2304</v>
      </c>
      <c r="P44" t="s">
        <v>2255</v>
      </c>
      <c r="Q44" s="4">
        <v>0.94782407407406999</v>
      </c>
      <c r="R44" t="s">
        <v>2252</v>
      </c>
      <c r="S44" t="s">
        <v>4</v>
      </c>
      <c r="T44" t="s">
        <v>2261</v>
      </c>
      <c r="U44" t="s">
        <v>2287</v>
      </c>
      <c r="V44" s="5">
        <v>0</v>
      </c>
      <c r="W44" s="5">
        <v>0</v>
      </c>
      <c r="X44" s="2">
        <v>0</v>
      </c>
      <c r="Y44" t="s">
        <v>4</v>
      </c>
      <c r="Z44" t="s">
        <v>4</v>
      </c>
      <c r="AA44" t="s">
        <v>4</v>
      </c>
      <c r="AB44" t="s">
        <v>4</v>
      </c>
    </row>
    <row r="45" spans="1:28" hidden="1" x14ac:dyDescent="0.2">
      <c r="A45" t="s">
        <v>442</v>
      </c>
      <c r="B45" t="s">
        <v>2</v>
      </c>
      <c r="C45" t="s">
        <v>3</v>
      </c>
      <c r="D45" t="s">
        <v>4</v>
      </c>
      <c r="E45" t="s">
        <v>4</v>
      </c>
      <c r="F45" t="s">
        <v>2252</v>
      </c>
      <c r="G45" t="s">
        <v>2253</v>
      </c>
      <c r="H45" t="s">
        <v>2305</v>
      </c>
      <c r="I45" s="2">
        <v>300</v>
      </c>
      <c r="J45" s="2">
        <v>0</v>
      </c>
      <c r="K45" s="2">
        <v>0</v>
      </c>
      <c r="L45" s="3">
        <v>45859</v>
      </c>
      <c r="M45" s="3">
        <v>45859</v>
      </c>
      <c r="N45" s="3"/>
      <c r="O45" t="s">
        <v>2306</v>
      </c>
      <c r="P45" t="s">
        <v>2255</v>
      </c>
      <c r="Q45" s="4">
        <v>0.42736111111111003</v>
      </c>
      <c r="R45" t="s">
        <v>2252</v>
      </c>
      <c r="S45" t="s">
        <v>4</v>
      </c>
      <c r="T45" t="s">
        <v>2261</v>
      </c>
      <c r="U45" t="s">
        <v>2287</v>
      </c>
      <c r="V45" s="5">
        <v>0</v>
      </c>
      <c r="W45" s="5">
        <v>0</v>
      </c>
      <c r="X45" s="2">
        <v>0</v>
      </c>
      <c r="Y45" t="s">
        <v>4</v>
      </c>
      <c r="Z45" t="s">
        <v>4</v>
      </c>
      <c r="AA45" t="s">
        <v>4</v>
      </c>
      <c r="AB45" t="s">
        <v>4</v>
      </c>
    </row>
    <row r="46" spans="1:28" hidden="1" x14ac:dyDescent="0.2">
      <c r="A46" t="s">
        <v>442</v>
      </c>
      <c r="B46" t="s">
        <v>2</v>
      </c>
      <c r="C46" t="s">
        <v>3</v>
      </c>
      <c r="D46" t="s">
        <v>4</v>
      </c>
      <c r="E46" t="s">
        <v>4</v>
      </c>
      <c r="F46" t="s">
        <v>2252</v>
      </c>
      <c r="G46" t="s">
        <v>2253</v>
      </c>
      <c r="H46" t="s">
        <v>2305</v>
      </c>
      <c r="I46" s="2">
        <v>300</v>
      </c>
      <c r="J46" s="2">
        <v>0</v>
      </c>
      <c r="K46" s="2">
        <v>0</v>
      </c>
      <c r="L46" s="3">
        <v>45859</v>
      </c>
      <c r="M46" s="3">
        <v>45859</v>
      </c>
      <c r="N46" s="3"/>
      <c r="O46" t="s">
        <v>2307</v>
      </c>
      <c r="P46" t="s">
        <v>2255</v>
      </c>
      <c r="Q46" s="4">
        <v>0.42736111111111003</v>
      </c>
      <c r="R46" t="s">
        <v>2252</v>
      </c>
      <c r="S46" t="s">
        <v>4</v>
      </c>
      <c r="T46" t="s">
        <v>2261</v>
      </c>
      <c r="U46" t="s">
        <v>2287</v>
      </c>
      <c r="V46" s="5">
        <v>0</v>
      </c>
      <c r="W46" s="5">
        <v>0</v>
      </c>
      <c r="X46" s="2">
        <v>0</v>
      </c>
      <c r="Y46" t="s">
        <v>4</v>
      </c>
      <c r="Z46" t="s">
        <v>4</v>
      </c>
      <c r="AA46" t="s">
        <v>4</v>
      </c>
      <c r="AB46" t="s">
        <v>4</v>
      </c>
    </row>
    <row r="47" spans="1:28" hidden="1" x14ac:dyDescent="0.2">
      <c r="A47" t="s">
        <v>442</v>
      </c>
      <c r="B47" t="s">
        <v>2</v>
      </c>
      <c r="C47" t="s">
        <v>3</v>
      </c>
      <c r="D47" t="s">
        <v>4</v>
      </c>
      <c r="E47" t="s">
        <v>4</v>
      </c>
      <c r="F47" t="s">
        <v>2252</v>
      </c>
      <c r="G47" t="s">
        <v>2253</v>
      </c>
      <c r="H47" t="s">
        <v>2308</v>
      </c>
      <c r="I47" s="2">
        <v>300</v>
      </c>
      <c r="J47" s="2">
        <v>0</v>
      </c>
      <c r="K47" s="2">
        <v>0</v>
      </c>
      <c r="L47" s="3">
        <v>45854</v>
      </c>
      <c r="M47" s="3">
        <v>45854</v>
      </c>
      <c r="N47" s="3"/>
      <c r="O47" t="s">
        <v>2309</v>
      </c>
      <c r="P47" t="s">
        <v>2255</v>
      </c>
      <c r="Q47" s="4">
        <v>0.94582175925926004</v>
      </c>
      <c r="R47" t="s">
        <v>2252</v>
      </c>
      <c r="S47" t="s">
        <v>4</v>
      </c>
      <c r="T47" t="s">
        <v>2299</v>
      </c>
      <c r="U47" t="s">
        <v>2287</v>
      </c>
      <c r="V47" s="5">
        <v>0</v>
      </c>
      <c r="W47" s="5">
        <v>0</v>
      </c>
      <c r="X47" s="2">
        <v>0</v>
      </c>
      <c r="Y47" t="s">
        <v>4</v>
      </c>
      <c r="Z47" t="s">
        <v>4</v>
      </c>
      <c r="AA47" t="s">
        <v>4</v>
      </c>
      <c r="AB47" t="s">
        <v>4</v>
      </c>
    </row>
    <row r="48" spans="1:28" hidden="1" x14ac:dyDescent="0.2">
      <c r="A48" t="s">
        <v>442</v>
      </c>
      <c r="B48" t="s">
        <v>2</v>
      </c>
      <c r="C48" t="s">
        <v>3</v>
      </c>
      <c r="D48" t="s">
        <v>4</v>
      </c>
      <c r="E48" t="s">
        <v>4</v>
      </c>
      <c r="F48" t="s">
        <v>2252</v>
      </c>
      <c r="G48" t="s">
        <v>2253</v>
      </c>
      <c r="H48" t="s">
        <v>2308</v>
      </c>
      <c r="I48" s="2">
        <v>300</v>
      </c>
      <c r="J48" s="2">
        <v>0</v>
      </c>
      <c r="K48" s="2">
        <v>0</v>
      </c>
      <c r="L48" s="3">
        <v>45859</v>
      </c>
      <c r="M48" s="3">
        <v>45859</v>
      </c>
      <c r="N48" s="3"/>
      <c r="O48" t="s">
        <v>2310</v>
      </c>
      <c r="P48" t="s">
        <v>2255</v>
      </c>
      <c r="Q48" s="4">
        <v>0.94582175925926004</v>
      </c>
      <c r="R48" t="s">
        <v>2252</v>
      </c>
      <c r="S48" t="s">
        <v>4</v>
      </c>
      <c r="T48" t="s">
        <v>2261</v>
      </c>
      <c r="U48" t="s">
        <v>2287</v>
      </c>
      <c r="V48" s="5">
        <v>0</v>
      </c>
      <c r="W48" s="5">
        <v>0</v>
      </c>
      <c r="X48" s="2">
        <v>0</v>
      </c>
      <c r="Y48" t="s">
        <v>4</v>
      </c>
      <c r="Z48" t="s">
        <v>4</v>
      </c>
      <c r="AA48" t="s">
        <v>4</v>
      </c>
      <c r="AB48" t="s">
        <v>4</v>
      </c>
    </row>
    <row r="49" spans="1:28" hidden="1" x14ac:dyDescent="0.2">
      <c r="A49" t="s">
        <v>442</v>
      </c>
      <c r="B49" t="s">
        <v>2</v>
      </c>
      <c r="C49" t="s">
        <v>3</v>
      </c>
      <c r="D49" t="s">
        <v>4</v>
      </c>
      <c r="E49" t="s">
        <v>4</v>
      </c>
      <c r="F49" t="s">
        <v>2252</v>
      </c>
      <c r="G49" t="s">
        <v>2253</v>
      </c>
      <c r="H49" t="s">
        <v>2308</v>
      </c>
      <c r="I49" s="2">
        <v>300</v>
      </c>
      <c r="J49" s="2">
        <v>0</v>
      </c>
      <c r="K49" s="2">
        <v>0</v>
      </c>
      <c r="L49" s="3">
        <v>45839</v>
      </c>
      <c r="M49" s="3">
        <v>45839</v>
      </c>
      <c r="N49" s="3"/>
      <c r="O49" t="s">
        <v>2311</v>
      </c>
      <c r="P49" t="s">
        <v>2255</v>
      </c>
      <c r="Q49" s="4">
        <v>0.94582175925926004</v>
      </c>
      <c r="R49" t="s">
        <v>2252</v>
      </c>
      <c r="S49" t="s">
        <v>4</v>
      </c>
      <c r="T49" t="s">
        <v>2312</v>
      </c>
      <c r="U49" t="s">
        <v>2287</v>
      </c>
      <c r="V49" s="5">
        <v>0</v>
      </c>
      <c r="W49" s="5">
        <v>0</v>
      </c>
      <c r="X49" s="2">
        <v>0</v>
      </c>
      <c r="Y49" t="s">
        <v>4</v>
      </c>
      <c r="Z49" t="s">
        <v>4</v>
      </c>
      <c r="AA49" t="s">
        <v>4</v>
      </c>
      <c r="AB49" t="s">
        <v>4</v>
      </c>
    </row>
    <row r="50" spans="1:28" hidden="1" x14ac:dyDescent="0.2">
      <c r="A50" t="s">
        <v>442</v>
      </c>
      <c r="B50" t="s">
        <v>2</v>
      </c>
      <c r="C50" t="s">
        <v>3</v>
      </c>
      <c r="D50" t="s">
        <v>4</v>
      </c>
      <c r="E50" t="s">
        <v>4</v>
      </c>
      <c r="F50" t="s">
        <v>2252</v>
      </c>
      <c r="G50" t="s">
        <v>2253</v>
      </c>
      <c r="H50" t="s">
        <v>2308</v>
      </c>
      <c r="I50" s="2">
        <v>300</v>
      </c>
      <c r="J50" s="2">
        <v>0</v>
      </c>
      <c r="K50" s="2">
        <v>0</v>
      </c>
      <c r="L50" s="3">
        <v>45839</v>
      </c>
      <c r="M50" s="3">
        <v>45839</v>
      </c>
      <c r="N50" s="3"/>
      <c r="O50" t="s">
        <v>2313</v>
      </c>
      <c r="P50" t="s">
        <v>2255</v>
      </c>
      <c r="Q50" s="4">
        <v>0.94582175925926004</v>
      </c>
      <c r="R50" t="s">
        <v>2252</v>
      </c>
      <c r="S50" t="s">
        <v>4</v>
      </c>
      <c r="T50" t="s">
        <v>2312</v>
      </c>
      <c r="U50" t="s">
        <v>2287</v>
      </c>
      <c r="V50" s="5">
        <v>0</v>
      </c>
      <c r="W50" s="5">
        <v>0</v>
      </c>
      <c r="X50" s="2">
        <v>0</v>
      </c>
      <c r="Y50" t="s">
        <v>4</v>
      </c>
      <c r="Z50" t="s">
        <v>4</v>
      </c>
      <c r="AA50" t="s">
        <v>4</v>
      </c>
      <c r="AB50" t="s">
        <v>4</v>
      </c>
    </row>
    <row r="51" spans="1:28" hidden="1" x14ac:dyDescent="0.2">
      <c r="A51" t="s">
        <v>445</v>
      </c>
      <c r="B51" t="s">
        <v>2</v>
      </c>
      <c r="C51" t="s">
        <v>3</v>
      </c>
      <c r="D51" t="s">
        <v>4</v>
      </c>
      <c r="E51" t="s">
        <v>4</v>
      </c>
      <c r="F51" t="s">
        <v>2252</v>
      </c>
      <c r="G51" t="s">
        <v>2253</v>
      </c>
      <c r="H51" t="s">
        <v>2314</v>
      </c>
      <c r="I51" s="2">
        <v>300</v>
      </c>
      <c r="J51" s="2">
        <v>0</v>
      </c>
      <c r="K51" s="2">
        <v>0</v>
      </c>
      <c r="L51" s="3">
        <v>45836</v>
      </c>
      <c r="M51" s="3">
        <v>45836</v>
      </c>
      <c r="N51" s="3"/>
      <c r="O51" t="s">
        <v>2315</v>
      </c>
      <c r="P51" t="s">
        <v>2255</v>
      </c>
      <c r="Q51" s="4">
        <v>0.43109953703704001</v>
      </c>
      <c r="R51" t="s">
        <v>2252</v>
      </c>
      <c r="S51" t="s">
        <v>4</v>
      </c>
      <c r="T51" t="s">
        <v>2316</v>
      </c>
      <c r="U51" t="s">
        <v>2287</v>
      </c>
      <c r="V51" s="5">
        <v>0</v>
      </c>
      <c r="W51" s="5">
        <v>0</v>
      </c>
      <c r="X51" s="2">
        <v>0</v>
      </c>
      <c r="Y51" t="s">
        <v>4</v>
      </c>
      <c r="Z51" t="s">
        <v>4</v>
      </c>
      <c r="AA51" t="s">
        <v>4</v>
      </c>
      <c r="AB51" t="s">
        <v>4</v>
      </c>
    </row>
    <row r="52" spans="1:28" hidden="1" x14ac:dyDescent="0.2">
      <c r="A52" t="s">
        <v>445</v>
      </c>
      <c r="B52" t="s">
        <v>2</v>
      </c>
      <c r="C52" t="s">
        <v>3</v>
      </c>
      <c r="D52" t="s">
        <v>4</v>
      </c>
      <c r="E52" t="s">
        <v>4</v>
      </c>
      <c r="F52" t="s">
        <v>2252</v>
      </c>
      <c r="G52" t="s">
        <v>2253</v>
      </c>
      <c r="H52" t="s">
        <v>2314</v>
      </c>
      <c r="I52" s="2">
        <v>300</v>
      </c>
      <c r="J52" s="2">
        <v>0</v>
      </c>
      <c r="K52" s="2">
        <v>0</v>
      </c>
      <c r="L52" s="3">
        <v>45846</v>
      </c>
      <c r="M52" s="3">
        <v>45846</v>
      </c>
      <c r="N52" s="3"/>
      <c r="O52" t="s">
        <v>2317</v>
      </c>
      <c r="P52" t="s">
        <v>2255</v>
      </c>
      <c r="Q52" s="4">
        <v>0.43109953703704001</v>
      </c>
      <c r="R52" t="s">
        <v>2252</v>
      </c>
      <c r="S52" t="s">
        <v>4</v>
      </c>
      <c r="T52" t="s">
        <v>2318</v>
      </c>
      <c r="U52" t="s">
        <v>2287</v>
      </c>
      <c r="V52" s="5">
        <v>0</v>
      </c>
      <c r="W52" s="5">
        <v>0</v>
      </c>
      <c r="X52" s="2">
        <v>0</v>
      </c>
      <c r="Y52" t="s">
        <v>4</v>
      </c>
      <c r="Z52" t="s">
        <v>4</v>
      </c>
      <c r="AA52" t="s">
        <v>4</v>
      </c>
      <c r="AB52" t="s">
        <v>4</v>
      </c>
    </row>
    <row r="53" spans="1:28" hidden="1" x14ac:dyDescent="0.2">
      <c r="A53" t="s">
        <v>445</v>
      </c>
      <c r="B53" t="s">
        <v>2</v>
      </c>
      <c r="C53" t="s">
        <v>3</v>
      </c>
      <c r="D53" t="s">
        <v>4</v>
      </c>
      <c r="E53" t="s">
        <v>4</v>
      </c>
      <c r="F53" t="s">
        <v>2252</v>
      </c>
      <c r="G53" t="s">
        <v>2253</v>
      </c>
      <c r="H53" t="s">
        <v>2314</v>
      </c>
      <c r="I53" s="2">
        <v>300</v>
      </c>
      <c r="J53" s="2">
        <v>0</v>
      </c>
      <c r="K53" s="2">
        <v>0</v>
      </c>
      <c r="L53" s="3">
        <v>45846</v>
      </c>
      <c r="M53" s="3">
        <v>45846</v>
      </c>
      <c r="N53" s="3"/>
      <c r="O53" t="s">
        <v>2319</v>
      </c>
      <c r="P53" t="s">
        <v>2255</v>
      </c>
      <c r="Q53" s="4">
        <v>0.43109953703704001</v>
      </c>
      <c r="R53" t="s">
        <v>2252</v>
      </c>
      <c r="S53" t="s">
        <v>4</v>
      </c>
      <c r="T53" t="s">
        <v>2318</v>
      </c>
      <c r="U53" t="s">
        <v>2287</v>
      </c>
      <c r="V53" s="5">
        <v>0</v>
      </c>
      <c r="W53" s="5">
        <v>0</v>
      </c>
      <c r="X53" s="2">
        <v>0</v>
      </c>
      <c r="Y53" t="s">
        <v>4</v>
      </c>
      <c r="Z53" t="s">
        <v>4</v>
      </c>
      <c r="AA53" t="s">
        <v>4</v>
      </c>
      <c r="AB53" t="s">
        <v>4</v>
      </c>
    </row>
    <row r="54" spans="1:28" hidden="1" x14ac:dyDescent="0.2">
      <c r="A54" t="s">
        <v>445</v>
      </c>
      <c r="B54" t="s">
        <v>2</v>
      </c>
      <c r="C54" t="s">
        <v>3</v>
      </c>
      <c r="D54" t="s">
        <v>4</v>
      </c>
      <c r="E54" t="s">
        <v>4</v>
      </c>
      <c r="F54" t="s">
        <v>2252</v>
      </c>
      <c r="G54" t="s">
        <v>2253</v>
      </c>
      <c r="H54" t="s">
        <v>2314</v>
      </c>
      <c r="I54" s="2">
        <v>300</v>
      </c>
      <c r="J54" s="2">
        <v>0</v>
      </c>
      <c r="K54" s="2">
        <v>0</v>
      </c>
      <c r="L54" s="3">
        <v>45849</v>
      </c>
      <c r="M54" s="3">
        <v>45849</v>
      </c>
      <c r="N54" s="3"/>
      <c r="O54" t="s">
        <v>2320</v>
      </c>
      <c r="P54" t="s">
        <v>2255</v>
      </c>
      <c r="Q54" s="4">
        <v>0.43109953703704001</v>
      </c>
      <c r="R54" t="s">
        <v>2252</v>
      </c>
      <c r="S54" t="s">
        <v>4</v>
      </c>
      <c r="T54" t="s">
        <v>2321</v>
      </c>
      <c r="U54" t="s">
        <v>2287</v>
      </c>
      <c r="V54" s="5">
        <v>0</v>
      </c>
      <c r="W54" s="5">
        <v>0</v>
      </c>
      <c r="X54" s="2">
        <v>0</v>
      </c>
      <c r="Y54" t="s">
        <v>4</v>
      </c>
      <c r="Z54" t="s">
        <v>4</v>
      </c>
      <c r="AA54" t="s">
        <v>4</v>
      </c>
      <c r="AB54" t="s">
        <v>4</v>
      </c>
    </row>
    <row r="55" spans="1:28" hidden="1" x14ac:dyDescent="0.2">
      <c r="A55" t="s">
        <v>445</v>
      </c>
      <c r="B55" t="s">
        <v>2</v>
      </c>
      <c r="C55" t="s">
        <v>3</v>
      </c>
      <c r="D55" t="s">
        <v>4</v>
      </c>
      <c r="E55" t="s">
        <v>4</v>
      </c>
      <c r="F55" t="s">
        <v>2252</v>
      </c>
      <c r="G55" t="s">
        <v>2253</v>
      </c>
      <c r="H55" t="s">
        <v>2314</v>
      </c>
      <c r="I55" s="2">
        <v>300</v>
      </c>
      <c r="J55" s="2">
        <v>0</v>
      </c>
      <c r="K55" s="2">
        <v>0</v>
      </c>
      <c r="L55" s="3">
        <v>45849</v>
      </c>
      <c r="M55" s="3">
        <v>45849</v>
      </c>
      <c r="N55" s="3"/>
      <c r="O55" t="s">
        <v>2322</v>
      </c>
      <c r="P55" t="s">
        <v>2255</v>
      </c>
      <c r="Q55" s="4">
        <v>0.43109953703704001</v>
      </c>
      <c r="R55" t="s">
        <v>2252</v>
      </c>
      <c r="S55" t="s">
        <v>4</v>
      </c>
      <c r="T55" t="s">
        <v>2321</v>
      </c>
      <c r="U55" t="s">
        <v>2287</v>
      </c>
      <c r="V55" s="5">
        <v>0</v>
      </c>
      <c r="W55" s="5">
        <v>0</v>
      </c>
      <c r="X55" s="2">
        <v>0</v>
      </c>
      <c r="Y55" t="s">
        <v>4</v>
      </c>
      <c r="Z55" t="s">
        <v>4</v>
      </c>
      <c r="AA55" t="s">
        <v>4</v>
      </c>
      <c r="AB55" t="s">
        <v>4</v>
      </c>
    </row>
    <row r="56" spans="1:28" hidden="1" x14ac:dyDescent="0.2">
      <c r="A56" t="s">
        <v>445</v>
      </c>
      <c r="B56" t="s">
        <v>2</v>
      </c>
      <c r="C56" t="s">
        <v>3</v>
      </c>
      <c r="D56" t="s">
        <v>4</v>
      </c>
      <c r="E56" t="s">
        <v>4</v>
      </c>
      <c r="F56" t="s">
        <v>2252</v>
      </c>
      <c r="G56" t="s">
        <v>2253</v>
      </c>
      <c r="H56" t="s">
        <v>2314</v>
      </c>
      <c r="I56" s="2">
        <v>300</v>
      </c>
      <c r="J56" s="2">
        <v>0</v>
      </c>
      <c r="K56" s="2">
        <v>0</v>
      </c>
      <c r="L56" s="3">
        <v>45849</v>
      </c>
      <c r="M56" s="3">
        <v>45849</v>
      </c>
      <c r="N56" s="3"/>
      <c r="O56" t="s">
        <v>2323</v>
      </c>
      <c r="P56" t="s">
        <v>2255</v>
      </c>
      <c r="Q56" s="4">
        <v>0.43109953703704001</v>
      </c>
      <c r="R56" t="s">
        <v>2252</v>
      </c>
      <c r="S56" t="s">
        <v>4</v>
      </c>
      <c r="T56" t="s">
        <v>2321</v>
      </c>
      <c r="U56" t="s">
        <v>2287</v>
      </c>
      <c r="V56" s="5">
        <v>0</v>
      </c>
      <c r="W56" s="5">
        <v>0</v>
      </c>
      <c r="X56" s="2">
        <v>0</v>
      </c>
      <c r="Y56" t="s">
        <v>4</v>
      </c>
      <c r="Z56" t="s">
        <v>4</v>
      </c>
      <c r="AA56" t="s">
        <v>4</v>
      </c>
      <c r="AB56" t="s">
        <v>4</v>
      </c>
    </row>
    <row r="57" spans="1:28" hidden="1" x14ac:dyDescent="0.2">
      <c r="A57" t="s">
        <v>445</v>
      </c>
      <c r="B57" t="s">
        <v>2</v>
      </c>
      <c r="C57" t="s">
        <v>3</v>
      </c>
      <c r="D57" t="s">
        <v>4</v>
      </c>
      <c r="E57" t="s">
        <v>4</v>
      </c>
      <c r="F57" t="s">
        <v>2252</v>
      </c>
      <c r="G57" t="s">
        <v>2253</v>
      </c>
      <c r="H57" t="s">
        <v>2314</v>
      </c>
      <c r="I57" s="2">
        <v>300</v>
      </c>
      <c r="J57" s="2">
        <v>0</v>
      </c>
      <c r="K57" s="2">
        <v>0</v>
      </c>
      <c r="L57" s="3">
        <v>45849</v>
      </c>
      <c r="M57" s="3">
        <v>45849</v>
      </c>
      <c r="N57" s="3"/>
      <c r="O57" t="s">
        <v>2324</v>
      </c>
      <c r="P57" t="s">
        <v>2255</v>
      </c>
      <c r="Q57" s="4">
        <v>0.43109953703704001</v>
      </c>
      <c r="R57" t="s">
        <v>2252</v>
      </c>
      <c r="S57" t="s">
        <v>4</v>
      </c>
      <c r="T57" t="s">
        <v>2321</v>
      </c>
      <c r="U57" t="s">
        <v>2287</v>
      </c>
      <c r="V57" s="5">
        <v>0</v>
      </c>
      <c r="W57" s="5">
        <v>0</v>
      </c>
      <c r="X57" s="2">
        <v>0</v>
      </c>
      <c r="Y57" t="s">
        <v>4</v>
      </c>
      <c r="Z57" t="s">
        <v>4</v>
      </c>
      <c r="AA57" t="s">
        <v>4</v>
      </c>
      <c r="AB57" t="s">
        <v>4</v>
      </c>
    </row>
    <row r="58" spans="1:28" hidden="1" x14ac:dyDescent="0.2">
      <c r="A58" t="s">
        <v>438</v>
      </c>
      <c r="B58" t="s">
        <v>2</v>
      </c>
      <c r="C58" t="s">
        <v>3</v>
      </c>
      <c r="D58" t="s">
        <v>4</v>
      </c>
      <c r="E58" t="s">
        <v>4</v>
      </c>
      <c r="F58" t="s">
        <v>2252</v>
      </c>
      <c r="G58" t="s">
        <v>2253</v>
      </c>
      <c r="H58" t="s">
        <v>2325</v>
      </c>
      <c r="I58" s="2">
        <v>300</v>
      </c>
      <c r="J58" s="2">
        <v>0</v>
      </c>
      <c r="K58" s="2">
        <v>0</v>
      </c>
      <c r="L58" s="3">
        <v>45827</v>
      </c>
      <c r="M58" s="3">
        <v>45827</v>
      </c>
      <c r="N58" s="3"/>
      <c r="O58" t="s">
        <v>2326</v>
      </c>
      <c r="P58" t="s">
        <v>2255</v>
      </c>
      <c r="Q58" s="4">
        <v>0.94782407407406999</v>
      </c>
      <c r="R58" t="s">
        <v>2252</v>
      </c>
      <c r="S58" t="s">
        <v>4</v>
      </c>
      <c r="T58" t="s">
        <v>2327</v>
      </c>
      <c r="U58" t="s">
        <v>2287</v>
      </c>
      <c r="V58" s="5">
        <v>0</v>
      </c>
      <c r="W58" s="5">
        <v>0</v>
      </c>
      <c r="X58" s="2">
        <v>0</v>
      </c>
      <c r="Y58" t="s">
        <v>4</v>
      </c>
      <c r="Z58" t="s">
        <v>4</v>
      </c>
      <c r="AA58" t="s">
        <v>4</v>
      </c>
      <c r="AB58" t="s">
        <v>4</v>
      </c>
    </row>
    <row r="59" spans="1:28" hidden="1" x14ac:dyDescent="0.2">
      <c r="A59" t="s">
        <v>438</v>
      </c>
      <c r="B59" t="s">
        <v>2</v>
      </c>
      <c r="C59" t="s">
        <v>3</v>
      </c>
      <c r="D59" t="s">
        <v>4</v>
      </c>
      <c r="E59" t="s">
        <v>4</v>
      </c>
      <c r="F59" t="s">
        <v>2252</v>
      </c>
      <c r="G59" t="s">
        <v>2253</v>
      </c>
      <c r="H59" t="s">
        <v>2325</v>
      </c>
      <c r="I59" s="2">
        <v>300</v>
      </c>
      <c r="J59" s="2">
        <v>0</v>
      </c>
      <c r="K59" s="2">
        <v>0</v>
      </c>
      <c r="L59" s="3">
        <v>45856</v>
      </c>
      <c r="M59" s="3">
        <v>45856</v>
      </c>
      <c r="N59" s="3"/>
      <c r="O59" t="s">
        <v>2328</v>
      </c>
      <c r="P59" t="s">
        <v>2255</v>
      </c>
      <c r="Q59" s="4">
        <v>0.94782407407406999</v>
      </c>
      <c r="R59" t="s">
        <v>2252</v>
      </c>
      <c r="S59" t="s">
        <v>4</v>
      </c>
      <c r="T59" t="s">
        <v>2260</v>
      </c>
      <c r="U59" t="s">
        <v>2287</v>
      </c>
      <c r="V59" s="5">
        <v>0</v>
      </c>
      <c r="W59" s="5">
        <v>0</v>
      </c>
      <c r="X59" s="2">
        <v>0</v>
      </c>
      <c r="Y59" t="s">
        <v>4</v>
      </c>
      <c r="Z59" t="s">
        <v>4</v>
      </c>
      <c r="AA59" t="s">
        <v>4</v>
      </c>
      <c r="AB59" t="s">
        <v>4</v>
      </c>
    </row>
    <row r="60" spans="1:28" hidden="1" x14ac:dyDescent="0.2">
      <c r="A60" t="s">
        <v>438</v>
      </c>
      <c r="B60" t="s">
        <v>2</v>
      </c>
      <c r="C60" t="s">
        <v>3</v>
      </c>
      <c r="D60" t="s">
        <v>4</v>
      </c>
      <c r="E60" t="s">
        <v>4</v>
      </c>
      <c r="F60" t="s">
        <v>2252</v>
      </c>
      <c r="G60" t="s">
        <v>2253</v>
      </c>
      <c r="H60" t="s">
        <v>2325</v>
      </c>
      <c r="I60" s="2">
        <v>300</v>
      </c>
      <c r="J60" s="2">
        <v>0</v>
      </c>
      <c r="K60" s="2">
        <v>0</v>
      </c>
      <c r="L60" s="3">
        <v>45827</v>
      </c>
      <c r="M60" s="3">
        <v>45827</v>
      </c>
      <c r="N60" s="3"/>
      <c r="O60" t="s">
        <v>2329</v>
      </c>
      <c r="P60" t="s">
        <v>2255</v>
      </c>
      <c r="Q60" s="4">
        <v>0.94782407407406999</v>
      </c>
      <c r="R60" t="s">
        <v>2252</v>
      </c>
      <c r="S60" t="s">
        <v>4</v>
      </c>
      <c r="T60" t="s">
        <v>2327</v>
      </c>
      <c r="U60" t="s">
        <v>2287</v>
      </c>
      <c r="V60" s="5">
        <v>0</v>
      </c>
      <c r="W60" s="5">
        <v>0</v>
      </c>
      <c r="X60" s="2">
        <v>0</v>
      </c>
      <c r="Y60" t="s">
        <v>4</v>
      </c>
      <c r="Z60" t="s">
        <v>4</v>
      </c>
      <c r="AA60" t="s">
        <v>4</v>
      </c>
      <c r="AB60" t="s">
        <v>4</v>
      </c>
    </row>
    <row r="61" spans="1:28" hidden="1" x14ac:dyDescent="0.2">
      <c r="A61" t="s">
        <v>438</v>
      </c>
      <c r="B61" t="s">
        <v>2</v>
      </c>
      <c r="C61" t="s">
        <v>3</v>
      </c>
      <c r="D61" t="s">
        <v>4</v>
      </c>
      <c r="E61" t="s">
        <v>4</v>
      </c>
      <c r="F61" t="s">
        <v>2252</v>
      </c>
      <c r="G61" t="s">
        <v>2253</v>
      </c>
      <c r="H61" t="s">
        <v>2325</v>
      </c>
      <c r="I61" s="2">
        <v>300</v>
      </c>
      <c r="J61" s="2">
        <v>0</v>
      </c>
      <c r="K61" s="2">
        <v>0</v>
      </c>
      <c r="L61" s="3">
        <v>45859</v>
      </c>
      <c r="M61" s="3">
        <v>45859</v>
      </c>
      <c r="N61" s="3"/>
      <c r="O61" t="s">
        <v>2330</v>
      </c>
      <c r="P61" t="s">
        <v>2255</v>
      </c>
      <c r="Q61" s="4">
        <v>0.94782407407406999</v>
      </c>
      <c r="R61" t="s">
        <v>2252</v>
      </c>
      <c r="S61" t="s">
        <v>4</v>
      </c>
      <c r="T61" t="s">
        <v>2261</v>
      </c>
      <c r="U61" t="s">
        <v>2287</v>
      </c>
      <c r="V61" s="5">
        <v>0</v>
      </c>
      <c r="W61" s="5">
        <v>0</v>
      </c>
      <c r="X61" s="2">
        <v>0</v>
      </c>
      <c r="Y61" t="s">
        <v>4</v>
      </c>
      <c r="Z61" t="s">
        <v>4</v>
      </c>
      <c r="AA61" t="s">
        <v>4</v>
      </c>
      <c r="AB61" t="s">
        <v>4</v>
      </c>
    </row>
    <row r="62" spans="1:28" x14ac:dyDescent="0.2">
      <c r="A62" t="s">
        <v>1471</v>
      </c>
      <c r="B62" t="s">
        <v>2</v>
      </c>
      <c r="C62" t="s">
        <v>3</v>
      </c>
      <c r="D62" t="s">
        <v>4</v>
      </c>
      <c r="E62" t="s">
        <v>4</v>
      </c>
      <c r="F62" t="s">
        <v>2331</v>
      </c>
      <c r="G62" t="s">
        <v>6</v>
      </c>
      <c r="H62" t="s">
        <v>2332</v>
      </c>
      <c r="I62" s="2">
        <v>60</v>
      </c>
      <c r="J62" s="2">
        <v>0</v>
      </c>
      <c r="K62" s="2">
        <v>0</v>
      </c>
      <c r="L62" s="3">
        <v>45859</v>
      </c>
      <c r="M62" s="3">
        <v>45859</v>
      </c>
      <c r="N62" s="3"/>
      <c r="O62" t="s">
        <v>2333</v>
      </c>
      <c r="P62" t="s">
        <v>9</v>
      </c>
      <c r="Q62" s="4">
        <v>0.80600694444443999</v>
      </c>
      <c r="R62" t="s">
        <v>2331</v>
      </c>
      <c r="S62" t="s">
        <v>4</v>
      </c>
      <c r="T62" t="s">
        <v>2261</v>
      </c>
      <c r="U62" t="s">
        <v>10</v>
      </c>
      <c r="V62" s="5">
        <v>0</v>
      </c>
      <c r="W62" s="5">
        <v>0</v>
      </c>
      <c r="X62" s="2">
        <v>0</v>
      </c>
      <c r="Y62" t="s">
        <v>4</v>
      </c>
      <c r="Z62" t="s">
        <v>4</v>
      </c>
      <c r="AA62" t="s">
        <v>4</v>
      </c>
      <c r="AB62" t="s">
        <v>4</v>
      </c>
    </row>
    <row r="63" spans="1:28" x14ac:dyDescent="0.2">
      <c r="A63" t="s">
        <v>1471</v>
      </c>
      <c r="B63" t="s">
        <v>2</v>
      </c>
      <c r="C63" t="s">
        <v>3</v>
      </c>
      <c r="D63" t="s">
        <v>4</v>
      </c>
      <c r="E63" t="s">
        <v>4</v>
      </c>
      <c r="F63" t="s">
        <v>2331</v>
      </c>
      <c r="G63" t="s">
        <v>6</v>
      </c>
      <c r="H63" t="s">
        <v>2332</v>
      </c>
      <c r="I63" s="2">
        <v>60</v>
      </c>
      <c r="J63" s="2">
        <v>0</v>
      </c>
      <c r="K63" s="2">
        <v>0</v>
      </c>
      <c r="L63" s="3">
        <v>45859</v>
      </c>
      <c r="M63" s="3">
        <v>45859</v>
      </c>
      <c r="N63" s="3"/>
      <c r="O63" t="s">
        <v>2334</v>
      </c>
      <c r="P63" t="s">
        <v>9</v>
      </c>
      <c r="Q63" s="4">
        <v>0.80600694444443999</v>
      </c>
      <c r="R63" t="s">
        <v>2331</v>
      </c>
      <c r="S63" t="s">
        <v>4</v>
      </c>
      <c r="T63" t="s">
        <v>2261</v>
      </c>
      <c r="U63" t="s">
        <v>10</v>
      </c>
      <c r="V63" s="5">
        <v>0</v>
      </c>
      <c r="W63" s="5">
        <v>0</v>
      </c>
      <c r="X63" s="2">
        <v>0</v>
      </c>
      <c r="Y63" t="s">
        <v>4</v>
      </c>
      <c r="Z63" t="s">
        <v>4</v>
      </c>
      <c r="AA63" t="s">
        <v>4</v>
      </c>
      <c r="AB63" t="s">
        <v>4</v>
      </c>
    </row>
    <row r="64" spans="1:28" x14ac:dyDescent="0.2">
      <c r="A64" t="s">
        <v>2043</v>
      </c>
      <c r="B64" t="s">
        <v>2</v>
      </c>
      <c r="C64" t="s">
        <v>3</v>
      </c>
      <c r="D64" t="s">
        <v>4</v>
      </c>
      <c r="E64" t="s">
        <v>4</v>
      </c>
      <c r="F64" t="s">
        <v>2331</v>
      </c>
      <c r="G64" t="s">
        <v>6</v>
      </c>
      <c r="H64" t="s">
        <v>2335</v>
      </c>
      <c r="I64" s="2">
        <v>108</v>
      </c>
      <c r="J64" s="2">
        <v>0</v>
      </c>
      <c r="K64" s="2">
        <v>0</v>
      </c>
      <c r="L64" s="3">
        <v>45858</v>
      </c>
      <c r="M64" s="3">
        <v>45858</v>
      </c>
      <c r="N64" s="3"/>
      <c r="O64" t="s">
        <v>2336</v>
      </c>
      <c r="P64" t="s">
        <v>9</v>
      </c>
      <c r="Q64" s="4">
        <v>0.37116898148147998</v>
      </c>
      <c r="R64" t="s">
        <v>2331</v>
      </c>
      <c r="S64" t="s">
        <v>4</v>
      </c>
      <c r="T64" t="s">
        <v>2337</v>
      </c>
      <c r="U64" t="s">
        <v>10</v>
      </c>
      <c r="V64" s="5">
        <v>0</v>
      </c>
      <c r="W64" s="5">
        <v>0</v>
      </c>
      <c r="X64" s="2">
        <v>0</v>
      </c>
      <c r="Y64" t="s">
        <v>4</v>
      </c>
      <c r="Z64" t="s">
        <v>4</v>
      </c>
      <c r="AA64" t="s">
        <v>4</v>
      </c>
      <c r="AB64" t="s">
        <v>4</v>
      </c>
    </row>
    <row r="65" spans="1:28" x14ac:dyDescent="0.2">
      <c r="A65" t="s">
        <v>2043</v>
      </c>
      <c r="B65" t="s">
        <v>2</v>
      </c>
      <c r="C65" t="s">
        <v>3</v>
      </c>
      <c r="D65" t="s">
        <v>4</v>
      </c>
      <c r="E65" t="s">
        <v>4</v>
      </c>
      <c r="F65" t="s">
        <v>2331</v>
      </c>
      <c r="G65" t="s">
        <v>6</v>
      </c>
      <c r="H65" t="s">
        <v>2335</v>
      </c>
      <c r="I65" s="2">
        <v>108</v>
      </c>
      <c r="J65" s="2">
        <v>0</v>
      </c>
      <c r="K65" s="2">
        <v>0</v>
      </c>
      <c r="L65" s="3">
        <v>45858</v>
      </c>
      <c r="M65" s="3">
        <v>45858</v>
      </c>
      <c r="N65" s="3"/>
      <c r="O65" t="s">
        <v>2338</v>
      </c>
      <c r="P65" t="s">
        <v>9</v>
      </c>
      <c r="Q65" s="4">
        <v>0.37116898148147998</v>
      </c>
      <c r="R65" t="s">
        <v>2331</v>
      </c>
      <c r="S65" t="s">
        <v>4</v>
      </c>
      <c r="T65" t="s">
        <v>2337</v>
      </c>
      <c r="U65" t="s">
        <v>10</v>
      </c>
      <c r="V65" s="5">
        <v>0</v>
      </c>
      <c r="W65" s="5">
        <v>0</v>
      </c>
      <c r="X65" s="2">
        <v>0</v>
      </c>
      <c r="Y65" t="s">
        <v>4</v>
      </c>
      <c r="Z65" t="s">
        <v>4</v>
      </c>
      <c r="AA65" t="s">
        <v>4</v>
      </c>
      <c r="AB65" t="s">
        <v>4</v>
      </c>
    </row>
    <row r="66" spans="1:28" x14ac:dyDescent="0.2">
      <c r="A66" t="s">
        <v>2039</v>
      </c>
      <c r="B66" t="s">
        <v>2</v>
      </c>
      <c r="C66" t="s">
        <v>3</v>
      </c>
      <c r="D66" t="s">
        <v>4</v>
      </c>
      <c r="E66" t="s">
        <v>4</v>
      </c>
      <c r="F66" t="s">
        <v>2331</v>
      </c>
      <c r="G66" t="s">
        <v>6</v>
      </c>
      <c r="H66" t="s">
        <v>2339</v>
      </c>
      <c r="I66" s="2">
        <v>108</v>
      </c>
      <c r="J66" s="2">
        <v>0</v>
      </c>
      <c r="K66" s="2">
        <v>0</v>
      </c>
      <c r="L66" s="3">
        <v>45847</v>
      </c>
      <c r="M66" s="3">
        <v>45847</v>
      </c>
      <c r="N66" s="3"/>
      <c r="O66" t="s">
        <v>2340</v>
      </c>
      <c r="P66" t="s">
        <v>9</v>
      </c>
      <c r="Q66" s="4">
        <v>0.38194444444443998</v>
      </c>
      <c r="R66" t="s">
        <v>2331</v>
      </c>
      <c r="S66" t="s">
        <v>4</v>
      </c>
      <c r="T66" t="s">
        <v>2341</v>
      </c>
      <c r="U66" t="s">
        <v>10</v>
      </c>
      <c r="V66" s="5">
        <v>0</v>
      </c>
      <c r="W66" s="5">
        <v>0</v>
      </c>
      <c r="X66" s="2">
        <v>0</v>
      </c>
      <c r="Y66" t="s">
        <v>4</v>
      </c>
      <c r="Z66" t="s">
        <v>4</v>
      </c>
      <c r="AA66" t="s">
        <v>4</v>
      </c>
      <c r="AB66" t="s">
        <v>4</v>
      </c>
    </row>
    <row r="67" spans="1:28" x14ac:dyDescent="0.2">
      <c r="A67" t="s">
        <v>1569</v>
      </c>
      <c r="B67" t="s">
        <v>2</v>
      </c>
      <c r="C67" t="s">
        <v>3</v>
      </c>
      <c r="D67" t="s">
        <v>4</v>
      </c>
      <c r="E67" t="s">
        <v>4</v>
      </c>
      <c r="F67" t="s">
        <v>2331</v>
      </c>
      <c r="G67" t="s">
        <v>6</v>
      </c>
      <c r="H67" t="s">
        <v>2342</v>
      </c>
      <c r="I67" s="2">
        <v>40</v>
      </c>
      <c r="J67" s="2">
        <v>0</v>
      </c>
      <c r="K67" s="2">
        <v>0</v>
      </c>
      <c r="L67" s="3">
        <v>45853</v>
      </c>
      <c r="M67" s="3">
        <v>45853</v>
      </c>
      <c r="N67" s="3"/>
      <c r="O67" t="s">
        <v>2343</v>
      </c>
      <c r="P67" t="s">
        <v>9</v>
      </c>
      <c r="Q67" s="4">
        <v>0.62657407407406995</v>
      </c>
      <c r="R67" t="s">
        <v>2331</v>
      </c>
      <c r="S67" t="s">
        <v>4</v>
      </c>
      <c r="T67" t="s">
        <v>2272</v>
      </c>
      <c r="U67" t="s">
        <v>10</v>
      </c>
      <c r="V67" s="5">
        <v>0</v>
      </c>
      <c r="W67" s="5">
        <v>0</v>
      </c>
      <c r="X67" s="2">
        <v>0</v>
      </c>
      <c r="Y67" t="s">
        <v>4</v>
      </c>
      <c r="Z67" t="s">
        <v>4</v>
      </c>
      <c r="AA67" t="s">
        <v>4</v>
      </c>
      <c r="AB67" t="s">
        <v>4</v>
      </c>
    </row>
    <row r="68" spans="1:28" x14ac:dyDescent="0.2">
      <c r="A68" t="s">
        <v>1569</v>
      </c>
      <c r="B68" t="s">
        <v>2</v>
      </c>
      <c r="C68" t="s">
        <v>3</v>
      </c>
      <c r="D68" t="s">
        <v>4</v>
      </c>
      <c r="E68" t="s">
        <v>4</v>
      </c>
      <c r="F68" t="s">
        <v>2331</v>
      </c>
      <c r="G68" t="s">
        <v>6</v>
      </c>
      <c r="H68" t="s">
        <v>2342</v>
      </c>
      <c r="I68" s="2">
        <v>40</v>
      </c>
      <c r="J68" s="2">
        <v>0</v>
      </c>
      <c r="K68" s="2">
        <v>0</v>
      </c>
      <c r="L68" s="3">
        <v>45853</v>
      </c>
      <c r="M68" s="3">
        <v>45853</v>
      </c>
      <c r="N68" s="3"/>
      <c r="O68" t="s">
        <v>2344</v>
      </c>
      <c r="P68" t="s">
        <v>9</v>
      </c>
      <c r="Q68" s="4">
        <v>0.62657407407406995</v>
      </c>
      <c r="R68" t="s">
        <v>2331</v>
      </c>
      <c r="S68" t="s">
        <v>4</v>
      </c>
      <c r="T68" t="s">
        <v>2272</v>
      </c>
      <c r="U68" t="s">
        <v>10</v>
      </c>
      <c r="V68" s="5">
        <v>0</v>
      </c>
      <c r="W68" s="5">
        <v>0</v>
      </c>
      <c r="X68" s="2">
        <v>0</v>
      </c>
      <c r="Y68" t="s">
        <v>4</v>
      </c>
      <c r="Z68" t="s">
        <v>4</v>
      </c>
      <c r="AA68" t="s">
        <v>4</v>
      </c>
      <c r="AB68" t="s">
        <v>4</v>
      </c>
    </row>
    <row r="69" spans="1:28" x14ac:dyDescent="0.2">
      <c r="A69" t="s">
        <v>2043</v>
      </c>
      <c r="B69" t="s">
        <v>2</v>
      </c>
      <c r="C69" t="s">
        <v>3</v>
      </c>
      <c r="D69" t="s">
        <v>4</v>
      </c>
      <c r="E69" t="s">
        <v>4</v>
      </c>
      <c r="F69" t="s">
        <v>2331</v>
      </c>
      <c r="G69" t="s">
        <v>6</v>
      </c>
      <c r="H69" t="s">
        <v>2345</v>
      </c>
      <c r="I69" s="2">
        <v>108</v>
      </c>
      <c r="J69" s="2">
        <v>0</v>
      </c>
      <c r="K69" s="2">
        <v>0</v>
      </c>
      <c r="L69" s="3">
        <v>45858</v>
      </c>
      <c r="M69" s="3">
        <v>45858</v>
      </c>
      <c r="N69" s="3"/>
      <c r="O69" t="s">
        <v>2346</v>
      </c>
      <c r="P69" t="s">
        <v>9</v>
      </c>
      <c r="Q69" s="4">
        <v>0.37473379629629999</v>
      </c>
      <c r="R69" t="s">
        <v>2331</v>
      </c>
      <c r="S69" t="s">
        <v>4</v>
      </c>
      <c r="T69" t="s">
        <v>2337</v>
      </c>
      <c r="U69" t="s">
        <v>10</v>
      </c>
      <c r="V69" s="5">
        <v>0</v>
      </c>
      <c r="W69" s="5">
        <v>0</v>
      </c>
      <c r="X69" s="2">
        <v>0</v>
      </c>
      <c r="Y69" t="s">
        <v>4</v>
      </c>
      <c r="Z69" t="s">
        <v>4</v>
      </c>
      <c r="AA69" t="s">
        <v>4</v>
      </c>
      <c r="AB69" t="s">
        <v>4</v>
      </c>
    </row>
    <row r="70" spans="1:28" x14ac:dyDescent="0.2">
      <c r="A70" t="s">
        <v>2043</v>
      </c>
      <c r="B70" t="s">
        <v>2</v>
      </c>
      <c r="C70" t="s">
        <v>3</v>
      </c>
      <c r="D70" t="s">
        <v>4</v>
      </c>
      <c r="E70" t="s">
        <v>4</v>
      </c>
      <c r="F70" t="s">
        <v>2331</v>
      </c>
      <c r="G70" t="s">
        <v>6</v>
      </c>
      <c r="H70" t="s">
        <v>2345</v>
      </c>
      <c r="I70" s="2">
        <v>108</v>
      </c>
      <c r="J70" s="2">
        <v>0</v>
      </c>
      <c r="K70" s="2">
        <v>0</v>
      </c>
      <c r="L70" s="3">
        <v>45858</v>
      </c>
      <c r="M70" s="3">
        <v>45858</v>
      </c>
      <c r="N70" s="3"/>
      <c r="O70" t="s">
        <v>2347</v>
      </c>
      <c r="P70" t="s">
        <v>9</v>
      </c>
      <c r="Q70" s="4">
        <v>0.37473379629629999</v>
      </c>
      <c r="R70" t="s">
        <v>2331</v>
      </c>
      <c r="S70" t="s">
        <v>4</v>
      </c>
      <c r="T70" t="s">
        <v>2337</v>
      </c>
      <c r="U70" t="s">
        <v>10</v>
      </c>
      <c r="V70" s="5">
        <v>0</v>
      </c>
      <c r="W70" s="5">
        <v>0</v>
      </c>
      <c r="X70" s="2">
        <v>0</v>
      </c>
      <c r="Y70" t="s">
        <v>4</v>
      </c>
      <c r="Z70" t="s">
        <v>4</v>
      </c>
      <c r="AA70" t="s">
        <v>4</v>
      </c>
      <c r="AB70" t="s">
        <v>4</v>
      </c>
    </row>
    <row r="71" spans="1:28" x14ac:dyDescent="0.2">
      <c r="A71" t="s">
        <v>1471</v>
      </c>
      <c r="B71" t="s">
        <v>2</v>
      </c>
      <c r="C71" t="s">
        <v>3</v>
      </c>
      <c r="D71" t="s">
        <v>4</v>
      </c>
      <c r="E71" t="s">
        <v>4</v>
      </c>
      <c r="F71" t="s">
        <v>2331</v>
      </c>
      <c r="G71" t="s">
        <v>6</v>
      </c>
      <c r="H71" t="s">
        <v>2348</v>
      </c>
      <c r="I71" s="2">
        <v>60</v>
      </c>
      <c r="J71" s="2">
        <v>0</v>
      </c>
      <c r="K71" s="2">
        <v>0</v>
      </c>
      <c r="L71" s="3">
        <v>45855</v>
      </c>
      <c r="M71" s="3">
        <v>45855</v>
      </c>
      <c r="N71" s="3"/>
      <c r="O71" t="s">
        <v>2349</v>
      </c>
      <c r="P71" t="s">
        <v>9</v>
      </c>
      <c r="Q71" s="4">
        <v>0.95466435185184995</v>
      </c>
      <c r="R71" t="s">
        <v>2331</v>
      </c>
      <c r="S71" t="s">
        <v>4</v>
      </c>
      <c r="T71" t="s">
        <v>2350</v>
      </c>
      <c r="U71" t="s">
        <v>10</v>
      </c>
      <c r="V71" s="5">
        <v>0</v>
      </c>
      <c r="W71" s="5">
        <v>0</v>
      </c>
      <c r="X71" s="2">
        <v>0</v>
      </c>
      <c r="Y71" t="s">
        <v>4</v>
      </c>
      <c r="Z71" t="s">
        <v>4</v>
      </c>
      <c r="AA71" t="s">
        <v>2351</v>
      </c>
      <c r="AB71" t="s">
        <v>2351</v>
      </c>
    </row>
    <row r="72" spans="1:28" x14ac:dyDescent="0.2">
      <c r="A72" t="s">
        <v>1471</v>
      </c>
      <c r="B72" t="s">
        <v>2</v>
      </c>
      <c r="C72" t="s">
        <v>3</v>
      </c>
      <c r="D72" t="s">
        <v>4</v>
      </c>
      <c r="E72" t="s">
        <v>4</v>
      </c>
      <c r="F72" t="s">
        <v>2331</v>
      </c>
      <c r="G72" t="s">
        <v>6</v>
      </c>
      <c r="H72" t="s">
        <v>2348</v>
      </c>
      <c r="I72" s="2">
        <v>60</v>
      </c>
      <c r="J72" s="2">
        <v>0</v>
      </c>
      <c r="K72" s="2">
        <v>0</v>
      </c>
      <c r="L72" s="3">
        <v>45855</v>
      </c>
      <c r="M72" s="3">
        <v>45855</v>
      </c>
      <c r="N72" s="3"/>
      <c r="O72" t="s">
        <v>2352</v>
      </c>
      <c r="P72" t="s">
        <v>9</v>
      </c>
      <c r="Q72" s="4">
        <v>0.95466435185184995</v>
      </c>
      <c r="R72" t="s">
        <v>2331</v>
      </c>
      <c r="S72" t="s">
        <v>4</v>
      </c>
      <c r="T72" t="s">
        <v>2350</v>
      </c>
      <c r="U72" t="s">
        <v>10</v>
      </c>
      <c r="V72" s="5">
        <v>0</v>
      </c>
      <c r="W72" s="5">
        <v>0</v>
      </c>
      <c r="X72" s="2">
        <v>0</v>
      </c>
      <c r="Y72" t="s">
        <v>4</v>
      </c>
      <c r="Z72" t="s">
        <v>4</v>
      </c>
      <c r="AA72" t="s">
        <v>2351</v>
      </c>
      <c r="AB72" t="s">
        <v>2351</v>
      </c>
    </row>
    <row r="73" spans="1:28" x14ac:dyDescent="0.2">
      <c r="A73" t="s">
        <v>1471</v>
      </c>
      <c r="B73" t="s">
        <v>2</v>
      </c>
      <c r="C73" t="s">
        <v>3</v>
      </c>
      <c r="D73" t="s">
        <v>4</v>
      </c>
      <c r="E73" t="s">
        <v>4</v>
      </c>
      <c r="F73" t="s">
        <v>2331</v>
      </c>
      <c r="G73" t="s">
        <v>6</v>
      </c>
      <c r="H73" t="s">
        <v>2353</v>
      </c>
      <c r="I73" s="2">
        <v>60</v>
      </c>
      <c r="J73" s="2">
        <v>0</v>
      </c>
      <c r="K73" s="2">
        <v>0</v>
      </c>
      <c r="L73" s="3">
        <v>45855</v>
      </c>
      <c r="M73" s="3">
        <v>45855</v>
      </c>
      <c r="N73" s="3"/>
      <c r="O73" t="s">
        <v>2354</v>
      </c>
      <c r="P73" t="s">
        <v>9</v>
      </c>
      <c r="Q73" s="4">
        <v>0.95771990740740998</v>
      </c>
      <c r="R73" t="s">
        <v>2331</v>
      </c>
      <c r="S73" t="s">
        <v>4</v>
      </c>
      <c r="T73" t="s">
        <v>2350</v>
      </c>
      <c r="U73" t="s">
        <v>10</v>
      </c>
      <c r="V73" s="5">
        <v>0</v>
      </c>
      <c r="W73" s="5">
        <v>0</v>
      </c>
      <c r="X73" s="2">
        <v>0</v>
      </c>
      <c r="Y73" t="s">
        <v>4</v>
      </c>
      <c r="Z73" t="s">
        <v>4</v>
      </c>
      <c r="AA73" t="s">
        <v>2351</v>
      </c>
      <c r="AB73" t="s">
        <v>2351</v>
      </c>
    </row>
    <row r="74" spans="1:28" x14ac:dyDescent="0.2">
      <c r="A74" t="s">
        <v>1471</v>
      </c>
      <c r="B74" t="s">
        <v>2</v>
      </c>
      <c r="C74" t="s">
        <v>3</v>
      </c>
      <c r="D74" t="s">
        <v>4</v>
      </c>
      <c r="E74" t="s">
        <v>4</v>
      </c>
      <c r="F74" t="s">
        <v>2331</v>
      </c>
      <c r="G74" t="s">
        <v>6</v>
      </c>
      <c r="H74" t="s">
        <v>2353</v>
      </c>
      <c r="I74" s="2">
        <v>60</v>
      </c>
      <c r="J74" s="2">
        <v>0</v>
      </c>
      <c r="K74" s="2">
        <v>0</v>
      </c>
      <c r="L74" s="3">
        <v>45855</v>
      </c>
      <c r="M74" s="3">
        <v>45855</v>
      </c>
      <c r="N74" s="3"/>
      <c r="O74" t="s">
        <v>2355</v>
      </c>
      <c r="P74" t="s">
        <v>9</v>
      </c>
      <c r="Q74" s="4">
        <v>0.95771990740740998</v>
      </c>
      <c r="R74" t="s">
        <v>2331</v>
      </c>
      <c r="S74" t="s">
        <v>4</v>
      </c>
      <c r="T74" t="s">
        <v>2350</v>
      </c>
      <c r="U74" t="s">
        <v>10</v>
      </c>
      <c r="V74" s="5">
        <v>0</v>
      </c>
      <c r="W74" s="5">
        <v>0</v>
      </c>
      <c r="X74" s="2">
        <v>0</v>
      </c>
      <c r="Y74" t="s">
        <v>4</v>
      </c>
      <c r="Z74" t="s">
        <v>4</v>
      </c>
      <c r="AA74" t="s">
        <v>2351</v>
      </c>
      <c r="AB74" t="s">
        <v>2351</v>
      </c>
    </row>
    <row r="75" spans="1:28" x14ac:dyDescent="0.2">
      <c r="A75" t="s">
        <v>1569</v>
      </c>
      <c r="B75" t="s">
        <v>2</v>
      </c>
      <c r="C75" t="s">
        <v>3</v>
      </c>
      <c r="D75" t="s">
        <v>4</v>
      </c>
      <c r="E75" t="s">
        <v>4</v>
      </c>
      <c r="F75" t="s">
        <v>2331</v>
      </c>
      <c r="G75" t="s">
        <v>6</v>
      </c>
      <c r="H75" t="s">
        <v>2356</v>
      </c>
      <c r="I75" s="2">
        <v>40</v>
      </c>
      <c r="J75" s="2">
        <v>0</v>
      </c>
      <c r="K75" s="2">
        <v>0</v>
      </c>
      <c r="L75" s="3">
        <v>45853</v>
      </c>
      <c r="M75" s="3">
        <v>45853</v>
      </c>
      <c r="N75" s="3"/>
      <c r="O75" t="s">
        <v>2357</v>
      </c>
      <c r="P75" t="s">
        <v>9</v>
      </c>
      <c r="Q75" s="4">
        <v>0.63240740740740997</v>
      </c>
      <c r="R75" t="s">
        <v>2331</v>
      </c>
      <c r="S75" t="s">
        <v>4</v>
      </c>
      <c r="T75" t="s">
        <v>2272</v>
      </c>
      <c r="U75" t="s">
        <v>10</v>
      </c>
      <c r="V75" s="5">
        <v>0</v>
      </c>
      <c r="W75" s="5">
        <v>0</v>
      </c>
      <c r="X75" s="2">
        <v>0</v>
      </c>
      <c r="Y75" t="s">
        <v>4</v>
      </c>
      <c r="Z75" t="s">
        <v>4</v>
      </c>
      <c r="AA75" t="s">
        <v>4</v>
      </c>
      <c r="AB75" t="s">
        <v>4</v>
      </c>
    </row>
    <row r="76" spans="1:28" x14ac:dyDescent="0.2">
      <c r="A76" t="s">
        <v>1569</v>
      </c>
      <c r="B76" t="s">
        <v>2</v>
      </c>
      <c r="C76" t="s">
        <v>3</v>
      </c>
      <c r="D76" t="s">
        <v>4</v>
      </c>
      <c r="E76" t="s">
        <v>4</v>
      </c>
      <c r="F76" t="s">
        <v>2331</v>
      </c>
      <c r="G76" t="s">
        <v>6</v>
      </c>
      <c r="H76" t="s">
        <v>2356</v>
      </c>
      <c r="I76" s="2">
        <v>40</v>
      </c>
      <c r="J76" s="2">
        <v>0</v>
      </c>
      <c r="K76" s="2">
        <v>0</v>
      </c>
      <c r="L76" s="3">
        <v>45853</v>
      </c>
      <c r="M76" s="3">
        <v>45853</v>
      </c>
      <c r="N76" s="3"/>
      <c r="O76" t="s">
        <v>2358</v>
      </c>
      <c r="P76" t="s">
        <v>9</v>
      </c>
      <c r="Q76" s="4">
        <v>0.63240740740740997</v>
      </c>
      <c r="R76" t="s">
        <v>2331</v>
      </c>
      <c r="S76" t="s">
        <v>4</v>
      </c>
      <c r="T76" t="s">
        <v>2272</v>
      </c>
      <c r="U76" t="s">
        <v>10</v>
      </c>
      <c r="V76" s="5">
        <v>0</v>
      </c>
      <c r="W76" s="5">
        <v>0</v>
      </c>
      <c r="X76" s="2">
        <v>0</v>
      </c>
      <c r="Y76" t="s">
        <v>4</v>
      </c>
      <c r="Z76" t="s">
        <v>4</v>
      </c>
      <c r="AA76" t="s">
        <v>4</v>
      </c>
      <c r="AB76" t="s">
        <v>4</v>
      </c>
    </row>
    <row r="77" spans="1:28" x14ac:dyDescent="0.2">
      <c r="A77" t="s">
        <v>2251</v>
      </c>
      <c r="B77" t="s">
        <v>4</v>
      </c>
      <c r="C77" t="s">
        <v>4</v>
      </c>
      <c r="D77" t="s">
        <v>4</v>
      </c>
      <c r="E77" t="s">
        <v>4</v>
      </c>
      <c r="F77" t="s">
        <v>2331</v>
      </c>
      <c r="G77" t="s">
        <v>6</v>
      </c>
      <c r="H77" t="s">
        <v>2359</v>
      </c>
      <c r="I77" s="5">
        <v>0</v>
      </c>
      <c r="J77" s="5">
        <v>0</v>
      </c>
      <c r="K77" s="5">
        <v>0</v>
      </c>
      <c r="L77" s="3"/>
      <c r="M77" s="3"/>
      <c r="N77" s="3"/>
      <c r="O77" t="s">
        <v>4</v>
      </c>
      <c r="P77" t="s">
        <v>9</v>
      </c>
      <c r="Q77" s="4">
        <v>0.38108796296295999</v>
      </c>
      <c r="R77" t="s">
        <v>4</v>
      </c>
      <c r="S77" t="s">
        <v>4</v>
      </c>
      <c r="T77" t="s">
        <v>2256</v>
      </c>
      <c r="U77" t="s">
        <v>4</v>
      </c>
      <c r="V77" s="5">
        <v>0</v>
      </c>
      <c r="W77" s="5">
        <v>0</v>
      </c>
      <c r="X77" s="2">
        <v>0</v>
      </c>
      <c r="Y77" t="s">
        <v>4</v>
      </c>
      <c r="Z77" t="s">
        <v>4</v>
      </c>
      <c r="AA77" t="s">
        <v>4</v>
      </c>
      <c r="AB77" t="s">
        <v>4</v>
      </c>
    </row>
    <row r="78" spans="1:28" x14ac:dyDescent="0.2">
      <c r="A78" t="s">
        <v>1471</v>
      </c>
      <c r="B78" t="s">
        <v>2</v>
      </c>
      <c r="C78" t="s">
        <v>3</v>
      </c>
      <c r="D78" t="s">
        <v>4</v>
      </c>
      <c r="E78" t="s">
        <v>4</v>
      </c>
      <c r="F78" t="s">
        <v>2331</v>
      </c>
      <c r="G78" t="s">
        <v>6</v>
      </c>
      <c r="H78" t="s">
        <v>2360</v>
      </c>
      <c r="I78" s="2">
        <v>60</v>
      </c>
      <c r="J78" s="2">
        <v>0</v>
      </c>
      <c r="K78" s="2">
        <v>0</v>
      </c>
      <c r="L78" s="3">
        <v>45858</v>
      </c>
      <c r="M78" s="3">
        <v>45858</v>
      </c>
      <c r="N78" s="3"/>
      <c r="O78" t="s">
        <v>2361</v>
      </c>
      <c r="P78" t="s">
        <v>9</v>
      </c>
      <c r="Q78" s="4">
        <v>0.47130787037036997</v>
      </c>
      <c r="R78" t="s">
        <v>2331</v>
      </c>
      <c r="S78" t="s">
        <v>4</v>
      </c>
      <c r="T78" t="s">
        <v>2337</v>
      </c>
      <c r="U78" t="s">
        <v>10</v>
      </c>
      <c r="V78" s="5">
        <v>0</v>
      </c>
      <c r="W78" s="5">
        <v>0</v>
      </c>
      <c r="X78" s="2">
        <v>0</v>
      </c>
      <c r="Y78" t="s">
        <v>4</v>
      </c>
      <c r="Z78" t="s">
        <v>4</v>
      </c>
      <c r="AA78" t="s">
        <v>4</v>
      </c>
      <c r="AB78" t="s">
        <v>4</v>
      </c>
    </row>
    <row r="79" spans="1:28" x14ac:dyDescent="0.2">
      <c r="A79" t="s">
        <v>1471</v>
      </c>
      <c r="B79" t="s">
        <v>2</v>
      </c>
      <c r="C79" t="s">
        <v>3</v>
      </c>
      <c r="D79" t="s">
        <v>4</v>
      </c>
      <c r="E79" t="s">
        <v>4</v>
      </c>
      <c r="F79" t="s">
        <v>2331</v>
      </c>
      <c r="G79" t="s">
        <v>6</v>
      </c>
      <c r="H79" t="s">
        <v>2360</v>
      </c>
      <c r="I79" s="2">
        <v>60</v>
      </c>
      <c r="J79" s="2">
        <v>0</v>
      </c>
      <c r="K79" s="2">
        <v>0</v>
      </c>
      <c r="L79" s="3">
        <v>45858</v>
      </c>
      <c r="M79" s="3">
        <v>45858</v>
      </c>
      <c r="N79" s="3"/>
      <c r="O79" t="s">
        <v>2362</v>
      </c>
      <c r="P79" t="s">
        <v>9</v>
      </c>
      <c r="Q79" s="4">
        <v>0.47130787037036997</v>
      </c>
      <c r="R79" t="s">
        <v>2331</v>
      </c>
      <c r="S79" t="s">
        <v>4</v>
      </c>
      <c r="T79" t="s">
        <v>2337</v>
      </c>
      <c r="U79" t="s">
        <v>10</v>
      </c>
      <c r="V79" s="5">
        <v>0</v>
      </c>
      <c r="W79" s="5">
        <v>0</v>
      </c>
      <c r="X79" s="2">
        <v>0</v>
      </c>
      <c r="Y79" t="s">
        <v>4</v>
      </c>
      <c r="Z79" t="s">
        <v>4</v>
      </c>
      <c r="AA79" t="s">
        <v>4</v>
      </c>
      <c r="AB79" t="s">
        <v>4</v>
      </c>
    </row>
    <row r="80" spans="1:28" x14ac:dyDescent="0.2">
      <c r="A80" t="s">
        <v>1466</v>
      </c>
      <c r="B80" t="s">
        <v>2</v>
      </c>
      <c r="C80" t="s">
        <v>3</v>
      </c>
      <c r="D80" t="s">
        <v>4</v>
      </c>
      <c r="E80" t="s">
        <v>4</v>
      </c>
      <c r="F80" t="s">
        <v>2331</v>
      </c>
      <c r="G80" t="s">
        <v>6</v>
      </c>
      <c r="H80" t="s">
        <v>2363</v>
      </c>
      <c r="I80" s="2">
        <v>60</v>
      </c>
      <c r="J80" s="2">
        <v>0</v>
      </c>
      <c r="K80" s="2">
        <v>0</v>
      </c>
      <c r="L80" s="3">
        <v>45856</v>
      </c>
      <c r="M80" s="3">
        <v>45856</v>
      </c>
      <c r="N80" s="3"/>
      <c r="O80" t="s">
        <v>2364</v>
      </c>
      <c r="P80" t="s">
        <v>9</v>
      </c>
      <c r="Q80" s="4">
        <v>0.59027777777778001</v>
      </c>
      <c r="R80" t="s">
        <v>2331</v>
      </c>
      <c r="S80" t="s">
        <v>4</v>
      </c>
      <c r="T80" t="s">
        <v>2260</v>
      </c>
      <c r="U80" t="s">
        <v>10</v>
      </c>
      <c r="V80" s="5">
        <v>0</v>
      </c>
      <c r="W80" s="5">
        <v>0</v>
      </c>
      <c r="X80" s="2">
        <v>0</v>
      </c>
      <c r="Y80" t="s">
        <v>4</v>
      </c>
      <c r="Z80" t="s">
        <v>4</v>
      </c>
      <c r="AA80" t="s">
        <v>4</v>
      </c>
      <c r="AB80" t="s">
        <v>4</v>
      </c>
    </row>
    <row r="81" spans="1:28" x14ac:dyDescent="0.2">
      <c r="A81" t="s">
        <v>1466</v>
      </c>
      <c r="B81" t="s">
        <v>2</v>
      </c>
      <c r="C81" t="s">
        <v>3</v>
      </c>
      <c r="D81" t="s">
        <v>4</v>
      </c>
      <c r="E81" t="s">
        <v>4</v>
      </c>
      <c r="F81" t="s">
        <v>2331</v>
      </c>
      <c r="G81" t="s">
        <v>6</v>
      </c>
      <c r="H81" t="s">
        <v>2363</v>
      </c>
      <c r="I81" s="2">
        <v>60</v>
      </c>
      <c r="J81" s="2">
        <v>0</v>
      </c>
      <c r="K81" s="2">
        <v>0</v>
      </c>
      <c r="L81" s="3">
        <v>45856</v>
      </c>
      <c r="M81" s="3">
        <v>45856</v>
      </c>
      <c r="N81" s="3"/>
      <c r="O81" t="s">
        <v>2365</v>
      </c>
      <c r="P81" t="s">
        <v>9</v>
      </c>
      <c r="Q81" s="4">
        <v>0.59027777777778001</v>
      </c>
      <c r="R81" t="s">
        <v>2331</v>
      </c>
      <c r="S81" t="s">
        <v>4</v>
      </c>
      <c r="T81" t="s">
        <v>2260</v>
      </c>
      <c r="U81" t="s">
        <v>10</v>
      </c>
      <c r="V81" s="5">
        <v>0</v>
      </c>
      <c r="W81" s="5">
        <v>0</v>
      </c>
      <c r="X81" s="2">
        <v>0</v>
      </c>
      <c r="Y81" t="s">
        <v>4</v>
      </c>
      <c r="Z81" t="s">
        <v>4</v>
      </c>
      <c r="AA81" t="s">
        <v>4</v>
      </c>
      <c r="AB81" t="s">
        <v>4</v>
      </c>
    </row>
    <row r="82" spans="1:28" x14ac:dyDescent="0.2">
      <c r="A82" t="s">
        <v>1466</v>
      </c>
      <c r="B82" t="s">
        <v>2</v>
      </c>
      <c r="C82" t="s">
        <v>3</v>
      </c>
      <c r="D82" t="s">
        <v>4</v>
      </c>
      <c r="E82" t="s">
        <v>4</v>
      </c>
      <c r="F82" t="s">
        <v>2331</v>
      </c>
      <c r="G82" t="s">
        <v>6</v>
      </c>
      <c r="H82" t="s">
        <v>2366</v>
      </c>
      <c r="I82" s="2">
        <v>60</v>
      </c>
      <c r="J82" s="2">
        <v>0</v>
      </c>
      <c r="K82" s="2">
        <v>0</v>
      </c>
      <c r="L82" s="3">
        <v>45856</v>
      </c>
      <c r="M82" s="3">
        <v>45856</v>
      </c>
      <c r="N82" s="3"/>
      <c r="O82" t="s">
        <v>2367</v>
      </c>
      <c r="P82" t="s">
        <v>9</v>
      </c>
      <c r="Q82" s="4">
        <v>0.58707175925926003</v>
      </c>
      <c r="R82" t="s">
        <v>2331</v>
      </c>
      <c r="S82" t="s">
        <v>4</v>
      </c>
      <c r="T82" t="s">
        <v>2260</v>
      </c>
      <c r="U82" t="s">
        <v>10</v>
      </c>
      <c r="V82" s="5">
        <v>0</v>
      </c>
      <c r="W82" s="5">
        <v>0</v>
      </c>
      <c r="X82" s="2">
        <v>0</v>
      </c>
      <c r="Y82" t="s">
        <v>4</v>
      </c>
      <c r="Z82" t="s">
        <v>4</v>
      </c>
      <c r="AA82" t="s">
        <v>4</v>
      </c>
      <c r="AB82" t="s">
        <v>4</v>
      </c>
    </row>
    <row r="83" spans="1:28" x14ac:dyDescent="0.2">
      <c r="A83" t="s">
        <v>1466</v>
      </c>
      <c r="B83" t="s">
        <v>2</v>
      </c>
      <c r="C83" t="s">
        <v>3</v>
      </c>
      <c r="D83" t="s">
        <v>4</v>
      </c>
      <c r="E83" t="s">
        <v>4</v>
      </c>
      <c r="F83" t="s">
        <v>2331</v>
      </c>
      <c r="G83" t="s">
        <v>6</v>
      </c>
      <c r="H83" t="s">
        <v>2366</v>
      </c>
      <c r="I83" s="2">
        <v>60</v>
      </c>
      <c r="J83" s="2">
        <v>0</v>
      </c>
      <c r="K83" s="2">
        <v>0</v>
      </c>
      <c r="L83" s="3">
        <v>45856</v>
      </c>
      <c r="M83" s="3">
        <v>45856</v>
      </c>
      <c r="N83" s="3"/>
      <c r="O83" t="s">
        <v>2368</v>
      </c>
      <c r="P83" t="s">
        <v>9</v>
      </c>
      <c r="Q83" s="4">
        <v>0.58707175925926003</v>
      </c>
      <c r="R83" t="s">
        <v>2331</v>
      </c>
      <c r="S83" t="s">
        <v>4</v>
      </c>
      <c r="T83" t="s">
        <v>2260</v>
      </c>
      <c r="U83" t="s">
        <v>10</v>
      </c>
      <c r="V83" s="5">
        <v>0</v>
      </c>
      <c r="W83" s="5">
        <v>0</v>
      </c>
      <c r="X83" s="2">
        <v>0</v>
      </c>
      <c r="Y83" t="s">
        <v>4</v>
      </c>
      <c r="Z83" t="s">
        <v>4</v>
      </c>
      <c r="AA83" t="s">
        <v>4</v>
      </c>
      <c r="AB83" t="s">
        <v>4</v>
      </c>
    </row>
    <row r="84" spans="1:28" x14ac:dyDescent="0.2">
      <c r="A84" t="s">
        <v>2251</v>
      </c>
      <c r="B84" t="s">
        <v>4</v>
      </c>
      <c r="C84" t="s">
        <v>4</v>
      </c>
      <c r="D84" t="s">
        <v>4</v>
      </c>
      <c r="E84" t="s">
        <v>4</v>
      </c>
      <c r="F84" t="s">
        <v>2331</v>
      </c>
      <c r="G84" t="s">
        <v>6</v>
      </c>
      <c r="H84" t="s">
        <v>2369</v>
      </c>
      <c r="I84" s="5">
        <v>0</v>
      </c>
      <c r="J84" s="5">
        <v>0</v>
      </c>
      <c r="K84" s="5">
        <v>0</v>
      </c>
      <c r="L84" s="3"/>
      <c r="M84" s="3"/>
      <c r="N84" s="3"/>
      <c r="O84" t="s">
        <v>4</v>
      </c>
      <c r="P84" t="s">
        <v>9</v>
      </c>
      <c r="Q84" s="4">
        <v>0</v>
      </c>
      <c r="R84" t="s">
        <v>4</v>
      </c>
      <c r="S84" t="s">
        <v>4</v>
      </c>
      <c r="T84" t="s">
        <v>2256</v>
      </c>
      <c r="U84" t="s">
        <v>4</v>
      </c>
      <c r="V84" s="5">
        <v>0</v>
      </c>
      <c r="W84" s="5">
        <v>0</v>
      </c>
      <c r="X84" s="2">
        <v>0</v>
      </c>
      <c r="Y84" t="s">
        <v>4</v>
      </c>
      <c r="Z84" t="s">
        <v>2351</v>
      </c>
      <c r="AA84" t="s">
        <v>4</v>
      </c>
      <c r="AB84" t="s">
        <v>4</v>
      </c>
    </row>
    <row r="85" spans="1:28" x14ac:dyDescent="0.2">
      <c r="A85" t="s">
        <v>2251</v>
      </c>
      <c r="B85" t="s">
        <v>4</v>
      </c>
      <c r="C85" t="s">
        <v>4</v>
      </c>
      <c r="D85" t="s">
        <v>4</v>
      </c>
      <c r="E85" t="s">
        <v>4</v>
      </c>
      <c r="F85" t="s">
        <v>2331</v>
      </c>
      <c r="G85" t="s">
        <v>6</v>
      </c>
      <c r="H85" t="s">
        <v>2370</v>
      </c>
      <c r="I85" s="5">
        <v>0</v>
      </c>
      <c r="J85" s="5">
        <v>0</v>
      </c>
      <c r="K85" s="5">
        <v>0</v>
      </c>
      <c r="L85" s="3"/>
      <c r="M85" s="3"/>
      <c r="N85" s="3"/>
      <c r="O85" t="s">
        <v>4</v>
      </c>
      <c r="P85" t="s">
        <v>9</v>
      </c>
      <c r="Q85" s="4">
        <v>0</v>
      </c>
      <c r="R85" t="s">
        <v>4</v>
      </c>
      <c r="S85" t="s">
        <v>4</v>
      </c>
      <c r="T85" t="s">
        <v>2256</v>
      </c>
      <c r="U85" t="s">
        <v>4</v>
      </c>
      <c r="V85" s="5">
        <v>0</v>
      </c>
      <c r="W85" s="5">
        <v>0</v>
      </c>
      <c r="X85" s="2">
        <v>0</v>
      </c>
      <c r="Y85" t="s">
        <v>4</v>
      </c>
      <c r="Z85" t="s">
        <v>2351</v>
      </c>
      <c r="AA85" t="s">
        <v>4</v>
      </c>
      <c r="AB85" t="s">
        <v>4</v>
      </c>
    </row>
    <row r="86" spans="1:28" x14ac:dyDescent="0.2">
      <c r="A86" t="s">
        <v>2251</v>
      </c>
      <c r="B86" t="s">
        <v>4</v>
      </c>
      <c r="C86" t="s">
        <v>4</v>
      </c>
      <c r="D86" t="s">
        <v>4</v>
      </c>
      <c r="E86" t="s">
        <v>4</v>
      </c>
      <c r="F86" t="s">
        <v>2331</v>
      </c>
      <c r="G86" t="s">
        <v>6</v>
      </c>
      <c r="H86" t="s">
        <v>2371</v>
      </c>
      <c r="I86" s="5">
        <v>0</v>
      </c>
      <c r="J86" s="5">
        <v>0</v>
      </c>
      <c r="K86" s="5">
        <v>0</v>
      </c>
      <c r="L86" s="3"/>
      <c r="M86" s="3"/>
      <c r="N86" s="3"/>
      <c r="O86" t="s">
        <v>4</v>
      </c>
      <c r="P86" t="s">
        <v>9</v>
      </c>
      <c r="Q86" s="4">
        <v>0</v>
      </c>
      <c r="R86" t="s">
        <v>4</v>
      </c>
      <c r="S86" t="s">
        <v>4</v>
      </c>
      <c r="T86" t="s">
        <v>2256</v>
      </c>
      <c r="U86" t="s">
        <v>4</v>
      </c>
      <c r="V86" s="5">
        <v>0</v>
      </c>
      <c r="W86" s="5">
        <v>0</v>
      </c>
      <c r="X86" s="2">
        <v>0</v>
      </c>
      <c r="Y86" t="s">
        <v>4</v>
      </c>
      <c r="Z86" t="s">
        <v>2351</v>
      </c>
      <c r="AA86" t="s">
        <v>4</v>
      </c>
      <c r="AB86" t="s">
        <v>4</v>
      </c>
    </row>
    <row r="87" spans="1:28" x14ac:dyDescent="0.2">
      <c r="A87" t="s">
        <v>2251</v>
      </c>
      <c r="B87" t="s">
        <v>4</v>
      </c>
      <c r="C87" t="s">
        <v>4</v>
      </c>
      <c r="D87" t="s">
        <v>4</v>
      </c>
      <c r="E87" t="s">
        <v>4</v>
      </c>
      <c r="F87" t="s">
        <v>2331</v>
      </c>
      <c r="G87" t="s">
        <v>6</v>
      </c>
      <c r="H87" t="s">
        <v>2372</v>
      </c>
      <c r="I87" s="5">
        <v>0</v>
      </c>
      <c r="J87" s="5">
        <v>0</v>
      </c>
      <c r="K87" s="5">
        <v>0</v>
      </c>
      <c r="L87" s="3"/>
      <c r="M87" s="3"/>
      <c r="N87" s="3"/>
      <c r="O87" t="s">
        <v>4</v>
      </c>
      <c r="P87" t="s">
        <v>9</v>
      </c>
      <c r="Q87" s="4">
        <v>0</v>
      </c>
      <c r="R87" t="s">
        <v>4</v>
      </c>
      <c r="S87" t="s">
        <v>4</v>
      </c>
      <c r="T87" t="s">
        <v>2256</v>
      </c>
      <c r="U87" t="s">
        <v>4</v>
      </c>
      <c r="V87" s="5">
        <v>0</v>
      </c>
      <c r="W87" s="5">
        <v>0</v>
      </c>
      <c r="X87" s="2">
        <v>0</v>
      </c>
      <c r="Y87" t="s">
        <v>4</v>
      </c>
      <c r="Z87" t="s">
        <v>2351</v>
      </c>
      <c r="AA87" t="s">
        <v>4</v>
      </c>
      <c r="AB87" t="s">
        <v>4</v>
      </c>
    </row>
    <row r="88" spans="1:28" x14ac:dyDescent="0.2">
      <c r="A88" t="s">
        <v>2251</v>
      </c>
      <c r="B88" t="s">
        <v>4</v>
      </c>
      <c r="C88" t="s">
        <v>4</v>
      </c>
      <c r="D88" t="s">
        <v>4</v>
      </c>
      <c r="E88" t="s">
        <v>4</v>
      </c>
      <c r="F88" t="s">
        <v>2331</v>
      </c>
      <c r="G88" t="s">
        <v>6</v>
      </c>
      <c r="H88" t="s">
        <v>2373</v>
      </c>
      <c r="I88" s="5">
        <v>0</v>
      </c>
      <c r="J88" s="5">
        <v>0</v>
      </c>
      <c r="K88" s="5">
        <v>0</v>
      </c>
      <c r="L88" s="3"/>
      <c r="M88" s="3"/>
      <c r="N88" s="3"/>
      <c r="O88" t="s">
        <v>4</v>
      </c>
      <c r="P88" t="s">
        <v>9</v>
      </c>
      <c r="Q88" s="4">
        <v>0</v>
      </c>
      <c r="R88" t="s">
        <v>4</v>
      </c>
      <c r="S88" t="s">
        <v>4</v>
      </c>
      <c r="T88" t="s">
        <v>2256</v>
      </c>
      <c r="U88" t="s">
        <v>4</v>
      </c>
      <c r="V88" s="5">
        <v>0</v>
      </c>
      <c r="W88" s="5">
        <v>0</v>
      </c>
      <c r="X88" s="2">
        <v>0</v>
      </c>
      <c r="Y88" t="s">
        <v>4</v>
      </c>
      <c r="Z88" t="s">
        <v>2351</v>
      </c>
      <c r="AA88" t="s">
        <v>4</v>
      </c>
      <c r="AB88" t="s">
        <v>4</v>
      </c>
    </row>
    <row r="89" spans="1:28" x14ac:dyDescent="0.2">
      <c r="A89" t="s">
        <v>2251</v>
      </c>
      <c r="B89" t="s">
        <v>4</v>
      </c>
      <c r="C89" t="s">
        <v>4</v>
      </c>
      <c r="D89" t="s">
        <v>4</v>
      </c>
      <c r="E89" t="s">
        <v>4</v>
      </c>
      <c r="F89" t="s">
        <v>2331</v>
      </c>
      <c r="G89" t="s">
        <v>6</v>
      </c>
      <c r="H89" t="s">
        <v>2374</v>
      </c>
      <c r="I89" s="5">
        <v>0</v>
      </c>
      <c r="J89" s="5">
        <v>0</v>
      </c>
      <c r="K89" s="5">
        <v>0</v>
      </c>
      <c r="L89" s="3"/>
      <c r="M89" s="3"/>
      <c r="N89" s="3"/>
      <c r="O89" t="s">
        <v>4</v>
      </c>
      <c r="P89" t="s">
        <v>9</v>
      </c>
      <c r="Q89" s="4">
        <v>0</v>
      </c>
      <c r="R89" t="s">
        <v>4</v>
      </c>
      <c r="S89" t="s">
        <v>4</v>
      </c>
      <c r="T89" t="s">
        <v>2256</v>
      </c>
      <c r="U89" t="s">
        <v>4</v>
      </c>
      <c r="V89" s="5">
        <v>0</v>
      </c>
      <c r="W89" s="5">
        <v>0</v>
      </c>
      <c r="X89" s="2">
        <v>0</v>
      </c>
      <c r="Y89" t="s">
        <v>4</v>
      </c>
      <c r="Z89" t="s">
        <v>2351</v>
      </c>
      <c r="AA89" t="s">
        <v>4</v>
      </c>
      <c r="AB89" t="s">
        <v>4</v>
      </c>
    </row>
    <row r="90" spans="1:28" x14ac:dyDescent="0.2">
      <c r="A90" t="s">
        <v>2251</v>
      </c>
      <c r="B90" t="s">
        <v>4</v>
      </c>
      <c r="C90" t="s">
        <v>4</v>
      </c>
      <c r="D90" t="s">
        <v>4</v>
      </c>
      <c r="E90" t="s">
        <v>4</v>
      </c>
      <c r="F90" t="s">
        <v>2331</v>
      </c>
      <c r="G90" t="s">
        <v>6</v>
      </c>
      <c r="H90" t="s">
        <v>2375</v>
      </c>
      <c r="I90" s="5">
        <v>0</v>
      </c>
      <c r="J90" s="5">
        <v>0</v>
      </c>
      <c r="K90" s="5">
        <v>0</v>
      </c>
      <c r="L90" s="3"/>
      <c r="M90" s="3"/>
      <c r="N90" s="3"/>
      <c r="O90" t="s">
        <v>4</v>
      </c>
      <c r="P90" t="s">
        <v>9</v>
      </c>
      <c r="Q90" s="4">
        <v>0</v>
      </c>
      <c r="R90" t="s">
        <v>4</v>
      </c>
      <c r="S90" t="s">
        <v>4</v>
      </c>
      <c r="T90" t="s">
        <v>2256</v>
      </c>
      <c r="U90" t="s">
        <v>4</v>
      </c>
      <c r="V90" s="5">
        <v>0</v>
      </c>
      <c r="W90" s="5">
        <v>0</v>
      </c>
      <c r="X90" s="2">
        <v>0</v>
      </c>
      <c r="Y90" t="s">
        <v>4</v>
      </c>
      <c r="Z90" t="s">
        <v>2351</v>
      </c>
      <c r="AA90" t="s">
        <v>4</v>
      </c>
      <c r="AB90" t="s">
        <v>4</v>
      </c>
    </row>
    <row r="91" spans="1:28" x14ac:dyDescent="0.2">
      <c r="A91" t="s">
        <v>2251</v>
      </c>
      <c r="B91" t="s">
        <v>4</v>
      </c>
      <c r="C91" t="s">
        <v>4</v>
      </c>
      <c r="D91" t="s">
        <v>4</v>
      </c>
      <c r="E91" t="s">
        <v>4</v>
      </c>
      <c r="F91" t="s">
        <v>2331</v>
      </c>
      <c r="G91" t="s">
        <v>6</v>
      </c>
      <c r="H91" t="s">
        <v>2376</v>
      </c>
      <c r="I91" s="5">
        <v>0</v>
      </c>
      <c r="J91" s="5">
        <v>0</v>
      </c>
      <c r="K91" s="5">
        <v>0</v>
      </c>
      <c r="L91" s="3"/>
      <c r="M91" s="3"/>
      <c r="N91" s="3"/>
      <c r="O91" t="s">
        <v>4</v>
      </c>
      <c r="P91" t="s">
        <v>9</v>
      </c>
      <c r="Q91" s="4">
        <v>0</v>
      </c>
      <c r="R91" t="s">
        <v>4</v>
      </c>
      <c r="S91" t="s">
        <v>4</v>
      </c>
      <c r="T91" t="s">
        <v>2256</v>
      </c>
      <c r="U91" t="s">
        <v>4</v>
      </c>
      <c r="V91" s="5">
        <v>0</v>
      </c>
      <c r="W91" s="5">
        <v>0</v>
      </c>
      <c r="X91" s="2">
        <v>0</v>
      </c>
      <c r="Y91" t="s">
        <v>4</v>
      </c>
      <c r="Z91" t="s">
        <v>2351</v>
      </c>
      <c r="AA91" t="s">
        <v>4</v>
      </c>
      <c r="AB91" t="s">
        <v>4</v>
      </c>
    </row>
    <row r="92" spans="1:28" x14ac:dyDescent="0.2">
      <c r="A92" t="s">
        <v>2251</v>
      </c>
      <c r="B92" t="s">
        <v>4</v>
      </c>
      <c r="C92" t="s">
        <v>4</v>
      </c>
      <c r="D92" t="s">
        <v>4</v>
      </c>
      <c r="E92" t="s">
        <v>4</v>
      </c>
      <c r="F92" t="s">
        <v>2331</v>
      </c>
      <c r="G92" t="s">
        <v>6</v>
      </c>
      <c r="H92" t="s">
        <v>2377</v>
      </c>
      <c r="I92" s="5">
        <v>0</v>
      </c>
      <c r="J92" s="5">
        <v>0</v>
      </c>
      <c r="K92" s="5">
        <v>0</v>
      </c>
      <c r="L92" s="3"/>
      <c r="M92" s="3"/>
      <c r="N92" s="3"/>
      <c r="O92" t="s">
        <v>4</v>
      </c>
      <c r="P92" t="s">
        <v>9</v>
      </c>
      <c r="Q92" s="4">
        <v>0</v>
      </c>
      <c r="R92" t="s">
        <v>4</v>
      </c>
      <c r="S92" t="s">
        <v>4</v>
      </c>
      <c r="T92" t="s">
        <v>2256</v>
      </c>
      <c r="U92" t="s">
        <v>4</v>
      </c>
      <c r="V92" s="5">
        <v>0</v>
      </c>
      <c r="W92" s="5">
        <v>0</v>
      </c>
      <c r="X92" s="2">
        <v>0</v>
      </c>
      <c r="Y92" t="s">
        <v>4</v>
      </c>
      <c r="Z92" t="s">
        <v>2351</v>
      </c>
      <c r="AA92" t="s">
        <v>4</v>
      </c>
      <c r="AB92" t="s">
        <v>4</v>
      </c>
    </row>
    <row r="93" spans="1:28" x14ac:dyDescent="0.2">
      <c r="A93" t="s">
        <v>2251</v>
      </c>
      <c r="B93" t="s">
        <v>4</v>
      </c>
      <c r="C93" t="s">
        <v>4</v>
      </c>
      <c r="D93" t="s">
        <v>4</v>
      </c>
      <c r="E93" t="s">
        <v>4</v>
      </c>
      <c r="F93" t="s">
        <v>2331</v>
      </c>
      <c r="G93" t="s">
        <v>6</v>
      </c>
      <c r="H93" t="s">
        <v>2378</v>
      </c>
      <c r="I93" s="5">
        <v>0</v>
      </c>
      <c r="J93" s="5">
        <v>0</v>
      </c>
      <c r="K93" s="5">
        <v>0</v>
      </c>
      <c r="L93" s="3"/>
      <c r="M93" s="3"/>
      <c r="N93" s="3"/>
      <c r="O93" t="s">
        <v>4</v>
      </c>
      <c r="P93" t="s">
        <v>9</v>
      </c>
      <c r="Q93" s="4">
        <v>0</v>
      </c>
      <c r="R93" t="s">
        <v>4</v>
      </c>
      <c r="S93" t="s">
        <v>4</v>
      </c>
      <c r="T93" t="s">
        <v>2256</v>
      </c>
      <c r="U93" t="s">
        <v>4</v>
      </c>
      <c r="V93" s="5">
        <v>0</v>
      </c>
      <c r="W93" s="5">
        <v>0</v>
      </c>
      <c r="X93" s="2">
        <v>0</v>
      </c>
      <c r="Y93" t="s">
        <v>4</v>
      </c>
      <c r="Z93" t="s">
        <v>2351</v>
      </c>
      <c r="AA93" t="s">
        <v>4</v>
      </c>
      <c r="AB93" t="s">
        <v>4</v>
      </c>
    </row>
    <row r="94" spans="1:28" x14ac:dyDescent="0.2">
      <c r="A94" t="s">
        <v>2251</v>
      </c>
      <c r="B94" t="s">
        <v>4</v>
      </c>
      <c r="C94" t="s">
        <v>4</v>
      </c>
      <c r="D94" t="s">
        <v>4</v>
      </c>
      <c r="E94" t="s">
        <v>4</v>
      </c>
      <c r="F94" t="s">
        <v>2331</v>
      </c>
      <c r="G94" t="s">
        <v>6</v>
      </c>
      <c r="H94" t="s">
        <v>2379</v>
      </c>
      <c r="I94" s="5">
        <v>0</v>
      </c>
      <c r="J94" s="5">
        <v>0</v>
      </c>
      <c r="K94" s="5">
        <v>0</v>
      </c>
      <c r="L94" s="3"/>
      <c r="M94" s="3"/>
      <c r="N94" s="3"/>
      <c r="O94" t="s">
        <v>4</v>
      </c>
      <c r="P94" t="s">
        <v>9</v>
      </c>
      <c r="Q94" s="4">
        <v>0</v>
      </c>
      <c r="R94" t="s">
        <v>4</v>
      </c>
      <c r="S94" t="s">
        <v>4</v>
      </c>
      <c r="T94" t="s">
        <v>2256</v>
      </c>
      <c r="U94" t="s">
        <v>4</v>
      </c>
      <c r="V94" s="5">
        <v>0</v>
      </c>
      <c r="W94" s="5">
        <v>0</v>
      </c>
      <c r="X94" s="2">
        <v>0</v>
      </c>
      <c r="Y94" t="s">
        <v>4</v>
      </c>
      <c r="Z94" t="s">
        <v>2351</v>
      </c>
      <c r="AA94" t="s">
        <v>4</v>
      </c>
      <c r="AB94" t="s">
        <v>4</v>
      </c>
    </row>
    <row r="95" spans="1:28" x14ac:dyDescent="0.2">
      <c r="A95" t="s">
        <v>2251</v>
      </c>
      <c r="B95" t="s">
        <v>4</v>
      </c>
      <c r="C95" t="s">
        <v>4</v>
      </c>
      <c r="D95" t="s">
        <v>4</v>
      </c>
      <c r="E95" t="s">
        <v>4</v>
      </c>
      <c r="F95" t="s">
        <v>2331</v>
      </c>
      <c r="G95" t="s">
        <v>6</v>
      </c>
      <c r="H95" t="s">
        <v>2380</v>
      </c>
      <c r="I95" s="5">
        <v>0</v>
      </c>
      <c r="J95" s="5">
        <v>0</v>
      </c>
      <c r="K95" s="5">
        <v>0</v>
      </c>
      <c r="L95" s="3"/>
      <c r="M95" s="3"/>
      <c r="N95" s="3"/>
      <c r="O95" t="s">
        <v>4</v>
      </c>
      <c r="P95" t="s">
        <v>9</v>
      </c>
      <c r="Q95" s="4">
        <v>0</v>
      </c>
      <c r="R95" t="s">
        <v>4</v>
      </c>
      <c r="S95" t="s">
        <v>4</v>
      </c>
      <c r="T95" t="s">
        <v>2256</v>
      </c>
      <c r="U95" t="s">
        <v>4</v>
      </c>
      <c r="V95" s="5">
        <v>0</v>
      </c>
      <c r="W95" s="5">
        <v>0</v>
      </c>
      <c r="X95" s="2">
        <v>0</v>
      </c>
      <c r="Y95" t="s">
        <v>4</v>
      </c>
      <c r="Z95" t="s">
        <v>2351</v>
      </c>
      <c r="AA95" t="s">
        <v>4</v>
      </c>
      <c r="AB95" t="s">
        <v>4</v>
      </c>
    </row>
    <row r="96" spans="1:28" x14ac:dyDescent="0.2">
      <c r="A96" t="s">
        <v>2251</v>
      </c>
      <c r="B96" t="s">
        <v>4</v>
      </c>
      <c r="C96" t="s">
        <v>4</v>
      </c>
      <c r="D96" t="s">
        <v>4</v>
      </c>
      <c r="E96" t="s">
        <v>4</v>
      </c>
      <c r="F96" t="s">
        <v>2331</v>
      </c>
      <c r="G96" t="s">
        <v>6</v>
      </c>
      <c r="H96" t="s">
        <v>2381</v>
      </c>
      <c r="I96" s="5">
        <v>0</v>
      </c>
      <c r="J96" s="5">
        <v>0</v>
      </c>
      <c r="K96" s="5">
        <v>0</v>
      </c>
      <c r="L96" s="3"/>
      <c r="M96" s="3"/>
      <c r="N96" s="3"/>
      <c r="O96" t="s">
        <v>4</v>
      </c>
      <c r="P96" t="s">
        <v>9</v>
      </c>
      <c r="Q96" s="4">
        <v>0</v>
      </c>
      <c r="R96" t="s">
        <v>4</v>
      </c>
      <c r="S96" t="s">
        <v>4</v>
      </c>
      <c r="T96" t="s">
        <v>2256</v>
      </c>
      <c r="U96" t="s">
        <v>4</v>
      </c>
      <c r="V96" s="5">
        <v>0</v>
      </c>
      <c r="W96" s="5">
        <v>0</v>
      </c>
      <c r="X96" s="2">
        <v>0</v>
      </c>
      <c r="Y96" t="s">
        <v>4</v>
      </c>
      <c r="Z96" t="s">
        <v>2351</v>
      </c>
      <c r="AA96" t="s">
        <v>4</v>
      </c>
      <c r="AB96" t="s">
        <v>4</v>
      </c>
    </row>
    <row r="97" spans="1:28" x14ac:dyDescent="0.2">
      <c r="A97" t="s">
        <v>2251</v>
      </c>
      <c r="B97" t="s">
        <v>4</v>
      </c>
      <c r="C97" t="s">
        <v>4</v>
      </c>
      <c r="D97" t="s">
        <v>4</v>
      </c>
      <c r="E97" t="s">
        <v>4</v>
      </c>
      <c r="F97" t="s">
        <v>2331</v>
      </c>
      <c r="G97" t="s">
        <v>6</v>
      </c>
      <c r="H97" t="s">
        <v>2382</v>
      </c>
      <c r="I97" s="5">
        <v>0</v>
      </c>
      <c r="J97" s="5">
        <v>0</v>
      </c>
      <c r="K97" s="5">
        <v>0</v>
      </c>
      <c r="L97" s="3"/>
      <c r="M97" s="3"/>
      <c r="N97" s="3"/>
      <c r="O97" t="s">
        <v>4</v>
      </c>
      <c r="P97" t="s">
        <v>9</v>
      </c>
      <c r="Q97" s="4">
        <v>0</v>
      </c>
      <c r="R97" t="s">
        <v>4</v>
      </c>
      <c r="S97" t="s">
        <v>4</v>
      </c>
      <c r="T97" t="s">
        <v>2256</v>
      </c>
      <c r="U97" t="s">
        <v>4</v>
      </c>
      <c r="V97" s="5">
        <v>0</v>
      </c>
      <c r="W97" s="5">
        <v>0</v>
      </c>
      <c r="X97" s="2">
        <v>0</v>
      </c>
      <c r="Y97" t="s">
        <v>4</v>
      </c>
      <c r="Z97" t="s">
        <v>2351</v>
      </c>
      <c r="AA97" t="s">
        <v>4</v>
      </c>
      <c r="AB97" t="s">
        <v>4</v>
      </c>
    </row>
    <row r="98" spans="1:28" x14ac:dyDescent="0.2">
      <c r="A98" t="s">
        <v>2251</v>
      </c>
      <c r="B98" t="s">
        <v>4</v>
      </c>
      <c r="C98" t="s">
        <v>4</v>
      </c>
      <c r="D98" t="s">
        <v>4</v>
      </c>
      <c r="E98" t="s">
        <v>4</v>
      </c>
      <c r="F98" t="s">
        <v>2331</v>
      </c>
      <c r="G98" t="s">
        <v>6</v>
      </c>
      <c r="H98" t="s">
        <v>2383</v>
      </c>
      <c r="I98" s="5">
        <v>0</v>
      </c>
      <c r="J98" s="5">
        <v>0</v>
      </c>
      <c r="K98" s="5">
        <v>0</v>
      </c>
      <c r="L98" s="3"/>
      <c r="M98" s="3"/>
      <c r="N98" s="3"/>
      <c r="O98" t="s">
        <v>4</v>
      </c>
      <c r="P98" t="s">
        <v>9</v>
      </c>
      <c r="Q98" s="4">
        <v>0</v>
      </c>
      <c r="R98" t="s">
        <v>4</v>
      </c>
      <c r="S98" t="s">
        <v>4</v>
      </c>
      <c r="T98" t="s">
        <v>2256</v>
      </c>
      <c r="U98" t="s">
        <v>4</v>
      </c>
      <c r="V98" s="5">
        <v>0</v>
      </c>
      <c r="W98" s="5">
        <v>0</v>
      </c>
      <c r="X98" s="2">
        <v>0</v>
      </c>
      <c r="Y98" t="s">
        <v>4</v>
      </c>
      <c r="Z98" t="s">
        <v>2351</v>
      </c>
      <c r="AA98" t="s">
        <v>4</v>
      </c>
      <c r="AB98" t="s">
        <v>4</v>
      </c>
    </row>
    <row r="99" spans="1:28" x14ac:dyDescent="0.2">
      <c r="A99" t="s">
        <v>2251</v>
      </c>
      <c r="B99" t="s">
        <v>4</v>
      </c>
      <c r="C99" t="s">
        <v>4</v>
      </c>
      <c r="D99" t="s">
        <v>4</v>
      </c>
      <c r="E99" t="s">
        <v>4</v>
      </c>
      <c r="F99" t="s">
        <v>2331</v>
      </c>
      <c r="G99" t="s">
        <v>6</v>
      </c>
      <c r="H99" t="s">
        <v>2384</v>
      </c>
      <c r="I99" s="5">
        <v>0</v>
      </c>
      <c r="J99" s="5">
        <v>0</v>
      </c>
      <c r="K99" s="5">
        <v>0</v>
      </c>
      <c r="L99" s="3"/>
      <c r="M99" s="3"/>
      <c r="N99" s="3"/>
      <c r="O99" t="s">
        <v>4</v>
      </c>
      <c r="P99" t="s">
        <v>9</v>
      </c>
      <c r="Q99" s="4">
        <v>0</v>
      </c>
      <c r="R99" t="s">
        <v>4</v>
      </c>
      <c r="S99" t="s">
        <v>4</v>
      </c>
      <c r="T99" t="s">
        <v>2256</v>
      </c>
      <c r="U99" t="s">
        <v>4</v>
      </c>
      <c r="V99" s="5">
        <v>0</v>
      </c>
      <c r="W99" s="5">
        <v>0</v>
      </c>
      <c r="X99" s="2">
        <v>0</v>
      </c>
      <c r="Y99" t="s">
        <v>4</v>
      </c>
      <c r="Z99" t="s">
        <v>2351</v>
      </c>
      <c r="AA99" t="s">
        <v>4</v>
      </c>
      <c r="AB99" t="s">
        <v>4</v>
      </c>
    </row>
    <row r="100" spans="1:28" x14ac:dyDescent="0.2">
      <c r="A100" t="s">
        <v>2251</v>
      </c>
      <c r="B100" t="s">
        <v>4</v>
      </c>
      <c r="C100" t="s">
        <v>4</v>
      </c>
      <c r="D100" t="s">
        <v>4</v>
      </c>
      <c r="E100" t="s">
        <v>4</v>
      </c>
      <c r="F100" t="s">
        <v>2331</v>
      </c>
      <c r="G100" t="s">
        <v>6</v>
      </c>
      <c r="H100" t="s">
        <v>2385</v>
      </c>
      <c r="I100" s="5">
        <v>0</v>
      </c>
      <c r="J100" s="5">
        <v>0</v>
      </c>
      <c r="K100" s="5">
        <v>0</v>
      </c>
      <c r="L100" s="3"/>
      <c r="M100" s="3"/>
      <c r="N100" s="3"/>
      <c r="O100" t="s">
        <v>4</v>
      </c>
      <c r="P100" t="s">
        <v>9</v>
      </c>
      <c r="Q100" s="4">
        <v>0</v>
      </c>
      <c r="R100" t="s">
        <v>4</v>
      </c>
      <c r="S100" t="s">
        <v>4</v>
      </c>
      <c r="T100" t="s">
        <v>2256</v>
      </c>
      <c r="U100" t="s">
        <v>4</v>
      </c>
      <c r="V100" s="5">
        <v>0</v>
      </c>
      <c r="W100" s="5">
        <v>0</v>
      </c>
      <c r="X100" s="2">
        <v>0</v>
      </c>
      <c r="Y100" t="s">
        <v>4</v>
      </c>
      <c r="Z100" t="s">
        <v>4</v>
      </c>
      <c r="AA100" t="s">
        <v>4</v>
      </c>
      <c r="AB100" t="s">
        <v>4</v>
      </c>
    </row>
    <row r="101" spans="1:28" x14ac:dyDescent="0.2">
      <c r="A101" t="s">
        <v>2039</v>
      </c>
      <c r="B101" t="s">
        <v>2</v>
      </c>
      <c r="C101" t="s">
        <v>3</v>
      </c>
      <c r="D101" t="s">
        <v>4</v>
      </c>
      <c r="E101" t="s">
        <v>4</v>
      </c>
      <c r="F101" t="s">
        <v>2331</v>
      </c>
      <c r="G101" t="s">
        <v>6</v>
      </c>
      <c r="H101" t="s">
        <v>2386</v>
      </c>
      <c r="I101" s="2">
        <v>108</v>
      </c>
      <c r="J101" s="2">
        <v>0</v>
      </c>
      <c r="K101" s="2">
        <v>0</v>
      </c>
      <c r="L101" s="3">
        <v>45858</v>
      </c>
      <c r="M101" s="3">
        <v>45858</v>
      </c>
      <c r="N101" s="3"/>
      <c r="O101" t="s">
        <v>2387</v>
      </c>
      <c r="P101" t="s">
        <v>9</v>
      </c>
      <c r="Q101" s="4">
        <v>0.35718749999999999</v>
      </c>
      <c r="R101" t="s">
        <v>2331</v>
      </c>
      <c r="S101" t="s">
        <v>4</v>
      </c>
      <c r="T101" t="s">
        <v>2337</v>
      </c>
      <c r="U101" t="s">
        <v>10</v>
      </c>
      <c r="V101" s="5">
        <v>0</v>
      </c>
      <c r="W101" s="5">
        <v>0</v>
      </c>
      <c r="X101" s="2">
        <v>0</v>
      </c>
      <c r="Y101" t="s">
        <v>4</v>
      </c>
      <c r="Z101" t="s">
        <v>4</v>
      </c>
      <c r="AA101" t="s">
        <v>4</v>
      </c>
      <c r="AB101" t="s">
        <v>4</v>
      </c>
    </row>
    <row r="102" spans="1:28" x14ac:dyDescent="0.2">
      <c r="A102" t="s">
        <v>1569</v>
      </c>
      <c r="B102" t="s">
        <v>2</v>
      </c>
      <c r="C102" t="s">
        <v>3</v>
      </c>
      <c r="D102" t="s">
        <v>4</v>
      </c>
      <c r="E102" t="s">
        <v>4</v>
      </c>
      <c r="F102" t="s">
        <v>2331</v>
      </c>
      <c r="G102" t="s">
        <v>6</v>
      </c>
      <c r="H102" t="s">
        <v>2388</v>
      </c>
      <c r="I102" s="2">
        <v>40</v>
      </c>
      <c r="J102" s="2">
        <v>0</v>
      </c>
      <c r="K102" s="2">
        <v>0</v>
      </c>
      <c r="L102" s="3">
        <v>45853</v>
      </c>
      <c r="M102" s="3">
        <v>45853</v>
      </c>
      <c r="N102" s="3"/>
      <c r="O102" t="s">
        <v>2389</v>
      </c>
      <c r="P102" t="s">
        <v>9</v>
      </c>
      <c r="Q102" s="4">
        <v>0.63118055555555996</v>
      </c>
      <c r="R102" t="s">
        <v>2331</v>
      </c>
      <c r="S102" t="s">
        <v>4</v>
      </c>
      <c r="T102" t="s">
        <v>2272</v>
      </c>
      <c r="U102" t="s">
        <v>10</v>
      </c>
      <c r="V102" s="5">
        <v>0</v>
      </c>
      <c r="W102" s="5">
        <v>0</v>
      </c>
      <c r="X102" s="2">
        <v>0</v>
      </c>
      <c r="Y102" t="s">
        <v>4</v>
      </c>
      <c r="Z102" t="s">
        <v>4</v>
      </c>
      <c r="AA102" t="s">
        <v>4</v>
      </c>
      <c r="AB102" t="s">
        <v>4</v>
      </c>
    </row>
    <row r="103" spans="1:28" x14ac:dyDescent="0.2">
      <c r="A103" t="s">
        <v>1569</v>
      </c>
      <c r="B103" t="s">
        <v>2</v>
      </c>
      <c r="C103" t="s">
        <v>3</v>
      </c>
      <c r="D103" t="s">
        <v>4</v>
      </c>
      <c r="E103" t="s">
        <v>4</v>
      </c>
      <c r="F103" t="s">
        <v>2331</v>
      </c>
      <c r="G103" t="s">
        <v>6</v>
      </c>
      <c r="H103" t="s">
        <v>2388</v>
      </c>
      <c r="I103" s="2">
        <v>40</v>
      </c>
      <c r="J103" s="2">
        <v>0</v>
      </c>
      <c r="K103" s="2">
        <v>0</v>
      </c>
      <c r="L103" s="3">
        <v>45853</v>
      </c>
      <c r="M103" s="3">
        <v>45853</v>
      </c>
      <c r="N103" s="3"/>
      <c r="O103" t="s">
        <v>2390</v>
      </c>
      <c r="P103" t="s">
        <v>9</v>
      </c>
      <c r="Q103" s="4">
        <v>0.63118055555555996</v>
      </c>
      <c r="R103" t="s">
        <v>2331</v>
      </c>
      <c r="S103" t="s">
        <v>4</v>
      </c>
      <c r="T103" t="s">
        <v>2272</v>
      </c>
      <c r="U103" t="s">
        <v>10</v>
      </c>
      <c r="V103" s="5">
        <v>0</v>
      </c>
      <c r="W103" s="5">
        <v>0</v>
      </c>
      <c r="X103" s="2">
        <v>0</v>
      </c>
      <c r="Y103" t="s">
        <v>4</v>
      </c>
      <c r="Z103" t="s">
        <v>4</v>
      </c>
      <c r="AA103" t="s">
        <v>4</v>
      </c>
      <c r="AB103" t="s">
        <v>4</v>
      </c>
    </row>
    <row r="104" spans="1:28" x14ac:dyDescent="0.2">
      <c r="A104" t="s">
        <v>1573</v>
      </c>
      <c r="B104" t="s">
        <v>2</v>
      </c>
      <c r="C104" t="s">
        <v>3</v>
      </c>
      <c r="D104" t="s">
        <v>4</v>
      </c>
      <c r="E104" t="s">
        <v>4</v>
      </c>
      <c r="F104" t="s">
        <v>2331</v>
      </c>
      <c r="G104" t="s">
        <v>6</v>
      </c>
      <c r="H104" t="s">
        <v>2391</v>
      </c>
      <c r="I104" s="2">
        <v>45</v>
      </c>
      <c r="J104" s="2">
        <v>0</v>
      </c>
      <c r="K104" s="2">
        <v>0</v>
      </c>
      <c r="L104" s="3">
        <v>45860</v>
      </c>
      <c r="M104" s="3">
        <v>45860</v>
      </c>
      <c r="N104" s="3"/>
      <c r="O104" t="s">
        <v>2392</v>
      </c>
      <c r="P104" t="s">
        <v>9</v>
      </c>
      <c r="Q104" s="4">
        <v>0.46118055555555998</v>
      </c>
      <c r="R104" t="s">
        <v>2331</v>
      </c>
      <c r="S104" t="s">
        <v>4</v>
      </c>
      <c r="T104" t="s">
        <v>2256</v>
      </c>
      <c r="U104" t="s">
        <v>10</v>
      </c>
      <c r="V104" s="5">
        <v>0</v>
      </c>
      <c r="W104" s="5">
        <v>0</v>
      </c>
      <c r="X104" s="2">
        <v>0</v>
      </c>
      <c r="Y104" t="s">
        <v>4</v>
      </c>
      <c r="Z104" t="s">
        <v>4</v>
      </c>
      <c r="AA104" t="s">
        <v>4</v>
      </c>
      <c r="AB104" t="s">
        <v>4</v>
      </c>
    </row>
    <row r="105" spans="1:28" x14ac:dyDescent="0.2">
      <c r="A105" t="s">
        <v>1573</v>
      </c>
      <c r="B105" t="s">
        <v>2</v>
      </c>
      <c r="C105" t="s">
        <v>3</v>
      </c>
      <c r="D105" t="s">
        <v>4</v>
      </c>
      <c r="E105" t="s">
        <v>4</v>
      </c>
      <c r="F105" t="s">
        <v>2331</v>
      </c>
      <c r="G105" t="s">
        <v>6</v>
      </c>
      <c r="H105" t="s">
        <v>2391</v>
      </c>
      <c r="I105" s="2">
        <v>45</v>
      </c>
      <c r="J105" s="2">
        <v>0</v>
      </c>
      <c r="K105" s="2">
        <v>0</v>
      </c>
      <c r="L105" s="3">
        <v>45860</v>
      </c>
      <c r="M105" s="3">
        <v>45860</v>
      </c>
      <c r="N105" s="3"/>
      <c r="O105" t="s">
        <v>2393</v>
      </c>
      <c r="P105" t="s">
        <v>9</v>
      </c>
      <c r="Q105" s="4">
        <v>0.46118055555555998</v>
      </c>
      <c r="R105" t="s">
        <v>2331</v>
      </c>
      <c r="S105" t="s">
        <v>4</v>
      </c>
      <c r="T105" t="s">
        <v>2256</v>
      </c>
      <c r="U105" t="s">
        <v>10</v>
      </c>
      <c r="V105" s="5">
        <v>0</v>
      </c>
      <c r="W105" s="5">
        <v>0</v>
      </c>
      <c r="X105" s="2">
        <v>0</v>
      </c>
      <c r="Y105" t="s">
        <v>4</v>
      </c>
      <c r="Z105" t="s">
        <v>4</v>
      </c>
      <c r="AA105" t="s">
        <v>4</v>
      </c>
      <c r="AB105" t="s">
        <v>4</v>
      </c>
    </row>
    <row r="106" spans="1:28" x14ac:dyDescent="0.2">
      <c r="A106" t="s">
        <v>2043</v>
      </c>
      <c r="B106" t="s">
        <v>2</v>
      </c>
      <c r="C106" t="s">
        <v>3</v>
      </c>
      <c r="D106" t="s">
        <v>4</v>
      </c>
      <c r="E106" t="s">
        <v>4</v>
      </c>
      <c r="F106" t="s">
        <v>2331</v>
      </c>
      <c r="G106" t="s">
        <v>6</v>
      </c>
      <c r="H106" t="s">
        <v>2394</v>
      </c>
      <c r="I106" s="2">
        <v>108</v>
      </c>
      <c r="J106" s="2">
        <v>0</v>
      </c>
      <c r="K106" s="2">
        <v>0</v>
      </c>
      <c r="L106" s="3">
        <v>45855</v>
      </c>
      <c r="M106" s="3">
        <v>45855</v>
      </c>
      <c r="N106" s="3"/>
      <c r="O106" t="s">
        <v>2395</v>
      </c>
      <c r="P106" t="s">
        <v>9</v>
      </c>
      <c r="Q106" s="4">
        <v>0.45418981481481002</v>
      </c>
      <c r="R106" t="s">
        <v>2331</v>
      </c>
      <c r="S106" t="s">
        <v>4</v>
      </c>
      <c r="T106" t="s">
        <v>2350</v>
      </c>
      <c r="U106" t="s">
        <v>10</v>
      </c>
      <c r="V106" s="5">
        <v>0</v>
      </c>
      <c r="W106" s="5">
        <v>0</v>
      </c>
      <c r="X106" s="2">
        <v>0</v>
      </c>
      <c r="Y106" t="s">
        <v>4</v>
      </c>
      <c r="Z106" t="s">
        <v>4</v>
      </c>
      <c r="AA106" t="s">
        <v>4</v>
      </c>
      <c r="AB106" t="s">
        <v>4</v>
      </c>
    </row>
    <row r="107" spans="1:28" x14ac:dyDescent="0.2">
      <c r="A107" t="s">
        <v>1466</v>
      </c>
      <c r="B107" t="s">
        <v>2</v>
      </c>
      <c r="C107" t="s">
        <v>3</v>
      </c>
      <c r="D107" t="s">
        <v>4</v>
      </c>
      <c r="E107" t="s">
        <v>4</v>
      </c>
      <c r="F107" t="s">
        <v>2331</v>
      </c>
      <c r="G107" t="s">
        <v>6</v>
      </c>
      <c r="H107" t="s">
        <v>2396</v>
      </c>
      <c r="I107" s="2">
        <v>60</v>
      </c>
      <c r="J107" s="2">
        <v>0</v>
      </c>
      <c r="K107" s="2">
        <v>0</v>
      </c>
      <c r="L107" s="3">
        <v>45856</v>
      </c>
      <c r="M107" s="3">
        <v>45856</v>
      </c>
      <c r="N107" s="3"/>
      <c r="O107" t="s">
        <v>2397</v>
      </c>
      <c r="P107" t="s">
        <v>9</v>
      </c>
      <c r="Q107" s="4">
        <v>0.64578703703703999</v>
      </c>
      <c r="R107" t="s">
        <v>2331</v>
      </c>
      <c r="S107" t="s">
        <v>4</v>
      </c>
      <c r="T107" t="s">
        <v>2260</v>
      </c>
      <c r="U107" t="s">
        <v>10</v>
      </c>
      <c r="V107" s="5">
        <v>0</v>
      </c>
      <c r="W107" s="5">
        <v>0</v>
      </c>
      <c r="X107" s="2">
        <v>0</v>
      </c>
      <c r="Y107" t="s">
        <v>4</v>
      </c>
      <c r="Z107" t="s">
        <v>4</v>
      </c>
      <c r="AA107" t="s">
        <v>4</v>
      </c>
      <c r="AB107" t="s">
        <v>4</v>
      </c>
    </row>
    <row r="108" spans="1:28" x14ac:dyDescent="0.2">
      <c r="A108" t="s">
        <v>1466</v>
      </c>
      <c r="B108" t="s">
        <v>2</v>
      </c>
      <c r="C108" t="s">
        <v>3</v>
      </c>
      <c r="D108" t="s">
        <v>4</v>
      </c>
      <c r="E108" t="s">
        <v>4</v>
      </c>
      <c r="F108" t="s">
        <v>2331</v>
      </c>
      <c r="G108" t="s">
        <v>6</v>
      </c>
      <c r="H108" t="s">
        <v>2396</v>
      </c>
      <c r="I108" s="2">
        <v>60</v>
      </c>
      <c r="J108" s="2">
        <v>0</v>
      </c>
      <c r="K108" s="2">
        <v>0</v>
      </c>
      <c r="L108" s="3">
        <v>45856</v>
      </c>
      <c r="M108" s="3">
        <v>45856</v>
      </c>
      <c r="N108" s="3"/>
      <c r="O108" t="s">
        <v>2398</v>
      </c>
      <c r="P108" t="s">
        <v>9</v>
      </c>
      <c r="Q108" s="4">
        <v>0.64578703703703999</v>
      </c>
      <c r="R108" t="s">
        <v>2331</v>
      </c>
      <c r="S108" t="s">
        <v>4</v>
      </c>
      <c r="T108" t="s">
        <v>2260</v>
      </c>
      <c r="U108" t="s">
        <v>10</v>
      </c>
      <c r="V108" s="5">
        <v>0</v>
      </c>
      <c r="W108" s="5">
        <v>0</v>
      </c>
      <c r="X108" s="2">
        <v>0</v>
      </c>
      <c r="Y108" t="s">
        <v>4</v>
      </c>
      <c r="Z108" t="s">
        <v>4</v>
      </c>
      <c r="AA108" t="s">
        <v>4</v>
      </c>
      <c r="AB108" t="s">
        <v>4</v>
      </c>
    </row>
    <row r="109" spans="1:28" x14ac:dyDescent="0.2">
      <c r="A109" t="s">
        <v>2039</v>
      </c>
      <c r="B109" t="s">
        <v>2</v>
      </c>
      <c r="C109" t="s">
        <v>3</v>
      </c>
      <c r="D109" t="s">
        <v>4</v>
      </c>
      <c r="E109" t="s">
        <v>4</v>
      </c>
      <c r="F109" t="s">
        <v>2331</v>
      </c>
      <c r="G109" t="s">
        <v>6</v>
      </c>
      <c r="H109" t="s">
        <v>2399</v>
      </c>
      <c r="I109" s="2">
        <v>108</v>
      </c>
      <c r="J109" s="2">
        <v>0</v>
      </c>
      <c r="K109" s="2">
        <v>0</v>
      </c>
      <c r="L109" s="3">
        <v>45858</v>
      </c>
      <c r="M109" s="3">
        <v>45858</v>
      </c>
      <c r="N109" s="3"/>
      <c r="O109" t="s">
        <v>2400</v>
      </c>
      <c r="P109" t="s">
        <v>9</v>
      </c>
      <c r="Q109" s="4">
        <v>0.39319444444444002</v>
      </c>
      <c r="R109" t="s">
        <v>2331</v>
      </c>
      <c r="S109" t="s">
        <v>4</v>
      </c>
      <c r="T109" t="s">
        <v>2337</v>
      </c>
      <c r="U109" t="s">
        <v>10</v>
      </c>
      <c r="V109" s="5">
        <v>0</v>
      </c>
      <c r="W109" s="5">
        <v>0</v>
      </c>
      <c r="X109" s="2">
        <v>0</v>
      </c>
      <c r="Y109" t="s">
        <v>4</v>
      </c>
      <c r="Z109" t="s">
        <v>4</v>
      </c>
      <c r="AA109" t="s">
        <v>4</v>
      </c>
      <c r="AB109" t="s">
        <v>4</v>
      </c>
    </row>
    <row r="110" spans="1:28" x14ac:dyDescent="0.2">
      <c r="A110" t="s">
        <v>2039</v>
      </c>
      <c r="B110" t="s">
        <v>2</v>
      </c>
      <c r="C110" t="s">
        <v>3</v>
      </c>
      <c r="D110" t="s">
        <v>4</v>
      </c>
      <c r="E110" t="s">
        <v>4</v>
      </c>
      <c r="F110" t="s">
        <v>2331</v>
      </c>
      <c r="G110" t="s">
        <v>6</v>
      </c>
      <c r="H110" t="s">
        <v>2399</v>
      </c>
      <c r="I110" s="2">
        <v>108</v>
      </c>
      <c r="J110" s="2">
        <v>0</v>
      </c>
      <c r="K110" s="2">
        <v>0</v>
      </c>
      <c r="L110" s="3">
        <v>45858</v>
      </c>
      <c r="M110" s="3">
        <v>45858</v>
      </c>
      <c r="N110" s="3"/>
      <c r="O110" t="s">
        <v>2401</v>
      </c>
      <c r="P110" t="s">
        <v>9</v>
      </c>
      <c r="Q110" s="4">
        <v>0.39319444444444002</v>
      </c>
      <c r="R110" t="s">
        <v>2331</v>
      </c>
      <c r="S110" t="s">
        <v>4</v>
      </c>
      <c r="T110" t="s">
        <v>2337</v>
      </c>
      <c r="U110" t="s">
        <v>10</v>
      </c>
      <c r="V110" s="5">
        <v>0</v>
      </c>
      <c r="W110" s="5">
        <v>0</v>
      </c>
      <c r="X110" s="2">
        <v>0</v>
      </c>
      <c r="Y110" t="s">
        <v>4</v>
      </c>
      <c r="Z110" t="s">
        <v>4</v>
      </c>
      <c r="AA110" t="s">
        <v>4</v>
      </c>
      <c r="AB110" t="s">
        <v>4</v>
      </c>
    </row>
    <row r="111" spans="1:28" x14ac:dyDescent="0.2">
      <c r="A111" t="s">
        <v>2043</v>
      </c>
      <c r="B111" t="s">
        <v>2</v>
      </c>
      <c r="C111" t="s">
        <v>3</v>
      </c>
      <c r="D111" t="s">
        <v>4</v>
      </c>
      <c r="E111" t="s">
        <v>4</v>
      </c>
      <c r="F111" t="s">
        <v>2331</v>
      </c>
      <c r="G111" t="s">
        <v>6</v>
      </c>
      <c r="H111" t="s">
        <v>2402</v>
      </c>
      <c r="I111" s="2">
        <v>108</v>
      </c>
      <c r="J111" s="2">
        <v>0</v>
      </c>
      <c r="K111" s="2">
        <v>0</v>
      </c>
      <c r="L111" s="3">
        <v>45859</v>
      </c>
      <c r="M111" s="3">
        <v>45859</v>
      </c>
      <c r="N111" s="3"/>
      <c r="O111" t="s">
        <v>2403</v>
      </c>
      <c r="P111" t="s">
        <v>9</v>
      </c>
      <c r="Q111" s="4">
        <v>0.90620370370369996</v>
      </c>
      <c r="R111" t="s">
        <v>2331</v>
      </c>
      <c r="S111" t="s">
        <v>4</v>
      </c>
      <c r="T111" t="s">
        <v>2261</v>
      </c>
      <c r="U111" t="s">
        <v>10</v>
      </c>
      <c r="V111" s="5">
        <v>0</v>
      </c>
      <c r="W111" s="5">
        <v>0</v>
      </c>
      <c r="X111" s="2">
        <v>0</v>
      </c>
      <c r="Y111" t="s">
        <v>4</v>
      </c>
      <c r="Z111" t="s">
        <v>4</v>
      </c>
      <c r="AA111" t="s">
        <v>4</v>
      </c>
      <c r="AB111" t="s">
        <v>4</v>
      </c>
    </row>
    <row r="112" spans="1:28" x14ac:dyDescent="0.2">
      <c r="A112" t="s">
        <v>2043</v>
      </c>
      <c r="B112" t="s">
        <v>2</v>
      </c>
      <c r="C112" t="s">
        <v>3</v>
      </c>
      <c r="D112" t="s">
        <v>4</v>
      </c>
      <c r="E112" t="s">
        <v>4</v>
      </c>
      <c r="F112" t="s">
        <v>2331</v>
      </c>
      <c r="G112" t="s">
        <v>6</v>
      </c>
      <c r="H112" t="s">
        <v>2402</v>
      </c>
      <c r="I112" s="2">
        <v>108</v>
      </c>
      <c r="J112" s="2">
        <v>0</v>
      </c>
      <c r="K112" s="2">
        <v>0</v>
      </c>
      <c r="L112" s="3">
        <v>45859</v>
      </c>
      <c r="M112" s="3">
        <v>45859</v>
      </c>
      <c r="N112" s="3"/>
      <c r="O112" t="s">
        <v>2404</v>
      </c>
      <c r="P112" t="s">
        <v>9</v>
      </c>
      <c r="Q112" s="4">
        <v>0.90620370370369996</v>
      </c>
      <c r="R112" t="s">
        <v>2331</v>
      </c>
      <c r="S112" t="s">
        <v>4</v>
      </c>
      <c r="T112" t="s">
        <v>2261</v>
      </c>
      <c r="U112" t="s">
        <v>10</v>
      </c>
      <c r="V112" s="5">
        <v>0</v>
      </c>
      <c r="W112" s="5">
        <v>0</v>
      </c>
      <c r="X112" s="2">
        <v>0</v>
      </c>
      <c r="Y112" t="s">
        <v>4</v>
      </c>
      <c r="Z112" t="s">
        <v>4</v>
      </c>
      <c r="AA112" t="s">
        <v>4</v>
      </c>
      <c r="AB112" t="s">
        <v>4</v>
      </c>
    </row>
    <row r="113" spans="1:28" x14ac:dyDescent="0.2">
      <c r="A113" t="s">
        <v>2043</v>
      </c>
      <c r="B113" t="s">
        <v>2</v>
      </c>
      <c r="C113" t="s">
        <v>3</v>
      </c>
      <c r="D113" t="s">
        <v>4</v>
      </c>
      <c r="E113" t="s">
        <v>4</v>
      </c>
      <c r="F113" t="s">
        <v>2331</v>
      </c>
      <c r="G113" t="s">
        <v>6</v>
      </c>
      <c r="H113" t="s">
        <v>2405</v>
      </c>
      <c r="I113" s="2">
        <v>108</v>
      </c>
      <c r="J113" s="2">
        <v>0</v>
      </c>
      <c r="K113" s="2">
        <v>0</v>
      </c>
      <c r="L113" s="3">
        <v>45859</v>
      </c>
      <c r="M113" s="3">
        <v>45859</v>
      </c>
      <c r="N113" s="3"/>
      <c r="O113" t="s">
        <v>2406</v>
      </c>
      <c r="P113" t="s">
        <v>9</v>
      </c>
      <c r="Q113" s="4">
        <v>0.89069444444444001</v>
      </c>
      <c r="R113" t="s">
        <v>2331</v>
      </c>
      <c r="S113" t="s">
        <v>4</v>
      </c>
      <c r="T113" t="s">
        <v>2261</v>
      </c>
      <c r="U113" t="s">
        <v>10</v>
      </c>
      <c r="V113" s="5">
        <v>0</v>
      </c>
      <c r="W113" s="5">
        <v>0</v>
      </c>
      <c r="X113" s="2">
        <v>0</v>
      </c>
      <c r="Y113" t="s">
        <v>4</v>
      </c>
      <c r="Z113" t="s">
        <v>4</v>
      </c>
      <c r="AA113" t="s">
        <v>4</v>
      </c>
      <c r="AB113" t="s">
        <v>4</v>
      </c>
    </row>
    <row r="114" spans="1:28" x14ac:dyDescent="0.2">
      <c r="A114" t="s">
        <v>2043</v>
      </c>
      <c r="B114" t="s">
        <v>2</v>
      </c>
      <c r="C114" t="s">
        <v>3</v>
      </c>
      <c r="D114" t="s">
        <v>4</v>
      </c>
      <c r="E114" t="s">
        <v>4</v>
      </c>
      <c r="F114" t="s">
        <v>2331</v>
      </c>
      <c r="G114" t="s">
        <v>6</v>
      </c>
      <c r="H114" t="s">
        <v>2405</v>
      </c>
      <c r="I114" s="2">
        <v>108</v>
      </c>
      <c r="J114" s="2">
        <v>0</v>
      </c>
      <c r="K114" s="2">
        <v>0</v>
      </c>
      <c r="L114" s="3">
        <v>45859</v>
      </c>
      <c r="M114" s="3">
        <v>45859</v>
      </c>
      <c r="N114" s="3"/>
      <c r="O114" t="s">
        <v>2407</v>
      </c>
      <c r="P114" t="s">
        <v>9</v>
      </c>
      <c r="Q114" s="4">
        <v>0.89069444444444001</v>
      </c>
      <c r="R114" t="s">
        <v>2331</v>
      </c>
      <c r="S114" t="s">
        <v>4</v>
      </c>
      <c r="T114" t="s">
        <v>2261</v>
      </c>
      <c r="U114" t="s">
        <v>10</v>
      </c>
      <c r="V114" s="5">
        <v>0</v>
      </c>
      <c r="W114" s="5">
        <v>0</v>
      </c>
      <c r="X114" s="2">
        <v>0</v>
      </c>
      <c r="Y114" t="s">
        <v>4</v>
      </c>
      <c r="Z114" t="s">
        <v>4</v>
      </c>
      <c r="AA114" t="s">
        <v>4</v>
      </c>
      <c r="AB114" t="s">
        <v>4</v>
      </c>
    </row>
    <row r="115" spans="1:28" x14ac:dyDescent="0.2">
      <c r="A115" t="s">
        <v>2039</v>
      </c>
      <c r="B115" t="s">
        <v>2</v>
      </c>
      <c r="C115" t="s">
        <v>3</v>
      </c>
      <c r="D115" t="s">
        <v>4</v>
      </c>
      <c r="E115" t="s">
        <v>4</v>
      </c>
      <c r="F115" t="s">
        <v>2331</v>
      </c>
      <c r="G115" t="s">
        <v>6</v>
      </c>
      <c r="H115" t="s">
        <v>2408</v>
      </c>
      <c r="I115" s="2">
        <v>108</v>
      </c>
      <c r="J115" s="2">
        <v>0</v>
      </c>
      <c r="K115" s="2">
        <v>0</v>
      </c>
      <c r="L115" s="3">
        <v>45858</v>
      </c>
      <c r="M115" s="3">
        <v>45858</v>
      </c>
      <c r="N115" s="3"/>
      <c r="O115" t="s">
        <v>2409</v>
      </c>
      <c r="P115" t="s">
        <v>9</v>
      </c>
      <c r="Q115" s="4">
        <v>0.44918981481481002</v>
      </c>
      <c r="R115" t="s">
        <v>2331</v>
      </c>
      <c r="S115" t="s">
        <v>4</v>
      </c>
      <c r="T115" t="s">
        <v>2337</v>
      </c>
      <c r="U115" t="s">
        <v>10</v>
      </c>
      <c r="V115" s="5">
        <v>0</v>
      </c>
      <c r="W115" s="5">
        <v>0</v>
      </c>
      <c r="X115" s="2">
        <v>0</v>
      </c>
      <c r="Y115" t="s">
        <v>4</v>
      </c>
      <c r="Z115" t="s">
        <v>4</v>
      </c>
      <c r="AA115" t="s">
        <v>4</v>
      </c>
      <c r="AB115" t="s">
        <v>4</v>
      </c>
    </row>
    <row r="116" spans="1:28" x14ac:dyDescent="0.2">
      <c r="A116" t="s">
        <v>2039</v>
      </c>
      <c r="B116" t="s">
        <v>2</v>
      </c>
      <c r="C116" t="s">
        <v>3</v>
      </c>
      <c r="D116" t="s">
        <v>4</v>
      </c>
      <c r="E116" t="s">
        <v>4</v>
      </c>
      <c r="F116" t="s">
        <v>2331</v>
      </c>
      <c r="G116" t="s">
        <v>6</v>
      </c>
      <c r="H116" t="s">
        <v>2408</v>
      </c>
      <c r="I116" s="2">
        <v>108</v>
      </c>
      <c r="J116" s="2">
        <v>0</v>
      </c>
      <c r="K116" s="2">
        <v>0</v>
      </c>
      <c r="L116" s="3">
        <v>45858</v>
      </c>
      <c r="M116" s="3">
        <v>45858</v>
      </c>
      <c r="N116" s="3"/>
      <c r="O116" t="s">
        <v>2410</v>
      </c>
      <c r="P116" t="s">
        <v>9</v>
      </c>
      <c r="Q116" s="4">
        <v>0.44918981481481002</v>
      </c>
      <c r="R116" t="s">
        <v>2331</v>
      </c>
      <c r="S116" t="s">
        <v>4</v>
      </c>
      <c r="T116" t="s">
        <v>2337</v>
      </c>
      <c r="U116" t="s">
        <v>10</v>
      </c>
      <c r="V116" s="5">
        <v>0</v>
      </c>
      <c r="W116" s="5">
        <v>0</v>
      </c>
      <c r="X116" s="2">
        <v>0</v>
      </c>
      <c r="Y116" t="s">
        <v>4</v>
      </c>
      <c r="Z116" t="s">
        <v>4</v>
      </c>
      <c r="AA116" t="s">
        <v>4</v>
      </c>
      <c r="AB116" t="s">
        <v>4</v>
      </c>
    </row>
    <row r="117" spans="1:28" x14ac:dyDescent="0.2">
      <c r="A117" t="s">
        <v>1471</v>
      </c>
      <c r="B117" t="s">
        <v>2</v>
      </c>
      <c r="C117" t="s">
        <v>3</v>
      </c>
      <c r="D117" t="s">
        <v>4</v>
      </c>
      <c r="E117" t="s">
        <v>4</v>
      </c>
      <c r="F117" t="s">
        <v>2331</v>
      </c>
      <c r="G117" t="s">
        <v>6</v>
      </c>
      <c r="H117" t="s">
        <v>2411</v>
      </c>
      <c r="I117" s="2">
        <v>60</v>
      </c>
      <c r="J117" s="2">
        <v>0</v>
      </c>
      <c r="K117" s="2">
        <v>0</v>
      </c>
      <c r="L117" s="3">
        <v>45859</v>
      </c>
      <c r="M117" s="3">
        <v>45859</v>
      </c>
      <c r="N117" s="3"/>
      <c r="O117" t="s">
        <v>2412</v>
      </c>
      <c r="P117" t="s">
        <v>9</v>
      </c>
      <c r="Q117" s="4">
        <v>0.81532407407407004</v>
      </c>
      <c r="R117" t="s">
        <v>2331</v>
      </c>
      <c r="S117" t="s">
        <v>4</v>
      </c>
      <c r="T117" t="s">
        <v>2261</v>
      </c>
      <c r="U117" t="s">
        <v>10</v>
      </c>
      <c r="V117" s="5">
        <v>0</v>
      </c>
      <c r="W117" s="5">
        <v>0</v>
      </c>
      <c r="X117" s="2">
        <v>0</v>
      </c>
      <c r="Y117" t="s">
        <v>4</v>
      </c>
      <c r="Z117" t="s">
        <v>4</v>
      </c>
      <c r="AA117" t="s">
        <v>4</v>
      </c>
      <c r="AB117" t="s">
        <v>4</v>
      </c>
    </row>
    <row r="118" spans="1:28" x14ac:dyDescent="0.2">
      <c r="A118" t="s">
        <v>1471</v>
      </c>
      <c r="B118" t="s">
        <v>2</v>
      </c>
      <c r="C118" t="s">
        <v>3</v>
      </c>
      <c r="D118" t="s">
        <v>4</v>
      </c>
      <c r="E118" t="s">
        <v>4</v>
      </c>
      <c r="F118" t="s">
        <v>2331</v>
      </c>
      <c r="G118" t="s">
        <v>6</v>
      </c>
      <c r="H118" t="s">
        <v>2411</v>
      </c>
      <c r="I118" s="2">
        <v>60</v>
      </c>
      <c r="J118" s="2">
        <v>0</v>
      </c>
      <c r="K118" s="2">
        <v>0</v>
      </c>
      <c r="L118" s="3">
        <v>45859</v>
      </c>
      <c r="M118" s="3">
        <v>45859</v>
      </c>
      <c r="N118" s="3"/>
      <c r="O118" t="s">
        <v>2413</v>
      </c>
      <c r="P118" t="s">
        <v>9</v>
      </c>
      <c r="Q118" s="4">
        <v>0.81532407407407004</v>
      </c>
      <c r="R118" t="s">
        <v>2331</v>
      </c>
      <c r="S118" t="s">
        <v>4</v>
      </c>
      <c r="T118" t="s">
        <v>2261</v>
      </c>
      <c r="U118" t="s">
        <v>10</v>
      </c>
      <c r="V118" s="5">
        <v>0</v>
      </c>
      <c r="W118" s="5">
        <v>0</v>
      </c>
      <c r="X118" s="2">
        <v>0</v>
      </c>
      <c r="Y118" t="s">
        <v>4</v>
      </c>
      <c r="Z118" t="s">
        <v>4</v>
      </c>
      <c r="AA118" t="s">
        <v>4</v>
      </c>
      <c r="AB118" t="s">
        <v>4</v>
      </c>
    </row>
    <row r="119" spans="1:28" x14ac:dyDescent="0.2">
      <c r="A119" t="s">
        <v>2251</v>
      </c>
      <c r="B119" t="s">
        <v>4</v>
      </c>
      <c r="C119" t="s">
        <v>4</v>
      </c>
      <c r="D119" t="s">
        <v>4</v>
      </c>
      <c r="E119" t="s">
        <v>4</v>
      </c>
      <c r="F119" t="s">
        <v>2331</v>
      </c>
      <c r="G119" t="s">
        <v>6</v>
      </c>
      <c r="H119" t="s">
        <v>2414</v>
      </c>
      <c r="I119" s="5">
        <v>0</v>
      </c>
      <c r="J119" s="5">
        <v>0</v>
      </c>
      <c r="K119" s="5">
        <v>0</v>
      </c>
      <c r="L119" s="3"/>
      <c r="M119" s="3"/>
      <c r="N119" s="3"/>
      <c r="O119" t="s">
        <v>4</v>
      </c>
      <c r="P119" t="s">
        <v>9</v>
      </c>
      <c r="Q119" s="4">
        <v>0.60538194444444005</v>
      </c>
      <c r="R119" t="s">
        <v>4</v>
      </c>
      <c r="S119" t="s">
        <v>4</v>
      </c>
      <c r="T119" t="s">
        <v>2256</v>
      </c>
      <c r="U119" t="s">
        <v>4</v>
      </c>
      <c r="V119" s="5">
        <v>0</v>
      </c>
      <c r="W119" s="5">
        <v>0</v>
      </c>
      <c r="X119" s="2">
        <v>0</v>
      </c>
      <c r="Y119" t="s">
        <v>4</v>
      </c>
      <c r="Z119" t="s">
        <v>4</v>
      </c>
      <c r="AA119" t="s">
        <v>4</v>
      </c>
      <c r="AB119" t="s">
        <v>4</v>
      </c>
    </row>
    <row r="120" spans="1:28" x14ac:dyDescent="0.2">
      <c r="A120" t="s">
        <v>1466</v>
      </c>
      <c r="B120" t="s">
        <v>2</v>
      </c>
      <c r="C120" t="s">
        <v>3</v>
      </c>
      <c r="D120" t="s">
        <v>4</v>
      </c>
      <c r="E120" t="s">
        <v>4</v>
      </c>
      <c r="F120" t="s">
        <v>2331</v>
      </c>
      <c r="G120" t="s">
        <v>6</v>
      </c>
      <c r="H120" t="s">
        <v>2415</v>
      </c>
      <c r="I120" s="2">
        <v>60</v>
      </c>
      <c r="J120" s="2">
        <v>0</v>
      </c>
      <c r="K120" s="2">
        <v>0</v>
      </c>
      <c r="L120" s="3">
        <v>45856</v>
      </c>
      <c r="M120" s="3">
        <v>45856</v>
      </c>
      <c r="N120" s="3"/>
      <c r="O120" t="s">
        <v>2416</v>
      </c>
      <c r="P120" t="s">
        <v>9</v>
      </c>
      <c r="Q120" s="4">
        <v>0.59996527777777997</v>
      </c>
      <c r="R120" t="s">
        <v>2331</v>
      </c>
      <c r="S120" t="s">
        <v>4</v>
      </c>
      <c r="T120" t="s">
        <v>2260</v>
      </c>
      <c r="U120" t="s">
        <v>10</v>
      </c>
      <c r="V120" s="5">
        <v>0</v>
      </c>
      <c r="W120" s="5">
        <v>0</v>
      </c>
      <c r="X120" s="2">
        <v>0</v>
      </c>
      <c r="Y120" t="s">
        <v>4</v>
      </c>
      <c r="Z120" t="s">
        <v>4</v>
      </c>
      <c r="AA120" t="s">
        <v>4</v>
      </c>
      <c r="AB120" t="s">
        <v>4</v>
      </c>
    </row>
    <row r="121" spans="1:28" x14ac:dyDescent="0.2">
      <c r="A121" t="s">
        <v>1466</v>
      </c>
      <c r="B121" t="s">
        <v>2</v>
      </c>
      <c r="C121" t="s">
        <v>3</v>
      </c>
      <c r="D121" t="s">
        <v>4</v>
      </c>
      <c r="E121" t="s">
        <v>4</v>
      </c>
      <c r="F121" t="s">
        <v>2331</v>
      </c>
      <c r="G121" t="s">
        <v>6</v>
      </c>
      <c r="H121" t="s">
        <v>2415</v>
      </c>
      <c r="I121" s="2">
        <v>60</v>
      </c>
      <c r="J121" s="2">
        <v>0</v>
      </c>
      <c r="K121" s="2">
        <v>0</v>
      </c>
      <c r="L121" s="3">
        <v>45856</v>
      </c>
      <c r="M121" s="3">
        <v>45856</v>
      </c>
      <c r="N121" s="3"/>
      <c r="O121" t="s">
        <v>2417</v>
      </c>
      <c r="P121" t="s">
        <v>9</v>
      </c>
      <c r="Q121" s="4">
        <v>0.59996527777777997</v>
      </c>
      <c r="R121" t="s">
        <v>2331</v>
      </c>
      <c r="S121" t="s">
        <v>4</v>
      </c>
      <c r="T121" t="s">
        <v>2260</v>
      </c>
      <c r="U121" t="s">
        <v>10</v>
      </c>
      <c r="V121" s="5">
        <v>0</v>
      </c>
      <c r="W121" s="5">
        <v>0</v>
      </c>
      <c r="X121" s="2">
        <v>0</v>
      </c>
      <c r="Y121" t="s">
        <v>4</v>
      </c>
      <c r="Z121" t="s">
        <v>4</v>
      </c>
      <c r="AA121" t="s">
        <v>4</v>
      </c>
      <c r="AB121" t="s">
        <v>4</v>
      </c>
    </row>
    <row r="122" spans="1:28" x14ac:dyDescent="0.2">
      <c r="A122" t="s">
        <v>2251</v>
      </c>
      <c r="B122" t="s">
        <v>4</v>
      </c>
      <c r="C122" t="s">
        <v>4</v>
      </c>
      <c r="D122" t="s">
        <v>4</v>
      </c>
      <c r="E122" t="s">
        <v>4</v>
      </c>
      <c r="F122" t="s">
        <v>2331</v>
      </c>
      <c r="G122" t="s">
        <v>6</v>
      </c>
      <c r="H122" t="s">
        <v>2418</v>
      </c>
      <c r="I122" s="5">
        <v>0</v>
      </c>
      <c r="J122" s="5">
        <v>0</v>
      </c>
      <c r="K122" s="5">
        <v>0</v>
      </c>
      <c r="L122" s="3"/>
      <c r="M122" s="3"/>
      <c r="N122" s="3"/>
      <c r="O122" t="s">
        <v>4</v>
      </c>
      <c r="P122" t="s">
        <v>9</v>
      </c>
      <c r="Q122" s="4">
        <v>0</v>
      </c>
      <c r="R122" t="s">
        <v>4</v>
      </c>
      <c r="S122" t="s">
        <v>4</v>
      </c>
      <c r="T122" t="s">
        <v>2256</v>
      </c>
      <c r="U122" t="s">
        <v>4</v>
      </c>
      <c r="V122" s="5">
        <v>0</v>
      </c>
      <c r="W122" s="5">
        <v>0</v>
      </c>
      <c r="X122" s="2">
        <v>0</v>
      </c>
      <c r="Y122" t="s">
        <v>4</v>
      </c>
      <c r="Z122" t="s">
        <v>2351</v>
      </c>
      <c r="AA122" t="s">
        <v>4</v>
      </c>
      <c r="AB122" t="s">
        <v>4</v>
      </c>
    </row>
    <row r="123" spans="1:28" x14ac:dyDescent="0.2">
      <c r="A123" t="s">
        <v>2251</v>
      </c>
      <c r="B123" t="s">
        <v>4</v>
      </c>
      <c r="C123" t="s">
        <v>4</v>
      </c>
      <c r="D123" t="s">
        <v>4</v>
      </c>
      <c r="E123" t="s">
        <v>4</v>
      </c>
      <c r="F123" t="s">
        <v>2331</v>
      </c>
      <c r="G123" t="s">
        <v>6</v>
      </c>
      <c r="H123" t="s">
        <v>2419</v>
      </c>
      <c r="I123" s="5">
        <v>0</v>
      </c>
      <c r="J123" s="5">
        <v>0</v>
      </c>
      <c r="K123" s="5">
        <v>0</v>
      </c>
      <c r="L123" s="3"/>
      <c r="M123" s="3"/>
      <c r="N123" s="3"/>
      <c r="O123" t="s">
        <v>4</v>
      </c>
      <c r="P123" t="s">
        <v>9</v>
      </c>
      <c r="Q123" s="4">
        <v>0</v>
      </c>
      <c r="R123" t="s">
        <v>4</v>
      </c>
      <c r="S123" t="s">
        <v>4</v>
      </c>
      <c r="T123" t="s">
        <v>2256</v>
      </c>
      <c r="U123" t="s">
        <v>4</v>
      </c>
      <c r="V123" s="5">
        <v>0</v>
      </c>
      <c r="W123" s="5">
        <v>0</v>
      </c>
      <c r="X123" s="2">
        <v>0</v>
      </c>
      <c r="Y123" t="s">
        <v>4</v>
      </c>
      <c r="Z123" t="s">
        <v>2351</v>
      </c>
      <c r="AA123" t="s">
        <v>4</v>
      </c>
      <c r="AB123" t="s">
        <v>4</v>
      </c>
    </row>
    <row r="124" spans="1:28" x14ac:dyDescent="0.2">
      <c r="A124" t="s">
        <v>1471</v>
      </c>
      <c r="B124" t="s">
        <v>2</v>
      </c>
      <c r="C124" t="s">
        <v>3</v>
      </c>
      <c r="D124" t="s">
        <v>4</v>
      </c>
      <c r="E124" t="s">
        <v>4</v>
      </c>
      <c r="F124" t="s">
        <v>2331</v>
      </c>
      <c r="G124" t="s">
        <v>6</v>
      </c>
      <c r="H124" t="s">
        <v>2420</v>
      </c>
      <c r="I124" s="2">
        <v>60</v>
      </c>
      <c r="J124" s="2">
        <v>0</v>
      </c>
      <c r="K124" s="2">
        <v>0</v>
      </c>
      <c r="L124" s="3">
        <v>45857</v>
      </c>
      <c r="M124" s="3">
        <v>45857</v>
      </c>
      <c r="N124" s="3"/>
      <c r="O124" t="s">
        <v>2421</v>
      </c>
      <c r="P124" t="s">
        <v>9</v>
      </c>
      <c r="Q124" s="4">
        <v>0.62927083333333</v>
      </c>
      <c r="R124" t="s">
        <v>2331</v>
      </c>
      <c r="S124" t="s">
        <v>4</v>
      </c>
      <c r="T124" t="s">
        <v>2262</v>
      </c>
      <c r="U124" t="s">
        <v>10</v>
      </c>
      <c r="V124" s="5">
        <v>0</v>
      </c>
      <c r="W124" s="5">
        <v>0</v>
      </c>
      <c r="X124" s="2">
        <v>0</v>
      </c>
      <c r="Y124" t="s">
        <v>4</v>
      </c>
      <c r="Z124" t="s">
        <v>4</v>
      </c>
      <c r="AA124" t="s">
        <v>4</v>
      </c>
      <c r="AB124" t="s">
        <v>4</v>
      </c>
    </row>
    <row r="125" spans="1:28" x14ac:dyDescent="0.2">
      <c r="A125" t="s">
        <v>1471</v>
      </c>
      <c r="B125" t="s">
        <v>2</v>
      </c>
      <c r="C125" t="s">
        <v>3</v>
      </c>
      <c r="D125" t="s">
        <v>4</v>
      </c>
      <c r="E125" t="s">
        <v>4</v>
      </c>
      <c r="F125" t="s">
        <v>2331</v>
      </c>
      <c r="G125" t="s">
        <v>6</v>
      </c>
      <c r="H125" t="s">
        <v>2420</v>
      </c>
      <c r="I125" s="2">
        <v>60</v>
      </c>
      <c r="J125" s="2">
        <v>0</v>
      </c>
      <c r="K125" s="2">
        <v>0</v>
      </c>
      <c r="L125" s="3">
        <v>45857</v>
      </c>
      <c r="M125" s="3">
        <v>45857</v>
      </c>
      <c r="N125" s="3"/>
      <c r="O125" t="s">
        <v>2422</v>
      </c>
      <c r="P125" t="s">
        <v>9</v>
      </c>
      <c r="Q125" s="4">
        <v>0.62927083333333</v>
      </c>
      <c r="R125" t="s">
        <v>2331</v>
      </c>
      <c r="S125" t="s">
        <v>4</v>
      </c>
      <c r="T125" t="s">
        <v>2262</v>
      </c>
      <c r="U125" t="s">
        <v>10</v>
      </c>
      <c r="V125" s="5">
        <v>0</v>
      </c>
      <c r="W125" s="5">
        <v>0</v>
      </c>
      <c r="X125" s="2">
        <v>0</v>
      </c>
      <c r="Y125" t="s">
        <v>4</v>
      </c>
      <c r="Z125" t="s">
        <v>4</v>
      </c>
      <c r="AA125" t="s">
        <v>4</v>
      </c>
      <c r="AB125" t="s">
        <v>4</v>
      </c>
    </row>
    <row r="126" spans="1:28" x14ac:dyDescent="0.2">
      <c r="A126" t="s">
        <v>1471</v>
      </c>
      <c r="B126" t="s">
        <v>2</v>
      </c>
      <c r="C126" t="s">
        <v>3</v>
      </c>
      <c r="D126" t="s">
        <v>4</v>
      </c>
      <c r="E126" t="s">
        <v>4</v>
      </c>
      <c r="F126" t="s">
        <v>2331</v>
      </c>
      <c r="G126" t="s">
        <v>6</v>
      </c>
      <c r="H126" t="s">
        <v>2423</v>
      </c>
      <c r="I126" s="2">
        <v>60</v>
      </c>
      <c r="J126" s="2">
        <v>0</v>
      </c>
      <c r="K126" s="2">
        <v>0</v>
      </c>
      <c r="L126" s="3">
        <v>45858</v>
      </c>
      <c r="M126" s="3">
        <v>45858</v>
      </c>
      <c r="N126" s="3"/>
      <c r="O126" t="s">
        <v>2424</v>
      </c>
      <c r="P126" t="s">
        <v>9</v>
      </c>
      <c r="Q126" s="4">
        <v>0.53707175925925998</v>
      </c>
      <c r="R126" t="s">
        <v>2331</v>
      </c>
      <c r="S126" t="s">
        <v>4</v>
      </c>
      <c r="T126" t="s">
        <v>2337</v>
      </c>
      <c r="U126" t="s">
        <v>10</v>
      </c>
      <c r="V126" s="5">
        <v>0</v>
      </c>
      <c r="W126" s="5">
        <v>0</v>
      </c>
      <c r="X126" s="2">
        <v>0</v>
      </c>
      <c r="Y126" t="s">
        <v>4</v>
      </c>
      <c r="Z126" t="s">
        <v>4</v>
      </c>
      <c r="AA126" t="s">
        <v>4</v>
      </c>
      <c r="AB126" t="s">
        <v>4</v>
      </c>
    </row>
    <row r="127" spans="1:28" x14ac:dyDescent="0.2">
      <c r="A127" t="s">
        <v>1471</v>
      </c>
      <c r="B127" t="s">
        <v>2</v>
      </c>
      <c r="C127" t="s">
        <v>3</v>
      </c>
      <c r="D127" t="s">
        <v>4</v>
      </c>
      <c r="E127" t="s">
        <v>4</v>
      </c>
      <c r="F127" t="s">
        <v>2331</v>
      </c>
      <c r="G127" t="s">
        <v>6</v>
      </c>
      <c r="H127" t="s">
        <v>2423</v>
      </c>
      <c r="I127" s="2">
        <v>60</v>
      </c>
      <c r="J127" s="2">
        <v>0</v>
      </c>
      <c r="K127" s="2">
        <v>0</v>
      </c>
      <c r="L127" s="3">
        <v>45858</v>
      </c>
      <c r="M127" s="3">
        <v>45858</v>
      </c>
      <c r="N127" s="3"/>
      <c r="O127" t="s">
        <v>2425</v>
      </c>
      <c r="P127" t="s">
        <v>9</v>
      </c>
      <c r="Q127" s="4">
        <v>0.53707175925925998</v>
      </c>
      <c r="R127" t="s">
        <v>2331</v>
      </c>
      <c r="S127" t="s">
        <v>4</v>
      </c>
      <c r="T127" t="s">
        <v>2337</v>
      </c>
      <c r="U127" t="s">
        <v>10</v>
      </c>
      <c r="V127" s="5">
        <v>0</v>
      </c>
      <c r="W127" s="5">
        <v>0</v>
      </c>
      <c r="X127" s="2">
        <v>0</v>
      </c>
      <c r="Y127" t="s">
        <v>4</v>
      </c>
      <c r="Z127" t="s">
        <v>4</v>
      </c>
      <c r="AA127" t="s">
        <v>4</v>
      </c>
      <c r="AB127" t="s">
        <v>4</v>
      </c>
    </row>
    <row r="128" spans="1:28" x14ac:dyDescent="0.2">
      <c r="A128" t="s">
        <v>1573</v>
      </c>
      <c r="B128" t="s">
        <v>2</v>
      </c>
      <c r="C128" t="s">
        <v>3</v>
      </c>
      <c r="D128" t="s">
        <v>4</v>
      </c>
      <c r="E128" t="s">
        <v>4</v>
      </c>
      <c r="F128" t="s">
        <v>2331</v>
      </c>
      <c r="G128" t="s">
        <v>6</v>
      </c>
      <c r="H128" t="s">
        <v>2426</v>
      </c>
      <c r="I128" s="2">
        <v>32</v>
      </c>
      <c r="J128" s="2">
        <v>0</v>
      </c>
      <c r="K128" s="2">
        <v>0</v>
      </c>
      <c r="L128" s="3">
        <v>45859</v>
      </c>
      <c r="M128" s="3">
        <v>45859</v>
      </c>
      <c r="N128" s="3"/>
      <c r="O128" t="s">
        <v>2427</v>
      </c>
      <c r="P128" t="s">
        <v>9</v>
      </c>
      <c r="Q128" s="4">
        <v>0.87681712962962999</v>
      </c>
      <c r="R128" t="s">
        <v>2331</v>
      </c>
      <c r="S128" t="s">
        <v>4</v>
      </c>
      <c r="T128" t="s">
        <v>2261</v>
      </c>
      <c r="U128" t="s">
        <v>10</v>
      </c>
      <c r="V128" s="5">
        <v>0</v>
      </c>
      <c r="W128" s="5">
        <v>0</v>
      </c>
      <c r="X128" s="2">
        <v>0</v>
      </c>
      <c r="Y128" t="s">
        <v>4</v>
      </c>
      <c r="Z128" t="s">
        <v>4</v>
      </c>
      <c r="AA128" t="s">
        <v>4</v>
      </c>
      <c r="AB128" t="s">
        <v>4</v>
      </c>
    </row>
    <row r="129" spans="1:28" x14ac:dyDescent="0.2">
      <c r="A129" t="s">
        <v>1573</v>
      </c>
      <c r="B129" t="s">
        <v>2</v>
      </c>
      <c r="C129" t="s">
        <v>3</v>
      </c>
      <c r="D129" t="s">
        <v>4</v>
      </c>
      <c r="E129" t="s">
        <v>4</v>
      </c>
      <c r="F129" t="s">
        <v>2331</v>
      </c>
      <c r="G129" t="s">
        <v>6</v>
      </c>
      <c r="H129" t="s">
        <v>2426</v>
      </c>
      <c r="I129" s="2">
        <v>32</v>
      </c>
      <c r="J129" s="2">
        <v>0</v>
      </c>
      <c r="K129" s="2">
        <v>0</v>
      </c>
      <c r="L129" s="3">
        <v>45859</v>
      </c>
      <c r="M129" s="3">
        <v>45859</v>
      </c>
      <c r="N129" s="3"/>
      <c r="O129" t="s">
        <v>2428</v>
      </c>
      <c r="P129" t="s">
        <v>9</v>
      </c>
      <c r="Q129" s="4">
        <v>0.87681712962962999</v>
      </c>
      <c r="R129" t="s">
        <v>2331</v>
      </c>
      <c r="S129" t="s">
        <v>4</v>
      </c>
      <c r="T129" t="s">
        <v>2261</v>
      </c>
      <c r="U129" t="s">
        <v>10</v>
      </c>
      <c r="V129" s="5">
        <v>0</v>
      </c>
      <c r="W129" s="5">
        <v>0</v>
      </c>
      <c r="X129" s="2">
        <v>0</v>
      </c>
      <c r="Y129" t="s">
        <v>4</v>
      </c>
      <c r="Z129" t="s">
        <v>4</v>
      </c>
      <c r="AA129" t="s">
        <v>4</v>
      </c>
      <c r="AB129" t="s">
        <v>4</v>
      </c>
    </row>
    <row r="130" spans="1:28" x14ac:dyDescent="0.2">
      <c r="A130" t="s">
        <v>1471</v>
      </c>
      <c r="B130" t="s">
        <v>2</v>
      </c>
      <c r="C130" t="s">
        <v>3</v>
      </c>
      <c r="D130" t="s">
        <v>4</v>
      </c>
      <c r="E130" t="s">
        <v>4</v>
      </c>
      <c r="F130" t="s">
        <v>2331</v>
      </c>
      <c r="G130" t="s">
        <v>6</v>
      </c>
      <c r="H130" t="s">
        <v>2429</v>
      </c>
      <c r="I130" s="2">
        <v>60</v>
      </c>
      <c r="J130" s="2">
        <v>0</v>
      </c>
      <c r="K130" s="2">
        <v>0</v>
      </c>
      <c r="L130" s="3">
        <v>45858</v>
      </c>
      <c r="M130" s="3">
        <v>45858</v>
      </c>
      <c r="N130" s="3"/>
      <c r="O130" t="s">
        <v>2430</v>
      </c>
      <c r="P130" t="s">
        <v>9</v>
      </c>
      <c r="Q130" s="4">
        <v>0.53078703703704</v>
      </c>
      <c r="R130" t="s">
        <v>2331</v>
      </c>
      <c r="S130" t="s">
        <v>4</v>
      </c>
      <c r="T130" t="s">
        <v>2337</v>
      </c>
      <c r="U130" t="s">
        <v>10</v>
      </c>
      <c r="V130" s="5">
        <v>0</v>
      </c>
      <c r="W130" s="5">
        <v>0</v>
      </c>
      <c r="X130" s="2">
        <v>0</v>
      </c>
      <c r="Y130" t="s">
        <v>4</v>
      </c>
      <c r="Z130" t="s">
        <v>4</v>
      </c>
      <c r="AA130" t="s">
        <v>4</v>
      </c>
      <c r="AB130" t="s">
        <v>4</v>
      </c>
    </row>
    <row r="131" spans="1:28" x14ac:dyDescent="0.2">
      <c r="A131" t="s">
        <v>1471</v>
      </c>
      <c r="B131" t="s">
        <v>2</v>
      </c>
      <c r="C131" t="s">
        <v>3</v>
      </c>
      <c r="D131" t="s">
        <v>4</v>
      </c>
      <c r="E131" t="s">
        <v>4</v>
      </c>
      <c r="F131" t="s">
        <v>2331</v>
      </c>
      <c r="G131" t="s">
        <v>6</v>
      </c>
      <c r="H131" t="s">
        <v>2429</v>
      </c>
      <c r="I131" s="2">
        <v>60</v>
      </c>
      <c r="J131" s="2">
        <v>0</v>
      </c>
      <c r="K131" s="2">
        <v>0</v>
      </c>
      <c r="L131" s="3">
        <v>45858</v>
      </c>
      <c r="M131" s="3">
        <v>45858</v>
      </c>
      <c r="N131" s="3"/>
      <c r="O131" t="s">
        <v>2431</v>
      </c>
      <c r="P131" t="s">
        <v>9</v>
      </c>
      <c r="Q131" s="4">
        <v>0.53078703703704</v>
      </c>
      <c r="R131" t="s">
        <v>2331</v>
      </c>
      <c r="S131" t="s">
        <v>4</v>
      </c>
      <c r="T131" t="s">
        <v>2337</v>
      </c>
      <c r="U131" t="s">
        <v>10</v>
      </c>
      <c r="V131" s="5">
        <v>0</v>
      </c>
      <c r="W131" s="5">
        <v>0</v>
      </c>
      <c r="X131" s="2">
        <v>0</v>
      </c>
      <c r="Y131" t="s">
        <v>4</v>
      </c>
      <c r="Z131" t="s">
        <v>4</v>
      </c>
      <c r="AA131" t="s">
        <v>4</v>
      </c>
      <c r="AB131" t="s">
        <v>4</v>
      </c>
    </row>
    <row r="132" spans="1:28" x14ac:dyDescent="0.2">
      <c r="A132" t="s">
        <v>1466</v>
      </c>
      <c r="B132" t="s">
        <v>2</v>
      </c>
      <c r="C132" t="s">
        <v>3</v>
      </c>
      <c r="D132" t="s">
        <v>4</v>
      </c>
      <c r="E132" t="s">
        <v>4</v>
      </c>
      <c r="F132" t="s">
        <v>2331</v>
      </c>
      <c r="G132" t="s">
        <v>6</v>
      </c>
      <c r="H132" t="s">
        <v>2432</v>
      </c>
      <c r="I132" s="2">
        <v>60</v>
      </c>
      <c r="J132" s="2">
        <v>0</v>
      </c>
      <c r="K132" s="2">
        <v>0</v>
      </c>
      <c r="L132" s="3">
        <v>45856</v>
      </c>
      <c r="M132" s="3">
        <v>45856</v>
      </c>
      <c r="N132" s="3"/>
      <c r="O132" t="s">
        <v>2433</v>
      </c>
      <c r="P132" t="s">
        <v>9</v>
      </c>
      <c r="Q132" s="4">
        <v>0.61722222222222001</v>
      </c>
      <c r="R132" t="s">
        <v>2331</v>
      </c>
      <c r="S132" t="s">
        <v>4</v>
      </c>
      <c r="T132" t="s">
        <v>2260</v>
      </c>
      <c r="U132" t="s">
        <v>10</v>
      </c>
      <c r="V132" s="5">
        <v>0</v>
      </c>
      <c r="W132" s="5">
        <v>0</v>
      </c>
      <c r="X132" s="2">
        <v>0</v>
      </c>
      <c r="Y132" t="s">
        <v>4</v>
      </c>
      <c r="Z132" t="s">
        <v>4</v>
      </c>
      <c r="AA132" t="s">
        <v>4</v>
      </c>
      <c r="AB132" t="s">
        <v>4</v>
      </c>
    </row>
    <row r="133" spans="1:28" x14ac:dyDescent="0.2">
      <c r="A133" t="s">
        <v>1466</v>
      </c>
      <c r="B133" t="s">
        <v>2</v>
      </c>
      <c r="C133" t="s">
        <v>3</v>
      </c>
      <c r="D133" t="s">
        <v>4</v>
      </c>
      <c r="E133" t="s">
        <v>4</v>
      </c>
      <c r="F133" t="s">
        <v>2331</v>
      </c>
      <c r="G133" t="s">
        <v>6</v>
      </c>
      <c r="H133" t="s">
        <v>2432</v>
      </c>
      <c r="I133" s="2">
        <v>60</v>
      </c>
      <c r="J133" s="2">
        <v>0</v>
      </c>
      <c r="K133" s="2">
        <v>0</v>
      </c>
      <c r="L133" s="3">
        <v>45856</v>
      </c>
      <c r="M133" s="3">
        <v>45856</v>
      </c>
      <c r="N133" s="3"/>
      <c r="O133" t="s">
        <v>2434</v>
      </c>
      <c r="P133" t="s">
        <v>9</v>
      </c>
      <c r="Q133" s="4">
        <v>0.61722222222222001</v>
      </c>
      <c r="R133" t="s">
        <v>2331</v>
      </c>
      <c r="S133" t="s">
        <v>4</v>
      </c>
      <c r="T133" t="s">
        <v>2260</v>
      </c>
      <c r="U133" t="s">
        <v>10</v>
      </c>
      <c r="V133" s="5">
        <v>0</v>
      </c>
      <c r="W133" s="5">
        <v>0</v>
      </c>
      <c r="X133" s="2">
        <v>0</v>
      </c>
      <c r="Y133" t="s">
        <v>4</v>
      </c>
      <c r="Z133" t="s">
        <v>4</v>
      </c>
      <c r="AA133" t="s">
        <v>4</v>
      </c>
      <c r="AB133" t="s">
        <v>4</v>
      </c>
    </row>
    <row r="134" spans="1:28" x14ac:dyDescent="0.2">
      <c r="A134" t="s">
        <v>1466</v>
      </c>
      <c r="B134" t="s">
        <v>2</v>
      </c>
      <c r="C134" t="s">
        <v>3</v>
      </c>
      <c r="D134" t="s">
        <v>4</v>
      </c>
      <c r="E134" t="s">
        <v>4</v>
      </c>
      <c r="F134" t="s">
        <v>2331</v>
      </c>
      <c r="G134" t="s">
        <v>6</v>
      </c>
      <c r="H134" t="s">
        <v>2435</v>
      </c>
      <c r="I134" s="2">
        <v>60</v>
      </c>
      <c r="J134" s="2">
        <v>0</v>
      </c>
      <c r="K134" s="2">
        <v>0</v>
      </c>
      <c r="L134" s="3">
        <v>45857</v>
      </c>
      <c r="M134" s="3">
        <v>45857</v>
      </c>
      <c r="N134" s="3"/>
      <c r="O134" t="s">
        <v>2436</v>
      </c>
      <c r="P134" t="s">
        <v>9</v>
      </c>
      <c r="Q134" s="4">
        <v>0.33527777777778001</v>
      </c>
      <c r="R134" t="s">
        <v>2331</v>
      </c>
      <c r="S134" t="s">
        <v>4</v>
      </c>
      <c r="T134" t="s">
        <v>2262</v>
      </c>
      <c r="U134" t="s">
        <v>10</v>
      </c>
      <c r="V134" s="5">
        <v>0</v>
      </c>
      <c r="W134" s="5">
        <v>0</v>
      </c>
      <c r="X134" s="2">
        <v>0</v>
      </c>
      <c r="Y134" t="s">
        <v>4</v>
      </c>
      <c r="Z134" t="s">
        <v>4</v>
      </c>
      <c r="AA134" t="s">
        <v>4</v>
      </c>
      <c r="AB134" t="s">
        <v>4</v>
      </c>
    </row>
    <row r="135" spans="1:28" x14ac:dyDescent="0.2">
      <c r="A135" t="s">
        <v>1466</v>
      </c>
      <c r="B135" t="s">
        <v>2</v>
      </c>
      <c r="C135" t="s">
        <v>3</v>
      </c>
      <c r="D135" t="s">
        <v>4</v>
      </c>
      <c r="E135" t="s">
        <v>4</v>
      </c>
      <c r="F135" t="s">
        <v>2331</v>
      </c>
      <c r="G135" t="s">
        <v>6</v>
      </c>
      <c r="H135" t="s">
        <v>2435</v>
      </c>
      <c r="I135" s="2">
        <v>60</v>
      </c>
      <c r="J135" s="2">
        <v>0</v>
      </c>
      <c r="K135" s="2">
        <v>0</v>
      </c>
      <c r="L135" s="3">
        <v>45857</v>
      </c>
      <c r="M135" s="3">
        <v>45857</v>
      </c>
      <c r="N135" s="3"/>
      <c r="O135" t="s">
        <v>2437</v>
      </c>
      <c r="P135" t="s">
        <v>9</v>
      </c>
      <c r="Q135" s="4">
        <v>0.33527777777778001</v>
      </c>
      <c r="R135" t="s">
        <v>2331</v>
      </c>
      <c r="S135" t="s">
        <v>4</v>
      </c>
      <c r="T135" t="s">
        <v>2262</v>
      </c>
      <c r="U135" t="s">
        <v>10</v>
      </c>
      <c r="V135" s="5">
        <v>0</v>
      </c>
      <c r="W135" s="5">
        <v>0</v>
      </c>
      <c r="X135" s="2">
        <v>0</v>
      </c>
      <c r="Y135" t="s">
        <v>4</v>
      </c>
      <c r="Z135" t="s">
        <v>4</v>
      </c>
      <c r="AA135" t="s">
        <v>4</v>
      </c>
      <c r="AB135" t="s">
        <v>4</v>
      </c>
    </row>
    <row r="136" spans="1:28" x14ac:dyDescent="0.2">
      <c r="A136" t="s">
        <v>1466</v>
      </c>
      <c r="B136" t="s">
        <v>2</v>
      </c>
      <c r="C136" t="s">
        <v>3</v>
      </c>
      <c r="D136" t="s">
        <v>4</v>
      </c>
      <c r="E136" t="s">
        <v>4</v>
      </c>
      <c r="F136" t="s">
        <v>2331</v>
      </c>
      <c r="G136" t="s">
        <v>6</v>
      </c>
      <c r="H136" t="s">
        <v>2438</v>
      </c>
      <c r="I136" s="2">
        <v>60</v>
      </c>
      <c r="J136" s="2">
        <v>0</v>
      </c>
      <c r="K136" s="2">
        <v>0</v>
      </c>
      <c r="L136" s="3">
        <v>45856</v>
      </c>
      <c r="M136" s="3">
        <v>45856</v>
      </c>
      <c r="N136" s="3"/>
      <c r="O136" t="s">
        <v>2439</v>
      </c>
      <c r="P136" t="s">
        <v>9</v>
      </c>
      <c r="Q136" s="4">
        <v>0.60958333333333004</v>
      </c>
      <c r="R136" t="s">
        <v>2331</v>
      </c>
      <c r="S136" t="s">
        <v>4</v>
      </c>
      <c r="T136" t="s">
        <v>2260</v>
      </c>
      <c r="U136" t="s">
        <v>10</v>
      </c>
      <c r="V136" s="5">
        <v>0</v>
      </c>
      <c r="W136" s="5">
        <v>0</v>
      </c>
      <c r="X136" s="2">
        <v>0</v>
      </c>
      <c r="Y136" t="s">
        <v>4</v>
      </c>
      <c r="Z136" t="s">
        <v>4</v>
      </c>
      <c r="AA136" t="s">
        <v>4</v>
      </c>
      <c r="AB136" t="s">
        <v>4</v>
      </c>
    </row>
    <row r="137" spans="1:28" x14ac:dyDescent="0.2">
      <c r="A137" t="s">
        <v>1466</v>
      </c>
      <c r="B137" t="s">
        <v>2</v>
      </c>
      <c r="C137" t="s">
        <v>3</v>
      </c>
      <c r="D137" t="s">
        <v>4</v>
      </c>
      <c r="E137" t="s">
        <v>4</v>
      </c>
      <c r="F137" t="s">
        <v>2331</v>
      </c>
      <c r="G137" t="s">
        <v>6</v>
      </c>
      <c r="H137" t="s">
        <v>2438</v>
      </c>
      <c r="I137" s="2">
        <v>60</v>
      </c>
      <c r="J137" s="2">
        <v>0</v>
      </c>
      <c r="K137" s="2">
        <v>0</v>
      </c>
      <c r="L137" s="3">
        <v>45856</v>
      </c>
      <c r="M137" s="3">
        <v>45856</v>
      </c>
      <c r="N137" s="3"/>
      <c r="O137" t="s">
        <v>2440</v>
      </c>
      <c r="P137" t="s">
        <v>9</v>
      </c>
      <c r="Q137" s="4">
        <v>0.60958333333333004</v>
      </c>
      <c r="R137" t="s">
        <v>2331</v>
      </c>
      <c r="S137" t="s">
        <v>4</v>
      </c>
      <c r="T137" t="s">
        <v>2260</v>
      </c>
      <c r="U137" t="s">
        <v>10</v>
      </c>
      <c r="V137" s="5">
        <v>0</v>
      </c>
      <c r="W137" s="5">
        <v>0</v>
      </c>
      <c r="X137" s="2">
        <v>0</v>
      </c>
      <c r="Y137" t="s">
        <v>4</v>
      </c>
      <c r="Z137" t="s">
        <v>4</v>
      </c>
      <c r="AA137" t="s">
        <v>4</v>
      </c>
      <c r="AB137" t="s">
        <v>4</v>
      </c>
    </row>
    <row r="138" spans="1:28" x14ac:dyDescent="0.2">
      <c r="A138" t="s">
        <v>1471</v>
      </c>
      <c r="B138" t="s">
        <v>2</v>
      </c>
      <c r="C138" t="s">
        <v>3</v>
      </c>
      <c r="D138" t="s">
        <v>4</v>
      </c>
      <c r="E138" t="s">
        <v>4</v>
      </c>
      <c r="F138" t="s">
        <v>2331</v>
      </c>
      <c r="G138" t="s">
        <v>6</v>
      </c>
      <c r="H138" t="s">
        <v>2441</v>
      </c>
      <c r="I138" s="2">
        <v>60</v>
      </c>
      <c r="J138" s="2">
        <v>0</v>
      </c>
      <c r="K138" s="2">
        <v>0</v>
      </c>
      <c r="L138" s="3">
        <v>45857</v>
      </c>
      <c r="M138" s="3">
        <v>45857</v>
      </c>
      <c r="N138" s="3"/>
      <c r="O138" t="s">
        <v>2442</v>
      </c>
      <c r="P138" t="s">
        <v>9</v>
      </c>
      <c r="Q138" s="4">
        <v>0.33238425925926002</v>
      </c>
      <c r="R138" t="s">
        <v>2331</v>
      </c>
      <c r="S138" t="s">
        <v>4</v>
      </c>
      <c r="T138" t="s">
        <v>2262</v>
      </c>
      <c r="U138" t="s">
        <v>10</v>
      </c>
      <c r="V138" s="5">
        <v>0</v>
      </c>
      <c r="W138" s="5">
        <v>0</v>
      </c>
      <c r="X138" s="2">
        <v>0</v>
      </c>
      <c r="Y138" t="s">
        <v>4</v>
      </c>
      <c r="Z138" t="s">
        <v>4</v>
      </c>
      <c r="AA138" t="s">
        <v>4</v>
      </c>
      <c r="AB138" t="s">
        <v>4</v>
      </c>
    </row>
    <row r="139" spans="1:28" x14ac:dyDescent="0.2">
      <c r="A139" t="s">
        <v>1471</v>
      </c>
      <c r="B139" t="s">
        <v>2</v>
      </c>
      <c r="C139" t="s">
        <v>3</v>
      </c>
      <c r="D139" t="s">
        <v>4</v>
      </c>
      <c r="E139" t="s">
        <v>4</v>
      </c>
      <c r="F139" t="s">
        <v>2331</v>
      </c>
      <c r="G139" t="s">
        <v>6</v>
      </c>
      <c r="H139" t="s">
        <v>2441</v>
      </c>
      <c r="I139" s="2">
        <v>60</v>
      </c>
      <c r="J139" s="2">
        <v>0</v>
      </c>
      <c r="K139" s="2">
        <v>0</v>
      </c>
      <c r="L139" s="3">
        <v>45857</v>
      </c>
      <c r="M139" s="3">
        <v>45857</v>
      </c>
      <c r="N139" s="3"/>
      <c r="O139" t="s">
        <v>2443</v>
      </c>
      <c r="P139" t="s">
        <v>9</v>
      </c>
      <c r="Q139" s="4">
        <v>0.33238425925926002</v>
      </c>
      <c r="R139" t="s">
        <v>2331</v>
      </c>
      <c r="S139" t="s">
        <v>4</v>
      </c>
      <c r="T139" t="s">
        <v>2262</v>
      </c>
      <c r="U139" t="s">
        <v>10</v>
      </c>
      <c r="V139" s="5">
        <v>0</v>
      </c>
      <c r="W139" s="5">
        <v>0</v>
      </c>
      <c r="X139" s="2">
        <v>0</v>
      </c>
      <c r="Y139" t="s">
        <v>4</v>
      </c>
      <c r="Z139" t="s">
        <v>4</v>
      </c>
      <c r="AA139" t="s">
        <v>4</v>
      </c>
      <c r="AB139" t="s">
        <v>4</v>
      </c>
    </row>
    <row r="140" spans="1:28" x14ac:dyDescent="0.2">
      <c r="A140" t="s">
        <v>2039</v>
      </c>
      <c r="B140" t="s">
        <v>2</v>
      </c>
      <c r="C140" t="s">
        <v>3</v>
      </c>
      <c r="D140" t="s">
        <v>4</v>
      </c>
      <c r="E140" t="s">
        <v>4</v>
      </c>
      <c r="F140" t="s">
        <v>2331</v>
      </c>
      <c r="G140" t="s">
        <v>6</v>
      </c>
      <c r="H140" t="s">
        <v>2444</v>
      </c>
      <c r="I140" s="2">
        <v>108</v>
      </c>
      <c r="J140" s="2">
        <v>0</v>
      </c>
      <c r="K140" s="2">
        <v>0</v>
      </c>
      <c r="L140" s="3">
        <v>45860</v>
      </c>
      <c r="M140" s="3">
        <v>45860</v>
      </c>
      <c r="N140" s="3"/>
      <c r="O140" t="s">
        <v>2445</v>
      </c>
      <c r="P140" t="s">
        <v>9</v>
      </c>
      <c r="Q140" s="4">
        <v>0.42675925925926</v>
      </c>
      <c r="R140" t="s">
        <v>2331</v>
      </c>
      <c r="S140" t="s">
        <v>4</v>
      </c>
      <c r="T140" t="s">
        <v>2256</v>
      </c>
      <c r="U140" t="s">
        <v>10</v>
      </c>
      <c r="V140" s="5">
        <v>0</v>
      </c>
      <c r="W140" s="5">
        <v>0</v>
      </c>
      <c r="X140" s="2">
        <v>0</v>
      </c>
      <c r="Y140" t="s">
        <v>4</v>
      </c>
      <c r="Z140" t="s">
        <v>4</v>
      </c>
      <c r="AA140" t="s">
        <v>4</v>
      </c>
      <c r="AB140" t="s">
        <v>4</v>
      </c>
    </row>
    <row r="141" spans="1:28" x14ac:dyDescent="0.2">
      <c r="A141" t="s">
        <v>2039</v>
      </c>
      <c r="B141" t="s">
        <v>2</v>
      </c>
      <c r="C141" t="s">
        <v>3</v>
      </c>
      <c r="D141" t="s">
        <v>4</v>
      </c>
      <c r="E141" t="s">
        <v>4</v>
      </c>
      <c r="F141" t="s">
        <v>2331</v>
      </c>
      <c r="G141" t="s">
        <v>6</v>
      </c>
      <c r="H141" t="s">
        <v>2444</v>
      </c>
      <c r="I141" s="2">
        <v>108</v>
      </c>
      <c r="J141" s="2">
        <v>0</v>
      </c>
      <c r="K141" s="2">
        <v>0</v>
      </c>
      <c r="L141" s="3">
        <v>45860</v>
      </c>
      <c r="M141" s="3">
        <v>45860</v>
      </c>
      <c r="N141" s="3"/>
      <c r="O141" t="s">
        <v>2446</v>
      </c>
      <c r="P141" t="s">
        <v>9</v>
      </c>
      <c r="Q141" s="4">
        <v>0.42675925925926</v>
      </c>
      <c r="R141" t="s">
        <v>2331</v>
      </c>
      <c r="S141" t="s">
        <v>4</v>
      </c>
      <c r="T141" t="s">
        <v>2256</v>
      </c>
      <c r="U141" t="s">
        <v>10</v>
      </c>
      <c r="V141" s="5">
        <v>0</v>
      </c>
      <c r="W141" s="5">
        <v>0</v>
      </c>
      <c r="X141" s="2">
        <v>0</v>
      </c>
      <c r="Y141" t="s">
        <v>4</v>
      </c>
      <c r="Z141" t="s">
        <v>4</v>
      </c>
      <c r="AA141" t="s">
        <v>4</v>
      </c>
      <c r="AB141" t="s">
        <v>4</v>
      </c>
    </row>
    <row r="142" spans="1:28" x14ac:dyDescent="0.2">
      <c r="A142" t="s">
        <v>1466</v>
      </c>
      <c r="B142" t="s">
        <v>2</v>
      </c>
      <c r="C142" t="s">
        <v>3</v>
      </c>
      <c r="D142" t="s">
        <v>4</v>
      </c>
      <c r="E142" t="s">
        <v>4</v>
      </c>
      <c r="F142" t="s">
        <v>2331</v>
      </c>
      <c r="G142" t="s">
        <v>6</v>
      </c>
      <c r="H142" t="s">
        <v>2447</v>
      </c>
      <c r="I142" s="2">
        <v>60</v>
      </c>
      <c r="J142" s="2">
        <v>0</v>
      </c>
      <c r="K142" s="2">
        <v>0</v>
      </c>
      <c r="L142" s="3">
        <v>45857</v>
      </c>
      <c r="M142" s="3">
        <v>45857</v>
      </c>
      <c r="N142" s="3"/>
      <c r="O142" t="s">
        <v>2448</v>
      </c>
      <c r="P142" t="s">
        <v>9</v>
      </c>
      <c r="Q142" s="4">
        <v>0.32924768518518999</v>
      </c>
      <c r="R142" t="s">
        <v>2331</v>
      </c>
      <c r="S142" t="s">
        <v>4</v>
      </c>
      <c r="T142" t="s">
        <v>2262</v>
      </c>
      <c r="U142" t="s">
        <v>10</v>
      </c>
      <c r="V142" s="5">
        <v>0</v>
      </c>
      <c r="W142" s="5">
        <v>0</v>
      </c>
      <c r="X142" s="2">
        <v>0</v>
      </c>
      <c r="Y142" t="s">
        <v>4</v>
      </c>
      <c r="Z142" t="s">
        <v>4</v>
      </c>
      <c r="AA142" t="s">
        <v>4</v>
      </c>
      <c r="AB142" t="s">
        <v>4</v>
      </c>
    </row>
    <row r="143" spans="1:28" x14ac:dyDescent="0.2">
      <c r="A143" t="s">
        <v>1466</v>
      </c>
      <c r="B143" t="s">
        <v>2</v>
      </c>
      <c r="C143" t="s">
        <v>3</v>
      </c>
      <c r="D143" t="s">
        <v>4</v>
      </c>
      <c r="E143" t="s">
        <v>4</v>
      </c>
      <c r="F143" t="s">
        <v>2331</v>
      </c>
      <c r="G143" t="s">
        <v>6</v>
      </c>
      <c r="H143" t="s">
        <v>2447</v>
      </c>
      <c r="I143" s="2">
        <v>60</v>
      </c>
      <c r="J143" s="2">
        <v>0</v>
      </c>
      <c r="K143" s="2">
        <v>0</v>
      </c>
      <c r="L143" s="3">
        <v>45857</v>
      </c>
      <c r="M143" s="3">
        <v>45857</v>
      </c>
      <c r="N143" s="3"/>
      <c r="O143" t="s">
        <v>2449</v>
      </c>
      <c r="P143" t="s">
        <v>9</v>
      </c>
      <c r="Q143" s="4">
        <v>0.32924768518518999</v>
      </c>
      <c r="R143" t="s">
        <v>2331</v>
      </c>
      <c r="S143" t="s">
        <v>4</v>
      </c>
      <c r="T143" t="s">
        <v>2262</v>
      </c>
      <c r="U143" t="s">
        <v>10</v>
      </c>
      <c r="V143" s="5">
        <v>0</v>
      </c>
      <c r="W143" s="5">
        <v>0</v>
      </c>
      <c r="X143" s="2">
        <v>0</v>
      </c>
      <c r="Y143" t="s">
        <v>4</v>
      </c>
      <c r="Z143" t="s">
        <v>4</v>
      </c>
      <c r="AA143" t="s">
        <v>4</v>
      </c>
      <c r="AB143" t="s">
        <v>4</v>
      </c>
    </row>
    <row r="144" spans="1:28" x14ac:dyDescent="0.2">
      <c r="A144" t="s">
        <v>1471</v>
      </c>
      <c r="B144" t="s">
        <v>2</v>
      </c>
      <c r="C144" t="s">
        <v>3</v>
      </c>
      <c r="D144" t="s">
        <v>4</v>
      </c>
      <c r="E144" t="s">
        <v>4</v>
      </c>
      <c r="F144" t="s">
        <v>2331</v>
      </c>
      <c r="G144" t="s">
        <v>6</v>
      </c>
      <c r="H144" t="s">
        <v>2450</v>
      </c>
      <c r="I144" s="2">
        <v>60</v>
      </c>
      <c r="J144" s="2">
        <v>0</v>
      </c>
      <c r="K144" s="2">
        <v>0</v>
      </c>
      <c r="L144" s="3">
        <v>45857</v>
      </c>
      <c r="M144" s="3">
        <v>45857</v>
      </c>
      <c r="N144" s="3"/>
      <c r="O144" t="s">
        <v>2451</v>
      </c>
      <c r="P144" t="s">
        <v>9</v>
      </c>
      <c r="Q144" s="4">
        <v>0.61063657407407002</v>
      </c>
      <c r="R144" t="s">
        <v>2331</v>
      </c>
      <c r="S144" t="s">
        <v>4</v>
      </c>
      <c r="T144" t="s">
        <v>2262</v>
      </c>
      <c r="U144" t="s">
        <v>10</v>
      </c>
      <c r="V144" s="5">
        <v>0</v>
      </c>
      <c r="W144" s="5">
        <v>0</v>
      </c>
      <c r="X144" s="2">
        <v>0</v>
      </c>
      <c r="Y144" t="s">
        <v>4</v>
      </c>
      <c r="Z144" t="s">
        <v>4</v>
      </c>
      <c r="AA144" t="s">
        <v>4</v>
      </c>
      <c r="AB144" t="s">
        <v>4</v>
      </c>
    </row>
    <row r="145" spans="1:28" x14ac:dyDescent="0.2">
      <c r="A145" t="s">
        <v>1471</v>
      </c>
      <c r="B145" t="s">
        <v>2</v>
      </c>
      <c r="C145" t="s">
        <v>3</v>
      </c>
      <c r="D145" t="s">
        <v>4</v>
      </c>
      <c r="E145" t="s">
        <v>4</v>
      </c>
      <c r="F145" t="s">
        <v>2331</v>
      </c>
      <c r="G145" t="s">
        <v>6</v>
      </c>
      <c r="H145" t="s">
        <v>2450</v>
      </c>
      <c r="I145" s="2">
        <v>60</v>
      </c>
      <c r="J145" s="2">
        <v>0</v>
      </c>
      <c r="K145" s="2">
        <v>0</v>
      </c>
      <c r="L145" s="3">
        <v>45857</v>
      </c>
      <c r="M145" s="3">
        <v>45857</v>
      </c>
      <c r="N145" s="3"/>
      <c r="O145" t="s">
        <v>2452</v>
      </c>
      <c r="P145" t="s">
        <v>9</v>
      </c>
      <c r="Q145" s="4">
        <v>0.61063657407407002</v>
      </c>
      <c r="R145" t="s">
        <v>2331</v>
      </c>
      <c r="S145" t="s">
        <v>4</v>
      </c>
      <c r="T145" t="s">
        <v>2262</v>
      </c>
      <c r="U145" t="s">
        <v>10</v>
      </c>
      <c r="V145" s="5">
        <v>0</v>
      </c>
      <c r="W145" s="5">
        <v>0</v>
      </c>
      <c r="X145" s="2">
        <v>0</v>
      </c>
      <c r="Y145" t="s">
        <v>4</v>
      </c>
      <c r="Z145" t="s">
        <v>4</v>
      </c>
      <c r="AA145" t="s">
        <v>4</v>
      </c>
      <c r="AB145" t="s">
        <v>4</v>
      </c>
    </row>
    <row r="146" spans="1:28" x14ac:dyDescent="0.2">
      <c r="A146" t="s">
        <v>1471</v>
      </c>
      <c r="B146" t="s">
        <v>2</v>
      </c>
      <c r="C146" t="s">
        <v>3</v>
      </c>
      <c r="D146" t="s">
        <v>4</v>
      </c>
      <c r="E146" t="s">
        <v>4</v>
      </c>
      <c r="F146" t="s">
        <v>2331</v>
      </c>
      <c r="G146" t="s">
        <v>6</v>
      </c>
      <c r="H146" t="s">
        <v>2453</v>
      </c>
      <c r="I146" s="2">
        <v>60</v>
      </c>
      <c r="J146" s="2">
        <v>0</v>
      </c>
      <c r="K146" s="2">
        <v>0</v>
      </c>
      <c r="L146" s="3">
        <v>45857</v>
      </c>
      <c r="M146" s="3">
        <v>45857</v>
      </c>
      <c r="N146" s="3"/>
      <c r="O146" t="s">
        <v>2454</v>
      </c>
      <c r="P146" t="s">
        <v>9</v>
      </c>
      <c r="Q146" s="4">
        <v>0.6171875</v>
      </c>
      <c r="R146" t="s">
        <v>2331</v>
      </c>
      <c r="S146" t="s">
        <v>4</v>
      </c>
      <c r="T146" t="s">
        <v>2262</v>
      </c>
      <c r="U146" t="s">
        <v>10</v>
      </c>
      <c r="V146" s="5">
        <v>0</v>
      </c>
      <c r="W146" s="5">
        <v>0</v>
      </c>
      <c r="X146" s="2">
        <v>0</v>
      </c>
      <c r="Y146" t="s">
        <v>4</v>
      </c>
      <c r="Z146" t="s">
        <v>4</v>
      </c>
      <c r="AA146" t="s">
        <v>4</v>
      </c>
      <c r="AB146" t="s">
        <v>4</v>
      </c>
    </row>
    <row r="147" spans="1:28" x14ac:dyDescent="0.2">
      <c r="A147" t="s">
        <v>1471</v>
      </c>
      <c r="B147" t="s">
        <v>2</v>
      </c>
      <c r="C147" t="s">
        <v>3</v>
      </c>
      <c r="D147" t="s">
        <v>4</v>
      </c>
      <c r="E147" t="s">
        <v>4</v>
      </c>
      <c r="F147" t="s">
        <v>2331</v>
      </c>
      <c r="G147" t="s">
        <v>6</v>
      </c>
      <c r="H147" t="s">
        <v>2453</v>
      </c>
      <c r="I147" s="2">
        <v>60</v>
      </c>
      <c r="J147" s="2">
        <v>0</v>
      </c>
      <c r="K147" s="2">
        <v>0</v>
      </c>
      <c r="L147" s="3">
        <v>45857</v>
      </c>
      <c r="M147" s="3">
        <v>45857</v>
      </c>
      <c r="N147" s="3"/>
      <c r="O147" t="s">
        <v>2455</v>
      </c>
      <c r="P147" t="s">
        <v>9</v>
      </c>
      <c r="Q147" s="4">
        <v>0.6171875</v>
      </c>
      <c r="R147" t="s">
        <v>2331</v>
      </c>
      <c r="S147" t="s">
        <v>4</v>
      </c>
      <c r="T147" t="s">
        <v>2262</v>
      </c>
      <c r="U147" t="s">
        <v>10</v>
      </c>
      <c r="V147" s="5">
        <v>0</v>
      </c>
      <c r="W147" s="5">
        <v>0</v>
      </c>
      <c r="X147" s="2">
        <v>0</v>
      </c>
      <c r="Y147" t="s">
        <v>4</v>
      </c>
      <c r="Z147" t="s">
        <v>4</v>
      </c>
      <c r="AA147" t="s">
        <v>4</v>
      </c>
      <c r="AB147" t="s">
        <v>4</v>
      </c>
    </row>
    <row r="148" spans="1:28" x14ac:dyDescent="0.2">
      <c r="A148" t="s">
        <v>2251</v>
      </c>
      <c r="B148" t="s">
        <v>4</v>
      </c>
      <c r="C148" t="s">
        <v>4</v>
      </c>
      <c r="D148" t="s">
        <v>4</v>
      </c>
      <c r="E148" t="s">
        <v>4</v>
      </c>
      <c r="F148" t="s">
        <v>2331</v>
      </c>
      <c r="G148" t="s">
        <v>6</v>
      </c>
      <c r="H148" t="s">
        <v>2456</v>
      </c>
      <c r="I148" s="5">
        <v>0</v>
      </c>
      <c r="J148" s="5">
        <v>0</v>
      </c>
      <c r="K148" s="5">
        <v>0</v>
      </c>
      <c r="L148" s="3"/>
      <c r="M148" s="3"/>
      <c r="N148" s="3"/>
      <c r="O148" t="s">
        <v>4</v>
      </c>
      <c r="P148" t="s">
        <v>9</v>
      </c>
      <c r="Q148" s="4">
        <v>0</v>
      </c>
      <c r="R148" t="s">
        <v>4</v>
      </c>
      <c r="S148" t="s">
        <v>4</v>
      </c>
      <c r="T148" t="s">
        <v>2256</v>
      </c>
      <c r="U148" t="s">
        <v>4</v>
      </c>
      <c r="V148" s="5">
        <v>0</v>
      </c>
      <c r="W148" s="5">
        <v>0</v>
      </c>
      <c r="X148" s="2">
        <v>0</v>
      </c>
      <c r="Y148" t="s">
        <v>4</v>
      </c>
      <c r="Z148" t="s">
        <v>2351</v>
      </c>
      <c r="AA148" t="s">
        <v>4</v>
      </c>
      <c r="AB148" t="s">
        <v>4</v>
      </c>
    </row>
    <row r="149" spans="1:28" x14ac:dyDescent="0.2">
      <c r="A149" t="s">
        <v>2251</v>
      </c>
      <c r="B149" t="s">
        <v>4</v>
      </c>
      <c r="C149" t="s">
        <v>4</v>
      </c>
      <c r="D149" t="s">
        <v>4</v>
      </c>
      <c r="E149" t="s">
        <v>4</v>
      </c>
      <c r="F149" t="s">
        <v>2331</v>
      </c>
      <c r="G149" t="s">
        <v>6</v>
      </c>
      <c r="H149" t="s">
        <v>2457</v>
      </c>
      <c r="I149" s="5">
        <v>0</v>
      </c>
      <c r="J149" s="5">
        <v>0</v>
      </c>
      <c r="K149" s="5">
        <v>0</v>
      </c>
      <c r="L149" s="3"/>
      <c r="M149" s="3"/>
      <c r="N149" s="3"/>
      <c r="O149" t="s">
        <v>4</v>
      </c>
      <c r="P149" t="s">
        <v>9</v>
      </c>
      <c r="Q149" s="4">
        <v>0</v>
      </c>
      <c r="R149" t="s">
        <v>4</v>
      </c>
      <c r="S149" t="s">
        <v>4</v>
      </c>
      <c r="T149" t="s">
        <v>2256</v>
      </c>
      <c r="U149" t="s">
        <v>4</v>
      </c>
      <c r="V149" s="5">
        <v>0</v>
      </c>
      <c r="W149" s="5">
        <v>0</v>
      </c>
      <c r="X149" s="2">
        <v>0</v>
      </c>
      <c r="Y149" t="s">
        <v>4</v>
      </c>
      <c r="Z149" t="s">
        <v>2351</v>
      </c>
      <c r="AA149" t="s">
        <v>4</v>
      </c>
      <c r="AB149" t="s">
        <v>4</v>
      </c>
    </row>
    <row r="150" spans="1:28" x14ac:dyDescent="0.2">
      <c r="A150" t="s">
        <v>1462</v>
      </c>
      <c r="B150" t="s">
        <v>2</v>
      </c>
      <c r="C150" t="s">
        <v>3</v>
      </c>
      <c r="D150" t="s">
        <v>4</v>
      </c>
      <c r="E150" t="s">
        <v>4</v>
      </c>
      <c r="F150" t="s">
        <v>2331</v>
      </c>
      <c r="G150" t="s">
        <v>6</v>
      </c>
      <c r="H150" t="s">
        <v>2458</v>
      </c>
      <c r="I150" s="2">
        <v>72</v>
      </c>
      <c r="J150" s="2">
        <v>0</v>
      </c>
      <c r="K150" s="2">
        <v>0</v>
      </c>
      <c r="L150" s="3">
        <v>45846</v>
      </c>
      <c r="M150" s="3">
        <v>45846</v>
      </c>
      <c r="N150" s="3"/>
      <c r="O150" t="s">
        <v>2459</v>
      </c>
      <c r="P150" t="s">
        <v>9</v>
      </c>
      <c r="Q150" s="4">
        <v>0.75453703703704</v>
      </c>
      <c r="R150" t="s">
        <v>2331</v>
      </c>
      <c r="S150" t="s">
        <v>4</v>
      </c>
      <c r="T150" t="s">
        <v>2318</v>
      </c>
      <c r="U150" t="s">
        <v>10</v>
      </c>
      <c r="V150" s="5">
        <v>0</v>
      </c>
      <c r="W150" s="5">
        <v>0</v>
      </c>
      <c r="X150" s="2">
        <v>0</v>
      </c>
      <c r="Y150" t="s">
        <v>4</v>
      </c>
      <c r="Z150" t="s">
        <v>4</v>
      </c>
      <c r="AA150" t="s">
        <v>4</v>
      </c>
      <c r="AB150" t="s">
        <v>4</v>
      </c>
    </row>
    <row r="151" spans="1:28" x14ac:dyDescent="0.2">
      <c r="A151" t="s">
        <v>1462</v>
      </c>
      <c r="B151" t="s">
        <v>2</v>
      </c>
      <c r="C151" t="s">
        <v>3</v>
      </c>
      <c r="D151" t="s">
        <v>4</v>
      </c>
      <c r="E151" t="s">
        <v>4</v>
      </c>
      <c r="F151" t="s">
        <v>2331</v>
      </c>
      <c r="G151" t="s">
        <v>6</v>
      </c>
      <c r="H151" t="s">
        <v>2458</v>
      </c>
      <c r="I151" s="2">
        <v>72</v>
      </c>
      <c r="J151" s="2">
        <v>0</v>
      </c>
      <c r="K151" s="2">
        <v>0</v>
      </c>
      <c r="L151" s="3">
        <v>45846</v>
      </c>
      <c r="M151" s="3">
        <v>45846</v>
      </c>
      <c r="N151" s="3"/>
      <c r="O151" t="s">
        <v>2460</v>
      </c>
      <c r="P151" t="s">
        <v>9</v>
      </c>
      <c r="Q151" s="4">
        <v>0.75453703703704</v>
      </c>
      <c r="R151" t="s">
        <v>2331</v>
      </c>
      <c r="S151" t="s">
        <v>4</v>
      </c>
      <c r="T151" t="s">
        <v>2318</v>
      </c>
      <c r="U151" t="s">
        <v>10</v>
      </c>
      <c r="V151" s="5">
        <v>0</v>
      </c>
      <c r="W151" s="5">
        <v>0</v>
      </c>
      <c r="X151" s="2">
        <v>0</v>
      </c>
      <c r="Y151" t="s">
        <v>4</v>
      </c>
      <c r="Z151" t="s">
        <v>4</v>
      </c>
      <c r="AA151" t="s">
        <v>4</v>
      </c>
      <c r="AB151" t="s">
        <v>4</v>
      </c>
    </row>
    <row r="152" spans="1:28" x14ac:dyDescent="0.2">
      <c r="A152" t="s">
        <v>2043</v>
      </c>
      <c r="B152" t="s">
        <v>2</v>
      </c>
      <c r="C152" t="s">
        <v>3</v>
      </c>
      <c r="D152" t="s">
        <v>4</v>
      </c>
      <c r="E152" t="s">
        <v>4</v>
      </c>
      <c r="F152" t="s">
        <v>2331</v>
      </c>
      <c r="G152" t="s">
        <v>6</v>
      </c>
      <c r="H152" t="s">
        <v>2461</v>
      </c>
      <c r="I152" s="2">
        <v>108</v>
      </c>
      <c r="J152" s="2">
        <v>0</v>
      </c>
      <c r="K152" s="2">
        <v>0</v>
      </c>
      <c r="L152" s="3">
        <v>45856</v>
      </c>
      <c r="M152" s="3">
        <v>45856</v>
      </c>
      <c r="N152" s="3"/>
      <c r="O152" t="s">
        <v>2462</v>
      </c>
      <c r="P152" t="s">
        <v>9</v>
      </c>
      <c r="Q152" s="4">
        <v>0.65271990740741004</v>
      </c>
      <c r="R152" t="s">
        <v>2331</v>
      </c>
      <c r="S152" t="s">
        <v>4</v>
      </c>
      <c r="T152" t="s">
        <v>2260</v>
      </c>
      <c r="U152" t="s">
        <v>10</v>
      </c>
      <c r="V152" s="5">
        <v>0</v>
      </c>
      <c r="W152" s="5">
        <v>0</v>
      </c>
      <c r="X152" s="2">
        <v>0</v>
      </c>
      <c r="Y152" t="s">
        <v>4</v>
      </c>
      <c r="Z152" t="s">
        <v>4</v>
      </c>
      <c r="AA152" t="s">
        <v>4</v>
      </c>
      <c r="AB152" t="s">
        <v>4</v>
      </c>
    </row>
    <row r="153" spans="1:28" x14ac:dyDescent="0.2">
      <c r="A153" t="s">
        <v>2043</v>
      </c>
      <c r="B153" t="s">
        <v>2</v>
      </c>
      <c r="C153" t="s">
        <v>3</v>
      </c>
      <c r="D153" t="s">
        <v>4</v>
      </c>
      <c r="E153" t="s">
        <v>4</v>
      </c>
      <c r="F153" t="s">
        <v>2331</v>
      </c>
      <c r="G153" t="s">
        <v>6</v>
      </c>
      <c r="H153" t="s">
        <v>2461</v>
      </c>
      <c r="I153" s="2">
        <v>108</v>
      </c>
      <c r="J153" s="2">
        <v>0</v>
      </c>
      <c r="K153" s="2">
        <v>0</v>
      </c>
      <c r="L153" s="3">
        <v>45856</v>
      </c>
      <c r="M153" s="3">
        <v>45856</v>
      </c>
      <c r="N153" s="3"/>
      <c r="O153" t="s">
        <v>2463</v>
      </c>
      <c r="P153" t="s">
        <v>9</v>
      </c>
      <c r="Q153" s="4">
        <v>0.65271990740741004</v>
      </c>
      <c r="R153" t="s">
        <v>2331</v>
      </c>
      <c r="S153" t="s">
        <v>4</v>
      </c>
      <c r="T153" t="s">
        <v>2260</v>
      </c>
      <c r="U153" t="s">
        <v>10</v>
      </c>
      <c r="V153" s="5">
        <v>0</v>
      </c>
      <c r="W153" s="5">
        <v>0</v>
      </c>
      <c r="X153" s="2">
        <v>0</v>
      </c>
      <c r="Y153" t="s">
        <v>4</v>
      </c>
      <c r="Z153" t="s">
        <v>4</v>
      </c>
      <c r="AA153" t="s">
        <v>4</v>
      </c>
      <c r="AB153" t="s">
        <v>4</v>
      </c>
    </row>
    <row r="154" spans="1:28" x14ac:dyDescent="0.2">
      <c r="A154" t="s">
        <v>1573</v>
      </c>
      <c r="B154" t="s">
        <v>2</v>
      </c>
      <c r="C154" t="s">
        <v>3</v>
      </c>
      <c r="D154" t="s">
        <v>4</v>
      </c>
      <c r="E154" t="s">
        <v>4</v>
      </c>
      <c r="F154" t="s">
        <v>2331</v>
      </c>
      <c r="G154" t="s">
        <v>6</v>
      </c>
      <c r="H154" t="s">
        <v>2464</v>
      </c>
      <c r="I154" s="2">
        <v>45</v>
      </c>
      <c r="J154" s="2">
        <v>0</v>
      </c>
      <c r="K154" s="2">
        <v>0</v>
      </c>
      <c r="L154" s="3">
        <v>45860</v>
      </c>
      <c r="M154" s="3">
        <v>45860</v>
      </c>
      <c r="N154" s="3"/>
      <c r="O154" t="s">
        <v>2465</v>
      </c>
      <c r="P154" t="s">
        <v>9</v>
      </c>
      <c r="Q154" s="4">
        <v>0.51459490740740998</v>
      </c>
      <c r="R154" t="s">
        <v>2331</v>
      </c>
      <c r="S154" t="s">
        <v>4</v>
      </c>
      <c r="T154" t="s">
        <v>2256</v>
      </c>
      <c r="U154" t="s">
        <v>10</v>
      </c>
      <c r="V154" s="5">
        <v>0</v>
      </c>
      <c r="W154" s="5">
        <v>0</v>
      </c>
      <c r="X154" s="2">
        <v>0</v>
      </c>
      <c r="Y154" t="s">
        <v>4</v>
      </c>
      <c r="Z154" t="s">
        <v>4</v>
      </c>
      <c r="AA154" t="s">
        <v>4</v>
      </c>
      <c r="AB154" t="s">
        <v>4</v>
      </c>
    </row>
    <row r="155" spans="1:28" x14ac:dyDescent="0.2">
      <c r="A155" t="s">
        <v>1573</v>
      </c>
      <c r="B155" t="s">
        <v>2</v>
      </c>
      <c r="C155" t="s">
        <v>3</v>
      </c>
      <c r="D155" t="s">
        <v>4</v>
      </c>
      <c r="E155" t="s">
        <v>4</v>
      </c>
      <c r="F155" t="s">
        <v>2331</v>
      </c>
      <c r="G155" t="s">
        <v>6</v>
      </c>
      <c r="H155" t="s">
        <v>2464</v>
      </c>
      <c r="I155" s="2">
        <v>45</v>
      </c>
      <c r="J155" s="2">
        <v>0</v>
      </c>
      <c r="K155" s="2">
        <v>0</v>
      </c>
      <c r="L155" s="3">
        <v>45860</v>
      </c>
      <c r="M155" s="3">
        <v>45860</v>
      </c>
      <c r="N155" s="3"/>
      <c r="O155" t="s">
        <v>2466</v>
      </c>
      <c r="P155" t="s">
        <v>9</v>
      </c>
      <c r="Q155" s="4">
        <v>0.51459490740740998</v>
      </c>
      <c r="R155" t="s">
        <v>2331</v>
      </c>
      <c r="S155" t="s">
        <v>4</v>
      </c>
      <c r="T155" t="s">
        <v>2256</v>
      </c>
      <c r="U155" t="s">
        <v>10</v>
      </c>
      <c r="V155" s="5">
        <v>0</v>
      </c>
      <c r="W155" s="5">
        <v>0</v>
      </c>
      <c r="X155" s="2">
        <v>0</v>
      </c>
      <c r="Y155" t="s">
        <v>4</v>
      </c>
      <c r="Z155" t="s">
        <v>4</v>
      </c>
      <c r="AA155" t="s">
        <v>4</v>
      </c>
      <c r="AB155" t="s">
        <v>4</v>
      </c>
    </row>
    <row r="156" spans="1:28" x14ac:dyDescent="0.2">
      <c r="A156" t="s">
        <v>1573</v>
      </c>
      <c r="B156" t="s">
        <v>2</v>
      </c>
      <c r="C156" t="s">
        <v>3</v>
      </c>
      <c r="D156" t="s">
        <v>4</v>
      </c>
      <c r="E156" t="s">
        <v>4</v>
      </c>
      <c r="F156" t="s">
        <v>2331</v>
      </c>
      <c r="G156" t="s">
        <v>6</v>
      </c>
      <c r="H156" t="s">
        <v>2467</v>
      </c>
      <c r="I156" s="2">
        <v>45</v>
      </c>
      <c r="J156" s="2">
        <v>0</v>
      </c>
      <c r="K156" s="2">
        <v>0</v>
      </c>
      <c r="L156" s="3">
        <v>45860</v>
      </c>
      <c r="M156" s="3">
        <v>45860</v>
      </c>
      <c r="N156" s="3"/>
      <c r="O156" t="s">
        <v>2468</v>
      </c>
      <c r="P156" t="s">
        <v>9</v>
      </c>
      <c r="Q156" s="4">
        <v>0.51390046296295999</v>
      </c>
      <c r="R156" t="s">
        <v>2331</v>
      </c>
      <c r="S156" t="s">
        <v>4</v>
      </c>
      <c r="T156" t="s">
        <v>2256</v>
      </c>
      <c r="U156" t="s">
        <v>10</v>
      </c>
      <c r="V156" s="5">
        <v>0</v>
      </c>
      <c r="W156" s="5">
        <v>0</v>
      </c>
      <c r="X156" s="2">
        <v>0</v>
      </c>
      <c r="Y156" t="s">
        <v>4</v>
      </c>
      <c r="Z156" t="s">
        <v>4</v>
      </c>
      <c r="AA156" t="s">
        <v>4</v>
      </c>
      <c r="AB156" t="s">
        <v>4</v>
      </c>
    </row>
    <row r="157" spans="1:28" x14ac:dyDescent="0.2">
      <c r="A157" t="s">
        <v>1573</v>
      </c>
      <c r="B157" t="s">
        <v>2</v>
      </c>
      <c r="C157" t="s">
        <v>3</v>
      </c>
      <c r="D157" t="s">
        <v>4</v>
      </c>
      <c r="E157" t="s">
        <v>4</v>
      </c>
      <c r="F157" t="s">
        <v>2331</v>
      </c>
      <c r="G157" t="s">
        <v>6</v>
      </c>
      <c r="H157" t="s">
        <v>2467</v>
      </c>
      <c r="I157" s="2">
        <v>45</v>
      </c>
      <c r="J157" s="2">
        <v>0</v>
      </c>
      <c r="K157" s="2">
        <v>0</v>
      </c>
      <c r="L157" s="3">
        <v>45860</v>
      </c>
      <c r="M157" s="3">
        <v>45860</v>
      </c>
      <c r="N157" s="3"/>
      <c r="O157" t="s">
        <v>2469</v>
      </c>
      <c r="P157" t="s">
        <v>9</v>
      </c>
      <c r="Q157" s="4">
        <v>0.51390046296295999</v>
      </c>
      <c r="R157" t="s">
        <v>2331</v>
      </c>
      <c r="S157" t="s">
        <v>4</v>
      </c>
      <c r="T157" t="s">
        <v>2256</v>
      </c>
      <c r="U157" t="s">
        <v>10</v>
      </c>
      <c r="V157" s="5">
        <v>0</v>
      </c>
      <c r="W157" s="5">
        <v>0</v>
      </c>
      <c r="X157" s="2">
        <v>0</v>
      </c>
      <c r="Y157" t="s">
        <v>4</v>
      </c>
      <c r="Z157" t="s">
        <v>4</v>
      </c>
      <c r="AA157" t="s">
        <v>4</v>
      </c>
      <c r="AB157" t="s">
        <v>4</v>
      </c>
    </row>
    <row r="158" spans="1:28" x14ac:dyDescent="0.2">
      <c r="A158" t="s">
        <v>689</v>
      </c>
      <c r="B158" t="s">
        <v>2</v>
      </c>
      <c r="C158" t="s">
        <v>3</v>
      </c>
      <c r="D158" t="s">
        <v>4</v>
      </c>
      <c r="E158" t="s">
        <v>4</v>
      </c>
      <c r="F158" t="s">
        <v>2331</v>
      </c>
      <c r="G158" t="s">
        <v>6</v>
      </c>
      <c r="H158" t="s">
        <v>2470</v>
      </c>
      <c r="I158" s="2">
        <v>70</v>
      </c>
      <c r="J158" s="2">
        <v>0</v>
      </c>
      <c r="K158" s="2">
        <v>0</v>
      </c>
      <c r="L158" s="3">
        <v>45857</v>
      </c>
      <c r="M158" s="3">
        <v>45857</v>
      </c>
      <c r="N158" s="3"/>
      <c r="O158" t="s">
        <v>2471</v>
      </c>
      <c r="P158" t="s">
        <v>9</v>
      </c>
      <c r="Q158" s="4">
        <v>0.37549768518519</v>
      </c>
      <c r="R158" t="s">
        <v>2331</v>
      </c>
      <c r="S158" t="s">
        <v>4</v>
      </c>
      <c r="T158" t="s">
        <v>2262</v>
      </c>
      <c r="U158" t="s">
        <v>10</v>
      </c>
      <c r="V158" s="5">
        <v>0</v>
      </c>
      <c r="W158" s="5">
        <v>0</v>
      </c>
      <c r="X158" s="2">
        <v>0</v>
      </c>
      <c r="Y158" t="s">
        <v>4</v>
      </c>
      <c r="Z158" t="s">
        <v>4</v>
      </c>
      <c r="AA158" t="s">
        <v>4</v>
      </c>
      <c r="AB158" t="s">
        <v>4</v>
      </c>
    </row>
    <row r="159" spans="1:28" x14ac:dyDescent="0.2">
      <c r="A159" t="s">
        <v>689</v>
      </c>
      <c r="B159" t="s">
        <v>2</v>
      </c>
      <c r="C159" t="s">
        <v>3</v>
      </c>
      <c r="D159" t="s">
        <v>4</v>
      </c>
      <c r="E159" t="s">
        <v>4</v>
      </c>
      <c r="F159" t="s">
        <v>2331</v>
      </c>
      <c r="G159" t="s">
        <v>6</v>
      </c>
      <c r="H159" t="s">
        <v>2470</v>
      </c>
      <c r="I159" s="2">
        <v>70</v>
      </c>
      <c r="J159" s="2">
        <v>0</v>
      </c>
      <c r="K159" s="2">
        <v>0</v>
      </c>
      <c r="L159" s="3">
        <v>45857</v>
      </c>
      <c r="M159" s="3">
        <v>45857</v>
      </c>
      <c r="N159" s="3"/>
      <c r="O159" t="s">
        <v>2472</v>
      </c>
      <c r="P159" t="s">
        <v>9</v>
      </c>
      <c r="Q159" s="4">
        <v>0.37549768518519</v>
      </c>
      <c r="R159" t="s">
        <v>2331</v>
      </c>
      <c r="S159" t="s">
        <v>4</v>
      </c>
      <c r="T159" t="s">
        <v>2262</v>
      </c>
      <c r="U159" t="s">
        <v>10</v>
      </c>
      <c r="V159" s="5">
        <v>0</v>
      </c>
      <c r="W159" s="5">
        <v>0</v>
      </c>
      <c r="X159" s="2">
        <v>0</v>
      </c>
      <c r="Y159" t="s">
        <v>4</v>
      </c>
      <c r="Z159" t="s">
        <v>4</v>
      </c>
      <c r="AA159" t="s">
        <v>4</v>
      </c>
      <c r="AB159" t="s">
        <v>4</v>
      </c>
    </row>
    <row r="160" spans="1:28" x14ac:dyDescent="0.2">
      <c r="A160" t="s">
        <v>1573</v>
      </c>
      <c r="B160" t="s">
        <v>2</v>
      </c>
      <c r="C160" t="s">
        <v>3</v>
      </c>
      <c r="D160" t="s">
        <v>4</v>
      </c>
      <c r="E160" t="s">
        <v>4</v>
      </c>
      <c r="F160" t="s">
        <v>2331</v>
      </c>
      <c r="G160" t="s">
        <v>6</v>
      </c>
      <c r="H160" t="s">
        <v>2473</v>
      </c>
      <c r="I160" s="2">
        <v>45</v>
      </c>
      <c r="J160" s="2">
        <v>0</v>
      </c>
      <c r="K160" s="2">
        <v>0</v>
      </c>
      <c r="L160" s="3">
        <v>45860</v>
      </c>
      <c r="M160" s="3">
        <v>45860</v>
      </c>
      <c r="N160" s="3"/>
      <c r="O160" t="s">
        <v>2474</v>
      </c>
      <c r="P160" t="s">
        <v>9</v>
      </c>
      <c r="Q160" s="4">
        <v>0.47077546296296002</v>
      </c>
      <c r="R160" t="s">
        <v>2331</v>
      </c>
      <c r="S160" t="s">
        <v>4</v>
      </c>
      <c r="T160" t="s">
        <v>2256</v>
      </c>
      <c r="U160" t="s">
        <v>10</v>
      </c>
      <c r="V160" s="5">
        <v>0</v>
      </c>
      <c r="W160" s="5">
        <v>0</v>
      </c>
      <c r="X160" s="2">
        <v>0</v>
      </c>
      <c r="Y160" t="s">
        <v>4</v>
      </c>
      <c r="Z160" t="s">
        <v>4</v>
      </c>
      <c r="AA160" t="s">
        <v>4</v>
      </c>
      <c r="AB160" t="s">
        <v>4</v>
      </c>
    </row>
    <row r="161" spans="1:28" x14ac:dyDescent="0.2">
      <c r="A161" t="s">
        <v>1573</v>
      </c>
      <c r="B161" t="s">
        <v>2</v>
      </c>
      <c r="C161" t="s">
        <v>3</v>
      </c>
      <c r="D161" t="s">
        <v>4</v>
      </c>
      <c r="E161" t="s">
        <v>4</v>
      </c>
      <c r="F161" t="s">
        <v>2331</v>
      </c>
      <c r="G161" t="s">
        <v>6</v>
      </c>
      <c r="H161" t="s">
        <v>2473</v>
      </c>
      <c r="I161" s="2">
        <v>45</v>
      </c>
      <c r="J161" s="2">
        <v>0</v>
      </c>
      <c r="K161" s="2">
        <v>0</v>
      </c>
      <c r="L161" s="3">
        <v>45860</v>
      </c>
      <c r="M161" s="3">
        <v>45860</v>
      </c>
      <c r="N161" s="3"/>
      <c r="O161" t="s">
        <v>2475</v>
      </c>
      <c r="P161" t="s">
        <v>9</v>
      </c>
      <c r="Q161" s="4">
        <v>0.47077546296296002</v>
      </c>
      <c r="R161" t="s">
        <v>2331</v>
      </c>
      <c r="S161" t="s">
        <v>4</v>
      </c>
      <c r="T161" t="s">
        <v>2256</v>
      </c>
      <c r="U161" t="s">
        <v>10</v>
      </c>
      <c r="V161" s="5">
        <v>0</v>
      </c>
      <c r="W161" s="5">
        <v>0</v>
      </c>
      <c r="X161" s="2">
        <v>0</v>
      </c>
      <c r="Y161" t="s">
        <v>4</v>
      </c>
      <c r="Z161" t="s">
        <v>4</v>
      </c>
      <c r="AA161" t="s">
        <v>4</v>
      </c>
      <c r="AB161" t="s">
        <v>4</v>
      </c>
    </row>
    <row r="162" spans="1:28" x14ac:dyDescent="0.2">
      <c r="A162" t="s">
        <v>1573</v>
      </c>
      <c r="B162" t="s">
        <v>2</v>
      </c>
      <c r="C162" t="s">
        <v>3</v>
      </c>
      <c r="D162" t="s">
        <v>4</v>
      </c>
      <c r="E162" t="s">
        <v>4</v>
      </c>
      <c r="F162" t="s">
        <v>2331</v>
      </c>
      <c r="G162" t="s">
        <v>6</v>
      </c>
      <c r="H162" t="s">
        <v>2476</v>
      </c>
      <c r="I162" s="2">
        <v>32</v>
      </c>
      <c r="J162" s="2">
        <v>0</v>
      </c>
      <c r="K162" s="2">
        <v>0</v>
      </c>
      <c r="L162" s="3">
        <v>45859</v>
      </c>
      <c r="M162" s="3">
        <v>45859</v>
      </c>
      <c r="N162" s="3"/>
      <c r="O162" t="s">
        <v>2477</v>
      </c>
      <c r="P162" t="s">
        <v>9</v>
      </c>
      <c r="Q162" s="4">
        <v>0.88591435185184997</v>
      </c>
      <c r="R162" t="s">
        <v>2331</v>
      </c>
      <c r="S162" t="s">
        <v>4</v>
      </c>
      <c r="T162" t="s">
        <v>2261</v>
      </c>
      <c r="U162" t="s">
        <v>10</v>
      </c>
      <c r="V162" s="5">
        <v>0</v>
      </c>
      <c r="W162" s="5">
        <v>0</v>
      </c>
      <c r="X162" s="2">
        <v>0</v>
      </c>
      <c r="Y162" t="s">
        <v>4</v>
      </c>
      <c r="Z162" t="s">
        <v>4</v>
      </c>
      <c r="AA162" t="s">
        <v>4</v>
      </c>
      <c r="AB162" t="s">
        <v>4</v>
      </c>
    </row>
    <row r="163" spans="1:28" x14ac:dyDescent="0.2">
      <c r="A163" t="s">
        <v>1573</v>
      </c>
      <c r="B163" t="s">
        <v>2</v>
      </c>
      <c r="C163" t="s">
        <v>3</v>
      </c>
      <c r="D163" t="s">
        <v>4</v>
      </c>
      <c r="E163" t="s">
        <v>4</v>
      </c>
      <c r="F163" t="s">
        <v>2331</v>
      </c>
      <c r="G163" t="s">
        <v>6</v>
      </c>
      <c r="H163" t="s">
        <v>2476</v>
      </c>
      <c r="I163" s="2">
        <v>32</v>
      </c>
      <c r="J163" s="2">
        <v>0</v>
      </c>
      <c r="K163" s="2">
        <v>0</v>
      </c>
      <c r="L163" s="3">
        <v>45859</v>
      </c>
      <c r="M163" s="3">
        <v>45859</v>
      </c>
      <c r="N163" s="3"/>
      <c r="O163" t="s">
        <v>2478</v>
      </c>
      <c r="P163" t="s">
        <v>9</v>
      </c>
      <c r="Q163" s="4">
        <v>0.88591435185184997</v>
      </c>
      <c r="R163" t="s">
        <v>2331</v>
      </c>
      <c r="S163" t="s">
        <v>4</v>
      </c>
      <c r="T163" t="s">
        <v>2261</v>
      </c>
      <c r="U163" t="s">
        <v>10</v>
      </c>
      <c r="V163" s="5">
        <v>0</v>
      </c>
      <c r="W163" s="5">
        <v>0</v>
      </c>
      <c r="X163" s="2">
        <v>0</v>
      </c>
      <c r="Y163" t="s">
        <v>4</v>
      </c>
      <c r="Z163" t="s">
        <v>4</v>
      </c>
      <c r="AA163" t="s">
        <v>4</v>
      </c>
      <c r="AB163" t="s">
        <v>4</v>
      </c>
    </row>
    <row r="164" spans="1:28" x14ac:dyDescent="0.2">
      <c r="A164" t="s">
        <v>2251</v>
      </c>
      <c r="B164" t="s">
        <v>4</v>
      </c>
      <c r="C164" t="s">
        <v>4</v>
      </c>
      <c r="D164" t="s">
        <v>4</v>
      </c>
      <c r="E164" t="s">
        <v>4</v>
      </c>
      <c r="F164" t="s">
        <v>2331</v>
      </c>
      <c r="G164" t="s">
        <v>6</v>
      </c>
      <c r="H164" t="s">
        <v>2479</v>
      </c>
      <c r="I164" s="5">
        <v>0</v>
      </c>
      <c r="J164" s="5">
        <v>0</v>
      </c>
      <c r="K164" s="5">
        <v>0</v>
      </c>
      <c r="L164" s="3"/>
      <c r="M164" s="3"/>
      <c r="N164" s="3"/>
      <c r="O164" t="s">
        <v>4</v>
      </c>
      <c r="P164" t="s">
        <v>9</v>
      </c>
      <c r="Q164" s="4">
        <v>0.76649305555556002</v>
      </c>
      <c r="R164" t="s">
        <v>4</v>
      </c>
      <c r="S164" t="s">
        <v>4</v>
      </c>
      <c r="T164" t="s">
        <v>2256</v>
      </c>
      <c r="U164" t="s">
        <v>4</v>
      </c>
      <c r="V164" s="5">
        <v>0</v>
      </c>
      <c r="W164" s="5">
        <v>0</v>
      </c>
      <c r="X164" s="2">
        <v>0</v>
      </c>
      <c r="Y164" t="s">
        <v>4</v>
      </c>
      <c r="Z164" t="s">
        <v>4</v>
      </c>
      <c r="AA164" t="s">
        <v>4</v>
      </c>
      <c r="AB164" t="s">
        <v>4</v>
      </c>
    </row>
    <row r="165" spans="1:28" x14ac:dyDescent="0.2">
      <c r="A165" t="s">
        <v>1573</v>
      </c>
      <c r="B165" t="s">
        <v>2</v>
      </c>
      <c r="C165" t="s">
        <v>3</v>
      </c>
      <c r="D165" t="s">
        <v>4</v>
      </c>
      <c r="E165" t="s">
        <v>4</v>
      </c>
      <c r="F165" t="s">
        <v>2331</v>
      </c>
      <c r="G165" t="s">
        <v>6</v>
      </c>
      <c r="H165" t="s">
        <v>2480</v>
      </c>
      <c r="I165" s="2">
        <v>32</v>
      </c>
      <c r="J165" s="2">
        <v>0</v>
      </c>
      <c r="K165" s="2">
        <v>0</v>
      </c>
      <c r="L165" s="3">
        <v>45859</v>
      </c>
      <c r="M165" s="3">
        <v>45859</v>
      </c>
      <c r="N165" s="3"/>
      <c r="O165" t="s">
        <v>2481</v>
      </c>
      <c r="P165" t="s">
        <v>9</v>
      </c>
      <c r="Q165" s="4">
        <v>0.87961805555556005</v>
      </c>
      <c r="R165" t="s">
        <v>2331</v>
      </c>
      <c r="S165" t="s">
        <v>4</v>
      </c>
      <c r="T165" t="s">
        <v>2261</v>
      </c>
      <c r="U165" t="s">
        <v>10</v>
      </c>
      <c r="V165" s="5">
        <v>0</v>
      </c>
      <c r="W165" s="5">
        <v>0</v>
      </c>
      <c r="X165" s="2">
        <v>0</v>
      </c>
      <c r="Y165" t="s">
        <v>4</v>
      </c>
      <c r="Z165" t="s">
        <v>4</v>
      </c>
      <c r="AA165" t="s">
        <v>4</v>
      </c>
      <c r="AB165" t="s">
        <v>4</v>
      </c>
    </row>
    <row r="166" spans="1:28" x14ac:dyDescent="0.2">
      <c r="A166" t="s">
        <v>1466</v>
      </c>
      <c r="B166" t="s">
        <v>2</v>
      </c>
      <c r="C166" t="s">
        <v>3</v>
      </c>
      <c r="D166" t="s">
        <v>4</v>
      </c>
      <c r="E166" t="s">
        <v>4</v>
      </c>
      <c r="F166" t="s">
        <v>2331</v>
      </c>
      <c r="G166" t="s">
        <v>6</v>
      </c>
      <c r="H166" t="s">
        <v>2482</v>
      </c>
      <c r="I166" s="2">
        <v>60</v>
      </c>
      <c r="J166" s="2">
        <v>0</v>
      </c>
      <c r="K166" s="2">
        <v>0</v>
      </c>
      <c r="L166" s="3">
        <v>45856</v>
      </c>
      <c r="M166" s="3">
        <v>45856</v>
      </c>
      <c r="N166" s="3"/>
      <c r="O166" t="s">
        <v>2483</v>
      </c>
      <c r="P166" t="s">
        <v>9</v>
      </c>
      <c r="Q166" s="4">
        <v>0.62050925925926004</v>
      </c>
      <c r="R166" t="s">
        <v>2331</v>
      </c>
      <c r="S166" t="s">
        <v>4</v>
      </c>
      <c r="T166" t="s">
        <v>2260</v>
      </c>
      <c r="U166" t="s">
        <v>10</v>
      </c>
      <c r="V166" s="5">
        <v>0</v>
      </c>
      <c r="W166" s="5">
        <v>0</v>
      </c>
      <c r="X166" s="2">
        <v>0</v>
      </c>
      <c r="Y166" t="s">
        <v>4</v>
      </c>
      <c r="Z166" t="s">
        <v>4</v>
      </c>
      <c r="AA166" t="s">
        <v>4</v>
      </c>
      <c r="AB166" t="s">
        <v>4</v>
      </c>
    </row>
    <row r="167" spans="1:28" x14ac:dyDescent="0.2">
      <c r="A167" t="s">
        <v>1466</v>
      </c>
      <c r="B167" t="s">
        <v>2</v>
      </c>
      <c r="C167" t="s">
        <v>3</v>
      </c>
      <c r="D167" t="s">
        <v>4</v>
      </c>
      <c r="E167" t="s">
        <v>4</v>
      </c>
      <c r="F167" t="s">
        <v>2331</v>
      </c>
      <c r="G167" t="s">
        <v>6</v>
      </c>
      <c r="H167" t="s">
        <v>2482</v>
      </c>
      <c r="I167" s="2">
        <v>60</v>
      </c>
      <c r="J167" s="2">
        <v>0</v>
      </c>
      <c r="K167" s="2">
        <v>0</v>
      </c>
      <c r="L167" s="3">
        <v>45856</v>
      </c>
      <c r="M167" s="3">
        <v>45856</v>
      </c>
      <c r="N167" s="3"/>
      <c r="O167" t="s">
        <v>2484</v>
      </c>
      <c r="P167" t="s">
        <v>9</v>
      </c>
      <c r="Q167" s="4">
        <v>0.62050925925926004</v>
      </c>
      <c r="R167" t="s">
        <v>2331</v>
      </c>
      <c r="S167" t="s">
        <v>4</v>
      </c>
      <c r="T167" t="s">
        <v>2260</v>
      </c>
      <c r="U167" t="s">
        <v>10</v>
      </c>
      <c r="V167" s="5">
        <v>0</v>
      </c>
      <c r="W167" s="5">
        <v>0</v>
      </c>
      <c r="X167" s="2">
        <v>0</v>
      </c>
      <c r="Y167" t="s">
        <v>4</v>
      </c>
      <c r="Z167" t="s">
        <v>4</v>
      </c>
      <c r="AA167" t="s">
        <v>4</v>
      </c>
      <c r="AB167" t="s">
        <v>4</v>
      </c>
    </row>
    <row r="168" spans="1:28" x14ac:dyDescent="0.2">
      <c r="A168" t="s">
        <v>1573</v>
      </c>
      <c r="B168" t="s">
        <v>2</v>
      </c>
      <c r="C168" t="s">
        <v>3</v>
      </c>
      <c r="D168" t="s">
        <v>4</v>
      </c>
      <c r="E168" t="s">
        <v>4</v>
      </c>
      <c r="F168" t="s">
        <v>2331</v>
      </c>
      <c r="G168" t="s">
        <v>6</v>
      </c>
      <c r="H168" t="s">
        <v>2485</v>
      </c>
      <c r="I168" s="2">
        <v>32</v>
      </c>
      <c r="J168" s="2">
        <v>0</v>
      </c>
      <c r="K168" s="2">
        <v>0</v>
      </c>
      <c r="L168" s="3">
        <v>45859</v>
      </c>
      <c r="M168" s="3">
        <v>45859</v>
      </c>
      <c r="N168" s="3"/>
      <c r="O168" t="s">
        <v>2486</v>
      </c>
      <c r="P168" t="s">
        <v>9</v>
      </c>
      <c r="Q168" s="4">
        <v>0.87461805555556005</v>
      </c>
      <c r="R168" t="s">
        <v>2331</v>
      </c>
      <c r="S168" t="s">
        <v>4</v>
      </c>
      <c r="T168" t="s">
        <v>2261</v>
      </c>
      <c r="U168" t="s">
        <v>10</v>
      </c>
      <c r="V168" s="5">
        <v>0</v>
      </c>
      <c r="W168" s="5">
        <v>0</v>
      </c>
      <c r="X168" s="2">
        <v>0</v>
      </c>
      <c r="Y168" t="s">
        <v>4</v>
      </c>
      <c r="Z168" t="s">
        <v>4</v>
      </c>
      <c r="AA168" t="s">
        <v>4</v>
      </c>
      <c r="AB168" t="s">
        <v>4</v>
      </c>
    </row>
    <row r="169" spans="1:28" x14ac:dyDescent="0.2">
      <c r="A169" t="s">
        <v>1466</v>
      </c>
      <c r="B169" t="s">
        <v>2</v>
      </c>
      <c r="C169" t="s">
        <v>3</v>
      </c>
      <c r="D169" t="s">
        <v>4</v>
      </c>
      <c r="E169" t="s">
        <v>4</v>
      </c>
      <c r="F169" t="s">
        <v>2331</v>
      </c>
      <c r="G169" t="s">
        <v>6</v>
      </c>
      <c r="H169" t="s">
        <v>2487</v>
      </c>
      <c r="I169" s="2">
        <v>60</v>
      </c>
      <c r="J169" s="2">
        <v>0</v>
      </c>
      <c r="K169" s="2">
        <v>0</v>
      </c>
      <c r="L169" s="3">
        <v>45856</v>
      </c>
      <c r="M169" s="3">
        <v>45856</v>
      </c>
      <c r="N169" s="3"/>
      <c r="O169" t="s">
        <v>2488</v>
      </c>
      <c r="P169" t="s">
        <v>9</v>
      </c>
      <c r="Q169" s="4">
        <v>0.52645833333333003</v>
      </c>
      <c r="R169" t="s">
        <v>2331</v>
      </c>
      <c r="S169" t="s">
        <v>4</v>
      </c>
      <c r="T169" t="s">
        <v>2260</v>
      </c>
      <c r="U169" t="s">
        <v>10</v>
      </c>
      <c r="V169" s="5">
        <v>0</v>
      </c>
      <c r="W169" s="5">
        <v>0</v>
      </c>
      <c r="X169" s="2">
        <v>0</v>
      </c>
      <c r="Y169" t="s">
        <v>4</v>
      </c>
      <c r="Z169" t="s">
        <v>4</v>
      </c>
      <c r="AA169" t="s">
        <v>4</v>
      </c>
      <c r="AB169" t="s">
        <v>4</v>
      </c>
    </row>
    <row r="170" spans="1:28" x14ac:dyDescent="0.2">
      <c r="A170" t="s">
        <v>2251</v>
      </c>
      <c r="B170" t="s">
        <v>4</v>
      </c>
      <c r="C170" t="s">
        <v>4</v>
      </c>
      <c r="D170" t="s">
        <v>4</v>
      </c>
      <c r="E170" t="s">
        <v>4</v>
      </c>
      <c r="F170" t="s">
        <v>2331</v>
      </c>
      <c r="G170" t="s">
        <v>6</v>
      </c>
      <c r="H170" t="s">
        <v>2489</v>
      </c>
      <c r="I170" s="5">
        <v>0</v>
      </c>
      <c r="J170" s="5">
        <v>0</v>
      </c>
      <c r="K170" s="5">
        <v>0</v>
      </c>
      <c r="L170" s="3"/>
      <c r="M170" s="3"/>
      <c r="N170" s="3"/>
      <c r="O170" t="s">
        <v>4</v>
      </c>
      <c r="P170" t="s">
        <v>9</v>
      </c>
      <c r="Q170" s="4">
        <v>0</v>
      </c>
      <c r="R170" t="s">
        <v>4</v>
      </c>
      <c r="S170" t="s">
        <v>4</v>
      </c>
      <c r="T170" t="s">
        <v>2256</v>
      </c>
      <c r="U170" t="s">
        <v>4</v>
      </c>
      <c r="V170" s="5">
        <v>0</v>
      </c>
      <c r="W170" s="5">
        <v>0</v>
      </c>
      <c r="X170" s="2">
        <v>0</v>
      </c>
      <c r="Y170" t="s">
        <v>4</v>
      </c>
      <c r="Z170" t="s">
        <v>2351</v>
      </c>
      <c r="AA170" t="s">
        <v>4</v>
      </c>
      <c r="AB170" t="s">
        <v>4</v>
      </c>
    </row>
    <row r="171" spans="1:28" x14ac:dyDescent="0.2">
      <c r="A171" t="s">
        <v>2251</v>
      </c>
      <c r="B171" t="s">
        <v>4</v>
      </c>
      <c r="C171" t="s">
        <v>4</v>
      </c>
      <c r="D171" t="s">
        <v>4</v>
      </c>
      <c r="E171" t="s">
        <v>4</v>
      </c>
      <c r="F171" t="s">
        <v>2331</v>
      </c>
      <c r="G171" t="s">
        <v>6</v>
      </c>
      <c r="H171" t="s">
        <v>2490</v>
      </c>
      <c r="I171" s="5">
        <v>0</v>
      </c>
      <c r="J171" s="5">
        <v>0</v>
      </c>
      <c r="K171" s="5">
        <v>0</v>
      </c>
      <c r="L171" s="3"/>
      <c r="M171" s="3"/>
      <c r="N171" s="3"/>
      <c r="O171" t="s">
        <v>4</v>
      </c>
      <c r="P171" t="s">
        <v>9</v>
      </c>
      <c r="Q171" s="4">
        <v>0</v>
      </c>
      <c r="R171" t="s">
        <v>4</v>
      </c>
      <c r="S171" t="s">
        <v>4</v>
      </c>
      <c r="T171" t="s">
        <v>2256</v>
      </c>
      <c r="U171" t="s">
        <v>4</v>
      </c>
      <c r="V171" s="5">
        <v>0</v>
      </c>
      <c r="W171" s="5">
        <v>0</v>
      </c>
      <c r="X171" s="2">
        <v>0</v>
      </c>
      <c r="Y171" t="s">
        <v>4</v>
      </c>
      <c r="Z171" t="s">
        <v>2351</v>
      </c>
      <c r="AA171" t="s">
        <v>4</v>
      </c>
      <c r="AB171" t="s">
        <v>4</v>
      </c>
    </row>
    <row r="172" spans="1:28" x14ac:dyDescent="0.2">
      <c r="A172" t="s">
        <v>1573</v>
      </c>
      <c r="B172" t="s">
        <v>2</v>
      </c>
      <c r="C172" t="s">
        <v>3</v>
      </c>
      <c r="D172" t="s">
        <v>4</v>
      </c>
      <c r="E172" t="s">
        <v>4</v>
      </c>
      <c r="F172" t="s">
        <v>2331</v>
      </c>
      <c r="G172" t="s">
        <v>6</v>
      </c>
      <c r="H172" t="s">
        <v>2491</v>
      </c>
      <c r="I172" s="2">
        <v>45</v>
      </c>
      <c r="J172" s="2">
        <v>0</v>
      </c>
      <c r="K172" s="2">
        <v>0</v>
      </c>
      <c r="L172" s="3">
        <v>45859</v>
      </c>
      <c r="M172" s="3">
        <v>45859</v>
      </c>
      <c r="N172" s="3"/>
      <c r="O172" t="s">
        <v>2492</v>
      </c>
      <c r="P172" t="s">
        <v>9</v>
      </c>
      <c r="Q172" s="4">
        <v>0.47767361111111001</v>
      </c>
      <c r="R172" t="s">
        <v>2331</v>
      </c>
      <c r="S172" t="s">
        <v>4</v>
      </c>
      <c r="T172" t="s">
        <v>2261</v>
      </c>
      <c r="U172" t="s">
        <v>10</v>
      </c>
      <c r="V172" s="5">
        <v>0</v>
      </c>
      <c r="W172" s="5">
        <v>0</v>
      </c>
      <c r="X172" s="2">
        <v>0</v>
      </c>
      <c r="Y172" t="s">
        <v>4</v>
      </c>
      <c r="Z172" t="s">
        <v>4</v>
      </c>
      <c r="AA172" t="s">
        <v>4</v>
      </c>
      <c r="AB172" t="s">
        <v>4</v>
      </c>
    </row>
    <row r="173" spans="1:28" x14ac:dyDescent="0.2">
      <c r="A173" t="s">
        <v>2039</v>
      </c>
      <c r="B173" t="s">
        <v>2</v>
      </c>
      <c r="C173" t="s">
        <v>3</v>
      </c>
      <c r="D173" t="s">
        <v>4</v>
      </c>
      <c r="E173" t="s">
        <v>4</v>
      </c>
      <c r="F173" t="s">
        <v>2331</v>
      </c>
      <c r="G173" t="s">
        <v>6</v>
      </c>
      <c r="H173" t="s">
        <v>2493</v>
      </c>
      <c r="I173" s="2">
        <v>108</v>
      </c>
      <c r="J173" s="2">
        <v>0</v>
      </c>
      <c r="K173" s="2">
        <v>0</v>
      </c>
      <c r="L173" s="3">
        <v>45853</v>
      </c>
      <c r="M173" s="3">
        <v>45853</v>
      </c>
      <c r="N173" s="3"/>
      <c r="O173" t="s">
        <v>2494</v>
      </c>
      <c r="P173" t="s">
        <v>9</v>
      </c>
      <c r="Q173" s="4">
        <v>0.62627314814815005</v>
      </c>
      <c r="R173" t="s">
        <v>2331</v>
      </c>
      <c r="S173" t="s">
        <v>4</v>
      </c>
      <c r="T173" t="s">
        <v>2272</v>
      </c>
      <c r="U173" t="s">
        <v>10</v>
      </c>
      <c r="V173" s="5">
        <v>0</v>
      </c>
      <c r="W173" s="5">
        <v>0</v>
      </c>
      <c r="X173" s="2">
        <v>0</v>
      </c>
      <c r="Y173" t="s">
        <v>4</v>
      </c>
      <c r="Z173" t="s">
        <v>4</v>
      </c>
      <c r="AA173" t="s">
        <v>4</v>
      </c>
      <c r="AB173" t="s">
        <v>4</v>
      </c>
    </row>
    <row r="174" spans="1:28" x14ac:dyDescent="0.2">
      <c r="A174" t="s">
        <v>2039</v>
      </c>
      <c r="B174" t="s">
        <v>2</v>
      </c>
      <c r="C174" t="s">
        <v>3</v>
      </c>
      <c r="D174" t="s">
        <v>4</v>
      </c>
      <c r="E174" t="s">
        <v>4</v>
      </c>
      <c r="F174" t="s">
        <v>2331</v>
      </c>
      <c r="G174" t="s">
        <v>6</v>
      </c>
      <c r="H174" t="s">
        <v>2493</v>
      </c>
      <c r="I174" s="2">
        <v>108</v>
      </c>
      <c r="J174" s="2">
        <v>0</v>
      </c>
      <c r="K174" s="2">
        <v>0</v>
      </c>
      <c r="L174" s="3">
        <v>45853</v>
      </c>
      <c r="M174" s="3">
        <v>45853</v>
      </c>
      <c r="N174" s="3"/>
      <c r="O174" t="s">
        <v>2495</v>
      </c>
      <c r="P174" t="s">
        <v>9</v>
      </c>
      <c r="Q174" s="4">
        <v>0.62627314814815005</v>
      </c>
      <c r="R174" t="s">
        <v>2331</v>
      </c>
      <c r="S174" t="s">
        <v>4</v>
      </c>
      <c r="T174" t="s">
        <v>2272</v>
      </c>
      <c r="U174" t="s">
        <v>10</v>
      </c>
      <c r="V174" s="5">
        <v>0</v>
      </c>
      <c r="W174" s="5">
        <v>0</v>
      </c>
      <c r="X174" s="2">
        <v>0</v>
      </c>
      <c r="Y174" t="s">
        <v>4</v>
      </c>
      <c r="Z174" t="s">
        <v>4</v>
      </c>
      <c r="AA174" t="s">
        <v>4</v>
      </c>
      <c r="AB174" t="s">
        <v>4</v>
      </c>
    </row>
    <row r="175" spans="1:28" x14ac:dyDescent="0.2">
      <c r="A175" t="s">
        <v>2043</v>
      </c>
      <c r="B175" t="s">
        <v>2</v>
      </c>
      <c r="C175" t="s">
        <v>3</v>
      </c>
      <c r="D175" t="s">
        <v>4</v>
      </c>
      <c r="E175" t="s">
        <v>4</v>
      </c>
      <c r="F175" t="s">
        <v>2331</v>
      </c>
      <c r="G175" t="s">
        <v>6</v>
      </c>
      <c r="H175" t="s">
        <v>2496</v>
      </c>
      <c r="I175" s="2">
        <v>108</v>
      </c>
      <c r="J175" s="2">
        <v>0</v>
      </c>
      <c r="K175" s="2">
        <v>0</v>
      </c>
      <c r="L175" s="3">
        <v>45856</v>
      </c>
      <c r="M175" s="3">
        <v>45856</v>
      </c>
      <c r="N175" s="3"/>
      <c r="O175" t="s">
        <v>2497</v>
      </c>
      <c r="P175" t="s">
        <v>9</v>
      </c>
      <c r="Q175" s="4">
        <v>0.58667824074074004</v>
      </c>
      <c r="R175" t="s">
        <v>2331</v>
      </c>
      <c r="S175" t="s">
        <v>4</v>
      </c>
      <c r="T175" t="s">
        <v>2260</v>
      </c>
      <c r="U175" t="s">
        <v>10</v>
      </c>
      <c r="V175" s="5">
        <v>0</v>
      </c>
      <c r="W175" s="5">
        <v>0</v>
      </c>
      <c r="X175" s="2">
        <v>0</v>
      </c>
      <c r="Y175" t="s">
        <v>4</v>
      </c>
      <c r="Z175" t="s">
        <v>4</v>
      </c>
      <c r="AA175" t="s">
        <v>4</v>
      </c>
      <c r="AB175" t="s">
        <v>4</v>
      </c>
    </row>
    <row r="176" spans="1:28" x14ac:dyDescent="0.2">
      <c r="A176" t="s">
        <v>2043</v>
      </c>
      <c r="B176" t="s">
        <v>2</v>
      </c>
      <c r="C176" t="s">
        <v>3</v>
      </c>
      <c r="D176" t="s">
        <v>4</v>
      </c>
      <c r="E176" t="s">
        <v>4</v>
      </c>
      <c r="F176" t="s">
        <v>2331</v>
      </c>
      <c r="G176" t="s">
        <v>6</v>
      </c>
      <c r="H176" t="s">
        <v>2496</v>
      </c>
      <c r="I176" s="2">
        <v>108</v>
      </c>
      <c r="J176" s="2">
        <v>0</v>
      </c>
      <c r="K176" s="2">
        <v>0</v>
      </c>
      <c r="L176" s="3">
        <v>45856</v>
      </c>
      <c r="M176" s="3">
        <v>45856</v>
      </c>
      <c r="N176" s="3"/>
      <c r="O176" t="s">
        <v>2498</v>
      </c>
      <c r="P176" t="s">
        <v>9</v>
      </c>
      <c r="Q176" s="4">
        <v>0.58667824074074004</v>
      </c>
      <c r="R176" t="s">
        <v>2331</v>
      </c>
      <c r="S176" t="s">
        <v>4</v>
      </c>
      <c r="T176" t="s">
        <v>2260</v>
      </c>
      <c r="U176" t="s">
        <v>10</v>
      </c>
      <c r="V176" s="5">
        <v>0</v>
      </c>
      <c r="W176" s="5">
        <v>0</v>
      </c>
      <c r="X176" s="2">
        <v>0</v>
      </c>
      <c r="Y176" t="s">
        <v>4</v>
      </c>
      <c r="Z176" t="s">
        <v>4</v>
      </c>
      <c r="AA176" t="s">
        <v>4</v>
      </c>
      <c r="AB176" t="s">
        <v>4</v>
      </c>
    </row>
    <row r="177" spans="1:28" x14ac:dyDescent="0.2">
      <c r="A177" t="s">
        <v>1471</v>
      </c>
      <c r="B177" t="s">
        <v>2</v>
      </c>
      <c r="C177" t="s">
        <v>3</v>
      </c>
      <c r="D177" t="s">
        <v>4</v>
      </c>
      <c r="E177" t="s">
        <v>4</v>
      </c>
      <c r="F177" t="s">
        <v>2331</v>
      </c>
      <c r="G177" t="s">
        <v>6</v>
      </c>
      <c r="H177" t="s">
        <v>2499</v>
      </c>
      <c r="I177" s="2">
        <v>60</v>
      </c>
      <c r="J177" s="2">
        <v>0</v>
      </c>
      <c r="K177" s="2">
        <v>0</v>
      </c>
      <c r="L177" s="3">
        <v>45855</v>
      </c>
      <c r="M177" s="3">
        <v>45855</v>
      </c>
      <c r="N177" s="3"/>
      <c r="O177" t="s">
        <v>2500</v>
      </c>
      <c r="P177" t="s">
        <v>9</v>
      </c>
      <c r="Q177" s="4">
        <v>0.44807870370370001</v>
      </c>
      <c r="R177" t="s">
        <v>2331</v>
      </c>
      <c r="S177" t="s">
        <v>4</v>
      </c>
      <c r="T177" t="s">
        <v>2350</v>
      </c>
      <c r="U177" t="s">
        <v>10</v>
      </c>
      <c r="V177" s="5">
        <v>0</v>
      </c>
      <c r="W177" s="5">
        <v>0</v>
      </c>
      <c r="X177" s="2">
        <v>0</v>
      </c>
      <c r="Y177" t="s">
        <v>4</v>
      </c>
      <c r="Z177" t="s">
        <v>4</v>
      </c>
      <c r="AA177" t="s">
        <v>2351</v>
      </c>
      <c r="AB177" t="s">
        <v>2351</v>
      </c>
    </row>
    <row r="178" spans="1:28" x14ac:dyDescent="0.2">
      <c r="A178" t="s">
        <v>1471</v>
      </c>
      <c r="B178" t="s">
        <v>2</v>
      </c>
      <c r="C178" t="s">
        <v>3</v>
      </c>
      <c r="D178" t="s">
        <v>4</v>
      </c>
      <c r="E178" t="s">
        <v>4</v>
      </c>
      <c r="F178" t="s">
        <v>2331</v>
      </c>
      <c r="G178" t="s">
        <v>6</v>
      </c>
      <c r="H178" t="s">
        <v>2499</v>
      </c>
      <c r="I178" s="2">
        <v>60</v>
      </c>
      <c r="J178" s="2">
        <v>0</v>
      </c>
      <c r="K178" s="2">
        <v>0</v>
      </c>
      <c r="L178" s="3">
        <v>45855</v>
      </c>
      <c r="M178" s="3">
        <v>45855</v>
      </c>
      <c r="N178" s="3"/>
      <c r="O178" t="s">
        <v>2501</v>
      </c>
      <c r="P178" t="s">
        <v>9</v>
      </c>
      <c r="Q178" s="4">
        <v>0.44807870370370001</v>
      </c>
      <c r="R178" t="s">
        <v>2331</v>
      </c>
      <c r="S178" t="s">
        <v>4</v>
      </c>
      <c r="T178" t="s">
        <v>2350</v>
      </c>
      <c r="U178" t="s">
        <v>10</v>
      </c>
      <c r="V178" s="5">
        <v>0</v>
      </c>
      <c r="W178" s="5">
        <v>0</v>
      </c>
      <c r="X178" s="2">
        <v>0</v>
      </c>
      <c r="Y178" t="s">
        <v>4</v>
      </c>
      <c r="Z178" t="s">
        <v>4</v>
      </c>
      <c r="AA178" t="s">
        <v>2351</v>
      </c>
      <c r="AB178" t="s">
        <v>2351</v>
      </c>
    </row>
    <row r="179" spans="1:28" x14ac:dyDescent="0.2">
      <c r="A179" t="s">
        <v>2043</v>
      </c>
      <c r="B179" t="s">
        <v>2</v>
      </c>
      <c r="C179" t="s">
        <v>3</v>
      </c>
      <c r="D179" t="s">
        <v>4</v>
      </c>
      <c r="E179" t="s">
        <v>4</v>
      </c>
      <c r="F179" t="s">
        <v>2331</v>
      </c>
      <c r="G179" t="s">
        <v>6</v>
      </c>
      <c r="H179" t="s">
        <v>2502</v>
      </c>
      <c r="I179" s="2">
        <v>108</v>
      </c>
      <c r="J179" s="2">
        <v>0</v>
      </c>
      <c r="K179" s="2">
        <v>0</v>
      </c>
      <c r="L179" s="3">
        <v>45855</v>
      </c>
      <c r="M179" s="3">
        <v>45855</v>
      </c>
      <c r="N179" s="3"/>
      <c r="O179" t="s">
        <v>2503</v>
      </c>
      <c r="P179" t="s">
        <v>9</v>
      </c>
      <c r="Q179" s="4">
        <v>0.97083333333333</v>
      </c>
      <c r="R179" t="s">
        <v>2331</v>
      </c>
      <c r="S179" t="s">
        <v>4</v>
      </c>
      <c r="T179" t="s">
        <v>2350</v>
      </c>
      <c r="U179" t="s">
        <v>10</v>
      </c>
      <c r="V179" s="5">
        <v>0</v>
      </c>
      <c r="W179" s="5">
        <v>0</v>
      </c>
      <c r="X179" s="2">
        <v>0</v>
      </c>
      <c r="Y179" t="s">
        <v>4</v>
      </c>
      <c r="Z179" t="s">
        <v>4</v>
      </c>
      <c r="AA179" t="s">
        <v>4</v>
      </c>
      <c r="AB179" t="s">
        <v>4</v>
      </c>
    </row>
    <row r="180" spans="1:28" x14ac:dyDescent="0.2">
      <c r="A180" t="s">
        <v>2043</v>
      </c>
      <c r="B180" t="s">
        <v>2</v>
      </c>
      <c r="C180" t="s">
        <v>3</v>
      </c>
      <c r="D180" t="s">
        <v>4</v>
      </c>
      <c r="E180" t="s">
        <v>4</v>
      </c>
      <c r="F180" t="s">
        <v>2331</v>
      </c>
      <c r="G180" t="s">
        <v>6</v>
      </c>
      <c r="H180" t="s">
        <v>2502</v>
      </c>
      <c r="I180" s="2">
        <v>108</v>
      </c>
      <c r="J180" s="2">
        <v>0</v>
      </c>
      <c r="K180" s="2">
        <v>0</v>
      </c>
      <c r="L180" s="3">
        <v>45855</v>
      </c>
      <c r="M180" s="3">
        <v>45855</v>
      </c>
      <c r="N180" s="3"/>
      <c r="O180" t="s">
        <v>2504</v>
      </c>
      <c r="P180" t="s">
        <v>9</v>
      </c>
      <c r="Q180" s="4">
        <v>0.97083333333333</v>
      </c>
      <c r="R180" t="s">
        <v>2331</v>
      </c>
      <c r="S180" t="s">
        <v>4</v>
      </c>
      <c r="T180" t="s">
        <v>2350</v>
      </c>
      <c r="U180" t="s">
        <v>10</v>
      </c>
      <c r="V180" s="5">
        <v>0</v>
      </c>
      <c r="W180" s="5">
        <v>0</v>
      </c>
      <c r="X180" s="2">
        <v>0</v>
      </c>
      <c r="Y180" t="s">
        <v>4</v>
      </c>
      <c r="Z180" t="s">
        <v>4</v>
      </c>
      <c r="AA180" t="s">
        <v>4</v>
      </c>
      <c r="AB180" t="s">
        <v>4</v>
      </c>
    </row>
    <row r="181" spans="1:28" x14ac:dyDescent="0.2">
      <c r="A181" t="s">
        <v>1471</v>
      </c>
      <c r="B181" t="s">
        <v>2</v>
      </c>
      <c r="C181" t="s">
        <v>3</v>
      </c>
      <c r="D181" t="s">
        <v>4</v>
      </c>
      <c r="E181" t="s">
        <v>4</v>
      </c>
      <c r="F181" t="s">
        <v>2331</v>
      </c>
      <c r="G181" t="s">
        <v>6</v>
      </c>
      <c r="H181" t="s">
        <v>2505</v>
      </c>
      <c r="I181" s="2">
        <v>60</v>
      </c>
      <c r="J181" s="2">
        <v>0</v>
      </c>
      <c r="K181" s="2">
        <v>0</v>
      </c>
      <c r="L181" s="3">
        <v>45855</v>
      </c>
      <c r="M181" s="3">
        <v>45855</v>
      </c>
      <c r="N181" s="3"/>
      <c r="O181" t="s">
        <v>2506</v>
      </c>
      <c r="P181" t="s">
        <v>9</v>
      </c>
      <c r="Q181" s="4">
        <v>0.96533564814814998</v>
      </c>
      <c r="R181" t="s">
        <v>2331</v>
      </c>
      <c r="S181" t="s">
        <v>4</v>
      </c>
      <c r="T181" t="s">
        <v>2350</v>
      </c>
      <c r="U181" t="s">
        <v>10</v>
      </c>
      <c r="V181" s="5">
        <v>0</v>
      </c>
      <c r="W181" s="5">
        <v>0</v>
      </c>
      <c r="X181" s="2">
        <v>0</v>
      </c>
      <c r="Y181" t="s">
        <v>4</v>
      </c>
      <c r="Z181" t="s">
        <v>4</v>
      </c>
      <c r="AA181" t="s">
        <v>2351</v>
      </c>
      <c r="AB181" t="s">
        <v>2351</v>
      </c>
    </row>
    <row r="182" spans="1:28" x14ac:dyDescent="0.2">
      <c r="A182" t="s">
        <v>1471</v>
      </c>
      <c r="B182" t="s">
        <v>2</v>
      </c>
      <c r="C182" t="s">
        <v>3</v>
      </c>
      <c r="D182" t="s">
        <v>4</v>
      </c>
      <c r="E182" t="s">
        <v>4</v>
      </c>
      <c r="F182" t="s">
        <v>2331</v>
      </c>
      <c r="G182" t="s">
        <v>6</v>
      </c>
      <c r="H182" t="s">
        <v>2505</v>
      </c>
      <c r="I182" s="2">
        <v>60</v>
      </c>
      <c r="J182" s="2">
        <v>0</v>
      </c>
      <c r="K182" s="2">
        <v>0</v>
      </c>
      <c r="L182" s="3">
        <v>45855</v>
      </c>
      <c r="M182" s="3">
        <v>45855</v>
      </c>
      <c r="N182" s="3"/>
      <c r="O182" t="s">
        <v>2507</v>
      </c>
      <c r="P182" t="s">
        <v>9</v>
      </c>
      <c r="Q182" s="4">
        <v>0.96533564814814998</v>
      </c>
      <c r="R182" t="s">
        <v>2331</v>
      </c>
      <c r="S182" t="s">
        <v>4</v>
      </c>
      <c r="T182" t="s">
        <v>2350</v>
      </c>
      <c r="U182" t="s">
        <v>10</v>
      </c>
      <c r="V182" s="5">
        <v>0</v>
      </c>
      <c r="W182" s="5">
        <v>0</v>
      </c>
      <c r="X182" s="2">
        <v>0</v>
      </c>
      <c r="Y182" t="s">
        <v>4</v>
      </c>
      <c r="Z182" t="s">
        <v>4</v>
      </c>
      <c r="AA182" t="s">
        <v>2351</v>
      </c>
      <c r="AB182" t="s">
        <v>2351</v>
      </c>
    </row>
    <row r="183" spans="1:28" x14ac:dyDescent="0.2">
      <c r="A183" t="s">
        <v>1471</v>
      </c>
      <c r="B183" t="s">
        <v>2</v>
      </c>
      <c r="C183" t="s">
        <v>3</v>
      </c>
      <c r="D183" t="s">
        <v>4</v>
      </c>
      <c r="E183" t="s">
        <v>4</v>
      </c>
      <c r="F183" t="s">
        <v>2331</v>
      </c>
      <c r="G183" t="s">
        <v>6</v>
      </c>
      <c r="H183" t="s">
        <v>2508</v>
      </c>
      <c r="I183" s="2">
        <v>60</v>
      </c>
      <c r="J183" s="2">
        <v>0</v>
      </c>
      <c r="K183" s="2">
        <v>0</v>
      </c>
      <c r="L183" s="3">
        <v>45855</v>
      </c>
      <c r="M183" s="3">
        <v>45855</v>
      </c>
      <c r="N183" s="3"/>
      <c r="O183" t="s">
        <v>2509</v>
      </c>
      <c r="P183" t="s">
        <v>9</v>
      </c>
      <c r="Q183" s="4">
        <v>0.93920138888889004</v>
      </c>
      <c r="R183" t="s">
        <v>2331</v>
      </c>
      <c r="S183" t="s">
        <v>4</v>
      </c>
      <c r="T183" t="s">
        <v>2350</v>
      </c>
      <c r="U183" t="s">
        <v>10</v>
      </c>
      <c r="V183" s="5">
        <v>0</v>
      </c>
      <c r="W183" s="5">
        <v>0</v>
      </c>
      <c r="X183" s="2">
        <v>0</v>
      </c>
      <c r="Y183" t="s">
        <v>4</v>
      </c>
      <c r="Z183" t="s">
        <v>4</v>
      </c>
      <c r="AA183" t="s">
        <v>2351</v>
      </c>
      <c r="AB183" t="s">
        <v>2351</v>
      </c>
    </row>
    <row r="184" spans="1:28" x14ac:dyDescent="0.2">
      <c r="A184" t="s">
        <v>1471</v>
      </c>
      <c r="B184" t="s">
        <v>2</v>
      </c>
      <c r="C184" t="s">
        <v>3</v>
      </c>
      <c r="D184" t="s">
        <v>4</v>
      </c>
      <c r="E184" t="s">
        <v>4</v>
      </c>
      <c r="F184" t="s">
        <v>2331</v>
      </c>
      <c r="G184" t="s">
        <v>6</v>
      </c>
      <c r="H184" t="s">
        <v>2508</v>
      </c>
      <c r="I184" s="2">
        <v>60</v>
      </c>
      <c r="J184" s="2">
        <v>0</v>
      </c>
      <c r="K184" s="2">
        <v>0</v>
      </c>
      <c r="L184" s="3">
        <v>45855</v>
      </c>
      <c r="M184" s="3">
        <v>45855</v>
      </c>
      <c r="N184" s="3"/>
      <c r="O184" t="s">
        <v>2510</v>
      </c>
      <c r="P184" t="s">
        <v>9</v>
      </c>
      <c r="Q184" s="4">
        <v>0.93920138888889004</v>
      </c>
      <c r="R184" t="s">
        <v>2331</v>
      </c>
      <c r="S184" t="s">
        <v>4</v>
      </c>
      <c r="T184" t="s">
        <v>2350</v>
      </c>
      <c r="U184" t="s">
        <v>10</v>
      </c>
      <c r="V184" s="5">
        <v>0</v>
      </c>
      <c r="W184" s="5">
        <v>0</v>
      </c>
      <c r="X184" s="2">
        <v>0</v>
      </c>
      <c r="Y184" t="s">
        <v>4</v>
      </c>
      <c r="Z184" t="s">
        <v>4</v>
      </c>
      <c r="AA184" t="s">
        <v>2351</v>
      </c>
      <c r="AB184" t="s">
        <v>2351</v>
      </c>
    </row>
    <row r="185" spans="1:28" x14ac:dyDescent="0.2">
      <c r="A185" t="s">
        <v>1468</v>
      </c>
      <c r="B185" t="s">
        <v>2</v>
      </c>
      <c r="C185" t="s">
        <v>3</v>
      </c>
      <c r="D185" t="s">
        <v>4</v>
      </c>
      <c r="E185" t="s">
        <v>4</v>
      </c>
      <c r="F185" t="s">
        <v>2331</v>
      </c>
      <c r="G185" t="s">
        <v>6</v>
      </c>
      <c r="H185" t="s">
        <v>2511</v>
      </c>
      <c r="I185" s="2">
        <v>72</v>
      </c>
      <c r="J185" s="2">
        <v>0</v>
      </c>
      <c r="K185" s="2">
        <v>0</v>
      </c>
      <c r="L185" s="3">
        <v>45773</v>
      </c>
      <c r="M185" s="3">
        <v>45773</v>
      </c>
      <c r="N185" s="3"/>
      <c r="O185" t="s">
        <v>2512</v>
      </c>
      <c r="P185" t="s">
        <v>9</v>
      </c>
      <c r="Q185" s="4">
        <v>0.51643518518519005</v>
      </c>
      <c r="R185" t="s">
        <v>2331</v>
      </c>
      <c r="S185" t="s">
        <v>4</v>
      </c>
      <c r="T185" t="s">
        <v>2513</v>
      </c>
      <c r="U185" t="s">
        <v>10</v>
      </c>
      <c r="V185" s="5">
        <v>0</v>
      </c>
      <c r="W185" s="5">
        <v>0</v>
      </c>
      <c r="X185" s="2">
        <v>0</v>
      </c>
      <c r="Y185" t="s">
        <v>4</v>
      </c>
      <c r="Z185" t="s">
        <v>4</v>
      </c>
      <c r="AA185" t="s">
        <v>4</v>
      </c>
      <c r="AB185" t="s">
        <v>4</v>
      </c>
    </row>
    <row r="186" spans="1:28" x14ac:dyDescent="0.2">
      <c r="A186" t="s">
        <v>1468</v>
      </c>
      <c r="B186" t="s">
        <v>2</v>
      </c>
      <c r="C186" t="s">
        <v>3</v>
      </c>
      <c r="D186" t="s">
        <v>4</v>
      </c>
      <c r="E186" t="s">
        <v>4</v>
      </c>
      <c r="F186" t="s">
        <v>2331</v>
      </c>
      <c r="G186" t="s">
        <v>6</v>
      </c>
      <c r="H186" t="s">
        <v>2511</v>
      </c>
      <c r="I186" s="2">
        <v>72</v>
      </c>
      <c r="J186" s="2">
        <v>0</v>
      </c>
      <c r="K186" s="2">
        <v>0</v>
      </c>
      <c r="L186" s="3">
        <v>45773</v>
      </c>
      <c r="M186" s="3">
        <v>45773</v>
      </c>
      <c r="N186" s="3"/>
      <c r="O186" t="s">
        <v>2514</v>
      </c>
      <c r="P186" t="s">
        <v>9</v>
      </c>
      <c r="Q186" s="4">
        <v>0.51643518518519005</v>
      </c>
      <c r="R186" t="s">
        <v>2331</v>
      </c>
      <c r="S186" t="s">
        <v>4</v>
      </c>
      <c r="T186" t="s">
        <v>2513</v>
      </c>
      <c r="U186" t="s">
        <v>10</v>
      </c>
      <c r="V186" s="5">
        <v>0</v>
      </c>
      <c r="W186" s="5">
        <v>0</v>
      </c>
      <c r="X186" s="2">
        <v>0</v>
      </c>
      <c r="Y186" t="s">
        <v>4</v>
      </c>
      <c r="Z186" t="s">
        <v>4</v>
      </c>
      <c r="AA186" t="s">
        <v>4</v>
      </c>
      <c r="AB186" t="s">
        <v>4</v>
      </c>
    </row>
    <row r="187" spans="1:28" x14ac:dyDescent="0.2">
      <c r="A187" t="s">
        <v>1471</v>
      </c>
      <c r="B187" t="s">
        <v>2</v>
      </c>
      <c r="C187" t="s">
        <v>3</v>
      </c>
      <c r="D187" t="s">
        <v>4</v>
      </c>
      <c r="E187" t="s">
        <v>4</v>
      </c>
      <c r="F187" t="s">
        <v>2331</v>
      </c>
      <c r="G187" t="s">
        <v>6</v>
      </c>
      <c r="H187" t="s">
        <v>2515</v>
      </c>
      <c r="I187" s="2">
        <v>60</v>
      </c>
      <c r="J187" s="2">
        <v>0</v>
      </c>
      <c r="K187" s="2">
        <v>0</v>
      </c>
      <c r="L187" s="3">
        <v>45855</v>
      </c>
      <c r="M187" s="3">
        <v>45855</v>
      </c>
      <c r="N187" s="3"/>
      <c r="O187" t="s">
        <v>2516</v>
      </c>
      <c r="P187" t="s">
        <v>9</v>
      </c>
      <c r="Q187" s="4">
        <v>0.55040509259258996</v>
      </c>
      <c r="R187" t="s">
        <v>2331</v>
      </c>
      <c r="S187" t="s">
        <v>4</v>
      </c>
      <c r="T187" t="s">
        <v>2350</v>
      </c>
      <c r="U187" t="s">
        <v>10</v>
      </c>
      <c r="V187" s="5">
        <v>0</v>
      </c>
      <c r="W187" s="5">
        <v>0</v>
      </c>
      <c r="X187" s="2">
        <v>0</v>
      </c>
      <c r="Y187" t="s">
        <v>4</v>
      </c>
      <c r="Z187" t="s">
        <v>4</v>
      </c>
      <c r="AA187" t="s">
        <v>2351</v>
      </c>
      <c r="AB187" t="s">
        <v>2351</v>
      </c>
    </row>
    <row r="188" spans="1:28" x14ac:dyDescent="0.2">
      <c r="A188" t="s">
        <v>1471</v>
      </c>
      <c r="B188" t="s">
        <v>2</v>
      </c>
      <c r="C188" t="s">
        <v>3</v>
      </c>
      <c r="D188" t="s">
        <v>4</v>
      </c>
      <c r="E188" t="s">
        <v>4</v>
      </c>
      <c r="F188" t="s">
        <v>2331</v>
      </c>
      <c r="G188" t="s">
        <v>6</v>
      </c>
      <c r="H188" t="s">
        <v>2515</v>
      </c>
      <c r="I188" s="2">
        <v>60</v>
      </c>
      <c r="J188" s="2">
        <v>0</v>
      </c>
      <c r="K188" s="2">
        <v>0</v>
      </c>
      <c r="L188" s="3">
        <v>45855</v>
      </c>
      <c r="M188" s="3">
        <v>45855</v>
      </c>
      <c r="N188" s="3"/>
      <c r="O188" t="s">
        <v>2517</v>
      </c>
      <c r="P188" t="s">
        <v>9</v>
      </c>
      <c r="Q188" s="4">
        <v>0.55040509259258996</v>
      </c>
      <c r="R188" t="s">
        <v>2331</v>
      </c>
      <c r="S188" t="s">
        <v>4</v>
      </c>
      <c r="T188" t="s">
        <v>2350</v>
      </c>
      <c r="U188" t="s">
        <v>10</v>
      </c>
      <c r="V188" s="5">
        <v>0</v>
      </c>
      <c r="W188" s="5">
        <v>0</v>
      </c>
      <c r="X188" s="2">
        <v>0</v>
      </c>
      <c r="Y188" t="s">
        <v>4</v>
      </c>
      <c r="Z188" t="s">
        <v>4</v>
      </c>
      <c r="AA188" t="s">
        <v>2351</v>
      </c>
      <c r="AB188" t="s">
        <v>2351</v>
      </c>
    </row>
    <row r="189" spans="1:28" x14ac:dyDescent="0.2">
      <c r="A189" t="s">
        <v>2251</v>
      </c>
      <c r="B189" t="s">
        <v>4</v>
      </c>
      <c r="C189" t="s">
        <v>4</v>
      </c>
      <c r="D189" t="s">
        <v>4</v>
      </c>
      <c r="E189" t="s">
        <v>4</v>
      </c>
      <c r="F189" t="s">
        <v>2331</v>
      </c>
      <c r="G189" t="s">
        <v>6</v>
      </c>
      <c r="H189" t="s">
        <v>2518</v>
      </c>
      <c r="I189" s="5">
        <v>0</v>
      </c>
      <c r="J189" s="5">
        <v>0</v>
      </c>
      <c r="K189" s="5">
        <v>0</v>
      </c>
      <c r="L189" s="3"/>
      <c r="M189" s="3"/>
      <c r="N189" s="3"/>
      <c r="O189" t="s">
        <v>4</v>
      </c>
      <c r="P189" t="s">
        <v>9</v>
      </c>
      <c r="Q189" s="4">
        <v>0.60832175925926002</v>
      </c>
      <c r="R189" t="s">
        <v>4</v>
      </c>
      <c r="S189" t="s">
        <v>4</v>
      </c>
      <c r="T189" t="s">
        <v>2256</v>
      </c>
      <c r="U189" t="s">
        <v>4</v>
      </c>
      <c r="V189" s="5">
        <v>0</v>
      </c>
      <c r="W189" s="5">
        <v>0</v>
      </c>
      <c r="X189" s="2">
        <v>0</v>
      </c>
      <c r="Y189" t="s">
        <v>4</v>
      </c>
      <c r="Z189" t="s">
        <v>4</v>
      </c>
      <c r="AA189" t="s">
        <v>4</v>
      </c>
      <c r="AB189" t="s">
        <v>4</v>
      </c>
    </row>
    <row r="190" spans="1:28" x14ac:dyDescent="0.2">
      <c r="A190" t="s">
        <v>1466</v>
      </c>
      <c r="B190" t="s">
        <v>2</v>
      </c>
      <c r="C190" t="s">
        <v>3</v>
      </c>
      <c r="D190" t="s">
        <v>4</v>
      </c>
      <c r="E190" t="s">
        <v>4</v>
      </c>
      <c r="F190" t="s">
        <v>2331</v>
      </c>
      <c r="G190" t="s">
        <v>6</v>
      </c>
      <c r="H190" t="s">
        <v>2519</v>
      </c>
      <c r="I190" s="2">
        <v>60</v>
      </c>
      <c r="J190" s="2">
        <v>0</v>
      </c>
      <c r="K190" s="2">
        <v>0</v>
      </c>
      <c r="L190" s="3">
        <v>45855</v>
      </c>
      <c r="M190" s="3">
        <v>45855</v>
      </c>
      <c r="N190" s="3"/>
      <c r="O190" t="s">
        <v>2520</v>
      </c>
      <c r="P190" t="s">
        <v>9</v>
      </c>
      <c r="Q190" s="4">
        <v>0.54651620370370002</v>
      </c>
      <c r="R190" t="s">
        <v>2331</v>
      </c>
      <c r="S190" t="s">
        <v>4</v>
      </c>
      <c r="T190" t="s">
        <v>2350</v>
      </c>
      <c r="U190" t="s">
        <v>10</v>
      </c>
      <c r="V190" s="5">
        <v>0</v>
      </c>
      <c r="W190" s="5">
        <v>0</v>
      </c>
      <c r="X190" s="2">
        <v>0</v>
      </c>
      <c r="Y190" t="s">
        <v>4</v>
      </c>
      <c r="Z190" t="s">
        <v>4</v>
      </c>
      <c r="AA190" t="s">
        <v>4</v>
      </c>
      <c r="AB190" t="s">
        <v>4</v>
      </c>
    </row>
    <row r="191" spans="1:28" x14ac:dyDescent="0.2">
      <c r="A191" t="s">
        <v>1466</v>
      </c>
      <c r="B191" t="s">
        <v>2</v>
      </c>
      <c r="C191" t="s">
        <v>3</v>
      </c>
      <c r="D191" t="s">
        <v>4</v>
      </c>
      <c r="E191" t="s">
        <v>4</v>
      </c>
      <c r="F191" t="s">
        <v>2331</v>
      </c>
      <c r="G191" t="s">
        <v>6</v>
      </c>
      <c r="H191" t="s">
        <v>2519</v>
      </c>
      <c r="I191" s="2">
        <v>60</v>
      </c>
      <c r="J191" s="2">
        <v>0</v>
      </c>
      <c r="K191" s="2">
        <v>0</v>
      </c>
      <c r="L191" s="3">
        <v>45855</v>
      </c>
      <c r="M191" s="3">
        <v>45855</v>
      </c>
      <c r="N191" s="3"/>
      <c r="O191" t="s">
        <v>2521</v>
      </c>
      <c r="P191" t="s">
        <v>9</v>
      </c>
      <c r="Q191" s="4">
        <v>0.54651620370370002</v>
      </c>
      <c r="R191" t="s">
        <v>2331</v>
      </c>
      <c r="S191" t="s">
        <v>4</v>
      </c>
      <c r="T191" t="s">
        <v>2350</v>
      </c>
      <c r="U191" t="s">
        <v>10</v>
      </c>
      <c r="V191" s="5">
        <v>0</v>
      </c>
      <c r="W191" s="5">
        <v>0</v>
      </c>
      <c r="X191" s="2">
        <v>0</v>
      </c>
      <c r="Y191" t="s">
        <v>4</v>
      </c>
      <c r="Z191" t="s">
        <v>4</v>
      </c>
      <c r="AA191" t="s">
        <v>4</v>
      </c>
      <c r="AB191" t="s">
        <v>4</v>
      </c>
    </row>
    <row r="192" spans="1:28" x14ac:dyDescent="0.2">
      <c r="A192" t="s">
        <v>2251</v>
      </c>
      <c r="B192" t="s">
        <v>4</v>
      </c>
      <c r="C192" t="s">
        <v>4</v>
      </c>
      <c r="D192" t="s">
        <v>4</v>
      </c>
      <c r="E192" t="s">
        <v>4</v>
      </c>
      <c r="F192" t="s">
        <v>2331</v>
      </c>
      <c r="G192" t="s">
        <v>6</v>
      </c>
      <c r="H192" t="s">
        <v>2522</v>
      </c>
      <c r="I192" s="5">
        <v>0</v>
      </c>
      <c r="J192" s="5">
        <v>0</v>
      </c>
      <c r="K192" s="5">
        <v>0</v>
      </c>
      <c r="L192" s="3"/>
      <c r="M192" s="3"/>
      <c r="N192" s="3"/>
      <c r="O192" t="s">
        <v>4</v>
      </c>
      <c r="P192" t="s">
        <v>9</v>
      </c>
      <c r="Q192" s="4">
        <v>0.64414351851852003</v>
      </c>
      <c r="R192" t="s">
        <v>4</v>
      </c>
      <c r="S192" t="s">
        <v>4</v>
      </c>
      <c r="T192" t="s">
        <v>2256</v>
      </c>
      <c r="U192" t="s">
        <v>4</v>
      </c>
      <c r="V192" s="5">
        <v>0</v>
      </c>
      <c r="W192" s="5">
        <v>0</v>
      </c>
      <c r="X192" s="2">
        <v>0</v>
      </c>
      <c r="Y192" t="s">
        <v>4</v>
      </c>
      <c r="Z192" t="s">
        <v>4</v>
      </c>
      <c r="AA192" t="s">
        <v>4</v>
      </c>
      <c r="AB192" t="s">
        <v>4</v>
      </c>
    </row>
    <row r="193" spans="1:28" x14ac:dyDescent="0.2">
      <c r="A193" t="s">
        <v>2251</v>
      </c>
      <c r="B193" t="s">
        <v>4</v>
      </c>
      <c r="C193" t="s">
        <v>4</v>
      </c>
      <c r="D193" t="s">
        <v>4</v>
      </c>
      <c r="E193" t="s">
        <v>4</v>
      </c>
      <c r="F193" t="s">
        <v>2331</v>
      </c>
      <c r="G193" t="s">
        <v>6</v>
      </c>
      <c r="H193" t="s">
        <v>2523</v>
      </c>
      <c r="I193" s="5">
        <v>0</v>
      </c>
      <c r="J193" s="5">
        <v>0</v>
      </c>
      <c r="K193" s="5">
        <v>0</v>
      </c>
      <c r="L193" s="3"/>
      <c r="M193" s="3"/>
      <c r="N193" s="3"/>
      <c r="O193" t="s">
        <v>4</v>
      </c>
      <c r="P193" t="s">
        <v>9</v>
      </c>
      <c r="Q193" s="4">
        <v>0</v>
      </c>
      <c r="R193" t="s">
        <v>4</v>
      </c>
      <c r="S193" t="s">
        <v>4</v>
      </c>
      <c r="T193" t="s">
        <v>2256</v>
      </c>
      <c r="U193" t="s">
        <v>4</v>
      </c>
      <c r="V193" s="5">
        <v>0</v>
      </c>
      <c r="W193" s="5">
        <v>0</v>
      </c>
      <c r="X193" s="2">
        <v>0</v>
      </c>
      <c r="Y193" t="s">
        <v>4</v>
      </c>
      <c r="Z193" t="s">
        <v>2351</v>
      </c>
      <c r="AA193" t="s">
        <v>4</v>
      </c>
      <c r="AB193" t="s">
        <v>4</v>
      </c>
    </row>
    <row r="194" spans="1:28" x14ac:dyDescent="0.2">
      <c r="A194" t="s">
        <v>2251</v>
      </c>
      <c r="B194" t="s">
        <v>4</v>
      </c>
      <c r="C194" t="s">
        <v>4</v>
      </c>
      <c r="D194" t="s">
        <v>4</v>
      </c>
      <c r="E194" t="s">
        <v>4</v>
      </c>
      <c r="F194" t="s">
        <v>2331</v>
      </c>
      <c r="G194" t="s">
        <v>6</v>
      </c>
      <c r="H194" t="s">
        <v>2524</v>
      </c>
      <c r="I194" s="5">
        <v>0</v>
      </c>
      <c r="J194" s="5">
        <v>0</v>
      </c>
      <c r="K194" s="5">
        <v>0</v>
      </c>
      <c r="L194" s="3"/>
      <c r="M194" s="3"/>
      <c r="N194" s="3"/>
      <c r="O194" t="s">
        <v>4</v>
      </c>
      <c r="P194" t="s">
        <v>9</v>
      </c>
      <c r="Q194" s="4">
        <v>0</v>
      </c>
      <c r="R194" t="s">
        <v>4</v>
      </c>
      <c r="S194" t="s">
        <v>4</v>
      </c>
      <c r="T194" t="s">
        <v>2256</v>
      </c>
      <c r="U194" t="s">
        <v>4</v>
      </c>
      <c r="V194" s="5">
        <v>0</v>
      </c>
      <c r="W194" s="5">
        <v>0</v>
      </c>
      <c r="X194" s="2">
        <v>0</v>
      </c>
      <c r="Y194" t="s">
        <v>4</v>
      </c>
      <c r="Z194" t="s">
        <v>2351</v>
      </c>
      <c r="AA194" t="s">
        <v>4</v>
      </c>
      <c r="AB194" t="s">
        <v>4</v>
      </c>
    </row>
    <row r="195" spans="1:28" x14ac:dyDescent="0.2">
      <c r="A195" t="s">
        <v>1471</v>
      </c>
      <c r="B195" t="s">
        <v>2</v>
      </c>
      <c r="C195" t="s">
        <v>3</v>
      </c>
      <c r="D195" t="s">
        <v>4</v>
      </c>
      <c r="E195" t="s">
        <v>4</v>
      </c>
      <c r="F195" t="s">
        <v>2331</v>
      </c>
      <c r="G195" t="s">
        <v>6</v>
      </c>
      <c r="H195" t="s">
        <v>2525</v>
      </c>
      <c r="I195" s="2">
        <v>60</v>
      </c>
      <c r="J195" s="2">
        <v>0</v>
      </c>
      <c r="K195" s="2">
        <v>0</v>
      </c>
      <c r="L195" s="3">
        <v>45856</v>
      </c>
      <c r="M195" s="3">
        <v>45856</v>
      </c>
      <c r="N195" s="3"/>
      <c r="O195" t="s">
        <v>2526</v>
      </c>
      <c r="P195" t="s">
        <v>9</v>
      </c>
      <c r="Q195" s="4">
        <v>0.94682870370369998</v>
      </c>
      <c r="R195" t="s">
        <v>2331</v>
      </c>
      <c r="S195" t="s">
        <v>4</v>
      </c>
      <c r="T195" t="s">
        <v>2260</v>
      </c>
      <c r="U195" t="s">
        <v>10</v>
      </c>
      <c r="V195" s="5">
        <v>0</v>
      </c>
      <c r="W195" s="5">
        <v>0</v>
      </c>
      <c r="X195" s="2">
        <v>0</v>
      </c>
      <c r="Y195" t="s">
        <v>4</v>
      </c>
      <c r="Z195" t="s">
        <v>4</v>
      </c>
      <c r="AA195" t="s">
        <v>4</v>
      </c>
      <c r="AB195" t="s">
        <v>4</v>
      </c>
    </row>
    <row r="196" spans="1:28" x14ac:dyDescent="0.2">
      <c r="A196" t="s">
        <v>1471</v>
      </c>
      <c r="B196" t="s">
        <v>2</v>
      </c>
      <c r="C196" t="s">
        <v>3</v>
      </c>
      <c r="D196" t="s">
        <v>4</v>
      </c>
      <c r="E196" t="s">
        <v>4</v>
      </c>
      <c r="F196" t="s">
        <v>2331</v>
      </c>
      <c r="G196" t="s">
        <v>6</v>
      </c>
      <c r="H196" t="s">
        <v>2525</v>
      </c>
      <c r="I196" s="2">
        <v>60</v>
      </c>
      <c r="J196" s="2">
        <v>0</v>
      </c>
      <c r="K196" s="2">
        <v>0</v>
      </c>
      <c r="L196" s="3">
        <v>45856</v>
      </c>
      <c r="M196" s="3">
        <v>45856</v>
      </c>
      <c r="N196" s="3"/>
      <c r="O196" t="s">
        <v>2527</v>
      </c>
      <c r="P196" t="s">
        <v>9</v>
      </c>
      <c r="Q196" s="4">
        <v>0.94682870370369998</v>
      </c>
      <c r="R196" t="s">
        <v>2331</v>
      </c>
      <c r="S196" t="s">
        <v>4</v>
      </c>
      <c r="T196" t="s">
        <v>2260</v>
      </c>
      <c r="U196" t="s">
        <v>10</v>
      </c>
      <c r="V196" s="5">
        <v>0</v>
      </c>
      <c r="W196" s="5">
        <v>0</v>
      </c>
      <c r="X196" s="2">
        <v>0</v>
      </c>
      <c r="Y196" t="s">
        <v>4</v>
      </c>
      <c r="Z196" t="s">
        <v>4</v>
      </c>
      <c r="AA196" t="s">
        <v>4</v>
      </c>
      <c r="AB196" t="s">
        <v>4</v>
      </c>
    </row>
    <row r="197" spans="1:28" x14ac:dyDescent="0.2">
      <c r="A197" t="s">
        <v>1471</v>
      </c>
      <c r="B197" t="s">
        <v>2</v>
      </c>
      <c r="C197" t="s">
        <v>3</v>
      </c>
      <c r="D197" t="s">
        <v>4</v>
      </c>
      <c r="E197" t="s">
        <v>4</v>
      </c>
      <c r="F197" t="s">
        <v>2331</v>
      </c>
      <c r="G197" t="s">
        <v>6</v>
      </c>
      <c r="H197" t="s">
        <v>2528</v>
      </c>
      <c r="I197" s="2">
        <v>60</v>
      </c>
      <c r="J197" s="2">
        <v>0</v>
      </c>
      <c r="K197" s="2">
        <v>0</v>
      </c>
      <c r="L197" s="3">
        <v>45855</v>
      </c>
      <c r="M197" s="3">
        <v>45855</v>
      </c>
      <c r="N197" s="3"/>
      <c r="O197" t="s">
        <v>2529</v>
      </c>
      <c r="P197" t="s">
        <v>9</v>
      </c>
      <c r="Q197" s="4">
        <v>0.44581018518519</v>
      </c>
      <c r="R197" t="s">
        <v>2331</v>
      </c>
      <c r="S197" t="s">
        <v>4</v>
      </c>
      <c r="T197" t="s">
        <v>2350</v>
      </c>
      <c r="U197" t="s">
        <v>10</v>
      </c>
      <c r="V197" s="5">
        <v>0</v>
      </c>
      <c r="W197" s="5">
        <v>0</v>
      </c>
      <c r="X197" s="2">
        <v>0</v>
      </c>
      <c r="Y197" t="s">
        <v>4</v>
      </c>
      <c r="Z197" t="s">
        <v>4</v>
      </c>
      <c r="AA197" t="s">
        <v>2351</v>
      </c>
      <c r="AB197" t="s">
        <v>2351</v>
      </c>
    </row>
    <row r="198" spans="1:28" x14ac:dyDescent="0.2">
      <c r="A198" t="s">
        <v>1471</v>
      </c>
      <c r="B198" t="s">
        <v>2</v>
      </c>
      <c r="C198" t="s">
        <v>3</v>
      </c>
      <c r="D198" t="s">
        <v>4</v>
      </c>
      <c r="E198" t="s">
        <v>4</v>
      </c>
      <c r="F198" t="s">
        <v>2331</v>
      </c>
      <c r="G198" t="s">
        <v>6</v>
      </c>
      <c r="H198" t="s">
        <v>2528</v>
      </c>
      <c r="I198" s="2">
        <v>60</v>
      </c>
      <c r="J198" s="2">
        <v>0</v>
      </c>
      <c r="K198" s="2">
        <v>0</v>
      </c>
      <c r="L198" s="3">
        <v>45855</v>
      </c>
      <c r="M198" s="3">
        <v>45855</v>
      </c>
      <c r="N198" s="3"/>
      <c r="O198" t="s">
        <v>2530</v>
      </c>
      <c r="P198" t="s">
        <v>9</v>
      </c>
      <c r="Q198" s="4">
        <v>0.44581018518519</v>
      </c>
      <c r="R198" t="s">
        <v>2331</v>
      </c>
      <c r="S198" t="s">
        <v>4</v>
      </c>
      <c r="T198" t="s">
        <v>2350</v>
      </c>
      <c r="U198" t="s">
        <v>10</v>
      </c>
      <c r="V198" s="5">
        <v>0</v>
      </c>
      <c r="W198" s="5">
        <v>0</v>
      </c>
      <c r="X198" s="2">
        <v>0</v>
      </c>
      <c r="Y198" t="s">
        <v>4</v>
      </c>
      <c r="Z198" t="s">
        <v>4</v>
      </c>
      <c r="AA198" t="s">
        <v>2351</v>
      </c>
      <c r="AB198" t="s">
        <v>2351</v>
      </c>
    </row>
    <row r="199" spans="1:28" x14ac:dyDescent="0.2">
      <c r="A199" t="s">
        <v>1471</v>
      </c>
      <c r="B199" t="s">
        <v>2</v>
      </c>
      <c r="C199" t="s">
        <v>3</v>
      </c>
      <c r="D199" t="s">
        <v>4</v>
      </c>
      <c r="E199" t="s">
        <v>4</v>
      </c>
      <c r="F199" t="s">
        <v>2331</v>
      </c>
      <c r="G199" t="s">
        <v>6</v>
      </c>
      <c r="H199" t="s">
        <v>2531</v>
      </c>
      <c r="I199" s="2">
        <v>60</v>
      </c>
      <c r="J199" s="2">
        <v>0</v>
      </c>
      <c r="K199" s="2">
        <v>0</v>
      </c>
      <c r="L199" s="3">
        <v>45857</v>
      </c>
      <c r="M199" s="3">
        <v>45857</v>
      </c>
      <c r="N199" s="3"/>
      <c r="O199" t="s">
        <v>2532</v>
      </c>
      <c r="P199" t="s">
        <v>9</v>
      </c>
      <c r="Q199" s="4">
        <v>0.33857638888889002</v>
      </c>
      <c r="R199" t="s">
        <v>2331</v>
      </c>
      <c r="S199" t="s">
        <v>4</v>
      </c>
      <c r="T199" t="s">
        <v>2262</v>
      </c>
      <c r="U199" t="s">
        <v>10</v>
      </c>
      <c r="V199" s="5">
        <v>0</v>
      </c>
      <c r="W199" s="5">
        <v>0</v>
      </c>
      <c r="X199" s="2">
        <v>0</v>
      </c>
      <c r="Y199" t="s">
        <v>4</v>
      </c>
      <c r="Z199" t="s">
        <v>4</v>
      </c>
      <c r="AA199" t="s">
        <v>4</v>
      </c>
      <c r="AB199" t="s">
        <v>4</v>
      </c>
    </row>
    <row r="200" spans="1:28" x14ac:dyDescent="0.2">
      <c r="A200" t="s">
        <v>1471</v>
      </c>
      <c r="B200" t="s">
        <v>2</v>
      </c>
      <c r="C200" t="s">
        <v>3</v>
      </c>
      <c r="D200" t="s">
        <v>4</v>
      </c>
      <c r="E200" t="s">
        <v>4</v>
      </c>
      <c r="F200" t="s">
        <v>2331</v>
      </c>
      <c r="G200" t="s">
        <v>6</v>
      </c>
      <c r="H200" t="s">
        <v>2531</v>
      </c>
      <c r="I200" s="2">
        <v>60</v>
      </c>
      <c r="J200" s="2">
        <v>0</v>
      </c>
      <c r="K200" s="2">
        <v>0</v>
      </c>
      <c r="L200" s="3">
        <v>45857</v>
      </c>
      <c r="M200" s="3">
        <v>45857</v>
      </c>
      <c r="N200" s="3"/>
      <c r="O200" t="s">
        <v>2533</v>
      </c>
      <c r="P200" t="s">
        <v>9</v>
      </c>
      <c r="Q200" s="4">
        <v>0.33857638888889002</v>
      </c>
      <c r="R200" t="s">
        <v>2331</v>
      </c>
      <c r="S200" t="s">
        <v>4</v>
      </c>
      <c r="T200" t="s">
        <v>2262</v>
      </c>
      <c r="U200" t="s">
        <v>10</v>
      </c>
      <c r="V200" s="5">
        <v>0</v>
      </c>
      <c r="W200" s="5">
        <v>0</v>
      </c>
      <c r="X200" s="2">
        <v>0</v>
      </c>
      <c r="Y200" t="s">
        <v>4</v>
      </c>
      <c r="Z200" t="s">
        <v>4</v>
      </c>
      <c r="AA200" t="s">
        <v>4</v>
      </c>
      <c r="AB200" t="s">
        <v>4</v>
      </c>
    </row>
    <row r="201" spans="1:28" x14ac:dyDescent="0.2">
      <c r="A201" t="s">
        <v>1468</v>
      </c>
      <c r="B201" t="s">
        <v>2</v>
      </c>
      <c r="C201" t="s">
        <v>3</v>
      </c>
      <c r="D201" t="s">
        <v>4</v>
      </c>
      <c r="E201" t="s">
        <v>4</v>
      </c>
      <c r="F201" t="s">
        <v>2331</v>
      </c>
      <c r="G201" t="s">
        <v>6</v>
      </c>
      <c r="H201" t="s">
        <v>2534</v>
      </c>
      <c r="I201" s="2">
        <v>72</v>
      </c>
      <c r="J201" s="2">
        <v>0</v>
      </c>
      <c r="K201" s="2">
        <v>0</v>
      </c>
      <c r="L201" s="3">
        <v>45773</v>
      </c>
      <c r="M201" s="3">
        <v>45773</v>
      </c>
      <c r="N201" s="3"/>
      <c r="O201" t="s">
        <v>2535</v>
      </c>
      <c r="P201" t="s">
        <v>9</v>
      </c>
      <c r="Q201" s="4">
        <v>0.43457175925926</v>
      </c>
      <c r="R201" t="s">
        <v>2331</v>
      </c>
      <c r="S201" t="s">
        <v>4</v>
      </c>
      <c r="T201" t="s">
        <v>2513</v>
      </c>
      <c r="U201" t="s">
        <v>10</v>
      </c>
      <c r="V201" s="5">
        <v>0</v>
      </c>
      <c r="W201" s="5">
        <v>0</v>
      </c>
      <c r="X201" s="2">
        <v>0</v>
      </c>
      <c r="Y201" t="s">
        <v>4</v>
      </c>
      <c r="Z201" t="s">
        <v>4</v>
      </c>
      <c r="AA201" t="s">
        <v>4</v>
      </c>
      <c r="AB201" t="s">
        <v>4</v>
      </c>
    </row>
    <row r="202" spans="1:28" x14ac:dyDescent="0.2">
      <c r="A202" t="s">
        <v>1468</v>
      </c>
      <c r="B202" t="s">
        <v>2</v>
      </c>
      <c r="C202" t="s">
        <v>3</v>
      </c>
      <c r="D202" t="s">
        <v>4</v>
      </c>
      <c r="E202" t="s">
        <v>4</v>
      </c>
      <c r="F202" t="s">
        <v>2331</v>
      </c>
      <c r="G202" t="s">
        <v>6</v>
      </c>
      <c r="H202" t="s">
        <v>2534</v>
      </c>
      <c r="I202" s="2">
        <v>72</v>
      </c>
      <c r="J202" s="2">
        <v>0</v>
      </c>
      <c r="K202" s="2">
        <v>0</v>
      </c>
      <c r="L202" s="3">
        <v>45773</v>
      </c>
      <c r="M202" s="3">
        <v>45773</v>
      </c>
      <c r="N202" s="3"/>
      <c r="O202" t="s">
        <v>2536</v>
      </c>
      <c r="P202" t="s">
        <v>9</v>
      </c>
      <c r="Q202" s="4">
        <v>0.43457175925926</v>
      </c>
      <c r="R202" t="s">
        <v>2331</v>
      </c>
      <c r="S202" t="s">
        <v>4</v>
      </c>
      <c r="T202" t="s">
        <v>2513</v>
      </c>
      <c r="U202" t="s">
        <v>10</v>
      </c>
      <c r="V202" s="5">
        <v>0</v>
      </c>
      <c r="W202" s="5">
        <v>0</v>
      </c>
      <c r="X202" s="2">
        <v>0</v>
      </c>
      <c r="Y202" t="s">
        <v>4</v>
      </c>
      <c r="Z202" t="s">
        <v>4</v>
      </c>
      <c r="AA202" t="s">
        <v>4</v>
      </c>
      <c r="AB202" t="s">
        <v>4</v>
      </c>
    </row>
    <row r="203" spans="1:28" x14ac:dyDescent="0.2">
      <c r="A203" t="s">
        <v>1471</v>
      </c>
      <c r="B203" t="s">
        <v>2</v>
      </c>
      <c r="C203" t="s">
        <v>3</v>
      </c>
      <c r="D203" t="s">
        <v>4</v>
      </c>
      <c r="E203" t="s">
        <v>4</v>
      </c>
      <c r="F203" t="s">
        <v>2331</v>
      </c>
      <c r="G203" t="s">
        <v>6</v>
      </c>
      <c r="H203" t="s">
        <v>2537</v>
      </c>
      <c r="I203" s="2">
        <v>60</v>
      </c>
      <c r="J203" s="2">
        <v>0</v>
      </c>
      <c r="K203" s="2">
        <v>0</v>
      </c>
      <c r="L203" s="3">
        <v>45858</v>
      </c>
      <c r="M203" s="3">
        <v>45858</v>
      </c>
      <c r="N203" s="3"/>
      <c r="O203" t="s">
        <v>2538</v>
      </c>
      <c r="P203" t="s">
        <v>9</v>
      </c>
      <c r="Q203" s="4">
        <v>0.53983796296296005</v>
      </c>
      <c r="R203" t="s">
        <v>2331</v>
      </c>
      <c r="S203" t="s">
        <v>4</v>
      </c>
      <c r="T203" t="s">
        <v>2337</v>
      </c>
      <c r="U203" t="s">
        <v>10</v>
      </c>
      <c r="V203" s="5">
        <v>0</v>
      </c>
      <c r="W203" s="5">
        <v>0</v>
      </c>
      <c r="X203" s="2">
        <v>0</v>
      </c>
      <c r="Y203" t="s">
        <v>4</v>
      </c>
      <c r="Z203" t="s">
        <v>4</v>
      </c>
      <c r="AA203" t="s">
        <v>4</v>
      </c>
      <c r="AB203" t="s">
        <v>4</v>
      </c>
    </row>
    <row r="204" spans="1:28" x14ac:dyDescent="0.2">
      <c r="A204" t="s">
        <v>1466</v>
      </c>
      <c r="B204" t="s">
        <v>2</v>
      </c>
      <c r="C204" t="s">
        <v>3</v>
      </c>
      <c r="D204" t="s">
        <v>4</v>
      </c>
      <c r="E204" t="s">
        <v>4</v>
      </c>
      <c r="F204" t="s">
        <v>2331</v>
      </c>
      <c r="G204" t="s">
        <v>6</v>
      </c>
      <c r="H204" t="s">
        <v>2539</v>
      </c>
      <c r="I204" s="2">
        <v>60</v>
      </c>
      <c r="J204" s="2">
        <v>0</v>
      </c>
      <c r="K204" s="2">
        <v>0</v>
      </c>
      <c r="L204" s="3">
        <v>45855</v>
      </c>
      <c r="M204" s="3">
        <v>45855</v>
      </c>
      <c r="N204" s="3"/>
      <c r="O204" t="s">
        <v>2540</v>
      </c>
      <c r="P204" t="s">
        <v>9</v>
      </c>
      <c r="Q204" s="4">
        <v>0.46409722222222</v>
      </c>
      <c r="R204" t="s">
        <v>2331</v>
      </c>
      <c r="S204" t="s">
        <v>4</v>
      </c>
      <c r="T204" t="s">
        <v>2350</v>
      </c>
      <c r="U204" t="s">
        <v>10</v>
      </c>
      <c r="V204" s="5">
        <v>0</v>
      </c>
      <c r="W204" s="5">
        <v>0</v>
      </c>
      <c r="X204" s="2">
        <v>0</v>
      </c>
      <c r="Y204" t="s">
        <v>4</v>
      </c>
      <c r="Z204" t="s">
        <v>4</v>
      </c>
      <c r="AA204" t="s">
        <v>4</v>
      </c>
      <c r="AB204" t="s">
        <v>4</v>
      </c>
    </row>
    <row r="205" spans="1:28" x14ac:dyDescent="0.2">
      <c r="A205" t="s">
        <v>1466</v>
      </c>
      <c r="B205" t="s">
        <v>2</v>
      </c>
      <c r="C205" t="s">
        <v>3</v>
      </c>
      <c r="D205" t="s">
        <v>4</v>
      </c>
      <c r="E205" t="s">
        <v>4</v>
      </c>
      <c r="F205" t="s">
        <v>2331</v>
      </c>
      <c r="G205" t="s">
        <v>6</v>
      </c>
      <c r="H205" t="s">
        <v>2539</v>
      </c>
      <c r="I205" s="2">
        <v>60</v>
      </c>
      <c r="J205" s="2">
        <v>0</v>
      </c>
      <c r="K205" s="2">
        <v>0</v>
      </c>
      <c r="L205" s="3">
        <v>45855</v>
      </c>
      <c r="M205" s="3">
        <v>45855</v>
      </c>
      <c r="N205" s="3"/>
      <c r="O205" t="s">
        <v>2541</v>
      </c>
      <c r="P205" t="s">
        <v>9</v>
      </c>
      <c r="Q205" s="4">
        <v>0.46409722222222</v>
      </c>
      <c r="R205" t="s">
        <v>2331</v>
      </c>
      <c r="S205" t="s">
        <v>4</v>
      </c>
      <c r="T205" t="s">
        <v>2350</v>
      </c>
      <c r="U205" t="s">
        <v>10</v>
      </c>
      <c r="V205" s="5">
        <v>0</v>
      </c>
      <c r="W205" s="5">
        <v>0</v>
      </c>
      <c r="X205" s="2">
        <v>0</v>
      </c>
      <c r="Y205" t="s">
        <v>4</v>
      </c>
      <c r="Z205" t="s">
        <v>4</v>
      </c>
      <c r="AA205" t="s">
        <v>4</v>
      </c>
      <c r="AB205" t="s">
        <v>4</v>
      </c>
    </row>
    <row r="206" spans="1:28" x14ac:dyDescent="0.2">
      <c r="A206" t="s">
        <v>1468</v>
      </c>
      <c r="B206" t="s">
        <v>2</v>
      </c>
      <c r="C206" t="s">
        <v>3</v>
      </c>
      <c r="D206" t="s">
        <v>4</v>
      </c>
      <c r="E206" t="s">
        <v>4</v>
      </c>
      <c r="F206" t="s">
        <v>2331</v>
      </c>
      <c r="G206" t="s">
        <v>6</v>
      </c>
      <c r="H206" t="s">
        <v>2542</v>
      </c>
      <c r="I206" s="2">
        <v>72</v>
      </c>
      <c r="J206" s="2">
        <v>0</v>
      </c>
      <c r="K206" s="2">
        <v>0</v>
      </c>
      <c r="L206" s="3">
        <v>45744</v>
      </c>
      <c r="M206" s="3">
        <v>45744</v>
      </c>
      <c r="N206" s="3"/>
      <c r="O206" t="s">
        <v>2543</v>
      </c>
      <c r="P206" t="s">
        <v>9</v>
      </c>
      <c r="Q206" s="4">
        <v>0.75047453703704003</v>
      </c>
      <c r="R206" t="s">
        <v>2331</v>
      </c>
      <c r="S206" t="s">
        <v>4</v>
      </c>
      <c r="T206" t="s">
        <v>2544</v>
      </c>
      <c r="U206" t="s">
        <v>10</v>
      </c>
      <c r="V206" s="5">
        <v>0</v>
      </c>
      <c r="W206" s="5">
        <v>0</v>
      </c>
      <c r="X206" s="2">
        <v>0</v>
      </c>
      <c r="Y206" t="s">
        <v>4</v>
      </c>
      <c r="Z206" t="s">
        <v>4</v>
      </c>
      <c r="AA206" t="s">
        <v>4</v>
      </c>
      <c r="AB206" t="s">
        <v>4</v>
      </c>
    </row>
    <row r="207" spans="1:28" x14ac:dyDescent="0.2">
      <c r="A207" t="s">
        <v>2043</v>
      </c>
      <c r="B207" t="s">
        <v>2</v>
      </c>
      <c r="C207" t="s">
        <v>3</v>
      </c>
      <c r="D207" t="s">
        <v>4</v>
      </c>
      <c r="E207" t="s">
        <v>4</v>
      </c>
      <c r="F207" t="s">
        <v>2331</v>
      </c>
      <c r="G207" t="s">
        <v>6</v>
      </c>
      <c r="H207" t="s">
        <v>2545</v>
      </c>
      <c r="I207" s="2">
        <v>108</v>
      </c>
      <c r="J207" s="2">
        <v>0</v>
      </c>
      <c r="K207" s="2">
        <v>0</v>
      </c>
      <c r="L207" s="3">
        <v>45858</v>
      </c>
      <c r="M207" s="3">
        <v>45858</v>
      </c>
      <c r="N207" s="3"/>
      <c r="O207" t="s">
        <v>2546</v>
      </c>
      <c r="P207" t="s">
        <v>9</v>
      </c>
      <c r="Q207" s="4">
        <v>0.56509259259259004</v>
      </c>
      <c r="R207" t="s">
        <v>2331</v>
      </c>
      <c r="S207" t="s">
        <v>4</v>
      </c>
      <c r="T207" t="s">
        <v>2337</v>
      </c>
      <c r="U207" t="s">
        <v>10</v>
      </c>
      <c r="V207" s="5">
        <v>0</v>
      </c>
      <c r="W207" s="5">
        <v>0</v>
      </c>
      <c r="X207" s="2">
        <v>0</v>
      </c>
      <c r="Y207" t="s">
        <v>4</v>
      </c>
      <c r="Z207" t="s">
        <v>4</v>
      </c>
      <c r="AA207" t="s">
        <v>4</v>
      </c>
      <c r="AB207" t="s">
        <v>4</v>
      </c>
    </row>
    <row r="208" spans="1:28" x14ac:dyDescent="0.2">
      <c r="A208" t="s">
        <v>1462</v>
      </c>
      <c r="B208" t="s">
        <v>2</v>
      </c>
      <c r="C208" t="s">
        <v>3</v>
      </c>
      <c r="D208" t="s">
        <v>4</v>
      </c>
      <c r="E208" t="s">
        <v>4</v>
      </c>
      <c r="F208" t="s">
        <v>2331</v>
      </c>
      <c r="G208" t="s">
        <v>6</v>
      </c>
      <c r="H208" t="s">
        <v>2547</v>
      </c>
      <c r="I208" s="2">
        <v>72</v>
      </c>
      <c r="J208" s="2">
        <v>0</v>
      </c>
      <c r="K208" s="2">
        <v>0</v>
      </c>
      <c r="L208" s="3">
        <v>45846</v>
      </c>
      <c r="M208" s="3">
        <v>45846</v>
      </c>
      <c r="N208" s="3"/>
      <c r="O208" t="s">
        <v>2548</v>
      </c>
      <c r="P208" t="s">
        <v>9</v>
      </c>
      <c r="Q208" s="4">
        <v>0.93548611111111002</v>
      </c>
      <c r="R208" t="s">
        <v>2331</v>
      </c>
      <c r="S208" t="s">
        <v>4</v>
      </c>
      <c r="T208" t="s">
        <v>2318</v>
      </c>
      <c r="U208" t="s">
        <v>10</v>
      </c>
      <c r="V208" s="5">
        <v>0</v>
      </c>
      <c r="W208" s="5">
        <v>0</v>
      </c>
      <c r="X208" s="2">
        <v>0</v>
      </c>
      <c r="Y208" t="s">
        <v>4</v>
      </c>
      <c r="Z208" t="s">
        <v>4</v>
      </c>
      <c r="AA208" t="s">
        <v>4</v>
      </c>
      <c r="AB208" t="s">
        <v>4</v>
      </c>
    </row>
    <row r="209" spans="1:28" x14ac:dyDescent="0.2">
      <c r="A209" t="s">
        <v>1462</v>
      </c>
      <c r="B209" t="s">
        <v>2</v>
      </c>
      <c r="C209" t="s">
        <v>3</v>
      </c>
      <c r="D209" t="s">
        <v>4</v>
      </c>
      <c r="E209" t="s">
        <v>4</v>
      </c>
      <c r="F209" t="s">
        <v>2331</v>
      </c>
      <c r="G209" t="s">
        <v>6</v>
      </c>
      <c r="H209" t="s">
        <v>2547</v>
      </c>
      <c r="I209" s="2">
        <v>72</v>
      </c>
      <c r="J209" s="2">
        <v>0</v>
      </c>
      <c r="K209" s="2">
        <v>0</v>
      </c>
      <c r="L209" s="3">
        <v>45846</v>
      </c>
      <c r="M209" s="3">
        <v>45846</v>
      </c>
      <c r="N209" s="3"/>
      <c r="O209" t="s">
        <v>2549</v>
      </c>
      <c r="P209" t="s">
        <v>9</v>
      </c>
      <c r="Q209" s="4">
        <v>0.93548611111111002</v>
      </c>
      <c r="R209" t="s">
        <v>2331</v>
      </c>
      <c r="S209" t="s">
        <v>4</v>
      </c>
      <c r="T209" t="s">
        <v>2318</v>
      </c>
      <c r="U209" t="s">
        <v>10</v>
      </c>
      <c r="V209" s="5">
        <v>0</v>
      </c>
      <c r="W209" s="5">
        <v>0</v>
      </c>
      <c r="X209" s="2">
        <v>0</v>
      </c>
      <c r="Y209" t="s">
        <v>4</v>
      </c>
      <c r="Z209" t="s">
        <v>4</v>
      </c>
      <c r="AA209" t="s">
        <v>4</v>
      </c>
      <c r="AB209" t="s">
        <v>4</v>
      </c>
    </row>
    <row r="210" spans="1:28" x14ac:dyDescent="0.2">
      <c r="A210" t="s">
        <v>1573</v>
      </c>
      <c r="B210" t="s">
        <v>2</v>
      </c>
      <c r="C210" t="s">
        <v>3</v>
      </c>
      <c r="D210" t="s">
        <v>4</v>
      </c>
      <c r="E210" t="s">
        <v>4</v>
      </c>
      <c r="F210" t="s">
        <v>2331</v>
      </c>
      <c r="G210" t="s">
        <v>6</v>
      </c>
      <c r="H210" t="s">
        <v>2550</v>
      </c>
      <c r="I210" s="2">
        <v>45</v>
      </c>
      <c r="J210" s="2">
        <v>0</v>
      </c>
      <c r="K210" s="2">
        <v>0</v>
      </c>
      <c r="L210" s="3">
        <v>45860</v>
      </c>
      <c r="M210" s="3">
        <v>45860</v>
      </c>
      <c r="N210" s="3"/>
      <c r="O210" t="s">
        <v>2551</v>
      </c>
      <c r="P210" t="s">
        <v>9</v>
      </c>
      <c r="Q210" s="4">
        <v>0.42995370370370001</v>
      </c>
      <c r="R210" t="s">
        <v>2331</v>
      </c>
      <c r="S210" t="s">
        <v>4</v>
      </c>
      <c r="T210" t="s">
        <v>2256</v>
      </c>
      <c r="U210" t="s">
        <v>10</v>
      </c>
      <c r="V210" s="5">
        <v>0</v>
      </c>
      <c r="W210" s="5">
        <v>0</v>
      </c>
      <c r="X210" s="2">
        <v>0</v>
      </c>
      <c r="Y210" t="s">
        <v>4</v>
      </c>
      <c r="Z210" t="s">
        <v>4</v>
      </c>
      <c r="AA210" t="s">
        <v>4</v>
      </c>
      <c r="AB210" t="s">
        <v>4</v>
      </c>
    </row>
    <row r="211" spans="1:28" x14ac:dyDescent="0.2">
      <c r="A211" t="s">
        <v>1573</v>
      </c>
      <c r="B211" t="s">
        <v>2</v>
      </c>
      <c r="C211" t="s">
        <v>3</v>
      </c>
      <c r="D211" t="s">
        <v>4</v>
      </c>
      <c r="E211" t="s">
        <v>4</v>
      </c>
      <c r="F211" t="s">
        <v>2331</v>
      </c>
      <c r="G211" t="s">
        <v>6</v>
      </c>
      <c r="H211" t="s">
        <v>2550</v>
      </c>
      <c r="I211" s="2">
        <v>45</v>
      </c>
      <c r="J211" s="2">
        <v>0</v>
      </c>
      <c r="K211" s="2">
        <v>0</v>
      </c>
      <c r="L211" s="3">
        <v>45860</v>
      </c>
      <c r="M211" s="3">
        <v>45860</v>
      </c>
      <c r="N211" s="3"/>
      <c r="O211" t="s">
        <v>2552</v>
      </c>
      <c r="P211" t="s">
        <v>9</v>
      </c>
      <c r="Q211" s="4">
        <v>0.42995370370370001</v>
      </c>
      <c r="R211" t="s">
        <v>2331</v>
      </c>
      <c r="S211" t="s">
        <v>4</v>
      </c>
      <c r="T211" t="s">
        <v>2256</v>
      </c>
      <c r="U211" t="s">
        <v>10</v>
      </c>
      <c r="V211" s="5">
        <v>0</v>
      </c>
      <c r="W211" s="5">
        <v>0</v>
      </c>
      <c r="X211" s="2">
        <v>0</v>
      </c>
      <c r="Y211" t="s">
        <v>4</v>
      </c>
      <c r="Z211" t="s">
        <v>4</v>
      </c>
      <c r="AA211" t="s">
        <v>4</v>
      </c>
      <c r="AB211" t="s">
        <v>4</v>
      </c>
    </row>
    <row r="212" spans="1:28" x14ac:dyDescent="0.2">
      <c r="A212" t="s">
        <v>1462</v>
      </c>
      <c r="B212" t="s">
        <v>2</v>
      </c>
      <c r="C212" t="s">
        <v>3</v>
      </c>
      <c r="D212" t="s">
        <v>4</v>
      </c>
      <c r="E212" t="s">
        <v>4</v>
      </c>
      <c r="F212" t="s">
        <v>2331</v>
      </c>
      <c r="G212" t="s">
        <v>6</v>
      </c>
      <c r="H212" t="s">
        <v>2553</v>
      </c>
      <c r="I212" s="2">
        <v>72</v>
      </c>
      <c r="J212" s="2">
        <v>0</v>
      </c>
      <c r="K212" s="2">
        <v>0</v>
      </c>
      <c r="L212" s="3">
        <v>45846</v>
      </c>
      <c r="M212" s="3">
        <v>45846</v>
      </c>
      <c r="N212" s="3"/>
      <c r="O212" t="s">
        <v>2554</v>
      </c>
      <c r="P212" t="s">
        <v>9</v>
      </c>
      <c r="Q212" s="4">
        <v>0.93288194444443995</v>
      </c>
      <c r="R212" t="s">
        <v>2331</v>
      </c>
      <c r="S212" t="s">
        <v>4</v>
      </c>
      <c r="T212" t="s">
        <v>2318</v>
      </c>
      <c r="U212" t="s">
        <v>10</v>
      </c>
      <c r="V212" s="5">
        <v>0</v>
      </c>
      <c r="W212" s="5">
        <v>0</v>
      </c>
      <c r="X212" s="2">
        <v>0</v>
      </c>
      <c r="Y212" t="s">
        <v>4</v>
      </c>
      <c r="Z212" t="s">
        <v>4</v>
      </c>
      <c r="AA212" t="s">
        <v>4</v>
      </c>
      <c r="AB212" t="s">
        <v>4</v>
      </c>
    </row>
    <row r="213" spans="1:28" x14ac:dyDescent="0.2">
      <c r="A213" t="s">
        <v>1462</v>
      </c>
      <c r="B213" t="s">
        <v>2</v>
      </c>
      <c r="C213" t="s">
        <v>3</v>
      </c>
      <c r="D213" t="s">
        <v>4</v>
      </c>
      <c r="E213" t="s">
        <v>4</v>
      </c>
      <c r="F213" t="s">
        <v>2331</v>
      </c>
      <c r="G213" t="s">
        <v>6</v>
      </c>
      <c r="H213" t="s">
        <v>2553</v>
      </c>
      <c r="I213" s="2">
        <v>72</v>
      </c>
      <c r="J213" s="2">
        <v>0</v>
      </c>
      <c r="K213" s="2">
        <v>0</v>
      </c>
      <c r="L213" s="3">
        <v>45846</v>
      </c>
      <c r="M213" s="3">
        <v>45846</v>
      </c>
      <c r="N213" s="3"/>
      <c r="O213" t="s">
        <v>2555</v>
      </c>
      <c r="P213" t="s">
        <v>9</v>
      </c>
      <c r="Q213" s="4">
        <v>0.93288194444443995</v>
      </c>
      <c r="R213" t="s">
        <v>2331</v>
      </c>
      <c r="S213" t="s">
        <v>4</v>
      </c>
      <c r="T213" t="s">
        <v>2318</v>
      </c>
      <c r="U213" t="s">
        <v>10</v>
      </c>
      <c r="V213" s="5">
        <v>0</v>
      </c>
      <c r="W213" s="5">
        <v>0</v>
      </c>
      <c r="X213" s="2">
        <v>0</v>
      </c>
      <c r="Y213" t="s">
        <v>4</v>
      </c>
      <c r="Z213" t="s">
        <v>4</v>
      </c>
      <c r="AA213" t="s">
        <v>4</v>
      </c>
      <c r="AB213" t="s">
        <v>4</v>
      </c>
    </row>
    <row r="214" spans="1:28" x14ac:dyDescent="0.2">
      <c r="A214" t="s">
        <v>689</v>
      </c>
      <c r="B214" t="s">
        <v>2</v>
      </c>
      <c r="C214" t="s">
        <v>3</v>
      </c>
      <c r="D214" t="s">
        <v>4</v>
      </c>
      <c r="E214" t="s">
        <v>4</v>
      </c>
      <c r="F214" t="s">
        <v>2331</v>
      </c>
      <c r="G214" t="s">
        <v>6</v>
      </c>
      <c r="H214" t="s">
        <v>2556</v>
      </c>
      <c r="I214" s="2">
        <v>70</v>
      </c>
      <c r="J214" s="2">
        <v>0</v>
      </c>
      <c r="K214" s="2">
        <v>0</v>
      </c>
      <c r="L214" s="3">
        <v>45857</v>
      </c>
      <c r="M214" s="3">
        <v>45857</v>
      </c>
      <c r="N214" s="3"/>
      <c r="O214" t="s">
        <v>2557</v>
      </c>
      <c r="P214" t="s">
        <v>9</v>
      </c>
      <c r="Q214" s="4">
        <v>0.37359953703704002</v>
      </c>
      <c r="R214" t="s">
        <v>2331</v>
      </c>
      <c r="S214" t="s">
        <v>4</v>
      </c>
      <c r="T214" t="s">
        <v>2262</v>
      </c>
      <c r="U214" t="s">
        <v>10</v>
      </c>
      <c r="V214" s="5">
        <v>0</v>
      </c>
      <c r="W214" s="5">
        <v>0</v>
      </c>
      <c r="X214" s="2">
        <v>0</v>
      </c>
      <c r="Y214" t="s">
        <v>4</v>
      </c>
      <c r="Z214" t="s">
        <v>4</v>
      </c>
      <c r="AA214" t="s">
        <v>4</v>
      </c>
      <c r="AB214" t="s">
        <v>4</v>
      </c>
    </row>
    <row r="215" spans="1:28" x14ac:dyDescent="0.2">
      <c r="A215" t="s">
        <v>2251</v>
      </c>
      <c r="B215" t="s">
        <v>4</v>
      </c>
      <c r="C215" t="s">
        <v>4</v>
      </c>
      <c r="D215" t="s">
        <v>4</v>
      </c>
      <c r="E215" t="s">
        <v>4</v>
      </c>
      <c r="F215" t="s">
        <v>2331</v>
      </c>
      <c r="G215" t="s">
        <v>6</v>
      </c>
      <c r="H215" t="s">
        <v>2558</v>
      </c>
      <c r="I215" s="5">
        <v>0</v>
      </c>
      <c r="J215" s="5">
        <v>0</v>
      </c>
      <c r="K215" s="5">
        <v>0</v>
      </c>
      <c r="L215" s="3"/>
      <c r="M215" s="3"/>
      <c r="N215" s="3"/>
      <c r="O215" t="s">
        <v>4</v>
      </c>
      <c r="P215" t="s">
        <v>9</v>
      </c>
      <c r="Q215" s="4">
        <v>0</v>
      </c>
      <c r="R215" t="s">
        <v>4</v>
      </c>
      <c r="S215" t="s">
        <v>4</v>
      </c>
      <c r="T215" t="s">
        <v>2256</v>
      </c>
      <c r="U215" t="s">
        <v>4</v>
      </c>
      <c r="V215" s="5">
        <v>0</v>
      </c>
      <c r="W215" s="5">
        <v>0</v>
      </c>
      <c r="X215" s="2">
        <v>0</v>
      </c>
      <c r="Y215" t="s">
        <v>4</v>
      </c>
      <c r="Z215" t="s">
        <v>2351</v>
      </c>
      <c r="AA215" t="s">
        <v>4</v>
      </c>
      <c r="AB215" t="s">
        <v>4</v>
      </c>
    </row>
    <row r="216" spans="1:28" x14ac:dyDescent="0.2">
      <c r="A216" t="s">
        <v>2251</v>
      </c>
      <c r="B216" t="s">
        <v>4</v>
      </c>
      <c r="C216" t="s">
        <v>4</v>
      </c>
      <c r="D216" t="s">
        <v>4</v>
      </c>
      <c r="E216" t="s">
        <v>4</v>
      </c>
      <c r="F216" t="s">
        <v>2331</v>
      </c>
      <c r="G216" t="s">
        <v>6</v>
      </c>
      <c r="H216" t="s">
        <v>2559</v>
      </c>
      <c r="I216" s="5">
        <v>0</v>
      </c>
      <c r="J216" s="5">
        <v>0</v>
      </c>
      <c r="K216" s="5">
        <v>0</v>
      </c>
      <c r="L216" s="3"/>
      <c r="M216" s="3"/>
      <c r="N216" s="3"/>
      <c r="O216" t="s">
        <v>4</v>
      </c>
      <c r="P216" t="s">
        <v>9</v>
      </c>
      <c r="Q216" s="4">
        <v>0</v>
      </c>
      <c r="R216" t="s">
        <v>4</v>
      </c>
      <c r="S216" t="s">
        <v>4</v>
      </c>
      <c r="T216" t="s">
        <v>2256</v>
      </c>
      <c r="U216" t="s">
        <v>4</v>
      </c>
      <c r="V216" s="5">
        <v>0</v>
      </c>
      <c r="W216" s="5">
        <v>0</v>
      </c>
      <c r="X216" s="2">
        <v>0</v>
      </c>
      <c r="Y216" t="s">
        <v>4</v>
      </c>
      <c r="Z216" t="s">
        <v>2351</v>
      </c>
      <c r="AA216" t="s">
        <v>4</v>
      </c>
      <c r="AB216" t="s">
        <v>4</v>
      </c>
    </row>
    <row r="217" spans="1:28" x14ac:dyDescent="0.2">
      <c r="A217" t="s">
        <v>1471</v>
      </c>
      <c r="B217" t="s">
        <v>2</v>
      </c>
      <c r="C217" t="s">
        <v>3</v>
      </c>
      <c r="D217" t="s">
        <v>4</v>
      </c>
      <c r="E217" t="s">
        <v>4</v>
      </c>
      <c r="F217" t="s">
        <v>2331</v>
      </c>
      <c r="G217" t="s">
        <v>6</v>
      </c>
      <c r="H217" t="s">
        <v>2560</v>
      </c>
      <c r="I217" s="2">
        <v>60</v>
      </c>
      <c r="J217" s="2">
        <v>0</v>
      </c>
      <c r="K217" s="2">
        <v>0</v>
      </c>
      <c r="L217" s="3">
        <v>45855</v>
      </c>
      <c r="M217" s="3">
        <v>45855</v>
      </c>
      <c r="N217" s="3"/>
      <c r="O217" t="s">
        <v>2561</v>
      </c>
      <c r="P217" t="s">
        <v>9</v>
      </c>
      <c r="Q217" s="4">
        <v>0.54046296296296004</v>
      </c>
      <c r="R217" t="s">
        <v>2331</v>
      </c>
      <c r="S217" t="s">
        <v>4</v>
      </c>
      <c r="T217" t="s">
        <v>2350</v>
      </c>
      <c r="U217" t="s">
        <v>10</v>
      </c>
      <c r="V217" s="5">
        <v>0</v>
      </c>
      <c r="W217" s="5">
        <v>0</v>
      </c>
      <c r="X217" s="2">
        <v>0</v>
      </c>
      <c r="Y217" t="s">
        <v>4</v>
      </c>
      <c r="Z217" t="s">
        <v>4</v>
      </c>
      <c r="AA217" t="s">
        <v>2351</v>
      </c>
      <c r="AB217" t="s">
        <v>2351</v>
      </c>
    </row>
    <row r="218" spans="1:28" x14ac:dyDescent="0.2">
      <c r="A218" t="s">
        <v>1471</v>
      </c>
      <c r="B218" t="s">
        <v>2</v>
      </c>
      <c r="C218" t="s">
        <v>3</v>
      </c>
      <c r="D218" t="s">
        <v>4</v>
      </c>
      <c r="E218" t="s">
        <v>4</v>
      </c>
      <c r="F218" t="s">
        <v>2331</v>
      </c>
      <c r="G218" t="s">
        <v>6</v>
      </c>
      <c r="H218" t="s">
        <v>2560</v>
      </c>
      <c r="I218" s="2">
        <v>60</v>
      </c>
      <c r="J218" s="2">
        <v>0</v>
      </c>
      <c r="K218" s="2">
        <v>0</v>
      </c>
      <c r="L218" s="3">
        <v>45855</v>
      </c>
      <c r="M218" s="3">
        <v>45855</v>
      </c>
      <c r="N218" s="3"/>
      <c r="O218" t="s">
        <v>2562</v>
      </c>
      <c r="P218" t="s">
        <v>9</v>
      </c>
      <c r="Q218" s="4">
        <v>0.54046296296296004</v>
      </c>
      <c r="R218" t="s">
        <v>2331</v>
      </c>
      <c r="S218" t="s">
        <v>4</v>
      </c>
      <c r="T218" t="s">
        <v>2350</v>
      </c>
      <c r="U218" t="s">
        <v>10</v>
      </c>
      <c r="V218" s="5">
        <v>0</v>
      </c>
      <c r="W218" s="5">
        <v>0</v>
      </c>
      <c r="X218" s="2">
        <v>0</v>
      </c>
      <c r="Y218" t="s">
        <v>4</v>
      </c>
      <c r="Z218" t="s">
        <v>4</v>
      </c>
      <c r="AA218" t="s">
        <v>2351</v>
      </c>
      <c r="AB218" t="s">
        <v>2351</v>
      </c>
    </row>
    <row r="219" spans="1:28" x14ac:dyDescent="0.2">
      <c r="A219" t="s">
        <v>2043</v>
      </c>
      <c r="B219" t="s">
        <v>2</v>
      </c>
      <c r="C219" t="s">
        <v>3</v>
      </c>
      <c r="D219" t="s">
        <v>4</v>
      </c>
      <c r="E219" t="s">
        <v>4</v>
      </c>
      <c r="F219" t="s">
        <v>2331</v>
      </c>
      <c r="G219" t="s">
        <v>6</v>
      </c>
      <c r="H219" t="s">
        <v>2563</v>
      </c>
      <c r="I219" s="2">
        <v>108</v>
      </c>
      <c r="J219" s="2">
        <v>0</v>
      </c>
      <c r="K219" s="2">
        <v>0</v>
      </c>
      <c r="L219" s="3">
        <v>45854</v>
      </c>
      <c r="M219" s="3">
        <v>45854</v>
      </c>
      <c r="N219" s="3"/>
      <c r="O219" t="s">
        <v>2564</v>
      </c>
      <c r="P219" t="s">
        <v>9</v>
      </c>
      <c r="Q219" s="4">
        <v>0.33354166666667001</v>
      </c>
      <c r="R219" t="s">
        <v>2331</v>
      </c>
      <c r="S219" t="s">
        <v>4</v>
      </c>
      <c r="T219" t="s">
        <v>2299</v>
      </c>
      <c r="U219" t="s">
        <v>10</v>
      </c>
      <c r="V219" s="5">
        <v>0</v>
      </c>
      <c r="W219" s="5">
        <v>0</v>
      </c>
      <c r="X219" s="2">
        <v>0</v>
      </c>
      <c r="Y219" t="s">
        <v>4</v>
      </c>
      <c r="Z219" t="s">
        <v>4</v>
      </c>
      <c r="AA219" t="s">
        <v>4</v>
      </c>
      <c r="AB219" t="s">
        <v>4</v>
      </c>
    </row>
    <row r="220" spans="1:28" x14ac:dyDescent="0.2">
      <c r="A220" t="s">
        <v>2043</v>
      </c>
      <c r="B220" t="s">
        <v>2</v>
      </c>
      <c r="C220" t="s">
        <v>3</v>
      </c>
      <c r="D220" t="s">
        <v>4</v>
      </c>
      <c r="E220" t="s">
        <v>4</v>
      </c>
      <c r="F220" t="s">
        <v>2331</v>
      </c>
      <c r="G220" t="s">
        <v>6</v>
      </c>
      <c r="H220" t="s">
        <v>2563</v>
      </c>
      <c r="I220" s="2">
        <v>108</v>
      </c>
      <c r="J220" s="2">
        <v>0</v>
      </c>
      <c r="K220" s="2">
        <v>0</v>
      </c>
      <c r="L220" s="3">
        <v>45854</v>
      </c>
      <c r="M220" s="3">
        <v>45854</v>
      </c>
      <c r="N220" s="3"/>
      <c r="O220" t="s">
        <v>2565</v>
      </c>
      <c r="P220" t="s">
        <v>9</v>
      </c>
      <c r="Q220" s="4">
        <v>0.33354166666667001</v>
      </c>
      <c r="R220" t="s">
        <v>2331</v>
      </c>
      <c r="S220" t="s">
        <v>4</v>
      </c>
      <c r="T220" t="s">
        <v>2299</v>
      </c>
      <c r="U220" t="s">
        <v>10</v>
      </c>
      <c r="V220" s="5">
        <v>0</v>
      </c>
      <c r="W220" s="5">
        <v>0</v>
      </c>
      <c r="X220" s="2">
        <v>0</v>
      </c>
      <c r="Y220" t="s">
        <v>4</v>
      </c>
      <c r="Z220" t="s">
        <v>4</v>
      </c>
      <c r="AA220" t="s">
        <v>4</v>
      </c>
      <c r="AB220" t="s">
        <v>4</v>
      </c>
    </row>
    <row r="221" spans="1:28" x14ac:dyDescent="0.2">
      <c r="A221" t="s">
        <v>1466</v>
      </c>
      <c r="B221" t="s">
        <v>2</v>
      </c>
      <c r="C221" t="s">
        <v>3</v>
      </c>
      <c r="D221" t="s">
        <v>4</v>
      </c>
      <c r="E221" t="s">
        <v>4</v>
      </c>
      <c r="F221" t="s">
        <v>2331</v>
      </c>
      <c r="G221" t="s">
        <v>6</v>
      </c>
      <c r="H221" t="s">
        <v>2566</v>
      </c>
      <c r="I221" s="2">
        <v>60</v>
      </c>
      <c r="J221" s="2">
        <v>0</v>
      </c>
      <c r="K221" s="2">
        <v>0</v>
      </c>
      <c r="L221" s="3">
        <v>45855</v>
      </c>
      <c r="M221" s="3">
        <v>45855</v>
      </c>
      <c r="N221" s="3"/>
      <c r="O221" t="s">
        <v>2567</v>
      </c>
      <c r="P221" t="s">
        <v>9</v>
      </c>
      <c r="Q221" s="4">
        <v>0.51877314814815001</v>
      </c>
      <c r="R221" t="s">
        <v>2331</v>
      </c>
      <c r="S221" t="s">
        <v>4</v>
      </c>
      <c r="T221" t="s">
        <v>2350</v>
      </c>
      <c r="U221" t="s">
        <v>10</v>
      </c>
      <c r="V221" s="5">
        <v>0</v>
      </c>
      <c r="W221" s="5">
        <v>0</v>
      </c>
      <c r="X221" s="2">
        <v>0</v>
      </c>
      <c r="Y221" t="s">
        <v>4</v>
      </c>
      <c r="Z221" t="s">
        <v>4</v>
      </c>
      <c r="AA221" t="s">
        <v>4</v>
      </c>
      <c r="AB221" t="s">
        <v>4</v>
      </c>
    </row>
    <row r="222" spans="1:28" x14ac:dyDescent="0.2">
      <c r="A222" t="s">
        <v>1466</v>
      </c>
      <c r="B222" t="s">
        <v>2</v>
      </c>
      <c r="C222" t="s">
        <v>3</v>
      </c>
      <c r="D222" t="s">
        <v>4</v>
      </c>
      <c r="E222" t="s">
        <v>4</v>
      </c>
      <c r="F222" t="s">
        <v>2331</v>
      </c>
      <c r="G222" t="s">
        <v>6</v>
      </c>
      <c r="H222" t="s">
        <v>2566</v>
      </c>
      <c r="I222" s="2">
        <v>60</v>
      </c>
      <c r="J222" s="2">
        <v>0</v>
      </c>
      <c r="K222" s="2">
        <v>0</v>
      </c>
      <c r="L222" s="3">
        <v>45855</v>
      </c>
      <c r="M222" s="3">
        <v>45855</v>
      </c>
      <c r="N222" s="3"/>
      <c r="O222" t="s">
        <v>2568</v>
      </c>
      <c r="P222" t="s">
        <v>9</v>
      </c>
      <c r="Q222" s="4">
        <v>0.51877314814815001</v>
      </c>
      <c r="R222" t="s">
        <v>2331</v>
      </c>
      <c r="S222" t="s">
        <v>4</v>
      </c>
      <c r="T222" t="s">
        <v>2350</v>
      </c>
      <c r="U222" t="s">
        <v>10</v>
      </c>
      <c r="V222" s="5">
        <v>0</v>
      </c>
      <c r="W222" s="5">
        <v>0</v>
      </c>
      <c r="X222" s="2">
        <v>0</v>
      </c>
      <c r="Y222" t="s">
        <v>4</v>
      </c>
      <c r="Z222" t="s">
        <v>4</v>
      </c>
      <c r="AA222" t="s">
        <v>4</v>
      </c>
      <c r="AB222" t="s">
        <v>4</v>
      </c>
    </row>
    <row r="223" spans="1:28" x14ac:dyDescent="0.2">
      <c r="A223" t="s">
        <v>1466</v>
      </c>
      <c r="B223" t="s">
        <v>2</v>
      </c>
      <c r="C223" t="s">
        <v>3</v>
      </c>
      <c r="D223" t="s">
        <v>4</v>
      </c>
      <c r="E223" t="s">
        <v>4</v>
      </c>
      <c r="F223" t="s">
        <v>2331</v>
      </c>
      <c r="G223" t="s">
        <v>6</v>
      </c>
      <c r="H223" t="s">
        <v>2569</v>
      </c>
      <c r="I223" s="2">
        <v>60</v>
      </c>
      <c r="J223" s="2">
        <v>0</v>
      </c>
      <c r="K223" s="2">
        <v>0</v>
      </c>
      <c r="L223" s="3">
        <v>45855</v>
      </c>
      <c r="M223" s="3">
        <v>45855</v>
      </c>
      <c r="N223" s="3"/>
      <c r="O223" t="s">
        <v>2570</v>
      </c>
      <c r="P223" t="s">
        <v>9</v>
      </c>
      <c r="Q223" s="4">
        <v>0.45714120370369998</v>
      </c>
      <c r="R223" t="s">
        <v>2331</v>
      </c>
      <c r="S223" t="s">
        <v>4</v>
      </c>
      <c r="T223" t="s">
        <v>2350</v>
      </c>
      <c r="U223" t="s">
        <v>10</v>
      </c>
      <c r="V223" s="5">
        <v>0</v>
      </c>
      <c r="W223" s="5">
        <v>0</v>
      </c>
      <c r="X223" s="2">
        <v>0</v>
      </c>
      <c r="Y223" t="s">
        <v>4</v>
      </c>
      <c r="Z223" t="s">
        <v>4</v>
      </c>
      <c r="AA223" t="s">
        <v>4</v>
      </c>
      <c r="AB223" t="s">
        <v>4</v>
      </c>
    </row>
    <row r="224" spans="1:28" x14ac:dyDescent="0.2">
      <c r="A224" t="s">
        <v>1466</v>
      </c>
      <c r="B224" t="s">
        <v>2</v>
      </c>
      <c r="C224" t="s">
        <v>3</v>
      </c>
      <c r="D224" t="s">
        <v>4</v>
      </c>
      <c r="E224" t="s">
        <v>4</v>
      </c>
      <c r="F224" t="s">
        <v>2331</v>
      </c>
      <c r="G224" t="s">
        <v>6</v>
      </c>
      <c r="H224" t="s">
        <v>2569</v>
      </c>
      <c r="I224" s="2">
        <v>60</v>
      </c>
      <c r="J224" s="2">
        <v>0</v>
      </c>
      <c r="K224" s="2">
        <v>0</v>
      </c>
      <c r="L224" s="3">
        <v>45855</v>
      </c>
      <c r="M224" s="3">
        <v>45855</v>
      </c>
      <c r="N224" s="3"/>
      <c r="O224" t="s">
        <v>2571</v>
      </c>
      <c r="P224" t="s">
        <v>9</v>
      </c>
      <c r="Q224" s="4">
        <v>0.45714120370369998</v>
      </c>
      <c r="R224" t="s">
        <v>2331</v>
      </c>
      <c r="S224" t="s">
        <v>4</v>
      </c>
      <c r="T224" t="s">
        <v>2350</v>
      </c>
      <c r="U224" t="s">
        <v>10</v>
      </c>
      <c r="V224" s="5">
        <v>0</v>
      </c>
      <c r="W224" s="5">
        <v>0</v>
      </c>
      <c r="X224" s="2">
        <v>0</v>
      </c>
      <c r="Y224" t="s">
        <v>4</v>
      </c>
      <c r="Z224" t="s">
        <v>4</v>
      </c>
      <c r="AA224" t="s">
        <v>4</v>
      </c>
      <c r="AB224" t="s">
        <v>4</v>
      </c>
    </row>
    <row r="225" spans="1:28" x14ac:dyDescent="0.2">
      <c r="A225" t="s">
        <v>1471</v>
      </c>
      <c r="B225" t="s">
        <v>2</v>
      </c>
      <c r="C225" t="s">
        <v>3</v>
      </c>
      <c r="D225" t="s">
        <v>4</v>
      </c>
      <c r="E225" t="s">
        <v>4</v>
      </c>
      <c r="F225" t="s">
        <v>2331</v>
      </c>
      <c r="G225" t="s">
        <v>6</v>
      </c>
      <c r="H225" t="s">
        <v>2572</v>
      </c>
      <c r="I225" s="2">
        <v>60</v>
      </c>
      <c r="J225" s="2">
        <v>0</v>
      </c>
      <c r="K225" s="2">
        <v>0</v>
      </c>
      <c r="L225" s="3">
        <v>45855</v>
      </c>
      <c r="M225" s="3">
        <v>45855</v>
      </c>
      <c r="N225" s="3"/>
      <c r="O225" t="s">
        <v>2573</v>
      </c>
      <c r="P225" t="s">
        <v>9</v>
      </c>
      <c r="Q225" s="4">
        <v>0.51564814814814997</v>
      </c>
      <c r="R225" t="s">
        <v>2331</v>
      </c>
      <c r="S225" t="s">
        <v>4</v>
      </c>
      <c r="T225" t="s">
        <v>2350</v>
      </c>
      <c r="U225" t="s">
        <v>10</v>
      </c>
      <c r="V225" s="5">
        <v>0</v>
      </c>
      <c r="W225" s="5">
        <v>0</v>
      </c>
      <c r="X225" s="2">
        <v>0</v>
      </c>
      <c r="Y225" t="s">
        <v>4</v>
      </c>
      <c r="Z225" t="s">
        <v>4</v>
      </c>
      <c r="AA225" t="s">
        <v>2351</v>
      </c>
      <c r="AB225" t="s">
        <v>2351</v>
      </c>
    </row>
    <row r="226" spans="1:28" x14ac:dyDescent="0.2">
      <c r="A226" t="s">
        <v>1471</v>
      </c>
      <c r="B226" t="s">
        <v>2</v>
      </c>
      <c r="C226" t="s">
        <v>3</v>
      </c>
      <c r="D226" t="s">
        <v>4</v>
      </c>
      <c r="E226" t="s">
        <v>4</v>
      </c>
      <c r="F226" t="s">
        <v>2331</v>
      </c>
      <c r="G226" t="s">
        <v>6</v>
      </c>
      <c r="H226" t="s">
        <v>2572</v>
      </c>
      <c r="I226" s="2">
        <v>60</v>
      </c>
      <c r="J226" s="2">
        <v>0</v>
      </c>
      <c r="K226" s="2">
        <v>0</v>
      </c>
      <c r="L226" s="3">
        <v>45855</v>
      </c>
      <c r="M226" s="3">
        <v>45855</v>
      </c>
      <c r="N226" s="3"/>
      <c r="O226" t="s">
        <v>2574</v>
      </c>
      <c r="P226" t="s">
        <v>9</v>
      </c>
      <c r="Q226" s="4">
        <v>0.51564814814814997</v>
      </c>
      <c r="R226" t="s">
        <v>2331</v>
      </c>
      <c r="S226" t="s">
        <v>4</v>
      </c>
      <c r="T226" t="s">
        <v>2350</v>
      </c>
      <c r="U226" t="s">
        <v>10</v>
      </c>
      <c r="V226" s="5">
        <v>0</v>
      </c>
      <c r="W226" s="5">
        <v>0</v>
      </c>
      <c r="X226" s="2">
        <v>0</v>
      </c>
      <c r="Y226" t="s">
        <v>4</v>
      </c>
      <c r="Z226" t="s">
        <v>4</v>
      </c>
      <c r="AA226" t="s">
        <v>2351</v>
      </c>
      <c r="AB226" t="s">
        <v>2351</v>
      </c>
    </row>
    <row r="227" spans="1:28" x14ac:dyDescent="0.2">
      <c r="A227" t="s">
        <v>702</v>
      </c>
      <c r="B227" t="s">
        <v>2</v>
      </c>
      <c r="C227" t="s">
        <v>3</v>
      </c>
      <c r="D227" t="s">
        <v>4</v>
      </c>
      <c r="E227" t="s">
        <v>4</v>
      </c>
      <c r="F227" t="s">
        <v>2331</v>
      </c>
      <c r="G227" t="s">
        <v>6</v>
      </c>
      <c r="H227" t="s">
        <v>2575</v>
      </c>
      <c r="I227" s="2">
        <v>70</v>
      </c>
      <c r="J227" s="2">
        <v>0</v>
      </c>
      <c r="K227" s="2">
        <v>0</v>
      </c>
      <c r="L227" s="3">
        <v>45855</v>
      </c>
      <c r="M227" s="3">
        <v>45855</v>
      </c>
      <c r="N227" s="3"/>
      <c r="O227" t="s">
        <v>2576</v>
      </c>
      <c r="P227" t="s">
        <v>9</v>
      </c>
      <c r="Q227" s="4">
        <v>0.45359953703703998</v>
      </c>
      <c r="R227" t="s">
        <v>2331</v>
      </c>
      <c r="S227" t="s">
        <v>4</v>
      </c>
      <c r="T227" t="s">
        <v>2350</v>
      </c>
      <c r="U227" t="s">
        <v>10</v>
      </c>
      <c r="V227" s="5">
        <v>0</v>
      </c>
      <c r="W227" s="5">
        <v>0</v>
      </c>
      <c r="X227" s="2">
        <v>0</v>
      </c>
      <c r="Y227" t="s">
        <v>4</v>
      </c>
      <c r="Z227" t="s">
        <v>4</v>
      </c>
      <c r="AA227" t="s">
        <v>4</v>
      </c>
      <c r="AB227" t="s">
        <v>4</v>
      </c>
    </row>
    <row r="228" spans="1:28" x14ac:dyDescent="0.2">
      <c r="A228" t="s">
        <v>702</v>
      </c>
      <c r="B228" t="s">
        <v>2</v>
      </c>
      <c r="C228" t="s">
        <v>3</v>
      </c>
      <c r="D228" t="s">
        <v>4</v>
      </c>
      <c r="E228" t="s">
        <v>4</v>
      </c>
      <c r="F228" t="s">
        <v>2331</v>
      </c>
      <c r="G228" t="s">
        <v>6</v>
      </c>
      <c r="H228" t="s">
        <v>2575</v>
      </c>
      <c r="I228" s="2">
        <v>70</v>
      </c>
      <c r="J228" s="2">
        <v>0</v>
      </c>
      <c r="K228" s="2">
        <v>0</v>
      </c>
      <c r="L228" s="3">
        <v>45855</v>
      </c>
      <c r="M228" s="3">
        <v>45855</v>
      </c>
      <c r="N228" s="3"/>
      <c r="O228" t="s">
        <v>2577</v>
      </c>
      <c r="P228" t="s">
        <v>9</v>
      </c>
      <c r="Q228" s="4">
        <v>0.45359953703703998</v>
      </c>
      <c r="R228" t="s">
        <v>2331</v>
      </c>
      <c r="S228" t="s">
        <v>4</v>
      </c>
      <c r="T228" t="s">
        <v>2350</v>
      </c>
      <c r="U228" t="s">
        <v>10</v>
      </c>
      <c r="V228" s="5">
        <v>0</v>
      </c>
      <c r="W228" s="5">
        <v>0</v>
      </c>
      <c r="X228" s="2">
        <v>0</v>
      </c>
      <c r="Y228" t="s">
        <v>4</v>
      </c>
      <c r="Z228" t="s">
        <v>4</v>
      </c>
      <c r="AA228" t="s">
        <v>4</v>
      </c>
      <c r="AB228" t="s">
        <v>4</v>
      </c>
    </row>
    <row r="229" spans="1:28" x14ac:dyDescent="0.2">
      <c r="A229" t="s">
        <v>2039</v>
      </c>
      <c r="B229" t="s">
        <v>2</v>
      </c>
      <c r="C229" t="s">
        <v>3</v>
      </c>
      <c r="D229" t="s">
        <v>4</v>
      </c>
      <c r="E229" t="s">
        <v>4</v>
      </c>
      <c r="F229" t="s">
        <v>2331</v>
      </c>
      <c r="G229" t="s">
        <v>6</v>
      </c>
      <c r="H229" t="s">
        <v>2578</v>
      </c>
      <c r="I229" s="2">
        <v>108</v>
      </c>
      <c r="J229" s="2">
        <v>0</v>
      </c>
      <c r="K229" s="2">
        <v>0</v>
      </c>
      <c r="L229" s="3">
        <v>45848</v>
      </c>
      <c r="M229" s="3">
        <v>45848</v>
      </c>
      <c r="N229" s="3"/>
      <c r="O229" t="s">
        <v>2579</v>
      </c>
      <c r="P229" t="s">
        <v>9</v>
      </c>
      <c r="Q229" s="4">
        <v>0.73810185185184995</v>
      </c>
      <c r="R229" t="s">
        <v>2331</v>
      </c>
      <c r="S229" t="s">
        <v>4</v>
      </c>
      <c r="T229" t="s">
        <v>2580</v>
      </c>
      <c r="U229" t="s">
        <v>10</v>
      </c>
      <c r="V229" s="5">
        <v>0</v>
      </c>
      <c r="W229" s="5">
        <v>0</v>
      </c>
      <c r="X229" s="2">
        <v>0</v>
      </c>
      <c r="Y229" t="s">
        <v>4</v>
      </c>
      <c r="Z229" t="s">
        <v>4</v>
      </c>
      <c r="AA229" t="s">
        <v>4</v>
      </c>
      <c r="AB229" t="s">
        <v>4</v>
      </c>
    </row>
    <row r="230" spans="1:28" x14ac:dyDescent="0.2">
      <c r="A230" t="s">
        <v>2039</v>
      </c>
      <c r="B230" t="s">
        <v>2</v>
      </c>
      <c r="C230" t="s">
        <v>3</v>
      </c>
      <c r="D230" t="s">
        <v>4</v>
      </c>
      <c r="E230" t="s">
        <v>4</v>
      </c>
      <c r="F230" t="s">
        <v>2331</v>
      </c>
      <c r="G230" t="s">
        <v>6</v>
      </c>
      <c r="H230" t="s">
        <v>2578</v>
      </c>
      <c r="I230" s="2">
        <v>108</v>
      </c>
      <c r="J230" s="2">
        <v>0</v>
      </c>
      <c r="K230" s="2">
        <v>0</v>
      </c>
      <c r="L230" s="3">
        <v>45848</v>
      </c>
      <c r="M230" s="3">
        <v>45848</v>
      </c>
      <c r="N230" s="3"/>
      <c r="O230" t="s">
        <v>2581</v>
      </c>
      <c r="P230" t="s">
        <v>9</v>
      </c>
      <c r="Q230" s="4">
        <v>0.73810185185184995</v>
      </c>
      <c r="R230" t="s">
        <v>2331</v>
      </c>
      <c r="S230" t="s">
        <v>4</v>
      </c>
      <c r="T230" t="s">
        <v>2580</v>
      </c>
      <c r="U230" t="s">
        <v>10</v>
      </c>
      <c r="V230" s="5">
        <v>0</v>
      </c>
      <c r="W230" s="5">
        <v>0</v>
      </c>
      <c r="X230" s="2">
        <v>0</v>
      </c>
      <c r="Y230" t="s">
        <v>4</v>
      </c>
      <c r="Z230" t="s">
        <v>4</v>
      </c>
      <c r="AA230" t="s">
        <v>4</v>
      </c>
      <c r="AB230" t="s">
        <v>4</v>
      </c>
    </row>
    <row r="231" spans="1:28" x14ac:dyDescent="0.2">
      <c r="A231" t="s">
        <v>1466</v>
      </c>
      <c r="B231" t="s">
        <v>2</v>
      </c>
      <c r="C231" t="s">
        <v>3</v>
      </c>
      <c r="D231" t="s">
        <v>4</v>
      </c>
      <c r="E231" t="s">
        <v>4</v>
      </c>
      <c r="F231" t="s">
        <v>2331</v>
      </c>
      <c r="G231" t="s">
        <v>6</v>
      </c>
      <c r="H231" t="s">
        <v>2582</v>
      </c>
      <c r="I231" s="2">
        <v>60</v>
      </c>
      <c r="J231" s="2">
        <v>0</v>
      </c>
      <c r="K231" s="2">
        <v>0</v>
      </c>
      <c r="L231" s="3">
        <v>45849</v>
      </c>
      <c r="M231" s="3">
        <v>45849</v>
      </c>
      <c r="N231" s="3"/>
      <c r="O231" t="s">
        <v>2583</v>
      </c>
      <c r="P231" t="s">
        <v>9</v>
      </c>
      <c r="Q231" s="4">
        <v>0.35005787037037001</v>
      </c>
      <c r="R231" t="s">
        <v>2331</v>
      </c>
      <c r="S231" t="s">
        <v>4</v>
      </c>
      <c r="T231" t="s">
        <v>2321</v>
      </c>
      <c r="U231" t="s">
        <v>10</v>
      </c>
      <c r="V231" s="5">
        <v>0</v>
      </c>
      <c r="W231" s="5">
        <v>0</v>
      </c>
      <c r="X231" s="2">
        <v>0</v>
      </c>
      <c r="Y231" t="s">
        <v>4</v>
      </c>
      <c r="Z231" t="s">
        <v>4</v>
      </c>
      <c r="AA231" t="s">
        <v>4</v>
      </c>
      <c r="AB231" t="s">
        <v>4</v>
      </c>
    </row>
    <row r="232" spans="1:28" x14ac:dyDescent="0.2">
      <c r="A232" t="s">
        <v>1466</v>
      </c>
      <c r="B232" t="s">
        <v>2</v>
      </c>
      <c r="C232" t="s">
        <v>3</v>
      </c>
      <c r="D232" t="s">
        <v>4</v>
      </c>
      <c r="E232" t="s">
        <v>4</v>
      </c>
      <c r="F232" t="s">
        <v>2331</v>
      </c>
      <c r="G232" t="s">
        <v>6</v>
      </c>
      <c r="H232" t="s">
        <v>2582</v>
      </c>
      <c r="I232" s="2">
        <v>60</v>
      </c>
      <c r="J232" s="2">
        <v>0</v>
      </c>
      <c r="K232" s="2">
        <v>0</v>
      </c>
      <c r="L232" s="3">
        <v>45849</v>
      </c>
      <c r="M232" s="3">
        <v>45849</v>
      </c>
      <c r="N232" s="3"/>
      <c r="O232" t="s">
        <v>2584</v>
      </c>
      <c r="P232" t="s">
        <v>9</v>
      </c>
      <c r="Q232" s="4">
        <v>0.35005787037037001</v>
      </c>
      <c r="R232" t="s">
        <v>2331</v>
      </c>
      <c r="S232" t="s">
        <v>4</v>
      </c>
      <c r="T232" t="s">
        <v>2321</v>
      </c>
      <c r="U232" t="s">
        <v>10</v>
      </c>
      <c r="V232" s="5">
        <v>0</v>
      </c>
      <c r="W232" s="5">
        <v>0</v>
      </c>
      <c r="X232" s="2">
        <v>0</v>
      </c>
      <c r="Y232" t="s">
        <v>4</v>
      </c>
      <c r="Z232" t="s">
        <v>4</v>
      </c>
      <c r="AA232" t="s">
        <v>4</v>
      </c>
      <c r="AB232" t="s">
        <v>4</v>
      </c>
    </row>
    <row r="233" spans="1:28" x14ac:dyDescent="0.2">
      <c r="A233" t="s">
        <v>2043</v>
      </c>
      <c r="B233" t="s">
        <v>2</v>
      </c>
      <c r="C233" t="s">
        <v>3</v>
      </c>
      <c r="D233" t="s">
        <v>4</v>
      </c>
      <c r="E233" t="s">
        <v>4</v>
      </c>
      <c r="F233" t="s">
        <v>2331</v>
      </c>
      <c r="G233" t="s">
        <v>6</v>
      </c>
      <c r="H233" t="s">
        <v>2585</v>
      </c>
      <c r="I233" s="2">
        <v>108</v>
      </c>
      <c r="J233" s="2">
        <v>0</v>
      </c>
      <c r="K233" s="2">
        <v>0</v>
      </c>
      <c r="L233" s="3">
        <v>45857</v>
      </c>
      <c r="M233" s="3">
        <v>45857</v>
      </c>
      <c r="N233" s="3"/>
      <c r="O233" t="s">
        <v>2586</v>
      </c>
      <c r="P233" t="s">
        <v>9</v>
      </c>
      <c r="Q233" s="4">
        <v>0.64344907407407004</v>
      </c>
      <c r="R233" t="s">
        <v>2331</v>
      </c>
      <c r="S233" t="s">
        <v>4</v>
      </c>
      <c r="T233" t="s">
        <v>2262</v>
      </c>
      <c r="U233" t="s">
        <v>10</v>
      </c>
      <c r="V233" s="5">
        <v>0</v>
      </c>
      <c r="W233" s="5">
        <v>0</v>
      </c>
      <c r="X233" s="2">
        <v>0</v>
      </c>
      <c r="Y233" t="s">
        <v>4</v>
      </c>
      <c r="Z233" t="s">
        <v>4</v>
      </c>
      <c r="AA233" t="s">
        <v>4</v>
      </c>
      <c r="AB233" t="s">
        <v>4</v>
      </c>
    </row>
    <row r="234" spans="1:28" x14ac:dyDescent="0.2">
      <c r="A234" t="s">
        <v>2043</v>
      </c>
      <c r="B234" t="s">
        <v>2</v>
      </c>
      <c r="C234" t="s">
        <v>3</v>
      </c>
      <c r="D234" t="s">
        <v>4</v>
      </c>
      <c r="E234" t="s">
        <v>4</v>
      </c>
      <c r="F234" t="s">
        <v>2331</v>
      </c>
      <c r="G234" t="s">
        <v>6</v>
      </c>
      <c r="H234" t="s">
        <v>2585</v>
      </c>
      <c r="I234" s="2">
        <v>108</v>
      </c>
      <c r="J234" s="2">
        <v>0</v>
      </c>
      <c r="K234" s="2">
        <v>0</v>
      </c>
      <c r="L234" s="3">
        <v>45857</v>
      </c>
      <c r="M234" s="3">
        <v>45857</v>
      </c>
      <c r="N234" s="3"/>
      <c r="O234" t="s">
        <v>2587</v>
      </c>
      <c r="P234" t="s">
        <v>9</v>
      </c>
      <c r="Q234" s="4">
        <v>0.64344907407407004</v>
      </c>
      <c r="R234" t="s">
        <v>2331</v>
      </c>
      <c r="S234" t="s">
        <v>4</v>
      </c>
      <c r="T234" t="s">
        <v>2262</v>
      </c>
      <c r="U234" t="s">
        <v>10</v>
      </c>
      <c r="V234" s="5">
        <v>0</v>
      </c>
      <c r="W234" s="5">
        <v>0</v>
      </c>
      <c r="X234" s="2">
        <v>0</v>
      </c>
      <c r="Y234" t="s">
        <v>4</v>
      </c>
      <c r="Z234" t="s">
        <v>4</v>
      </c>
      <c r="AA234" t="s">
        <v>4</v>
      </c>
      <c r="AB234" t="s">
        <v>4</v>
      </c>
    </row>
    <row r="235" spans="1:28" x14ac:dyDescent="0.2">
      <c r="A235" t="s">
        <v>1471</v>
      </c>
      <c r="B235" t="s">
        <v>2</v>
      </c>
      <c r="C235" t="s">
        <v>3</v>
      </c>
      <c r="D235" t="s">
        <v>4</v>
      </c>
      <c r="E235" t="s">
        <v>4</v>
      </c>
      <c r="F235" t="s">
        <v>2331</v>
      </c>
      <c r="G235" t="s">
        <v>6</v>
      </c>
      <c r="H235" t="s">
        <v>2588</v>
      </c>
      <c r="I235" s="2">
        <v>60</v>
      </c>
      <c r="J235" s="2">
        <v>0</v>
      </c>
      <c r="K235" s="2">
        <v>0</v>
      </c>
      <c r="L235" s="3">
        <v>45857</v>
      </c>
      <c r="M235" s="3">
        <v>45857</v>
      </c>
      <c r="N235" s="3"/>
      <c r="O235" t="s">
        <v>2589</v>
      </c>
      <c r="P235" t="s">
        <v>9</v>
      </c>
      <c r="Q235" s="4">
        <v>0.63486111111110999</v>
      </c>
      <c r="R235" t="s">
        <v>2331</v>
      </c>
      <c r="S235" t="s">
        <v>4</v>
      </c>
      <c r="T235" t="s">
        <v>2262</v>
      </c>
      <c r="U235" t="s">
        <v>10</v>
      </c>
      <c r="V235" s="5">
        <v>0</v>
      </c>
      <c r="W235" s="5">
        <v>0</v>
      </c>
      <c r="X235" s="2">
        <v>0</v>
      </c>
      <c r="Y235" t="s">
        <v>4</v>
      </c>
      <c r="Z235" t="s">
        <v>4</v>
      </c>
      <c r="AA235" t="s">
        <v>4</v>
      </c>
      <c r="AB235" t="s">
        <v>4</v>
      </c>
    </row>
    <row r="236" spans="1:28" x14ac:dyDescent="0.2">
      <c r="A236" t="s">
        <v>1471</v>
      </c>
      <c r="B236" t="s">
        <v>2</v>
      </c>
      <c r="C236" t="s">
        <v>3</v>
      </c>
      <c r="D236" t="s">
        <v>4</v>
      </c>
      <c r="E236" t="s">
        <v>4</v>
      </c>
      <c r="F236" t="s">
        <v>2331</v>
      </c>
      <c r="G236" t="s">
        <v>6</v>
      </c>
      <c r="H236" t="s">
        <v>2588</v>
      </c>
      <c r="I236" s="2">
        <v>60</v>
      </c>
      <c r="J236" s="2">
        <v>0</v>
      </c>
      <c r="K236" s="2">
        <v>0</v>
      </c>
      <c r="L236" s="3">
        <v>45857</v>
      </c>
      <c r="M236" s="3">
        <v>45857</v>
      </c>
      <c r="N236" s="3"/>
      <c r="O236" t="s">
        <v>2590</v>
      </c>
      <c r="P236" t="s">
        <v>9</v>
      </c>
      <c r="Q236" s="4">
        <v>0.63486111111110999</v>
      </c>
      <c r="R236" t="s">
        <v>2331</v>
      </c>
      <c r="S236" t="s">
        <v>4</v>
      </c>
      <c r="T236" t="s">
        <v>2262</v>
      </c>
      <c r="U236" t="s">
        <v>10</v>
      </c>
      <c r="V236" s="5">
        <v>0</v>
      </c>
      <c r="W236" s="5">
        <v>0</v>
      </c>
      <c r="X236" s="2">
        <v>0</v>
      </c>
      <c r="Y236" t="s">
        <v>4</v>
      </c>
      <c r="Z236" t="s">
        <v>4</v>
      </c>
      <c r="AA236" t="s">
        <v>4</v>
      </c>
      <c r="AB236" t="s">
        <v>4</v>
      </c>
    </row>
    <row r="237" spans="1:28" x14ac:dyDescent="0.2">
      <c r="A237" t="s">
        <v>1471</v>
      </c>
      <c r="B237" t="s">
        <v>2</v>
      </c>
      <c r="C237" t="s">
        <v>3</v>
      </c>
      <c r="D237" t="s">
        <v>4</v>
      </c>
      <c r="E237" t="s">
        <v>4</v>
      </c>
      <c r="F237" t="s">
        <v>2331</v>
      </c>
      <c r="G237" t="s">
        <v>6</v>
      </c>
      <c r="H237" t="s">
        <v>2591</v>
      </c>
      <c r="I237" s="2">
        <v>60</v>
      </c>
      <c r="J237" s="2">
        <v>0</v>
      </c>
      <c r="K237" s="2">
        <v>0</v>
      </c>
      <c r="L237" s="3">
        <v>45857</v>
      </c>
      <c r="M237" s="3">
        <v>45857</v>
      </c>
      <c r="N237" s="3"/>
      <c r="O237" t="s">
        <v>2592</v>
      </c>
      <c r="P237" t="s">
        <v>9</v>
      </c>
      <c r="Q237" s="4">
        <v>0.63920138888889</v>
      </c>
      <c r="R237" t="s">
        <v>2331</v>
      </c>
      <c r="S237" t="s">
        <v>4</v>
      </c>
      <c r="T237" t="s">
        <v>2262</v>
      </c>
      <c r="U237" t="s">
        <v>10</v>
      </c>
      <c r="V237" s="5">
        <v>0</v>
      </c>
      <c r="W237" s="5">
        <v>0</v>
      </c>
      <c r="X237" s="2">
        <v>0</v>
      </c>
      <c r="Y237" t="s">
        <v>4</v>
      </c>
      <c r="Z237" t="s">
        <v>4</v>
      </c>
      <c r="AA237" t="s">
        <v>4</v>
      </c>
      <c r="AB237" t="s">
        <v>4</v>
      </c>
    </row>
    <row r="238" spans="1:28" x14ac:dyDescent="0.2">
      <c r="A238" t="s">
        <v>1471</v>
      </c>
      <c r="B238" t="s">
        <v>2</v>
      </c>
      <c r="C238" t="s">
        <v>3</v>
      </c>
      <c r="D238" t="s">
        <v>4</v>
      </c>
      <c r="E238" t="s">
        <v>4</v>
      </c>
      <c r="F238" t="s">
        <v>2331</v>
      </c>
      <c r="G238" t="s">
        <v>6</v>
      </c>
      <c r="H238" t="s">
        <v>2591</v>
      </c>
      <c r="I238" s="2">
        <v>60</v>
      </c>
      <c r="J238" s="2">
        <v>0</v>
      </c>
      <c r="K238" s="2">
        <v>0</v>
      </c>
      <c r="L238" s="3">
        <v>45857</v>
      </c>
      <c r="M238" s="3">
        <v>45857</v>
      </c>
      <c r="N238" s="3"/>
      <c r="O238" t="s">
        <v>2593</v>
      </c>
      <c r="P238" t="s">
        <v>9</v>
      </c>
      <c r="Q238" s="4">
        <v>0.63920138888889</v>
      </c>
      <c r="R238" t="s">
        <v>2331</v>
      </c>
      <c r="S238" t="s">
        <v>4</v>
      </c>
      <c r="T238" t="s">
        <v>2262</v>
      </c>
      <c r="U238" t="s">
        <v>10</v>
      </c>
      <c r="V238" s="5">
        <v>0</v>
      </c>
      <c r="W238" s="5">
        <v>0</v>
      </c>
      <c r="X238" s="2">
        <v>0</v>
      </c>
      <c r="Y238" t="s">
        <v>4</v>
      </c>
      <c r="Z238" t="s">
        <v>4</v>
      </c>
      <c r="AA238" t="s">
        <v>4</v>
      </c>
      <c r="AB238" t="s">
        <v>4</v>
      </c>
    </row>
    <row r="239" spans="1:28" x14ac:dyDescent="0.2">
      <c r="A239" t="s">
        <v>1466</v>
      </c>
      <c r="B239" t="s">
        <v>2</v>
      </c>
      <c r="C239" t="s">
        <v>3</v>
      </c>
      <c r="D239" t="s">
        <v>4</v>
      </c>
      <c r="E239" t="s">
        <v>4</v>
      </c>
      <c r="F239" t="s">
        <v>2331</v>
      </c>
      <c r="G239" t="s">
        <v>6</v>
      </c>
      <c r="H239" t="s">
        <v>2594</v>
      </c>
      <c r="I239" s="2">
        <v>60</v>
      </c>
      <c r="J239" s="2">
        <v>0</v>
      </c>
      <c r="K239" s="2">
        <v>0</v>
      </c>
      <c r="L239" s="3">
        <v>45856</v>
      </c>
      <c r="M239" s="3">
        <v>45856</v>
      </c>
      <c r="N239" s="3"/>
      <c r="O239" t="s">
        <v>2595</v>
      </c>
      <c r="P239" t="s">
        <v>9</v>
      </c>
      <c r="Q239" s="4">
        <v>0.60482638888888995</v>
      </c>
      <c r="R239" t="s">
        <v>2331</v>
      </c>
      <c r="S239" t="s">
        <v>4</v>
      </c>
      <c r="T239" t="s">
        <v>2260</v>
      </c>
      <c r="U239" t="s">
        <v>10</v>
      </c>
      <c r="V239" s="5">
        <v>0</v>
      </c>
      <c r="W239" s="5">
        <v>0</v>
      </c>
      <c r="X239" s="2">
        <v>0</v>
      </c>
      <c r="Y239" t="s">
        <v>4</v>
      </c>
      <c r="Z239" t="s">
        <v>4</v>
      </c>
      <c r="AA239" t="s">
        <v>4</v>
      </c>
      <c r="AB239" t="s">
        <v>4</v>
      </c>
    </row>
    <row r="240" spans="1:28" x14ac:dyDescent="0.2">
      <c r="A240" t="s">
        <v>1466</v>
      </c>
      <c r="B240" t="s">
        <v>2</v>
      </c>
      <c r="C240" t="s">
        <v>3</v>
      </c>
      <c r="D240" t="s">
        <v>4</v>
      </c>
      <c r="E240" t="s">
        <v>4</v>
      </c>
      <c r="F240" t="s">
        <v>2331</v>
      </c>
      <c r="G240" t="s">
        <v>6</v>
      </c>
      <c r="H240" t="s">
        <v>2594</v>
      </c>
      <c r="I240" s="2">
        <v>60</v>
      </c>
      <c r="J240" s="2">
        <v>0</v>
      </c>
      <c r="K240" s="2">
        <v>0</v>
      </c>
      <c r="L240" s="3">
        <v>45856</v>
      </c>
      <c r="M240" s="3">
        <v>45856</v>
      </c>
      <c r="N240" s="3"/>
      <c r="O240" t="s">
        <v>2596</v>
      </c>
      <c r="P240" t="s">
        <v>9</v>
      </c>
      <c r="Q240" s="4">
        <v>0.60482638888888995</v>
      </c>
      <c r="R240" t="s">
        <v>2331</v>
      </c>
      <c r="S240" t="s">
        <v>4</v>
      </c>
      <c r="T240" t="s">
        <v>2260</v>
      </c>
      <c r="U240" t="s">
        <v>10</v>
      </c>
      <c r="V240" s="5">
        <v>0</v>
      </c>
      <c r="W240" s="5">
        <v>0</v>
      </c>
      <c r="X240" s="2">
        <v>0</v>
      </c>
      <c r="Y240" t="s">
        <v>4</v>
      </c>
      <c r="Z240" t="s">
        <v>4</v>
      </c>
      <c r="AA240" t="s">
        <v>4</v>
      </c>
      <c r="AB240" t="s">
        <v>4</v>
      </c>
    </row>
    <row r="241" spans="1:28" x14ac:dyDescent="0.2">
      <c r="A241" t="s">
        <v>2251</v>
      </c>
      <c r="B241" t="s">
        <v>4</v>
      </c>
      <c r="C241" t="s">
        <v>4</v>
      </c>
      <c r="D241" t="s">
        <v>4</v>
      </c>
      <c r="E241" t="s">
        <v>4</v>
      </c>
      <c r="F241" t="s">
        <v>2331</v>
      </c>
      <c r="G241" t="s">
        <v>6</v>
      </c>
      <c r="H241" t="s">
        <v>2597</v>
      </c>
      <c r="I241" s="5">
        <v>0</v>
      </c>
      <c r="J241" s="5">
        <v>0</v>
      </c>
      <c r="K241" s="5">
        <v>0</v>
      </c>
      <c r="L241" s="3"/>
      <c r="M241" s="3"/>
      <c r="N241" s="3"/>
      <c r="O241" t="s">
        <v>4</v>
      </c>
      <c r="P241" t="s">
        <v>9</v>
      </c>
      <c r="Q241" s="4">
        <v>0</v>
      </c>
      <c r="R241" t="s">
        <v>4</v>
      </c>
      <c r="S241" t="s">
        <v>4</v>
      </c>
      <c r="T241" t="s">
        <v>2256</v>
      </c>
      <c r="U241" t="s">
        <v>4</v>
      </c>
      <c r="V241" s="5">
        <v>0</v>
      </c>
      <c r="W241" s="5">
        <v>0</v>
      </c>
      <c r="X241" s="2">
        <v>0</v>
      </c>
      <c r="Y241" t="s">
        <v>4</v>
      </c>
      <c r="Z241" t="s">
        <v>2351</v>
      </c>
      <c r="AA241" t="s">
        <v>4</v>
      </c>
      <c r="AB241" t="s">
        <v>4</v>
      </c>
    </row>
    <row r="242" spans="1:28" x14ac:dyDescent="0.2">
      <c r="A242" t="s">
        <v>2251</v>
      </c>
      <c r="B242" t="s">
        <v>4</v>
      </c>
      <c r="C242" t="s">
        <v>4</v>
      </c>
      <c r="D242" t="s">
        <v>4</v>
      </c>
      <c r="E242" t="s">
        <v>4</v>
      </c>
      <c r="F242" t="s">
        <v>2331</v>
      </c>
      <c r="G242" t="s">
        <v>6</v>
      </c>
      <c r="H242" t="s">
        <v>2598</v>
      </c>
      <c r="I242" s="5">
        <v>0</v>
      </c>
      <c r="J242" s="5">
        <v>0</v>
      </c>
      <c r="K242" s="5">
        <v>0</v>
      </c>
      <c r="L242" s="3"/>
      <c r="M242" s="3"/>
      <c r="N242" s="3"/>
      <c r="O242" t="s">
        <v>4</v>
      </c>
      <c r="P242" t="s">
        <v>9</v>
      </c>
      <c r="Q242" s="4">
        <v>0</v>
      </c>
      <c r="R242" t="s">
        <v>4</v>
      </c>
      <c r="S242" t="s">
        <v>4</v>
      </c>
      <c r="T242" t="s">
        <v>2256</v>
      </c>
      <c r="U242" t="s">
        <v>4</v>
      </c>
      <c r="V242" s="5">
        <v>0</v>
      </c>
      <c r="W242" s="5">
        <v>0</v>
      </c>
      <c r="X242" s="2">
        <v>0</v>
      </c>
      <c r="Y242" t="s">
        <v>4</v>
      </c>
      <c r="Z242" t="s">
        <v>2351</v>
      </c>
      <c r="AA242" t="s">
        <v>4</v>
      </c>
      <c r="AB242" t="s">
        <v>4</v>
      </c>
    </row>
    <row r="243" spans="1:28" x14ac:dyDescent="0.2">
      <c r="A243" t="s">
        <v>1462</v>
      </c>
      <c r="B243" t="s">
        <v>2</v>
      </c>
      <c r="C243" t="s">
        <v>3</v>
      </c>
      <c r="D243" t="s">
        <v>4</v>
      </c>
      <c r="E243" t="s">
        <v>4</v>
      </c>
      <c r="F243" t="s">
        <v>2331</v>
      </c>
      <c r="G243" t="s">
        <v>6</v>
      </c>
      <c r="H243" t="s">
        <v>2599</v>
      </c>
      <c r="I243" s="2">
        <v>72</v>
      </c>
      <c r="J243" s="2">
        <v>0</v>
      </c>
      <c r="K243" s="2">
        <v>0</v>
      </c>
      <c r="L243" s="3">
        <v>45846</v>
      </c>
      <c r="M243" s="3">
        <v>45846</v>
      </c>
      <c r="N243" s="3"/>
      <c r="O243" t="s">
        <v>2600</v>
      </c>
      <c r="P243" t="s">
        <v>9</v>
      </c>
      <c r="Q243" s="4">
        <v>0.93038194444444</v>
      </c>
      <c r="R243" t="s">
        <v>2331</v>
      </c>
      <c r="S243" t="s">
        <v>4</v>
      </c>
      <c r="T243" t="s">
        <v>2318</v>
      </c>
      <c r="U243" t="s">
        <v>10</v>
      </c>
      <c r="V243" s="5">
        <v>0</v>
      </c>
      <c r="W243" s="5">
        <v>0</v>
      </c>
      <c r="X243" s="2">
        <v>0</v>
      </c>
      <c r="Y243" t="s">
        <v>4</v>
      </c>
      <c r="Z243" t="s">
        <v>4</v>
      </c>
      <c r="AA243" t="s">
        <v>4</v>
      </c>
      <c r="AB243" t="s">
        <v>4</v>
      </c>
    </row>
    <row r="244" spans="1:28" x14ac:dyDescent="0.2">
      <c r="A244" t="s">
        <v>1462</v>
      </c>
      <c r="B244" t="s">
        <v>2</v>
      </c>
      <c r="C244" t="s">
        <v>3</v>
      </c>
      <c r="D244" t="s">
        <v>4</v>
      </c>
      <c r="E244" t="s">
        <v>4</v>
      </c>
      <c r="F244" t="s">
        <v>2331</v>
      </c>
      <c r="G244" t="s">
        <v>6</v>
      </c>
      <c r="H244" t="s">
        <v>2599</v>
      </c>
      <c r="I244" s="2">
        <v>72</v>
      </c>
      <c r="J244" s="2">
        <v>0</v>
      </c>
      <c r="K244" s="2">
        <v>0</v>
      </c>
      <c r="L244" s="3">
        <v>45846</v>
      </c>
      <c r="M244" s="3">
        <v>45846</v>
      </c>
      <c r="N244" s="3"/>
      <c r="O244" t="s">
        <v>2601</v>
      </c>
      <c r="P244" t="s">
        <v>9</v>
      </c>
      <c r="Q244" s="4">
        <v>0.93038194444444</v>
      </c>
      <c r="R244" t="s">
        <v>2331</v>
      </c>
      <c r="S244" t="s">
        <v>4</v>
      </c>
      <c r="T244" t="s">
        <v>2318</v>
      </c>
      <c r="U244" t="s">
        <v>10</v>
      </c>
      <c r="V244" s="5">
        <v>0</v>
      </c>
      <c r="W244" s="5">
        <v>0</v>
      </c>
      <c r="X244" s="2">
        <v>0</v>
      </c>
      <c r="Y244" t="s">
        <v>4</v>
      </c>
      <c r="Z244" t="s">
        <v>4</v>
      </c>
      <c r="AA244" t="s">
        <v>4</v>
      </c>
      <c r="AB244" t="s">
        <v>4</v>
      </c>
    </row>
    <row r="245" spans="1:28" x14ac:dyDescent="0.2">
      <c r="A245" t="s">
        <v>1471</v>
      </c>
      <c r="B245" t="s">
        <v>2</v>
      </c>
      <c r="C245" t="s">
        <v>3</v>
      </c>
      <c r="D245" t="s">
        <v>4</v>
      </c>
      <c r="E245" t="s">
        <v>4</v>
      </c>
      <c r="F245" t="s">
        <v>2331</v>
      </c>
      <c r="G245" t="s">
        <v>6</v>
      </c>
      <c r="H245" t="s">
        <v>2602</v>
      </c>
      <c r="I245" s="2">
        <v>60</v>
      </c>
      <c r="J245" s="2">
        <v>0</v>
      </c>
      <c r="K245" s="2">
        <v>0</v>
      </c>
      <c r="L245" s="3">
        <v>45855</v>
      </c>
      <c r="M245" s="3">
        <v>45855</v>
      </c>
      <c r="N245" s="3"/>
      <c r="O245" t="s">
        <v>2603</v>
      </c>
      <c r="P245" t="s">
        <v>9</v>
      </c>
      <c r="Q245" s="4">
        <v>0.54252314814814995</v>
      </c>
      <c r="R245" t="s">
        <v>2331</v>
      </c>
      <c r="S245" t="s">
        <v>4</v>
      </c>
      <c r="T245" t="s">
        <v>2350</v>
      </c>
      <c r="U245" t="s">
        <v>10</v>
      </c>
      <c r="V245" s="5">
        <v>0</v>
      </c>
      <c r="W245" s="5">
        <v>0</v>
      </c>
      <c r="X245" s="2">
        <v>0</v>
      </c>
      <c r="Y245" t="s">
        <v>4</v>
      </c>
      <c r="Z245" t="s">
        <v>4</v>
      </c>
      <c r="AA245" t="s">
        <v>2351</v>
      </c>
      <c r="AB245" t="s">
        <v>2351</v>
      </c>
    </row>
    <row r="246" spans="1:28" x14ac:dyDescent="0.2">
      <c r="A246" t="s">
        <v>1471</v>
      </c>
      <c r="B246" t="s">
        <v>2</v>
      </c>
      <c r="C246" t="s">
        <v>3</v>
      </c>
      <c r="D246" t="s">
        <v>4</v>
      </c>
      <c r="E246" t="s">
        <v>4</v>
      </c>
      <c r="F246" t="s">
        <v>2331</v>
      </c>
      <c r="G246" t="s">
        <v>6</v>
      </c>
      <c r="H246" t="s">
        <v>2602</v>
      </c>
      <c r="I246" s="2">
        <v>60</v>
      </c>
      <c r="J246" s="2">
        <v>0</v>
      </c>
      <c r="K246" s="2">
        <v>0</v>
      </c>
      <c r="L246" s="3">
        <v>45855</v>
      </c>
      <c r="M246" s="3">
        <v>45855</v>
      </c>
      <c r="N246" s="3"/>
      <c r="O246" t="s">
        <v>2604</v>
      </c>
      <c r="P246" t="s">
        <v>9</v>
      </c>
      <c r="Q246" s="4">
        <v>0.54252314814814995</v>
      </c>
      <c r="R246" t="s">
        <v>2331</v>
      </c>
      <c r="S246" t="s">
        <v>4</v>
      </c>
      <c r="T246" t="s">
        <v>2350</v>
      </c>
      <c r="U246" t="s">
        <v>10</v>
      </c>
      <c r="V246" s="5">
        <v>0</v>
      </c>
      <c r="W246" s="5">
        <v>0</v>
      </c>
      <c r="X246" s="2">
        <v>0</v>
      </c>
      <c r="Y246" t="s">
        <v>4</v>
      </c>
      <c r="Z246" t="s">
        <v>4</v>
      </c>
      <c r="AA246" t="s">
        <v>2351</v>
      </c>
      <c r="AB246" t="s">
        <v>2351</v>
      </c>
    </row>
    <row r="247" spans="1:28" x14ac:dyDescent="0.2">
      <c r="A247" t="s">
        <v>1471</v>
      </c>
      <c r="B247" t="s">
        <v>2</v>
      </c>
      <c r="C247" t="s">
        <v>3</v>
      </c>
      <c r="D247" t="s">
        <v>4</v>
      </c>
      <c r="E247" t="s">
        <v>4</v>
      </c>
      <c r="F247" t="s">
        <v>2331</v>
      </c>
      <c r="G247" t="s">
        <v>6</v>
      </c>
      <c r="H247" t="s">
        <v>2605</v>
      </c>
      <c r="I247" s="2">
        <v>60</v>
      </c>
      <c r="J247" s="2">
        <v>0</v>
      </c>
      <c r="K247" s="2">
        <v>0</v>
      </c>
      <c r="L247" s="3">
        <v>45859</v>
      </c>
      <c r="M247" s="3">
        <v>45859</v>
      </c>
      <c r="N247" s="3"/>
      <c r="O247" t="s">
        <v>2606</v>
      </c>
      <c r="P247" t="s">
        <v>9</v>
      </c>
      <c r="Q247" s="4">
        <v>0.83834490740740997</v>
      </c>
      <c r="R247" t="s">
        <v>2331</v>
      </c>
      <c r="S247" t="s">
        <v>4</v>
      </c>
      <c r="T247" t="s">
        <v>2261</v>
      </c>
      <c r="U247" t="s">
        <v>10</v>
      </c>
      <c r="V247" s="5">
        <v>0</v>
      </c>
      <c r="W247" s="5">
        <v>0</v>
      </c>
      <c r="X247" s="2">
        <v>0</v>
      </c>
      <c r="Y247" t="s">
        <v>4</v>
      </c>
      <c r="Z247" t="s">
        <v>4</v>
      </c>
      <c r="AA247" t="s">
        <v>4</v>
      </c>
      <c r="AB247" t="s">
        <v>4</v>
      </c>
    </row>
    <row r="248" spans="1:28" x14ac:dyDescent="0.2">
      <c r="A248" t="s">
        <v>1471</v>
      </c>
      <c r="B248" t="s">
        <v>2</v>
      </c>
      <c r="C248" t="s">
        <v>3</v>
      </c>
      <c r="D248" t="s">
        <v>4</v>
      </c>
      <c r="E248" t="s">
        <v>4</v>
      </c>
      <c r="F248" t="s">
        <v>2331</v>
      </c>
      <c r="G248" t="s">
        <v>6</v>
      </c>
      <c r="H248" t="s">
        <v>2605</v>
      </c>
      <c r="I248" s="2">
        <v>60</v>
      </c>
      <c r="J248" s="2">
        <v>0</v>
      </c>
      <c r="K248" s="2">
        <v>0</v>
      </c>
      <c r="L248" s="3">
        <v>45859</v>
      </c>
      <c r="M248" s="3">
        <v>45859</v>
      </c>
      <c r="N248" s="3"/>
      <c r="O248" t="s">
        <v>2607</v>
      </c>
      <c r="P248" t="s">
        <v>9</v>
      </c>
      <c r="Q248" s="4">
        <v>0.83834490740740997</v>
      </c>
      <c r="R248" t="s">
        <v>2331</v>
      </c>
      <c r="S248" t="s">
        <v>4</v>
      </c>
      <c r="T248" t="s">
        <v>2261</v>
      </c>
      <c r="U248" t="s">
        <v>10</v>
      </c>
      <c r="V248" s="5">
        <v>0</v>
      </c>
      <c r="W248" s="5">
        <v>0</v>
      </c>
      <c r="X248" s="2">
        <v>0</v>
      </c>
      <c r="Y248" t="s">
        <v>4</v>
      </c>
      <c r="Z248" t="s">
        <v>4</v>
      </c>
      <c r="AA248" t="s">
        <v>4</v>
      </c>
      <c r="AB248" t="s">
        <v>4</v>
      </c>
    </row>
    <row r="249" spans="1:28" x14ac:dyDescent="0.2">
      <c r="A249" t="s">
        <v>1466</v>
      </c>
      <c r="B249" t="s">
        <v>2</v>
      </c>
      <c r="C249" t="s">
        <v>3</v>
      </c>
      <c r="D249" t="s">
        <v>4</v>
      </c>
      <c r="E249" t="s">
        <v>4</v>
      </c>
      <c r="F249" t="s">
        <v>2331</v>
      </c>
      <c r="G249" t="s">
        <v>6</v>
      </c>
      <c r="H249" t="s">
        <v>2608</v>
      </c>
      <c r="I249" s="2">
        <v>60</v>
      </c>
      <c r="J249" s="2">
        <v>0</v>
      </c>
      <c r="K249" s="2">
        <v>0</v>
      </c>
      <c r="L249" s="3">
        <v>45842</v>
      </c>
      <c r="M249" s="3">
        <v>45842</v>
      </c>
      <c r="N249" s="3"/>
      <c r="O249" t="s">
        <v>2609</v>
      </c>
      <c r="P249" t="s">
        <v>9</v>
      </c>
      <c r="Q249" s="4">
        <v>0.96611111111111003</v>
      </c>
      <c r="R249" t="s">
        <v>2331</v>
      </c>
      <c r="S249" t="s">
        <v>4</v>
      </c>
      <c r="T249" t="s">
        <v>2610</v>
      </c>
      <c r="U249" t="s">
        <v>10</v>
      </c>
      <c r="V249" s="5">
        <v>0</v>
      </c>
      <c r="W249" s="5">
        <v>0</v>
      </c>
      <c r="X249" s="2">
        <v>0</v>
      </c>
      <c r="Y249" t="s">
        <v>4</v>
      </c>
      <c r="Z249" t="s">
        <v>4</v>
      </c>
      <c r="AA249" t="s">
        <v>4</v>
      </c>
      <c r="AB249" t="s">
        <v>4</v>
      </c>
    </row>
    <row r="250" spans="1:28" x14ac:dyDescent="0.2">
      <c r="A250" t="s">
        <v>1468</v>
      </c>
      <c r="B250" t="s">
        <v>2</v>
      </c>
      <c r="C250" t="s">
        <v>3</v>
      </c>
      <c r="D250" t="s">
        <v>4</v>
      </c>
      <c r="E250" t="s">
        <v>4</v>
      </c>
      <c r="F250" t="s">
        <v>2331</v>
      </c>
      <c r="G250" t="s">
        <v>6</v>
      </c>
      <c r="H250" t="s">
        <v>2611</v>
      </c>
      <c r="I250" s="2">
        <v>72</v>
      </c>
      <c r="J250" s="2">
        <v>0</v>
      </c>
      <c r="K250" s="2">
        <v>0</v>
      </c>
      <c r="L250" s="3">
        <v>45855</v>
      </c>
      <c r="M250" s="3">
        <v>45855</v>
      </c>
      <c r="N250" s="3"/>
      <c r="O250" t="s">
        <v>2612</v>
      </c>
      <c r="P250" t="s">
        <v>9</v>
      </c>
      <c r="Q250" s="4">
        <v>0.79606481481480995</v>
      </c>
      <c r="R250" t="s">
        <v>2331</v>
      </c>
      <c r="S250" t="s">
        <v>4</v>
      </c>
      <c r="T250" t="s">
        <v>2350</v>
      </c>
      <c r="U250" t="s">
        <v>10</v>
      </c>
      <c r="V250" s="5">
        <v>0</v>
      </c>
      <c r="W250" s="5">
        <v>0</v>
      </c>
      <c r="X250" s="2">
        <v>0</v>
      </c>
      <c r="Y250" t="s">
        <v>4</v>
      </c>
      <c r="Z250" t="s">
        <v>4</v>
      </c>
      <c r="AA250" t="s">
        <v>4</v>
      </c>
      <c r="AB250" t="s">
        <v>4</v>
      </c>
    </row>
    <row r="251" spans="1:28" x14ac:dyDescent="0.2">
      <c r="A251" t="s">
        <v>1468</v>
      </c>
      <c r="B251" t="s">
        <v>2</v>
      </c>
      <c r="C251" t="s">
        <v>3</v>
      </c>
      <c r="D251" t="s">
        <v>4</v>
      </c>
      <c r="E251" t="s">
        <v>4</v>
      </c>
      <c r="F251" t="s">
        <v>2331</v>
      </c>
      <c r="G251" t="s">
        <v>6</v>
      </c>
      <c r="H251" t="s">
        <v>2611</v>
      </c>
      <c r="I251" s="2">
        <v>72</v>
      </c>
      <c r="J251" s="2">
        <v>0</v>
      </c>
      <c r="K251" s="2">
        <v>0</v>
      </c>
      <c r="L251" s="3">
        <v>45855</v>
      </c>
      <c r="M251" s="3">
        <v>45855</v>
      </c>
      <c r="N251" s="3"/>
      <c r="O251" t="s">
        <v>2613</v>
      </c>
      <c r="P251" t="s">
        <v>9</v>
      </c>
      <c r="Q251" s="4">
        <v>0.79606481481480995</v>
      </c>
      <c r="R251" t="s">
        <v>2331</v>
      </c>
      <c r="S251" t="s">
        <v>4</v>
      </c>
      <c r="T251" t="s">
        <v>2350</v>
      </c>
      <c r="U251" t="s">
        <v>10</v>
      </c>
      <c r="V251" s="5">
        <v>0</v>
      </c>
      <c r="W251" s="5">
        <v>0</v>
      </c>
      <c r="X251" s="2">
        <v>0</v>
      </c>
      <c r="Y251" t="s">
        <v>4</v>
      </c>
      <c r="Z251" t="s">
        <v>4</v>
      </c>
      <c r="AA251" t="s">
        <v>4</v>
      </c>
      <c r="AB251" t="s">
        <v>4</v>
      </c>
    </row>
    <row r="252" spans="1:28" x14ac:dyDescent="0.2">
      <c r="A252" t="s">
        <v>1468</v>
      </c>
      <c r="B252" t="s">
        <v>2</v>
      </c>
      <c r="C252" t="s">
        <v>3</v>
      </c>
      <c r="D252" t="s">
        <v>4</v>
      </c>
      <c r="E252" t="s">
        <v>4</v>
      </c>
      <c r="F252" t="s">
        <v>2331</v>
      </c>
      <c r="G252" t="s">
        <v>6</v>
      </c>
      <c r="H252" t="s">
        <v>2614</v>
      </c>
      <c r="I252" s="2">
        <v>72</v>
      </c>
      <c r="J252" s="2">
        <v>0</v>
      </c>
      <c r="K252" s="2">
        <v>0</v>
      </c>
      <c r="L252" s="3">
        <v>45747</v>
      </c>
      <c r="M252" s="3">
        <v>45747</v>
      </c>
      <c r="N252" s="3"/>
      <c r="O252" t="s">
        <v>2615</v>
      </c>
      <c r="P252" t="s">
        <v>9</v>
      </c>
      <c r="Q252" s="4">
        <v>0.57475694444444003</v>
      </c>
      <c r="R252" t="s">
        <v>2331</v>
      </c>
      <c r="S252" t="s">
        <v>4</v>
      </c>
      <c r="T252" t="s">
        <v>2616</v>
      </c>
      <c r="U252" t="s">
        <v>10</v>
      </c>
      <c r="V252" s="5">
        <v>0</v>
      </c>
      <c r="W252" s="5">
        <v>0</v>
      </c>
      <c r="X252" s="2">
        <v>0</v>
      </c>
      <c r="Y252" t="s">
        <v>4</v>
      </c>
      <c r="Z252" t="s">
        <v>4</v>
      </c>
      <c r="AA252" t="s">
        <v>4</v>
      </c>
      <c r="AB252" t="s">
        <v>4</v>
      </c>
    </row>
    <row r="253" spans="1:28" x14ac:dyDescent="0.2">
      <c r="A253" t="s">
        <v>2251</v>
      </c>
      <c r="B253" t="s">
        <v>4</v>
      </c>
      <c r="C253" t="s">
        <v>4</v>
      </c>
      <c r="D253" t="s">
        <v>4</v>
      </c>
      <c r="E253" t="s">
        <v>4</v>
      </c>
      <c r="F253" t="s">
        <v>2331</v>
      </c>
      <c r="G253" t="s">
        <v>6</v>
      </c>
      <c r="H253" t="s">
        <v>2617</v>
      </c>
      <c r="I253" s="5">
        <v>0</v>
      </c>
      <c r="J253" s="5">
        <v>0</v>
      </c>
      <c r="K253" s="5">
        <v>0</v>
      </c>
      <c r="L253" s="3"/>
      <c r="M253" s="3"/>
      <c r="N253" s="3"/>
      <c r="O253" t="s">
        <v>4</v>
      </c>
      <c r="P253" t="s">
        <v>9</v>
      </c>
      <c r="Q253" s="4">
        <v>0.36033564814815</v>
      </c>
      <c r="R253" t="s">
        <v>4</v>
      </c>
      <c r="S253" t="s">
        <v>4</v>
      </c>
      <c r="T253" t="s">
        <v>2256</v>
      </c>
      <c r="U253" t="s">
        <v>4</v>
      </c>
      <c r="V253" s="5">
        <v>0</v>
      </c>
      <c r="W253" s="5">
        <v>0</v>
      </c>
      <c r="X253" s="2">
        <v>0</v>
      </c>
      <c r="Y253" t="s">
        <v>4</v>
      </c>
      <c r="Z253" t="s">
        <v>4</v>
      </c>
      <c r="AA253" t="s">
        <v>4</v>
      </c>
      <c r="AB253" t="s">
        <v>4</v>
      </c>
    </row>
    <row r="254" spans="1:28" x14ac:dyDescent="0.2">
      <c r="A254" t="s">
        <v>2043</v>
      </c>
      <c r="B254" t="s">
        <v>2</v>
      </c>
      <c r="C254" t="s">
        <v>3</v>
      </c>
      <c r="D254" t="s">
        <v>4</v>
      </c>
      <c r="E254" t="s">
        <v>4</v>
      </c>
      <c r="F254" t="s">
        <v>2331</v>
      </c>
      <c r="G254" t="s">
        <v>6</v>
      </c>
      <c r="H254" t="s">
        <v>2618</v>
      </c>
      <c r="I254" s="2">
        <v>108</v>
      </c>
      <c r="J254" s="2">
        <v>0</v>
      </c>
      <c r="K254" s="2">
        <v>0</v>
      </c>
      <c r="L254" s="3">
        <v>45860</v>
      </c>
      <c r="M254" s="3">
        <v>45860</v>
      </c>
      <c r="N254" s="3"/>
      <c r="O254" t="s">
        <v>2619</v>
      </c>
      <c r="P254" t="s">
        <v>9</v>
      </c>
      <c r="Q254" s="4">
        <v>0.34048611111110999</v>
      </c>
      <c r="R254" t="s">
        <v>2331</v>
      </c>
      <c r="S254" t="s">
        <v>4</v>
      </c>
      <c r="T254" t="s">
        <v>2256</v>
      </c>
      <c r="U254" t="s">
        <v>10</v>
      </c>
      <c r="V254" s="5">
        <v>0</v>
      </c>
      <c r="W254" s="5">
        <v>0</v>
      </c>
      <c r="X254" s="2">
        <v>0</v>
      </c>
      <c r="Y254" t="s">
        <v>4</v>
      </c>
      <c r="Z254" t="s">
        <v>4</v>
      </c>
      <c r="AA254" t="s">
        <v>4</v>
      </c>
      <c r="AB254" t="s">
        <v>4</v>
      </c>
    </row>
    <row r="255" spans="1:28" x14ac:dyDescent="0.2">
      <c r="A255" t="s">
        <v>1466</v>
      </c>
      <c r="B255" t="s">
        <v>2</v>
      </c>
      <c r="C255" t="s">
        <v>3</v>
      </c>
      <c r="D255" t="s">
        <v>4</v>
      </c>
      <c r="E255" t="s">
        <v>4</v>
      </c>
      <c r="F255" t="s">
        <v>2331</v>
      </c>
      <c r="G255" t="s">
        <v>6</v>
      </c>
      <c r="H255" t="s">
        <v>2620</v>
      </c>
      <c r="I255" s="2">
        <v>60</v>
      </c>
      <c r="J255" s="2">
        <v>0</v>
      </c>
      <c r="K255" s="2">
        <v>0</v>
      </c>
      <c r="L255" s="3">
        <v>45847</v>
      </c>
      <c r="M255" s="3">
        <v>45847</v>
      </c>
      <c r="N255" s="3"/>
      <c r="O255" t="s">
        <v>2621</v>
      </c>
      <c r="P255" t="s">
        <v>9</v>
      </c>
      <c r="Q255" s="4">
        <v>0.63026620370370001</v>
      </c>
      <c r="R255" t="s">
        <v>2331</v>
      </c>
      <c r="S255" t="s">
        <v>4</v>
      </c>
      <c r="T255" t="s">
        <v>2341</v>
      </c>
      <c r="U255" t="s">
        <v>10</v>
      </c>
      <c r="V255" s="5">
        <v>0</v>
      </c>
      <c r="W255" s="5">
        <v>0</v>
      </c>
      <c r="X255" s="2">
        <v>0</v>
      </c>
      <c r="Y255" t="s">
        <v>4</v>
      </c>
      <c r="Z255" t="s">
        <v>4</v>
      </c>
      <c r="AA255" t="s">
        <v>4</v>
      </c>
      <c r="AB255" t="s">
        <v>4</v>
      </c>
    </row>
    <row r="256" spans="1:28" x14ac:dyDescent="0.2">
      <c r="A256" t="s">
        <v>2043</v>
      </c>
      <c r="B256" t="s">
        <v>2</v>
      </c>
      <c r="C256" t="s">
        <v>3</v>
      </c>
      <c r="D256" t="s">
        <v>4</v>
      </c>
      <c r="E256" t="s">
        <v>4</v>
      </c>
      <c r="F256" t="s">
        <v>2331</v>
      </c>
      <c r="G256" t="s">
        <v>6</v>
      </c>
      <c r="H256" t="s">
        <v>2622</v>
      </c>
      <c r="I256" s="2">
        <v>108</v>
      </c>
      <c r="J256" s="2">
        <v>0</v>
      </c>
      <c r="K256" s="2">
        <v>0</v>
      </c>
      <c r="L256" s="3">
        <v>45860</v>
      </c>
      <c r="M256" s="3">
        <v>45860</v>
      </c>
      <c r="N256" s="3"/>
      <c r="O256" t="s">
        <v>2623</v>
      </c>
      <c r="P256" t="s">
        <v>9</v>
      </c>
      <c r="Q256" s="4">
        <v>0.33708333333333002</v>
      </c>
      <c r="R256" t="s">
        <v>2331</v>
      </c>
      <c r="S256" t="s">
        <v>4</v>
      </c>
      <c r="T256" t="s">
        <v>2256</v>
      </c>
      <c r="U256" t="s">
        <v>10</v>
      </c>
      <c r="V256" s="5">
        <v>0</v>
      </c>
      <c r="W256" s="5">
        <v>0</v>
      </c>
      <c r="X256" s="2">
        <v>0</v>
      </c>
      <c r="Y256" t="s">
        <v>4</v>
      </c>
      <c r="Z256" t="s">
        <v>4</v>
      </c>
      <c r="AA256" t="s">
        <v>4</v>
      </c>
      <c r="AB256" t="s">
        <v>4</v>
      </c>
    </row>
    <row r="257" spans="1:28" x14ac:dyDescent="0.2">
      <c r="A257" t="s">
        <v>2043</v>
      </c>
      <c r="B257" t="s">
        <v>2</v>
      </c>
      <c r="C257" t="s">
        <v>3</v>
      </c>
      <c r="D257" t="s">
        <v>4</v>
      </c>
      <c r="E257" t="s">
        <v>4</v>
      </c>
      <c r="F257" t="s">
        <v>2331</v>
      </c>
      <c r="G257" t="s">
        <v>6</v>
      </c>
      <c r="H257" t="s">
        <v>2622</v>
      </c>
      <c r="I257" s="2">
        <v>108</v>
      </c>
      <c r="J257" s="2">
        <v>0</v>
      </c>
      <c r="K257" s="2">
        <v>0</v>
      </c>
      <c r="L257" s="3">
        <v>45860</v>
      </c>
      <c r="M257" s="3">
        <v>45860</v>
      </c>
      <c r="N257" s="3"/>
      <c r="O257" t="s">
        <v>2624</v>
      </c>
      <c r="P257" t="s">
        <v>9</v>
      </c>
      <c r="Q257" s="4">
        <v>0.33708333333333002</v>
      </c>
      <c r="R257" t="s">
        <v>2331</v>
      </c>
      <c r="S257" t="s">
        <v>4</v>
      </c>
      <c r="T257" t="s">
        <v>2256</v>
      </c>
      <c r="U257" t="s">
        <v>10</v>
      </c>
      <c r="V257" s="5">
        <v>0</v>
      </c>
      <c r="W257" s="5">
        <v>0</v>
      </c>
      <c r="X257" s="2">
        <v>0</v>
      </c>
      <c r="Y257" t="s">
        <v>4</v>
      </c>
      <c r="Z257" t="s">
        <v>4</v>
      </c>
      <c r="AA257" t="s">
        <v>4</v>
      </c>
      <c r="AB257" t="s">
        <v>4</v>
      </c>
    </row>
    <row r="258" spans="1:28" x14ac:dyDescent="0.2">
      <c r="A258" t="s">
        <v>1471</v>
      </c>
      <c r="B258" t="s">
        <v>2</v>
      </c>
      <c r="C258" t="s">
        <v>3</v>
      </c>
      <c r="D258" t="s">
        <v>4</v>
      </c>
      <c r="E258" t="s">
        <v>4</v>
      </c>
      <c r="F258" t="s">
        <v>2331</v>
      </c>
      <c r="G258" t="s">
        <v>6</v>
      </c>
      <c r="H258" t="s">
        <v>2625</v>
      </c>
      <c r="I258" s="2">
        <v>60</v>
      </c>
      <c r="J258" s="2">
        <v>0</v>
      </c>
      <c r="K258" s="2">
        <v>0</v>
      </c>
      <c r="L258" s="3">
        <v>45855</v>
      </c>
      <c r="M258" s="3">
        <v>45855</v>
      </c>
      <c r="N258" s="3"/>
      <c r="O258" t="s">
        <v>2626</v>
      </c>
      <c r="P258" t="s">
        <v>9</v>
      </c>
      <c r="Q258" s="4">
        <v>0.94197916666667003</v>
      </c>
      <c r="R258" t="s">
        <v>2331</v>
      </c>
      <c r="S258" t="s">
        <v>4</v>
      </c>
      <c r="T258" t="s">
        <v>2350</v>
      </c>
      <c r="U258" t="s">
        <v>10</v>
      </c>
      <c r="V258" s="5">
        <v>0</v>
      </c>
      <c r="W258" s="5">
        <v>0</v>
      </c>
      <c r="X258" s="2">
        <v>0</v>
      </c>
      <c r="Y258" t="s">
        <v>4</v>
      </c>
      <c r="Z258" t="s">
        <v>4</v>
      </c>
      <c r="AA258" t="s">
        <v>2351</v>
      </c>
      <c r="AB258" t="s">
        <v>2351</v>
      </c>
    </row>
    <row r="259" spans="1:28" x14ac:dyDescent="0.2">
      <c r="A259" t="s">
        <v>1471</v>
      </c>
      <c r="B259" t="s">
        <v>2</v>
      </c>
      <c r="C259" t="s">
        <v>3</v>
      </c>
      <c r="D259" t="s">
        <v>4</v>
      </c>
      <c r="E259" t="s">
        <v>4</v>
      </c>
      <c r="F259" t="s">
        <v>2331</v>
      </c>
      <c r="G259" t="s">
        <v>6</v>
      </c>
      <c r="H259" t="s">
        <v>2625</v>
      </c>
      <c r="I259" s="2">
        <v>60</v>
      </c>
      <c r="J259" s="2">
        <v>0</v>
      </c>
      <c r="K259" s="2">
        <v>0</v>
      </c>
      <c r="L259" s="3">
        <v>45855</v>
      </c>
      <c r="M259" s="3">
        <v>45855</v>
      </c>
      <c r="N259" s="3"/>
      <c r="O259" t="s">
        <v>2627</v>
      </c>
      <c r="P259" t="s">
        <v>9</v>
      </c>
      <c r="Q259" s="4">
        <v>0.94197916666667003</v>
      </c>
      <c r="R259" t="s">
        <v>2331</v>
      </c>
      <c r="S259" t="s">
        <v>4</v>
      </c>
      <c r="T259" t="s">
        <v>2350</v>
      </c>
      <c r="U259" t="s">
        <v>10</v>
      </c>
      <c r="V259" s="5">
        <v>0</v>
      </c>
      <c r="W259" s="5">
        <v>0</v>
      </c>
      <c r="X259" s="2">
        <v>0</v>
      </c>
      <c r="Y259" t="s">
        <v>4</v>
      </c>
      <c r="Z259" t="s">
        <v>4</v>
      </c>
      <c r="AA259" t="s">
        <v>2351</v>
      </c>
      <c r="AB259" t="s">
        <v>2351</v>
      </c>
    </row>
    <row r="260" spans="1:28" x14ac:dyDescent="0.2">
      <c r="A260" t="s">
        <v>1471</v>
      </c>
      <c r="B260" t="s">
        <v>2</v>
      </c>
      <c r="C260" t="s">
        <v>3</v>
      </c>
      <c r="D260" t="s">
        <v>4</v>
      </c>
      <c r="E260" t="s">
        <v>4</v>
      </c>
      <c r="F260" t="s">
        <v>2331</v>
      </c>
      <c r="G260" t="s">
        <v>6</v>
      </c>
      <c r="H260" t="s">
        <v>2628</v>
      </c>
      <c r="I260" s="2">
        <v>60</v>
      </c>
      <c r="J260" s="2">
        <v>0</v>
      </c>
      <c r="K260" s="2">
        <v>0</v>
      </c>
      <c r="L260" s="3">
        <v>45855</v>
      </c>
      <c r="M260" s="3">
        <v>45855</v>
      </c>
      <c r="N260" s="3"/>
      <c r="O260" t="s">
        <v>2629</v>
      </c>
      <c r="P260" t="s">
        <v>9</v>
      </c>
      <c r="Q260" s="4">
        <v>0.93693287037036999</v>
      </c>
      <c r="R260" t="s">
        <v>2331</v>
      </c>
      <c r="S260" t="s">
        <v>4</v>
      </c>
      <c r="T260" t="s">
        <v>2350</v>
      </c>
      <c r="U260" t="s">
        <v>10</v>
      </c>
      <c r="V260" s="5">
        <v>0</v>
      </c>
      <c r="W260" s="5">
        <v>0</v>
      </c>
      <c r="X260" s="2">
        <v>0</v>
      </c>
      <c r="Y260" t="s">
        <v>4</v>
      </c>
      <c r="Z260" t="s">
        <v>4</v>
      </c>
      <c r="AA260" t="s">
        <v>2351</v>
      </c>
      <c r="AB260" t="s">
        <v>2351</v>
      </c>
    </row>
    <row r="261" spans="1:28" x14ac:dyDescent="0.2">
      <c r="A261" t="s">
        <v>1471</v>
      </c>
      <c r="B261" t="s">
        <v>2</v>
      </c>
      <c r="C261" t="s">
        <v>3</v>
      </c>
      <c r="D261" t="s">
        <v>4</v>
      </c>
      <c r="E261" t="s">
        <v>4</v>
      </c>
      <c r="F261" t="s">
        <v>2331</v>
      </c>
      <c r="G261" t="s">
        <v>6</v>
      </c>
      <c r="H261" t="s">
        <v>2628</v>
      </c>
      <c r="I261" s="2">
        <v>60</v>
      </c>
      <c r="J261" s="2">
        <v>0</v>
      </c>
      <c r="K261" s="2">
        <v>0</v>
      </c>
      <c r="L261" s="3">
        <v>45855</v>
      </c>
      <c r="M261" s="3">
        <v>45855</v>
      </c>
      <c r="N261" s="3"/>
      <c r="O261" t="s">
        <v>2630</v>
      </c>
      <c r="P261" t="s">
        <v>9</v>
      </c>
      <c r="Q261" s="4">
        <v>0.93693287037036999</v>
      </c>
      <c r="R261" t="s">
        <v>2331</v>
      </c>
      <c r="S261" t="s">
        <v>4</v>
      </c>
      <c r="T261" t="s">
        <v>2350</v>
      </c>
      <c r="U261" t="s">
        <v>10</v>
      </c>
      <c r="V261" s="5">
        <v>0</v>
      </c>
      <c r="W261" s="5">
        <v>0</v>
      </c>
      <c r="X261" s="2">
        <v>0</v>
      </c>
      <c r="Y261" t="s">
        <v>4</v>
      </c>
      <c r="Z261" t="s">
        <v>4</v>
      </c>
      <c r="AA261" t="s">
        <v>2351</v>
      </c>
      <c r="AB261" t="s">
        <v>2351</v>
      </c>
    </row>
    <row r="262" spans="1:28" x14ac:dyDescent="0.2">
      <c r="A262" t="s">
        <v>2251</v>
      </c>
      <c r="B262" t="s">
        <v>4</v>
      </c>
      <c r="C262" t="s">
        <v>4</v>
      </c>
      <c r="D262" t="s">
        <v>4</v>
      </c>
      <c r="E262" t="s">
        <v>4</v>
      </c>
      <c r="F262" t="s">
        <v>2331</v>
      </c>
      <c r="G262" t="s">
        <v>6</v>
      </c>
      <c r="H262" t="s">
        <v>2631</v>
      </c>
      <c r="I262" s="5">
        <v>0</v>
      </c>
      <c r="J262" s="5">
        <v>0</v>
      </c>
      <c r="K262" s="5">
        <v>0</v>
      </c>
      <c r="L262" s="3"/>
      <c r="M262" s="3"/>
      <c r="N262" s="3"/>
      <c r="O262" t="s">
        <v>4</v>
      </c>
      <c r="P262" t="s">
        <v>9</v>
      </c>
      <c r="Q262" s="4">
        <v>0</v>
      </c>
      <c r="R262" t="s">
        <v>4</v>
      </c>
      <c r="S262" t="s">
        <v>4</v>
      </c>
      <c r="T262" t="s">
        <v>2256</v>
      </c>
      <c r="U262" t="s">
        <v>4</v>
      </c>
      <c r="V262" s="5">
        <v>0</v>
      </c>
      <c r="W262" s="5">
        <v>0</v>
      </c>
      <c r="X262" s="2">
        <v>0</v>
      </c>
      <c r="Y262" t="s">
        <v>4</v>
      </c>
      <c r="Z262" t="s">
        <v>2351</v>
      </c>
      <c r="AA262" t="s">
        <v>4</v>
      </c>
      <c r="AB262" t="s">
        <v>4</v>
      </c>
    </row>
    <row r="263" spans="1:28" x14ac:dyDescent="0.2">
      <c r="A263" t="s">
        <v>2251</v>
      </c>
      <c r="B263" t="s">
        <v>4</v>
      </c>
      <c r="C263" t="s">
        <v>4</v>
      </c>
      <c r="D263" t="s">
        <v>4</v>
      </c>
      <c r="E263" t="s">
        <v>4</v>
      </c>
      <c r="F263" t="s">
        <v>2331</v>
      </c>
      <c r="G263" t="s">
        <v>6</v>
      </c>
      <c r="H263" t="s">
        <v>2632</v>
      </c>
      <c r="I263" s="5">
        <v>0</v>
      </c>
      <c r="J263" s="5">
        <v>0</v>
      </c>
      <c r="K263" s="5">
        <v>0</v>
      </c>
      <c r="L263" s="3"/>
      <c r="M263" s="3"/>
      <c r="N263" s="3"/>
      <c r="O263" t="s">
        <v>4</v>
      </c>
      <c r="P263" t="s">
        <v>9</v>
      </c>
      <c r="Q263" s="4">
        <v>0</v>
      </c>
      <c r="R263" t="s">
        <v>4</v>
      </c>
      <c r="S263" t="s">
        <v>4</v>
      </c>
      <c r="T263" t="s">
        <v>2256</v>
      </c>
      <c r="U263" t="s">
        <v>4</v>
      </c>
      <c r="V263" s="5">
        <v>0</v>
      </c>
      <c r="W263" s="5">
        <v>0</v>
      </c>
      <c r="X263" s="2">
        <v>0</v>
      </c>
      <c r="Y263" t="s">
        <v>4</v>
      </c>
      <c r="Z263" t="s">
        <v>2351</v>
      </c>
      <c r="AA263" t="s">
        <v>4</v>
      </c>
      <c r="AB263" t="s">
        <v>4</v>
      </c>
    </row>
    <row r="264" spans="1:28" x14ac:dyDescent="0.2">
      <c r="A264" t="s">
        <v>2251</v>
      </c>
      <c r="B264" t="s">
        <v>4</v>
      </c>
      <c r="C264" t="s">
        <v>4</v>
      </c>
      <c r="D264" t="s">
        <v>4</v>
      </c>
      <c r="E264" t="s">
        <v>4</v>
      </c>
      <c r="F264" t="s">
        <v>2331</v>
      </c>
      <c r="G264" t="s">
        <v>6</v>
      </c>
      <c r="H264" t="s">
        <v>2633</v>
      </c>
      <c r="I264" s="5">
        <v>0</v>
      </c>
      <c r="J264" s="5">
        <v>0</v>
      </c>
      <c r="K264" s="5">
        <v>0</v>
      </c>
      <c r="L264" s="3"/>
      <c r="M264" s="3"/>
      <c r="N264" s="3"/>
      <c r="O264" t="s">
        <v>4</v>
      </c>
      <c r="P264" t="s">
        <v>9</v>
      </c>
      <c r="Q264" s="4">
        <v>0.70050925925926</v>
      </c>
      <c r="R264" t="s">
        <v>4</v>
      </c>
      <c r="S264" t="s">
        <v>4</v>
      </c>
      <c r="T264" t="s">
        <v>2256</v>
      </c>
      <c r="U264" t="s">
        <v>4</v>
      </c>
      <c r="V264" s="5">
        <v>0</v>
      </c>
      <c r="W264" s="5">
        <v>0</v>
      </c>
      <c r="X264" s="2">
        <v>0</v>
      </c>
      <c r="Y264" t="s">
        <v>4</v>
      </c>
      <c r="Z264" t="s">
        <v>4</v>
      </c>
      <c r="AA264" t="s">
        <v>4</v>
      </c>
      <c r="AB264" t="s">
        <v>4</v>
      </c>
    </row>
    <row r="265" spans="1:28" x14ac:dyDescent="0.2">
      <c r="A265" t="s">
        <v>1462</v>
      </c>
      <c r="B265" t="s">
        <v>2</v>
      </c>
      <c r="C265" t="s">
        <v>3</v>
      </c>
      <c r="D265" t="s">
        <v>4</v>
      </c>
      <c r="E265" t="s">
        <v>4</v>
      </c>
      <c r="F265" t="s">
        <v>2331</v>
      </c>
      <c r="G265" t="s">
        <v>6</v>
      </c>
      <c r="H265" t="s">
        <v>2634</v>
      </c>
      <c r="I265" s="2">
        <v>72</v>
      </c>
      <c r="J265" s="2">
        <v>0</v>
      </c>
      <c r="K265" s="2">
        <v>0</v>
      </c>
      <c r="L265" s="3">
        <v>45846</v>
      </c>
      <c r="M265" s="3">
        <v>45846</v>
      </c>
      <c r="N265" s="3"/>
      <c r="O265" t="s">
        <v>2635</v>
      </c>
      <c r="P265" t="s">
        <v>9</v>
      </c>
      <c r="Q265" s="4">
        <v>0.94046296296295995</v>
      </c>
      <c r="R265" t="s">
        <v>2331</v>
      </c>
      <c r="S265" t="s">
        <v>4</v>
      </c>
      <c r="T265" t="s">
        <v>2318</v>
      </c>
      <c r="U265" t="s">
        <v>10</v>
      </c>
      <c r="V265" s="5">
        <v>0</v>
      </c>
      <c r="W265" s="5">
        <v>0</v>
      </c>
      <c r="X265" s="2">
        <v>0</v>
      </c>
      <c r="Y265" t="s">
        <v>4</v>
      </c>
      <c r="Z265" t="s">
        <v>4</v>
      </c>
      <c r="AA265" t="s">
        <v>4</v>
      </c>
      <c r="AB265" t="s">
        <v>4</v>
      </c>
    </row>
    <row r="266" spans="1:28" x14ac:dyDescent="0.2">
      <c r="A266" t="s">
        <v>1462</v>
      </c>
      <c r="B266" t="s">
        <v>2</v>
      </c>
      <c r="C266" t="s">
        <v>3</v>
      </c>
      <c r="D266" t="s">
        <v>4</v>
      </c>
      <c r="E266" t="s">
        <v>4</v>
      </c>
      <c r="F266" t="s">
        <v>2331</v>
      </c>
      <c r="G266" t="s">
        <v>6</v>
      </c>
      <c r="H266" t="s">
        <v>2634</v>
      </c>
      <c r="I266" s="2">
        <v>72</v>
      </c>
      <c r="J266" s="2">
        <v>0</v>
      </c>
      <c r="K266" s="2">
        <v>0</v>
      </c>
      <c r="L266" s="3">
        <v>45846</v>
      </c>
      <c r="M266" s="3">
        <v>45846</v>
      </c>
      <c r="N266" s="3"/>
      <c r="O266" t="s">
        <v>2636</v>
      </c>
      <c r="P266" t="s">
        <v>9</v>
      </c>
      <c r="Q266" s="4">
        <v>0.94046296296295995</v>
      </c>
      <c r="R266" t="s">
        <v>2331</v>
      </c>
      <c r="S266" t="s">
        <v>4</v>
      </c>
      <c r="T266" t="s">
        <v>2318</v>
      </c>
      <c r="U266" t="s">
        <v>10</v>
      </c>
      <c r="V266" s="5">
        <v>0</v>
      </c>
      <c r="W266" s="5">
        <v>0</v>
      </c>
      <c r="X266" s="2">
        <v>0</v>
      </c>
      <c r="Y266" t="s">
        <v>4</v>
      </c>
      <c r="Z266" t="s">
        <v>4</v>
      </c>
      <c r="AA266" t="s">
        <v>4</v>
      </c>
      <c r="AB266" t="s">
        <v>4</v>
      </c>
    </row>
    <row r="267" spans="1:28" x14ac:dyDescent="0.2">
      <c r="A267" t="s">
        <v>2251</v>
      </c>
      <c r="B267" t="s">
        <v>4</v>
      </c>
      <c r="C267" t="s">
        <v>4</v>
      </c>
      <c r="D267" t="s">
        <v>4</v>
      </c>
      <c r="E267" t="s">
        <v>4</v>
      </c>
      <c r="F267" t="s">
        <v>2331</v>
      </c>
      <c r="G267" t="s">
        <v>6</v>
      </c>
      <c r="H267" t="s">
        <v>2637</v>
      </c>
      <c r="I267" s="5">
        <v>0</v>
      </c>
      <c r="J267" s="5">
        <v>0</v>
      </c>
      <c r="K267" s="5">
        <v>0</v>
      </c>
      <c r="L267" s="3"/>
      <c r="M267" s="3"/>
      <c r="N267" s="3"/>
      <c r="O267" t="s">
        <v>4</v>
      </c>
      <c r="P267" t="s">
        <v>9</v>
      </c>
      <c r="Q267" s="4">
        <v>0.80805555555555997</v>
      </c>
      <c r="R267" t="s">
        <v>4</v>
      </c>
      <c r="S267" t="s">
        <v>4</v>
      </c>
      <c r="T267" t="s">
        <v>2256</v>
      </c>
      <c r="U267" t="s">
        <v>4</v>
      </c>
      <c r="V267" s="5">
        <v>0</v>
      </c>
      <c r="W267" s="5">
        <v>0</v>
      </c>
      <c r="X267" s="2">
        <v>0</v>
      </c>
      <c r="Y267" t="s">
        <v>4</v>
      </c>
      <c r="Z267" t="s">
        <v>4</v>
      </c>
      <c r="AA267" t="s">
        <v>4</v>
      </c>
      <c r="AB267" t="s">
        <v>4</v>
      </c>
    </row>
    <row r="268" spans="1:28" x14ac:dyDescent="0.2">
      <c r="A268" t="s">
        <v>1462</v>
      </c>
      <c r="B268" t="s">
        <v>2</v>
      </c>
      <c r="C268" t="s">
        <v>3</v>
      </c>
      <c r="D268" t="s">
        <v>4</v>
      </c>
      <c r="E268" t="s">
        <v>4</v>
      </c>
      <c r="F268" t="s">
        <v>2331</v>
      </c>
      <c r="G268" t="s">
        <v>6</v>
      </c>
      <c r="H268" t="s">
        <v>2638</v>
      </c>
      <c r="I268" s="2">
        <v>72</v>
      </c>
      <c r="J268" s="2">
        <v>0</v>
      </c>
      <c r="K268" s="2">
        <v>0</v>
      </c>
      <c r="L268" s="3">
        <v>45855</v>
      </c>
      <c r="M268" s="3">
        <v>45855</v>
      </c>
      <c r="N268" s="3"/>
      <c r="O268" t="s">
        <v>2639</v>
      </c>
      <c r="P268" t="s">
        <v>9</v>
      </c>
      <c r="Q268" s="4">
        <v>0.81861111111110996</v>
      </c>
      <c r="R268" t="s">
        <v>2331</v>
      </c>
      <c r="S268" t="s">
        <v>4</v>
      </c>
      <c r="T268" t="s">
        <v>2350</v>
      </c>
      <c r="U268" t="s">
        <v>10</v>
      </c>
      <c r="V268" s="5">
        <v>0</v>
      </c>
      <c r="W268" s="5">
        <v>0</v>
      </c>
      <c r="X268" s="2">
        <v>0</v>
      </c>
      <c r="Y268" t="s">
        <v>4</v>
      </c>
      <c r="Z268" t="s">
        <v>4</v>
      </c>
      <c r="AA268" t="s">
        <v>4</v>
      </c>
      <c r="AB268" t="s">
        <v>4</v>
      </c>
    </row>
    <row r="269" spans="1:28" x14ac:dyDescent="0.2">
      <c r="A269" t="s">
        <v>1462</v>
      </c>
      <c r="B269" t="s">
        <v>2</v>
      </c>
      <c r="C269" t="s">
        <v>3</v>
      </c>
      <c r="D269" t="s">
        <v>4</v>
      </c>
      <c r="E269" t="s">
        <v>4</v>
      </c>
      <c r="F269" t="s">
        <v>2331</v>
      </c>
      <c r="G269" t="s">
        <v>6</v>
      </c>
      <c r="H269" t="s">
        <v>2638</v>
      </c>
      <c r="I269" s="2">
        <v>72</v>
      </c>
      <c r="J269" s="2">
        <v>0</v>
      </c>
      <c r="K269" s="2">
        <v>0</v>
      </c>
      <c r="L269" s="3">
        <v>45855</v>
      </c>
      <c r="M269" s="3">
        <v>45855</v>
      </c>
      <c r="N269" s="3"/>
      <c r="O269" t="s">
        <v>2640</v>
      </c>
      <c r="P269" t="s">
        <v>9</v>
      </c>
      <c r="Q269" s="4">
        <v>0.81861111111110996</v>
      </c>
      <c r="R269" t="s">
        <v>2331</v>
      </c>
      <c r="S269" t="s">
        <v>4</v>
      </c>
      <c r="T269" t="s">
        <v>2350</v>
      </c>
      <c r="U269" t="s">
        <v>10</v>
      </c>
      <c r="V269" s="5">
        <v>0</v>
      </c>
      <c r="W269" s="5">
        <v>0</v>
      </c>
      <c r="X269" s="2">
        <v>0</v>
      </c>
      <c r="Y269" t="s">
        <v>4</v>
      </c>
      <c r="Z269" t="s">
        <v>4</v>
      </c>
      <c r="AA269" t="s">
        <v>4</v>
      </c>
      <c r="AB269" t="s">
        <v>4</v>
      </c>
    </row>
    <row r="270" spans="1:28" x14ac:dyDescent="0.2">
      <c r="A270" t="s">
        <v>1471</v>
      </c>
      <c r="B270" t="s">
        <v>2</v>
      </c>
      <c r="C270" t="s">
        <v>3</v>
      </c>
      <c r="D270" t="s">
        <v>4</v>
      </c>
      <c r="E270" t="s">
        <v>4</v>
      </c>
      <c r="F270" t="s">
        <v>2331</v>
      </c>
      <c r="G270" t="s">
        <v>6</v>
      </c>
      <c r="H270" t="s">
        <v>2641</v>
      </c>
      <c r="I270" s="2">
        <v>60</v>
      </c>
      <c r="J270" s="2">
        <v>0</v>
      </c>
      <c r="K270" s="2">
        <v>0</v>
      </c>
      <c r="L270" s="3">
        <v>45859</v>
      </c>
      <c r="M270" s="3">
        <v>45859</v>
      </c>
      <c r="N270" s="3"/>
      <c r="O270" t="s">
        <v>2642</v>
      </c>
      <c r="P270" t="s">
        <v>9</v>
      </c>
      <c r="Q270" s="4">
        <v>0.80820601851852003</v>
      </c>
      <c r="R270" t="s">
        <v>2331</v>
      </c>
      <c r="S270" t="s">
        <v>4</v>
      </c>
      <c r="T270" t="s">
        <v>2261</v>
      </c>
      <c r="U270" t="s">
        <v>10</v>
      </c>
      <c r="V270" s="5">
        <v>0</v>
      </c>
      <c r="W270" s="5">
        <v>0</v>
      </c>
      <c r="X270" s="2">
        <v>0</v>
      </c>
      <c r="Y270" t="s">
        <v>4</v>
      </c>
      <c r="Z270" t="s">
        <v>4</v>
      </c>
      <c r="AA270" t="s">
        <v>4</v>
      </c>
      <c r="AB270" t="s">
        <v>4</v>
      </c>
    </row>
    <row r="271" spans="1:28" x14ac:dyDescent="0.2">
      <c r="A271" t="s">
        <v>1471</v>
      </c>
      <c r="B271" t="s">
        <v>2</v>
      </c>
      <c r="C271" t="s">
        <v>3</v>
      </c>
      <c r="D271" t="s">
        <v>4</v>
      </c>
      <c r="E271" t="s">
        <v>4</v>
      </c>
      <c r="F271" t="s">
        <v>2331</v>
      </c>
      <c r="G271" t="s">
        <v>6</v>
      </c>
      <c r="H271" t="s">
        <v>2641</v>
      </c>
      <c r="I271" s="2">
        <v>60</v>
      </c>
      <c r="J271" s="2">
        <v>0</v>
      </c>
      <c r="K271" s="2">
        <v>0</v>
      </c>
      <c r="L271" s="3">
        <v>45859</v>
      </c>
      <c r="M271" s="3">
        <v>45859</v>
      </c>
      <c r="N271" s="3"/>
      <c r="O271" t="s">
        <v>2643</v>
      </c>
      <c r="P271" t="s">
        <v>9</v>
      </c>
      <c r="Q271" s="4">
        <v>0.80820601851852003</v>
      </c>
      <c r="R271" t="s">
        <v>2331</v>
      </c>
      <c r="S271" t="s">
        <v>4</v>
      </c>
      <c r="T271" t="s">
        <v>2261</v>
      </c>
      <c r="U271" t="s">
        <v>10</v>
      </c>
      <c r="V271" s="5">
        <v>0</v>
      </c>
      <c r="W271" s="5">
        <v>0</v>
      </c>
      <c r="X271" s="2">
        <v>0</v>
      </c>
      <c r="Y271" t="s">
        <v>4</v>
      </c>
      <c r="Z271" t="s">
        <v>4</v>
      </c>
      <c r="AA271" t="s">
        <v>4</v>
      </c>
      <c r="AB271" t="s">
        <v>4</v>
      </c>
    </row>
    <row r="272" spans="1:28" x14ac:dyDescent="0.2">
      <c r="A272" t="s">
        <v>1468</v>
      </c>
      <c r="B272" t="s">
        <v>2</v>
      </c>
      <c r="C272" t="s">
        <v>3</v>
      </c>
      <c r="D272" t="s">
        <v>4</v>
      </c>
      <c r="E272" t="s">
        <v>4</v>
      </c>
      <c r="F272" t="s">
        <v>2331</v>
      </c>
      <c r="G272" t="s">
        <v>6</v>
      </c>
      <c r="H272" t="s">
        <v>2644</v>
      </c>
      <c r="I272" s="2">
        <v>72</v>
      </c>
      <c r="J272" s="2">
        <v>0</v>
      </c>
      <c r="K272" s="2">
        <v>0</v>
      </c>
      <c r="L272" s="3">
        <v>45855</v>
      </c>
      <c r="M272" s="3">
        <v>45855</v>
      </c>
      <c r="N272" s="3"/>
      <c r="O272" t="s">
        <v>2645</v>
      </c>
      <c r="P272" t="s">
        <v>9</v>
      </c>
      <c r="Q272" s="4">
        <v>0.79744212962963001</v>
      </c>
      <c r="R272" t="s">
        <v>2331</v>
      </c>
      <c r="S272" t="s">
        <v>4</v>
      </c>
      <c r="T272" t="s">
        <v>2350</v>
      </c>
      <c r="U272" t="s">
        <v>10</v>
      </c>
      <c r="V272" s="5">
        <v>0</v>
      </c>
      <c r="W272" s="5">
        <v>0</v>
      </c>
      <c r="X272" s="2">
        <v>0</v>
      </c>
      <c r="Y272" t="s">
        <v>4</v>
      </c>
      <c r="Z272" t="s">
        <v>4</v>
      </c>
      <c r="AA272" t="s">
        <v>4</v>
      </c>
      <c r="AB272" t="s">
        <v>4</v>
      </c>
    </row>
    <row r="273" spans="1:28" x14ac:dyDescent="0.2">
      <c r="A273" t="s">
        <v>1468</v>
      </c>
      <c r="B273" t="s">
        <v>2</v>
      </c>
      <c r="C273" t="s">
        <v>3</v>
      </c>
      <c r="D273" t="s">
        <v>4</v>
      </c>
      <c r="E273" t="s">
        <v>4</v>
      </c>
      <c r="F273" t="s">
        <v>2331</v>
      </c>
      <c r="G273" t="s">
        <v>6</v>
      </c>
      <c r="H273" t="s">
        <v>2644</v>
      </c>
      <c r="I273" s="2">
        <v>72</v>
      </c>
      <c r="J273" s="2">
        <v>0</v>
      </c>
      <c r="K273" s="2">
        <v>0</v>
      </c>
      <c r="L273" s="3">
        <v>45855</v>
      </c>
      <c r="M273" s="3">
        <v>45855</v>
      </c>
      <c r="N273" s="3"/>
      <c r="O273" t="s">
        <v>2646</v>
      </c>
      <c r="P273" t="s">
        <v>9</v>
      </c>
      <c r="Q273" s="4">
        <v>0.79744212962963001</v>
      </c>
      <c r="R273" t="s">
        <v>2331</v>
      </c>
      <c r="S273" t="s">
        <v>4</v>
      </c>
      <c r="T273" t="s">
        <v>2350</v>
      </c>
      <c r="U273" t="s">
        <v>10</v>
      </c>
      <c r="V273" s="5">
        <v>0</v>
      </c>
      <c r="W273" s="5">
        <v>0</v>
      </c>
      <c r="X273" s="2">
        <v>0</v>
      </c>
      <c r="Y273" t="s">
        <v>4</v>
      </c>
      <c r="Z273" t="s">
        <v>4</v>
      </c>
      <c r="AA273" t="s">
        <v>4</v>
      </c>
      <c r="AB273" t="s">
        <v>4</v>
      </c>
    </row>
    <row r="274" spans="1:28" x14ac:dyDescent="0.2">
      <c r="A274" t="s">
        <v>2043</v>
      </c>
      <c r="B274" t="s">
        <v>2</v>
      </c>
      <c r="C274" t="s">
        <v>3</v>
      </c>
      <c r="D274" t="s">
        <v>4</v>
      </c>
      <c r="E274" t="s">
        <v>4</v>
      </c>
      <c r="F274" t="s">
        <v>2331</v>
      </c>
      <c r="G274" t="s">
        <v>6</v>
      </c>
      <c r="H274" t="s">
        <v>2647</v>
      </c>
      <c r="I274" s="2">
        <v>108</v>
      </c>
      <c r="J274" s="2">
        <v>0</v>
      </c>
      <c r="K274" s="2">
        <v>0</v>
      </c>
      <c r="L274" s="3">
        <v>45855</v>
      </c>
      <c r="M274" s="3">
        <v>45855</v>
      </c>
      <c r="N274" s="3"/>
      <c r="O274" t="s">
        <v>2648</v>
      </c>
      <c r="P274" t="s">
        <v>9</v>
      </c>
      <c r="Q274" s="4">
        <v>0.89203703703703996</v>
      </c>
      <c r="R274" t="s">
        <v>2331</v>
      </c>
      <c r="S274" t="s">
        <v>4</v>
      </c>
      <c r="T274" t="s">
        <v>2350</v>
      </c>
      <c r="U274" t="s">
        <v>10</v>
      </c>
      <c r="V274" s="5">
        <v>0</v>
      </c>
      <c r="W274" s="5">
        <v>0</v>
      </c>
      <c r="X274" s="2">
        <v>0</v>
      </c>
      <c r="Y274" t="s">
        <v>4</v>
      </c>
      <c r="Z274" t="s">
        <v>4</v>
      </c>
      <c r="AA274" t="s">
        <v>4</v>
      </c>
      <c r="AB274" t="s">
        <v>4</v>
      </c>
    </row>
    <row r="275" spans="1:28" x14ac:dyDescent="0.2">
      <c r="A275" t="s">
        <v>2043</v>
      </c>
      <c r="B275" t="s">
        <v>2</v>
      </c>
      <c r="C275" t="s">
        <v>3</v>
      </c>
      <c r="D275" t="s">
        <v>4</v>
      </c>
      <c r="E275" t="s">
        <v>4</v>
      </c>
      <c r="F275" t="s">
        <v>2331</v>
      </c>
      <c r="G275" t="s">
        <v>6</v>
      </c>
      <c r="H275" t="s">
        <v>2647</v>
      </c>
      <c r="I275" s="2">
        <v>108</v>
      </c>
      <c r="J275" s="2">
        <v>0</v>
      </c>
      <c r="K275" s="2">
        <v>0</v>
      </c>
      <c r="L275" s="3">
        <v>45855</v>
      </c>
      <c r="M275" s="3">
        <v>45855</v>
      </c>
      <c r="N275" s="3"/>
      <c r="O275" t="s">
        <v>2649</v>
      </c>
      <c r="P275" t="s">
        <v>9</v>
      </c>
      <c r="Q275" s="4">
        <v>0.89203703703703996</v>
      </c>
      <c r="R275" t="s">
        <v>2331</v>
      </c>
      <c r="S275" t="s">
        <v>4</v>
      </c>
      <c r="T275" t="s">
        <v>2350</v>
      </c>
      <c r="U275" t="s">
        <v>10</v>
      </c>
      <c r="V275" s="5">
        <v>0</v>
      </c>
      <c r="W275" s="5">
        <v>0</v>
      </c>
      <c r="X275" s="2">
        <v>0</v>
      </c>
      <c r="Y275" t="s">
        <v>4</v>
      </c>
      <c r="Z275" t="s">
        <v>4</v>
      </c>
      <c r="AA275" t="s">
        <v>4</v>
      </c>
      <c r="AB275" t="s">
        <v>4</v>
      </c>
    </row>
    <row r="276" spans="1:28" x14ac:dyDescent="0.2">
      <c r="A276" t="s">
        <v>1471</v>
      </c>
      <c r="B276" t="s">
        <v>2</v>
      </c>
      <c r="C276" t="s">
        <v>3</v>
      </c>
      <c r="D276" t="s">
        <v>4</v>
      </c>
      <c r="E276" t="s">
        <v>4</v>
      </c>
      <c r="F276" t="s">
        <v>2331</v>
      </c>
      <c r="G276" t="s">
        <v>6</v>
      </c>
      <c r="H276" t="s">
        <v>2650</v>
      </c>
      <c r="I276" s="2">
        <v>60</v>
      </c>
      <c r="J276" s="2">
        <v>0</v>
      </c>
      <c r="K276" s="2">
        <v>0</v>
      </c>
      <c r="L276" s="3">
        <v>45855</v>
      </c>
      <c r="M276" s="3">
        <v>45855</v>
      </c>
      <c r="N276" s="3"/>
      <c r="O276" t="s">
        <v>2651</v>
      </c>
      <c r="P276" t="s">
        <v>9</v>
      </c>
      <c r="Q276" s="4">
        <v>0.90891203703704004</v>
      </c>
      <c r="R276" t="s">
        <v>2331</v>
      </c>
      <c r="S276" t="s">
        <v>4</v>
      </c>
      <c r="T276" t="s">
        <v>2350</v>
      </c>
      <c r="U276" t="s">
        <v>10</v>
      </c>
      <c r="V276" s="5">
        <v>0</v>
      </c>
      <c r="W276" s="5">
        <v>0</v>
      </c>
      <c r="X276" s="2">
        <v>0</v>
      </c>
      <c r="Y276" t="s">
        <v>4</v>
      </c>
      <c r="Z276" t="s">
        <v>4</v>
      </c>
      <c r="AA276" t="s">
        <v>2351</v>
      </c>
      <c r="AB276" t="s">
        <v>2351</v>
      </c>
    </row>
    <row r="277" spans="1:28" x14ac:dyDescent="0.2">
      <c r="A277" t="s">
        <v>1471</v>
      </c>
      <c r="B277" t="s">
        <v>2</v>
      </c>
      <c r="C277" t="s">
        <v>3</v>
      </c>
      <c r="D277" t="s">
        <v>4</v>
      </c>
      <c r="E277" t="s">
        <v>4</v>
      </c>
      <c r="F277" t="s">
        <v>2331</v>
      </c>
      <c r="G277" t="s">
        <v>6</v>
      </c>
      <c r="H277" t="s">
        <v>2650</v>
      </c>
      <c r="I277" s="2">
        <v>60</v>
      </c>
      <c r="J277" s="2">
        <v>0</v>
      </c>
      <c r="K277" s="2">
        <v>0</v>
      </c>
      <c r="L277" s="3">
        <v>45855</v>
      </c>
      <c r="M277" s="3">
        <v>45855</v>
      </c>
      <c r="N277" s="3"/>
      <c r="O277" t="s">
        <v>2652</v>
      </c>
      <c r="P277" t="s">
        <v>9</v>
      </c>
      <c r="Q277" s="4">
        <v>0.90891203703704004</v>
      </c>
      <c r="R277" t="s">
        <v>2331</v>
      </c>
      <c r="S277" t="s">
        <v>4</v>
      </c>
      <c r="T277" t="s">
        <v>2350</v>
      </c>
      <c r="U277" t="s">
        <v>10</v>
      </c>
      <c r="V277" s="5">
        <v>0</v>
      </c>
      <c r="W277" s="5">
        <v>0</v>
      </c>
      <c r="X277" s="2">
        <v>0</v>
      </c>
      <c r="Y277" t="s">
        <v>4</v>
      </c>
      <c r="Z277" t="s">
        <v>4</v>
      </c>
      <c r="AA277" t="s">
        <v>2351</v>
      </c>
      <c r="AB277" t="s">
        <v>2351</v>
      </c>
    </row>
    <row r="278" spans="1:28" x14ac:dyDescent="0.2">
      <c r="A278" t="s">
        <v>1462</v>
      </c>
      <c r="B278" t="s">
        <v>2</v>
      </c>
      <c r="C278" t="s">
        <v>3</v>
      </c>
      <c r="D278" t="s">
        <v>4</v>
      </c>
      <c r="E278" t="s">
        <v>4</v>
      </c>
      <c r="F278" t="s">
        <v>2331</v>
      </c>
      <c r="G278" t="s">
        <v>6</v>
      </c>
      <c r="H278" t="s">
        <v>2653</v>
      </c>
      <c r="I278" s="2">
        <v>72</v>
      </c>
      <c r="J278" s="2">
        <v>0</v>
      </c>
      <c r="K278" s="2">
        <v>0</v>
      </c>
      <c r="L278" s="3">
        <v>45855</v>
      </c>
      <c r="M278" s="3">
        <v>45855</v>
      </c>
      <c r="N278" s="3"/>
      <c r="O278" t="s">
        <v>2654</v>
      </c>
      <c r="P278" t="s">
        <v>9</v>
      </c>
      <c r="Q278" s="4">
        <v>0.78127314814814997</v>
      </c>
      <c r="R278" t="s">
        <v>2331</v>
      </c>
      <c r="S278" t="s">
        <v>4</v>
      </c>
      <c r="T278" t="s">
        <v>2350</v>
      </c>
      <c r="U278" t="s">
        <v>10</v>
      </c>
      <c r="V278" s="5">
        <v>0</v>
      </c>
      <c r="W278" s="5">
        <v>0</v>
      </c>
      <c r="X278" s="2">
        <v>0</v>
      </c>
      <c r="Y278" t="s">
        <v>4</v>
      </c>
      <c r="Z278" t="s">
        <v>4</v>
      </c>
      <c r="AA278" t="s">
        <v>4</v>
      </c>
      <c r="AB278" t="s">
        <v>4</v>
      </c>
    </row>
    <row r="279" spans="1:28" x14ac:dyDescent="0.2">
      <c r="A279" t="s">
        <v>1462</v>
      </c>
      <c r="B279" t="s">
        <v>2</v>
      </c>
      <c r="C279" t="s">
        <v>3</v>
      </c>
      <c r="D279" t="s">
        <v>4</v>
      </c>
      <c r="E279" t="s">
        <v>4</v>
      </c>
      <c r="F279" t="s">
        <v>2331</v>
      </c>
      <c r="G279" t="s">
        <v>6</v>
      </c>
      <c r="H279" t="s">
        <v>2653</v>
      </c>
      <c r="I279" s="2">
        <v>72</v>
      </c>
      <c r="J279" s="2">
        <v>0</v>
      </c>
      <c r="K279" s="2">
        <v>0</v>
      </c>
      <c r="L279" s="3">
        <v>45855</v>
      </c>
      <c r="M279" s="3">
        <v>45855</v>
      </c>
      <c r="N279" s="3"/>
      <c r="O279" t="s">
        <v>2655</v>
      </c>
      <c r="P279" t="s">
        <v>9</v>
      </c>
      <c r="Q279" s="4">
        <v>0.78127314814814997</v>
      </c>
      <c r="R279" t="s">
        <v>2331</v>
      </c>
      <c r="S279" t="s">
        <v>4</v>
      </c>
      <c r="T279" t="s">
        <v>2350</v>
      </c>
      <c r="U279" t="s">
        <v>10</v>
      </c>
      <c r="V279" s="5">
        <v>0</v>
      </c>
      <c r="W279" s="5">
        <v>0</v>
      </c>
      <c r="X279" s="2">
        <v>0</v>
      </c>
      <c r="Y279" t="s">
        <v>4</v>
      </c>
      <c r="Z279" t="s">
        <v>4</v>
      </c>
      <c r="AA279" t="s">
        <v>4</v>
      </c>
      <c r="AB279" t="s">
        <v>4</v>
      </c>
    </row>
    <row r="280" spans="1:28" x14ac:dyDescent="0.2">
      <c r="A280" t="s">
        <v>1468</v>
      </c>
      <c r="B280" t="s">
        <v>2</v>
      </c>
      <c r="C280" t="s">
        <v>3</v>
      </c>
      <c r="D280" t="s">
        <v>4</v>
      </c>
      <c r="E280" t="s">
        <v>4</v>
      </c>
      <c r="F280" t="s">
        <v>2331</v>
      </c>
      <c r="G280" t="s">
        <v>6</v>
      </c>
      <c r="H280" t="s">
        <v>2656</v>
      </c>
      <c r="I280" s="2">
        <v>72</v>
      </c>
      <c r="J280" s="2">
        <v>0</v>
      </c>
      <c r="K280" s="2">
        <v>0</v>
      </c>
      <c r="L280" s="3">
        <v>45855</v>
      </c>
      <c r="M280" s="3">
        <v>45855</v>
      </c>
      <c r="N280" s="3"/>
      <c r="O280" t="s">
        <v>2657</v>
      </c>
      <c r="P280" t="s">
        <v>9</v>
      </c>
      <c r="Q280" s="4">
        <v>0.78688657407407003</v>
      </c>
      <c r="R280" t="s">
        <v>2331</v>
      </c>
      <c r="S280" t="s">
        <v>4</v>
      </c>
      <c r="T280" t="s">
        <v>2350</v>
      </c>
      <c r="U280" t="s">
        <v>10</v>
      </c>
      <c r="V280" s="5">
        <v>0</v>
      </c>
      <c r="W280" s="5">
        <v>0</v>
      </c>
      <c r="X280" s="2">
        <v>0</v>
      </c>
      <c r="Y280" t="s">
        <v>4</v>
      </c>
      <c r="Z280" t="s">
        <v>4</v>
      </c>
      <c r="AA280" t="s">
        <v>4</v>
      </c>
      <c r="AB280" t="s">
        <v>4</v>
      </c>
    </row>
    <row r="281" spans="1:28" x14ac:dyDescent="0.2">
      <c r="A281" t="s">
        <v>1468</v>
      </c>
      <c r="B281" t="s">
        <v>2</v>
      </c>
      <c r="C281" t="s">
        <v>3</v>
      </c>
      <c r="D281" t="s">
        <v>4</v>
      </c>
      <c r="E281" t="s">
        <v>4</v>
      </c>
      <c r="F281" t="s">
        <v>2331</v>
      </c>
      <c r="G281" t="s">
        <v>6</v>
      </c>
      <c r="H281" t="s">
        <v>2656</v>
      </c>
      <c r="I281" s="2">
        <v>72</v>
      </c>
      <c r="J281" s="2">
        <v>0</v>
      </c>
      <c r="K281" s="2">
        <v>0</v>
      </c>
      <c r="L281" s="3">
        <v>45855</v>
      </c>
      <c r="M281" s="3">
        <v>45855</v>
      </c>
      <c r="N281" s="3"/>
      <c r="O281" t="s">
        <v>2658</v>
      </c>
      <c r="P281" t="s">
        <v>9</v>
      </c>
      <c r="Q281" s="4">
        <v>0.78688657407407003</v>
      </c>
      <c r="R281" t="s">
        <v>2331</v>
      </c>
      <c r="S281" t="s">
        <v>4</v>
      </c>
      <c r="T281" t="s">
        <v>2350</v>
      </c>
      <c r="U281" t="s">
        <v>10</v>
      </c>
      <c r="V281" s="5">
        <v>0</v>
      </c>
      <c r="W281" s="5">
        <v>0</v>
      </c>
      <c r="X281" s="2">
        <v>0</v>
      </c>
      <c r="Y281" t="s">
        <v>4</v>
      </c>
      <c r="Z281" t="s">
        <v>4</v>
      </c>
      <c r="AA281" t="s">
        <v>4</v>
      </c>
      <c r="AB281" t="s">
        <v>4</v>
      </c>
    </row>
    <row r="282" spans="1:28" x14ac:dyDescent="0.2">
      <c r="A282" t="s">
        <v>2251</v>
      </c>
      <c r="B282" t="s">
        <v>4</v>
      </c>
      <c r="C282" t="s">
        <v>4</v>
      </c>
      <c r="D282" t="s">
        <v>4</v>
      </c>
      <c r="E282" t="s">
        <v>4</v>
      </c>
      <c r="F282" t="s">
        <v>2331</v>
      </c>
      <c r="G282" t="s">
        <v>6</v>
      </c>
      <c r="H282" t="s">
        <v>2659</v>
      </c>
      <c r="I282" s="5">
        <v>0</v>
      </c>
      <c r="J282" s="5">
        <v>0</v>
      </c>
      <c r="K282" s="5">
        <v>0</v>
      </c>
      <c r="L282" s="3"/>
      <c r="M282" s="3"/>
      <c r="N282" s="3"/>
      <c r="O282" t="s">
        <v>4</v>
      </c>
      <c r="P282" t="s">
        <v>9</v>
      </c>
      <c r="Q282" s="4">
        <v>0.92907407407407006</v>
      </c>
      <c r="R282" t="s">
        <v>4</v>
      </c>
      <c r="S282" t="s">
        <v>4</v>
      </c>
      <c r="T282" t="s">
        <v>2256</v>
      </c>
      <c r="U282" t="s">
        <v>4</v>
      </c>
      <c r="V282" s="5">
        <v>0</v>
      </c>
      <c r="W282" s="5">
        <v>0</v>
      </c>
      <c r="X282" s="2">
        <v>0</v>
      </c>
      <c r="Y282" t="s">
        <v>4</v>
      </c>
      <c r="Z282" t="s">
        <v>4</v>
      </c>
      <c r="AA282" t="s">
        <v>4</v>
      </c>
      <c r="AB282" t="s">
        <v>4</v>
      </c>
    </row>
    <row r="283" spans="1:28" x14ac:dyDescent="0.2">
      <c r="A283" t="s">
        <v>2251</v>
      </c>
      <c r="B283" t="s">
        <v>4</v>
      </c>
      <c r="C283" t="s">
        <v>4</v>
      </c>
      <c r="D283" t="s">
        <v>4</v>
      </c>
      <c r="E283" t="s">
        <v>4</v>
      </c>
      <c r="F283" t="s">
        <v>2331</v>
      </c>
      <c r="G283" t="s">
        <v>6</v>
      </c>
      <c r="H283" t="s">
        <v>2660</v>
      </c>
      <c r="I283" s="5">
        <v>0</v>
      </c>
      <c r="J283" s="5">
        <v>0</v>
      </c>
      <c r="K283" s="5">
        <v>0</v>
      </c>
      <c r="L283" s="3"/>
      <c r="M283" s="3"/>
      <c r="N283" s="3"/>
      <c r="O283" t="s">
        <v>4</v>
      </c>
      <c r="P283" t="s">
        <v>9</v>
      </c>
      <c r="Q283" s="4">
        <v>0.62119212962963</v>
      </c>
      <c r="R283" t="s">
        <v>4</v>
      </c>
      <c r="S283" t="s">
        <v>4</v>
      </c>
      <c r="T283" t="s">
        <v>2256</v>
      </c>
      <c r="U283" t="s">
        <v>4</v>
      </c>
      <c r="V283" s="5">
        <v>0</v>
      </c>
      <c r="W283" s="5">
        <v>0</v>
      </c>
      <c r="X283" s="2">
        <v>0</v>
      </c>
      <c r="Y283" t="s">
        <v>4</v>
      </c>
      <c r="Z283" t="s">
        <v>4</v>
      </c>
      <c r="AA283" t="s">
        <v>4</v>
      </c>
      <c r="AB283" t="s">
        <v>4</v>
      </c>
    </row>
    <row r="284" spans="1:28" x14ac:dyDescent="0.2">
      <c r="A284" t="s">
        <v>2251</v>
      </c>
      <c r="B284" t="s">
        <v>4</v>
      </c>
      <c r="C284" t="s">
        <v>4</v>
      </c>
      <c r="D284" t="s">
        <v>4</v>
      </c>
      <c r="E284" t="s">
        <v>4</v>
      </c>
      <c r="F284" t="s">
        <v>2331</v>
      </c>
      <c r="G284" t="s">
        <v>6</v>
      </c>
      <c r="H284" t="s">
        <v>2661</v>
      </c>
      <c r="I284" s="5">
        <v>0</v>
      </c>
      <c r="J284" s="5">
        <v>0</v>
      </c>
      <c r="K284" s="5">
        <v>0</v>
      </c>
      <c r="L284" s="3"/>
      <c r="M284" s="3"/>
      <c r="N284" s="3"/>
      <c r="O284" t="s">
        <v>4</v>
      </c>
      <c r="P284" t="s">
        <v>9</v>
      </c>
      <c r="Q284" s="4">
        <v>0</v>
      </c>
      <c r="R284" t="s">
        <v>4</v>
      </c>
      <c r="S284" t="s">
        <v>4</v>
      </c>
      <c r="T284" t="s">
        <v>2256</v>
      </c>
      <c r="U284" t="s">
        <v>4</v>
      </c>
      <c r="V284" s="5">
        <v>0</v>
      </c>
      <c r="W284" s="5">
        <v>0</v>
      </c>
      <c r="X284" s="2">
        <v>0</v>
      </c>
      <c r="Y284" t="s">
        <v>4</v>
      </c>
      <c r="Z284" t="s">
        <v>2351</v>
      </c>
      <c r="AA284" t="s">
        <v>4</v>
      </c>
      <c r="AB284" t="s">
        <v>4</v>
      </c>
    </row>
    <row r="285" spans="1:28" x14ac:dyDescent="0.2">
      <c r="A285" t="s">
        <v>2251</v>
      </c>
      <c r="B285" t="s">
        <v>4</v>
      </c>
      <c r="C285" t="s">
        <v>4</v>
      </c>
      <c r="D285" t="s">
        <v>4</v>
      </c>
      <c r="E285" t="s">
        <v>4</v>
      </c>
      <c r="F285" t="s">
        <v>2331</v>
      </c>
      <c r="G285" t="s">
        <v>6</v>
      </c>
      <c r="H285" t="s">
        <v>2662</v>
      </c>
      <c r="I285" s="5">
        <v>0</v>
      </c>
      <c r="J285" s="5">
        <v>0</v>
      </c>
      <c r="K285" s="5">
        <v>0</v>
      </c>
      <c r="L285" s="3"/>
      <c r="M285" s="3"/>
      <c r="N285" s="3"/>
      <c r="O285" t="s">
        <v>4</v>
      </c>
      <c r="P285" t="s">
        <v>9</v>
      </c>
      <c r="Q285" s="4">
        <v>0</v>
      </c>
      <c r="R285" t="s">
        <v>4</v>
      </c>
      <c r="S285" t="s">
        <v>4</v>
      </c>
      <c r="T285" t="s">
        <v>2256</v>
      </c>
      <c r="U285" t="s">
        <v>4</v>
      </c>
      <c r="V285" s="5">
        <v>0</v>
      </c>
      <c r="W285" s="5">
        <v>0</v>
      </c>
      <c r="X285" s="2">
        <v>0</v>
      </c>
      <c r="Y285" t="s">
        <v>4</v>
      </c>
      <c r="Z285" t="s">
        <v>2351</v>
      </c>
      <c r="AA285" t="s">
        <v>4</v>
      </c>
      <c r="AB285" t="s">
        <v>4</v>
      </c>
    </row>
    <row r="286" spans="1:28" x14ac:dyDescent="0.2">
      <c r="A286" t="s">
        <v>1901</v>
      </c>
      <c r="B286" t="s">
        <v>2</v>
      </c>
      <c r="C286" t="s">
        <v>3</v>
      </c>
      <c r="D286" t="s">
        <v>4</v>
      </c>
      <c r="E286" t="s">
        <v>4</v>
      </c>
      <c r="F286" t="s">
        <v>5</v>
      </c>
      <c r="G286" t="s">
        <v>6</v>
      </c>
      <c r="H286" t="s">
        <v>2663</v>
      </c>
      <c r="I286" s="2">
        <v>10560</v>
      </c>
      <c r="J286" s="2">
        <v>0</v>
      </c>
      <c r="K286" s="2">
        <v>0</v>
      </c>
      <c r="L286" s="3">
        <v>45832</v>
      </c>
      <c r="M286" s="3">
        <v>45832</v>
      </c>
      <c r="N286" s="3"/>
      <c r="O286" t="s">
        <v>2664</v>
      </c>
      <c r="P286" t="s">
        <v>9</v>
      </c>
      <c r="Q286" s="4">
        <v>0.40438657407407003</v>
      </c>
      <c r="R286" t="s">
        <v>5</v>
      </c>
      <c r="S286" t="s">
        <v>4</v>
      </c>
      <c r="T286" t="s">
        <v>2665</v>
      </c>
      <c r="U286" t="s">
        <v>10</v>
      </c>
      <c r="V286" s="5">
        <v>0</v>
      </c>
      <c r="W286" s="5">
        <v>0</v>
      </c>
      <c r="X286" s="2">
        <v>0</v>
      </c>
      <c r="Y286" t="s">
        <v>4</v>
      </c>
      <c r="Z286" t="s">
        <v>4</v>
      </c>
      <c r="AA286" t="s">
        <v>4</v>
      </c>
      <c r="AB286" t="s">
        <v>4</v>
      </c>
    </row>
    <row r="287" spans="1:28" x14ac:dyDescent="0.2">
      <c r="A287" t="s">
        <v>1888</v>
      </c>
      <c r="B287" t="s">
        <v>2</v>
      </c>
      <c r="C287" t="s">
        <v>3</v>
      </c>
      <c r="D287" t="s">
        <v>4</v>
      </c>
      <c r="E287" t="s">
        <v>4</v>
      </c>
      <c r="F287" t="s">
        <v>5</v>
      </c>
      <c r="G287" t="s">
        <v>6</v>
      </c>
      <c r="H287" t="s">
        <v>2666</v>
      </c>
      <c r="I287" s="2">
        <v>1200</v>
      </c>
      <c r="J287" s="2">
        <v>0</v>
      </c>
      <c r="K287" s="2">
        <v>0</v>
      </c>
      <c r="L287" s="3">
        <v>45858</v>
      </c>
      <c r="M287" s="3">
        <v>45858</v>
      </c>
      <c r="N287" s="3"/>
      <c r="O287" t="s">
        <v>2667</v>
      </c>
      <c r="P287" t="s">
        <v>9</v>
      </c>
      <c r="Q287" s="4">
        <v>0.59922453703704004</v>
      </c>
      <c r="R287" t="s">
        <v>5</v>
      </c>
      <c r="S287" t="s">
        <v>4</v>
      </c>
      <c r="T287" t="s">
        <v>2337</v>
      </c>
      <c r="U287" t="s">
        <v>10</v>
      </c>
      <c r="V287" s="5">
        <v>0</v>
      </c>
      <c r="W287" s="5">
        <v>0</v>
      </c>
      <c r="X287" s="2">
        <v>0</v>
      </c>
      <c r="Y287" t="s">
        <v>4</v>
      </c>
      <c r="Z287" t="s">
        <v>4</v>
      </c>
      <c r="AA287" t="s">
        <v>4</v>
      </c>
      <c r="AB287" t="s">
        <v>4</v>
      </c>
    </row>
    <row r="288" spans="1:28" x14ac:dyDescent="0.2">
      <c r="A288" t="s">
        <v>1888</v>
      </c>
      <c r="B288" t="s">
        <v>2</v>
      </c>
      <c r="C288" t="s">
        <v>3</v>
      </c>
      <c r="D288" t="s">
        <v>4</v>
      </c>
      <c r="E288" t="s">
        <v>4</v>
      </c>
      <c r="F288" t="s">
        <v>5</v>
      </c>
      <c r="G288" t="s">
        <v>6</v>
      </c>
      <c r="H288" t="s">
        <v>2666</v>
      </c>
      <c r="I288" s="2">
        <v>1200</v>
      </c>
      <c r="J288" s="2">
        <v>0</v>
      </c>
      <c r="K288" s="2">
        <v>0</v>
      </c>
      <c r="L288" s="3">
        <v>45852</v>
      </c>
      <c r="M288" s="3">
        <v>45852</v>
      </c>
      <c r="N288" s="3"/>
      <c r="O288" t="s">
        <v>2668</v>
      </c>
      <c r="P288" t="s">
        <v>9</v>
      </c>
      <c r="Q288" s="4">
        <v>0.59922453703704004</v>
      </c>
      <c r="R288" t="s">
        <v>5</v>
      </c>
      <c r="S288" t="s">
        <v>4</v>
      </c>
      <c r="T288" t="s">
        <v>2669</v>
      </c>
      <c r="U288" t="s">
        <v>10</v>
      </c>
      <c r="V288" s="5">
        <v>0</v>
      </c>
      <c r="W288" s="5">
        <v>0</v>
      </c>
      <c r="X288" s="2">
        <v>0</v>
      </c>
      <c r="Y288" t="s">
        <v>4</v>
      </c>
      <c r="Z288" t="s">
        <v>4</v>
      </c>
      <c r="AA288" t="s">
        <v>4</v>
      </c>
      <c r="AB288" t="s">
        <v>4</v>
      </c>
    </row>
    <row r="289" spans="1:28" x14ac:dyDescent="0.2">
      <c r="A289" t="s">
        <v>715</v>
      </c>
      <c r="B289" t="s">
        <v>2</v>
      </c>
      <c r="C289" t="s">
        <v>3</v>
      </c>
      <c r="D289" t="s">
        <v>4</v>
      </c>
      <c r="E289" t="s">
        <v>4</v>
      </c>
      <c r="F289" t="s">
        <v>5</v>
      </c>
      <c r="G289" t="s">
        <v>6</v>
      </c>
      <c r="H289" t="s">
        <v>2670</v>
      </c>
      <c r="I289" s="2">
        <v>88</v>
      </c>
      <c r="J289" s="2">
        <v>0</v>
      </c>
      <c r="K289" s="2">
        <v>0</v>
      </c>
      <c r="L289" s="3">
        <v>45854</v>
      </c>
      <c r="M289" s="3">
        <v>45854</v>
      </c>
      <c r="N289" s="3"/>
      <c r="O289" t="s">
        <v>2671</v>
      </c>
      <c r="P289" t="s">
        <v>9</v>
      </c>
      <c r="Q289" s="4">
        <v>0.9</v>
      </c>
      <c r="R289" t="s">
        <v>5</v>
      </c>
      <c r="S289" t="s">
        <v>4</v>
      </c>
      <c r="T289" t="s">
        <v>2299</v>
      </c>
      <c r="U289" t="s">
        <v>10</v>
      </c>
      <c r="V289" s="5">
        <v>0</v>
      </c>
      <c r="W289" s="5">
        <v>0</v>
      </c>
      <c r="X289" s="2">
        <v>0</v>
      </c>
      <c r="Y289" t="s">
        <v>4</v>
      </c>
      <c r="Z289" t="s">
        <v>4</v>
      </c>
      <c r="AA289" t="s">
        <v>4</v>
      </c>
      <c r="AB289" t="s">
        <v>4</v>
      </c>
    </row>
    <row r="290" spans="1:28" x14ac:dyDescent="0.2">
      <c r="A290" t="s">
        <v>715</v>
      </c>
      <c r="B290" t="s">
        <v>2</v>
      </c>
      <c r="C290" t="s">
        <v>3</v>
      </c>
      <c r="D290" t="s">
        <v>4</v>
      </c>
      <c r="E290" t="s">
        <v>4</v>
      </c>
      <c r="F290" t="s">
        <v>5</v>
      </c>
      <c r="G290" t="s">
        <v>6</v>
      </c>
      <c r="H290" t="s">
        <v>2670</v>
      </c>
      <c r="I290" s="2">
        <v>88</v>
      </c>
      <c r="J290" s="2">
        <v>0</v>
      </c>
      <c r="K290" s="2">
        <v>0</v>
      </c>
      <c r="L290" s="3">
        <v>45848</v>
      </c>
      <c r="M290" s="3">
        <v>45848</v>
      </c>
      <c r="N290" s="3"/>
      <c r="O290" t="s">
        <v>2672</v>
      </c>
      <c r="P290" t="s">
        <v>9</v>
      </c>
      <c r="Q290" s="4">
        <v>0.9</v>
      </c>
      <c r="R290" t="s">
        <v>5</v>
      </c>
      <c r="S290" t="s">
        <v>4</v>
      </c>
      <c r="T290" t="s">
        <v>2580</v>
      </c>
      <c r="U290" t="s">
        <v>10</v>
      </c>
      <c r="V290" s="5">
        <v>0</v>
      </c>
      <c r="W290" s="5">
        <v>0</v>
      </c>
      <c r="X290" s="2">
        <v>0</v>
      </c>
      <c r="Y290" t="s">
        <v>4</v>
      </c>
      <c r="Z290" t="s">
        <v>4</v>
      </c>
      <c r="AA290" t="s">
        <v>4</v>
      </c>
      <c r="AB290" t="s">
        <v>4</v>
      </c>
    </row>
    <row r="291" spans="1:28" x14ac:dyDescent="0.2">
      <c r="A291" t="s">
        <v>1209</v>
      </c>
      <c r="B291" t="s">
        <v>2</v>
      </c>
      <c r="C291" t="s">
        <v>3</v>
      </c>
      <c r="D291" t="s">
        <v>4</v>
      </c>
      <c r="E291" t="s">
        <v>4</v>
      </c>
      <c r="F291" t="s">
        <v>5</v>
      </c>
      <c r="G291" t="s">
        <v>6</v>
      </c>
      <c r="H291" t="s">
        <v>2673</v>
      </c>
      <c r="I291" s="2">
        <v>1200</v>
      </c>
      <c r="J291" s="2">
        <v>0</v>
      </c>
      <c r="K291" s="2">
        <v>0</v>
      </c>
      <c r="L291" s="3">
        <v>45598</v>
      </c>
      <c r="M291" s="3">
        <v>45598</v>
      </c>
      <c r="N291" s="3"/>
      <c r="O291" t="s">
        <v>2674</v>
      </c>
      <c r="P291" t="s">
        <v>9</v>
      </c>
      <c r="Q291" s="4">
        <v>0.79702546296295995</v>
      </c>
      <c r="R291" t="s">
        <v>5</v>
      </c>
      <c r="S291" t="s">
        <v>4</v>
      </c>
      <c r="T291" t="s">
        <v>2675</v>
      </c>
      <c r="U291" t="s">
        <v>10</v>
      </c>
      <c r="V291" s="5">
        <v>0</v>
      </c>
      <c r="W291" s="5">
        <v>0</v>
      </c>
      <c r="X291" s="2">
        <v>0</v>
      </c>
      <c r="Y291" t="s">
        <v>4</v>
      </c>
      <c r="Z291" t="s">
        <v>4</v>
      </c>
      <c r="AA291" t="s">
        <v>4</v>
      </c>
      <c r="AB291" t="s">
        <v>4</v>
      </c>
    </row>
    <row r="292" spans="1:28" x14ac:dyDescent="0.2">
      <c r="A292" t="s">
        <v>1209</v>
      </c>
      <c r="B292" t="s">
        <v>2</v>
      </c>
      <c r="C292" t="s">
        <v>3</v>
      </c>
      <c r="D292" t="s">
        <v>4</v>
      </c>
      <c r="E292" t="s">
        <v>4</v>
      </c>
      <c r="F292" t="s">
        <v>5</v>
      </c>
      <c r="G292" t="s">
        <v>6</v>
      </c>
      <c r="H292" t="s">
        <v>2673</v>
      </c>
      <c r="I292" s="2">
        <v>400</v>
      </c>
      <c r="J292" s="2">
        <v>0</v>
      </c>
      <c r="K292" s="2">
        <v>0</v>
      </c>
      <c r="L292" s="3">
        <v>45590</v>
      </c>
      <c r="M292" s="3">
        <v>45590</v>
      </c>
      <c r="N292" s="3"/>
      <c r="O292" t="s">
        <v>2676</v>
      </c>
      <c r="P292" t="s">
        <v>9</v>
      </c>
      <c r="Q292" s="4">
        <v>0.79702546296295995</v>
      </c>
      <c r="R292" t="s">
        <v>5</v>
      </c>
      <c r="S292" t="s">
        <v>4</v>
      </c>
      <c r="T292" t="s">
        <v>2677</v>
      </c>
      <c r="U292" t="s">
        <v>10</v>
      </c>
      <c r="V292" s="5">
        <v>0</v>
      </c>
      <c r="W292" s="5">
        <v>0</v>
      </c>
      <c r="X292" s="2">
        <v>0</v>
      </c>
      <c r="Y292" t="s">
        <v>4</v>
      </c>
      <c r="Z292" t="s">
        <v>4</v>
      </c>
      <c r="AA292" t="s">
        <v>4</v>
      </c>
      <c r="AB292" t="s">
        <v>4</v>
      </c>
    </row>
    <row r="293" spans="1:28" x14ac:dyDescent="0.2">
      <c r="A293" t="s">
        <v>1054</v>
      </c>
      <c r="B293" t="s">
        <v>2</v>
      </c>
      <c r="C293" t="s">
        <v>3</v>
      </c>
      <c r="D293" t="s">
        <v>4</v>
      </c>
      <c r="E293" t="s">
        <v>4</v>
      </c>
      <c r="F293" t="s">
        <v>5</v>
      </c>
      <c r="G293" t="s">
        <v>6</v>
      </c>
      <c r="H293" t="s">
        <v>2678</v>
      </c>
      <c r="I293" s="2">
        <v>1320</v>
      </c>
      <c r="J293" s="2">
        <v>0</v>
      </c>
      <c r="K293" s="2">
        <v>0</v>
      </c>
      <c r="L293" s="3">
        <v>45850</v>
      </c>
      <c r="M293" s="3">
        <v>45850</v>
      </c>
      <c r="N293" s="3"/>
      <c r="O293" t="s">
        <v>2679</v>
      </c>
      <c r="P293" t="s">
        <v>9</v>
      </c>
      <c r="Q293" s="4">
        <v>0.77312499999999995</v>
      </c>
      <c r="R293" t="s">
        <v>5</v>
      </c>
      <c r="S293" t="s">
        <v>4</v>
      </c>
      <c r="T293" t="s">
        <v>2680</v>
      </c>
      <c r="U293" t="s">
        <v>10</v>
      </c>
      <c r="V293" s="5">
        <v>0</v>
      </c>
      <c r="W293" s="5">
        <v>0</v>
      </c>
      <c r="X293" s="2">
        <v>0</v>
      </c>
      <c r="Y293" t="s">
        <v>4</v>
      </c>
      <c r="Z293" t="s">
        <v>4</v>
      </c>
      <c r="AA293" t="s">
        <v>4</v>
      </c>
      <c r="AB293" t="s">
        <v>4</v>
      </c>
    </row>
    <row r="294" spans="1:28" x14ac:dyDescent="0.2">
      <c r="A294" t="s">
        <v>2095</v>
      </c>
      <c r="B294" t="s">
        <v>2</v>
      </c>
      <c r="C294" t="s">
        <v>3</v>
      </c>
      <c r="D294" t="s">
        <v>4</v>
      </c>
      <c r="E294" t="s">
        <v>4</v>
      </c>
      <c r="F294" t="s">
        <v>5</v>
      </c>
      <c r="G294" t="s">
        <v>6</v>
      </c>
      <c r="H294" t="s">
        <v>2681</v>
      </c>
      <c r="I294" s="2">
        <v>3840</v>
      </c>
      <c r="J294" s="2">
        <v>0</v>
      </c>
      <c r="K294" s="2">
        <v>0</v>
      </c>
      <c r="L294" s="3">
        <v>45857</v>
      </c>
      <c r="M294" s="3">
        <v>45857</v>
      </c>
      <c r="N294" s="3"/>
      <c r="O294" t="s">
        <v>2682</v>
      </c>
      <c r="P294" t="s">
        <v>9</v>
      </c>
      <c r="Q294" s="4">
        <v>0.54365740740740998</v>
      </c>
      <c r="R294" t="s">
        <v>5</v>
      </c>
      <c r="S294" t="s">
        <v>4</v>
      </c>
      <c r="T294" t="s">
        <v>2262</v>
      </c>
      <c r="U294" t="s">
        <v>10</v>
      </c>
      <c r="V294" s="5">
        <v>0</v>
      </c>
      <c r="W294" s="5">
        <v>0</v>
      </c>
      <c r="X294" s="2">
        <v>0</v>
      </c>
      <c r="Y294" t="s">
        <v>4</v>
      </c>
      <c r="Z294" t="s">
        <v>4</v>
      </c>
      <c r="AA294" t="s">
        <v>4</v>
      </c>
      <c r="AB294" t="s">
        <v>4</v>
      </c>
    </row>
    <row r="295" spans="1:28" x14ac:dyDescent="0.2">
      <c r="A295" t="s">
        <v>2095</v>
      </c>
      <c r="B295" t="s">
        <v>2</v>
      </c>
      <c r="C295" t="s">
        <v>3</v>
      </c>
      <c r="D295" t="s">
        <v>4</v>
      </c>
      <c r="E295" t="s">
        <v>4</v>
      </c>
      <c r="F295" t="s">
        <v>5</v>
      </c>
      <c r="G295" t="s">
        <v>6</v>
      </c>
      <c r="H295" t="s">
        <v>2681</v>
      </c>
      <c r="I295" s="2">
        <v>3840</v>
      </c>
      <c r="J295" s="2">
        <v>0</v>
      </c>
      <c r="K295" s="2">
        <v>0</v>
      </c>
      <c r="L295" s="3">
        <v>45857</v>
      </c>
      <c r="M295" s="3">
        <v>45857</v>
      </c>
      <c r="N295" s="3"/>
      <c r="O295" t="s">
        <v>2683</v>
      </c>
      <c r="P295" t="s">
        <v>9</v>
      </c>
      <c r="Q295" s="4">
        <v>0.54365740740740998</v>
      </c>
      <c r="R295" t="s">
        <v>5</v>
      </c>
      <c r="S295" t="s">
        <v>4</v>
      </c>
      <c r="T295" t="s">
        <v>2262</v>
      </c>
      <c r="U295" t="s">
        <v>10</v>
      </c>
      <c r="V295" s="5">
        <v>0</v>
      </c>
      <c r="W295" s="5">
        <v>0</v>
      </c>
      <c r="X295" s="2">
        <v>0</v>
      </c>
      <c r="Y295" t="s">
        <v>4</v>
      </c>
      <c r="Z295" t="s">
        <v>4</v>
      </c>
      <c r="AA295" t="s">
        <v>4</v>
      </c>
      <c r="AB295" t="s">
        <v>4</v>
      </c>
    </row>
    <row r="296" spans="1:28" x14ac:dyDescent="0.2">
      <c r="A296" t="s">
        <v>1982</v>
      </c>
      <c r="B296" t="s">
        <v>2</v>
      </c>
      <c r="C296" t="s">
        <v>3</v>
      </c>
      <c r="D296" t="s">
        <v>4</v>
      </c>
      <c r="E296" t="s">
        <v>4</v>
      </c>
      <c r="F296" t="s">
        <v>5</v>
      </c>
      <c r="G296" t="s">
        <v>6</v>
      </c>
      <c r="H296" t="s">
        <v>2684</v>
      </c>
      <c r="I296" s="2">
        <v>3360</v>
      </c>
      <c r="J296" s="2">
        <v>0</v>
      </c>
      <c r="K296" s="2">
        <v>0</v>
      </c>
      <c r="L296" s="3">
        <v>45858</v>
      </c>
      <c r="M296" s="3">
        <v>45858</v>
      </c>
      <c r="N296" s="3"/>
      <c r="O296" t="s">
        <v>2685</v>
      </c>
      <c r="P296" t="s">
        <v>9</v>
      </c>
      <c r="Q296" s="4">
        <v>0.40751157407407002</v>
      </c>
      <c r="R296" t="s">
        <v>5</v>
      </c>
      <c r="S296" t="s">
        <v>4</v>
      </c>
      <c r="T296" t="s">
        <v>2337</v>
      </c>
      <c r="U296" t="s">
        <v>10</v>
      </c>
      <c r="V296" s="5">
        <v>0</v>
      </c>
      <c r="W296" s="5">
        <v>0</v>
      </c>
      <c r="X296" s="2">
        <v>0</v>
      </c>
      <c r="Y296" t="s">
        <v>4</v>
      </c>
      <c r="Z296" t="s">
        <v>4</v>
      </c>
      <c r="AA296" t="s">
        <v>4</v>
      </c>
      <c r="AB296" t="s">
        <v>4</v>
      </c>
    </row>
    <row r="297" spans="1:28" x14ac:dyDescent="0.2">
      <c r="A297" t="s">
        <v>1982</v>
      </c>
      <c r="B297" t="s">
        <v>2</v>
      </c>
      <c r="C297" t="s">
        <v>3</v>
      </c>
      <c r="D297" t="s">
        <v>4</v>
      </c>
      <c r="E297" t="s">
        <v>4</v>
      </c>
      <c r="F297" t="s">
        <v>5</v>
      </c>
      <c r="G297" t="s">
        <v>6</v>
      </c>
      <c r="H297" t="s">
        <v>2684</v>
      </c>
      <c r="I297" s="2">
        <v>3360</v>
      </c>
      <c r="J297" s="2">
        <v>0</v>
      </c>
      <c r="K297" s="2">
        <v>0</v>
      </c>
      <c r="L297" s="3">
        <v>45858</v>
      </c>
      <c r="M297" s="3">
        <v>45858</v>
      </c>
      <c r="N297" s="3"/>
      <c r="O297" t="s">
        <v>2686</v>
      </c>
      <c r="P297" t="s">
        <v>9</v>
      </c>
      <c r="Q297" s="4">
        <v>0.40751157407407002</v>
      </c>
      <c r="R297" t="s">
        <v>5</v>
      </c>
      <c r="S297" t="s">
        <v>4</v>
      </c>
      <c r="T297" t="s">
        <v>2337</v>
      </c>
      <c r="U297" t="s">
        <v>10</v>
      </c>
      <c r="V297" s="5">
        <v>0</v>
      </c>
      <c r="W297" s="5">
        <v>0</v>
      </c>
      <c r="X297" s="2">
        <v>0</v>
      </c>
      <c r="Y297" t="s">
        <v>4</v>
      </c>
      <c r="Z297" t="s">
        <v>4</v>
      </c>
      <c r="AA297" t="s">
        <v>4</v>
      </c>
      <c r="AB297" t="s">
        <v>4</v>
      </c>
    </row>
    <row r="298" spans="1:28" x14ac:dyDescent="0.2">
      <c r="A298" t="s">
        <v>1471</v>
      </c>
      <c r="B298" t="s">
        <v>2</v>
      </c>
      <c r="C298" t="s">
        <v>3</v>
      </c>
      <c r="D298" t="s">
        <v>4</v>
      </c>
      <c r="E298" t="s">
        <v>4</v>
      </c>
      <c r="F298" t="s">
        <v>5</v>
      </c>
      <c r="G298" t="s">
        <v>6</v>
      </c>
      <c r="H298" t="s">
        <v>2687</v>
      </c>
      <c r="I298" s="2">
        <v>60</v>
      </c>
      <c r="J298" s="2">
        <v>0</v>
      </c>
      <c r="K298" s="2">
        <v>0</v>
      </c>
      <c r="L298" s="3">
        <v>45852</v>
      </c>
      <c r="M298" s="3">
        <v>45852</v>
      </c>
      <c r="N298" s="3"/>
      <c r="O298" t="s">
        <v>2688</v>
      </c>
      <c r="P298" t="s">
        <v>9</v>
      </c>
      <c r="Q298" s="4">
        <v>0.83820601851851995</v>
      </c>
      <c r="R298" t="s">
        <v>5</v>
      </c>
      <c r="S298" t="s">
        <v>4</v>
      </c>
      <c r="T298" t="s">
        <v>2669</v>
      </c>
      <c r="U298" t="s">
        <v>10</v>
      </c>
      <c r="V298" s="5">
        <v>0</v>
      </c>
      <c r="W298" s="5">
        <v>0</v>
      </c>
      <c r="X298" s="2">
        <v>0</v>
      </c>
      <c r="Y298" t="s">
        <v>4</v>
      </c>
      <c r="Z298" t="s">
        <v>4</v>
      </c>
      <c r="AA298" t="s">
        <v>4</v>
      </c>
      <c r="AB298" t="s">
        <v>4</v>
      </c>
    </row>
    <row r="299" spans="1:28" x14ac:dyDescent="0.2">
      <c r="A299" t="s">
        <v>1812</v>
      </c>
      <c r="B299" t="s">
        <v>2</v>
      </c>
      <c r="C299" t="s">
        <v>3</v>
      </c>
      <c r="D299" t="s">
        <v>4</v>
      </c>
      <c r="E299" t="s">
        <v>4</v>
      </c>
      <c r="F299" t="s">
        <v>5</v>
      </c>
      <c r="G299" t="s">
        <v>6</v>
      </c>
      <c r="H299" t="s">
        <v>2689</v>
      </c>
      <c r="I299" s="2">
        <v>10151</v>
      </c>
      <c r="J299" s="2">
        <v>0</v>
      </c>
      <c r="K299" s="2">
        <v>0</v>
      </c>
      <c r="L299" s="3">
        <v>45824</v>
      </c>
      <c r="M299" s="3">
        <v>45824</v>
      </c>
      <c r="N299" s="3"/>
      <c r="O299" t="s">
        <v>2690</v>
      </c>
      <c r="P299" t="s">
        <v>9</v>
      </c>
      <c r="Q299" s="4">
        <v>0.88671296296295998</v>
      </c>
      <c r="R299" t="s">
        <v>5</v>
      </c>
      <c r="S299" t="s">
        <v>4</v>
      </c>
      <c r="T299" t="s">
        <v>2691</v>
      </c>
      <c r="U299" t="s">
        <v>10</v>
      </c>
      <c r="V299" s="5">
        <v>0</v>
      </c>
      <c r="W299" s="5">
        <v>0</v>
      </c>
      <c r="X299" s="2">
        <v>0</v>
      </c>
      <c r="Y299" t="s">
        <v>4</v>
      </c>
      <c r="Z299" t="s">
        <v>4</v>
      </c>
      <c r="AA299" t="s">
        <v>4</v>
      </c>
      <c r="AB299" t="s">
        <v>4</v>
      </c>
    </row>
    <row r="300" spans="1:28" x14ac:dyDescent="0.2">
      <c r="A300" t="s">
        <v>1812</v>
      </c>
      <c r="B300" t="s">
        <v>2</v>
      </c>
      <c r="C300" t="s">
        <v>3</v>
      </c>
      <c r="D300" t="s">
        <v>4</v>
      </c>
      <c r="E300" t="s">
        <v>4</v>
      </c>
      <c r="F300" t="s">
        <v>5</v>
      </c>
      <c r="G300" t="s">
        <v>6</v>
      </c>
      <c r="H300" t="s">
        <v>2689</v>
      </c>
      <c r="I300" s="2">
        <v>12000</v>
      </c>
      <c r="J300" s="2">
        <v>0</v>
      </c>
      <c r="K300" s="2">
        <v>0</v>
      </c>
      <c r="L300" s="3">
        <v>45824</v>
      </c>
      <c r="M300" s="3">
        <v>45824</v>
      </c>
      <c r="N300" s="3"/>
      <c r="O300" t="s">
        <v>2692</v>
      </c>
      <c r="P300" t="s">
        <v>9</v>
      </c>
      <c r="Q300" s="4">
        <v>0.88671296296295998</v>
      </c>
      <c r="R300" t="s">
        <v>5</v>
      </c>
      <c r="S300" t="s">
        <v>4</v>
      </c>
      <c r="T300" t="s">
        <v>2691</v>
      </c>
      <c r="U300" t="s">
        <v>10</v>
      </c>
      <c r="V300" s="5">
        <v>0</v>
      </c>
      <c r="W300" s="5">
        <v>0</v>
      </c>
      <c r="X300" s="2">
        <v>0</v>
      </c>
      <c r="Y300" t="s">
        <v>4</v>
      </c>
      <c r="Z300" t="s">
        <v>4</v>
      </c>
      <c r="AA300" t="s">
        <v>4</v>
      </c>
      <c r="AB300" t="s">
        <v>4</v>
      </c>
    </row>
    <row r="301" spans="1:28" x14ac:dyDescent="0.2">
      <c r="A301" t="s">
        <v>2043</v>
      </c>
      <c r="B301" t="s">
        <v>2</v>
      </c>
      <c r="C301" t="s">
        <v>3</v>
      </c>
      <c r="D301" t="s">
        <v>4</v>
      </c>
      <c r="E301" t="s">
        <v>4</v>
      </c>
      <c r="F301" t="s">
        <v>5</v>
      </c>
      <c r="G301" t="s">
        <v>6</v>
      </c>
      <c r="H301" t="s">
        <v>2693</v>
      </c>
      <c r="I301" s="2">
        <v>108</v>
      </c>
      <c r="J301" s="2">
        <v>0</v>
      </c>
      <c r="K301" s="2">
        <v>0</v>
      </c>
      <c r="L301" s="3">
        <v>45852</v>
      </c>
      <c r="M301" s="3">
        <v>45852</v>
      </c>
      <c r="N301" s="3"/>
      <c r="O301" t="s">
        <v>2694</v>
      </c>
      <c r="P301" t="s">
        <v>9</v>
      </c>
      <c r="Q301" s="4">
        <v>0.70349537037037002</v>
      </c>
      <c r="R301" t="s">
        <v>5</v>
      </c>
      <c r="S301" t="s">
        <v>4</v>
      </c>
      <c r="T301" t="s">
        <v>2669</v>
      </c>
      <c r="U301" t="s">
        <v>10</v>
      </c>
      <c r="V301" s="5">
        <v>0</v>
      </c>
      <c r="W301" s="5">
        <v>0</v>
      </c>
      <c r="X301" s="2">
        <v>0</v>
      </c>
      <c r="Y301" t="s">
        <v>4</v>
      </c>
      <c r="Z301" t="s">
        <v>4</v>
      </c>
      <c r="AA301" t="s">
        <v>4</v>
      </c>
      <c r="AB301" t="s">
        <v>4</v>
      </c>
    </row>
    <row r="302" spans="1:28" x14ac:dyDescent="0.2">
      <c r="A302" t="s">
        <v>2043</v>
      </c>
      <c r="B302" t="s">
        <v>2</v>
      </c>
      <c r="C302" t="s">
        <v>3</v>
      </c>
      <c r="D302" t="s">
        <v>4</v>
      </c>
      <c r="E302" t="s">
        <v>4</v>
      </c>
      <c r="F302" t="s">
        <v>5</v>
      </c>
      <c r="G302" t="s">
        <v>6</v>
      </c>
      <c r="H302" t="s">
        <v>2693</v>
      </c>
      <c r="I302" s="2">
        <v>108</v>
      </c>
      <c r="J302" s="2">
        <v>0</v>
      </c>
      <c r="K302" s="2">
        <v>0</v>
      </c>
      <c r="L302" s="3">
        <v>45852</v>
      </c>
      <c r="M302" s="3">
        <v>45852</v>
      </c>
      <c r="N302" s="3"/>
      <c r="O302" t="s">
        <v>2695</v>
      </c>
      <c r="P302" t="s">
        <v>9</v>
      </c>
      <c r="Q302" s="4">
        <v>0.70349537037037002</v>
      </c>
      <c r="R302" t="s">
        <v>5</v>
      </c>
      <c r="S302" t="s">
        <v>4</v>
      </c>
      <c r="T302" t="s">
        <v>2669</v>
      </c>
      <c r="U302" t="s">
        <v>10</v>
      </c>
      <c r="V302" s="5">
        <v>0</v>
      </c>
      <c r="W302" s="5">
        <v>0</v>
      </c>
      <c r="X302" s="2">
        <v>0</v>
      </c>
      <c r="Y302" t="s">
        <v>4</v>
      </c>
      <c r="Z302" t="s">
        <v>4</v>
      </c>
      <c r="AA302" t="s">
        <v>4</v>
      </c>
      <c r="AB302" t="s">
        <v>4</v>
      </c>
    </row>
    <row r="303" spans="1:28" x14ac:dyDescent="0.2">
      <c r="A303" t="s">
        <v>1038</v>
      </c>
      <c r="B303" t="s">
        <v>2</v>
      </c>
      <c r="C303" t="s">
        <v>3</v>
      </c>
      <c r="D303" t="s">
        <v>4</v>
      </c>
      <c r="E303" t="s">
        <v>4</v>
      </c>
      <c r="F303" t="s">
        <v>5</v>
      </c>
      <c r="G303" t="s">
        <v>6</v>
      </c>
      <c r="H303" t="s">
        <v>2696</v>
      </c>
      <c r="I303" s="2">
        <v>31</v>
      </c>
      <c r="J303" s="2">
        <v>0</v>
      </c>
      <c r="K303" s="2">
        <v>0</v>
      </c>
      <c r="L303" s="3">
        <v>45853</v>
      </c>
      <c r="M303" s="3">
        <v>45853</v>
      </c>
      <c r="N303" s="3"/>
      <c r="O303" t="s">
        <v>2697</v>
      </c>
      <c r="P303" t="s">
        <v>9</v>
      </c>
      <c r="Q303" s="4">
        <v>0.97555555555555995</v>
      </c>
      <c r="R303" t="s">
        <v>5</v>
      </c>
      <c r="S303" t="s">
        <v>4</v>
      </c>
      <c r="T303" t="s">
        <v>2272</v>
      </c>
      <c r="U303" t="s">
        <v>10</v>
      </c>
      <c r="V303" s="5">
        <v>0</v>
      </c>
      <c r="W303" s="5">
        <v>0</v>
      </c>
      <c r="X303" s="2">
        <v>0</v>
      </c>
      <c r="Y303" t="s">
        <v>4</v>
      </c>
      <c r="Z303" t="s">
        <v>4</v>
      </c>
      <c r="AA303" t="s">
        <v>4</v>
      </c>
      <c r="AB303" t="s">
        <v>4</v>
      </c>
    </row>
    <row r="304" spans="1:28" x14ac:dyDescent="0.2">
      <c r="A304" t="s">
        <v>662</v>
      </c>
      <c r="B304" t="s">
        <v>2</v>
      </c>
      <c r="C304" t="s">
        <v>3</v>
      </c>
      <c r="D304" t="s">
        <v>4</v>
      </c>
      <c r="E304" t="s">
        <v>4</v>
      </c>
      <c r="F304" t="s">
        <v>5</v>
      </c>
      <c r="G304" t="s">
        <v>6</v>
      </c>
      <c r="H304" t="s">
        <v>2698</v>
      </c>
      <c r="I304" s="2">
        <v>216</v>
      </c>
      <c r="J304" s="2">
        <v>0</v>
      </c>
      <c r="K304" s="2">
        <v>0</v>
      </c>
      <c r="L304" s="3">
        <v>45847</v>
      </c>
      <c r="M304" s="3">
        <v>45847</v>
      </c>
      <c r="N304" s="3"/>
      <c r="O304" t="s">
        <v>2699</v>
      </c>
      <c r="P304" t="s">
        <v>9</v>
      </c>
      <c r="Q304" s="4">
        <v>0.50512731481480999</v>
      </c>
      <c r="R304" t="s">
        <v>5</v>
      </c>
      <c r="S304" t="s">
        <v>4</v>
      </c>
      <c r="T304" t="s">
        <v>2341</v>
      </c>
      <c r="U304" t="s">
        <v>10</v>
      </c>
      <c r="V304" s="5">
        <v>0</v>
      </c>
      <c r="W304" s="5">
        <v>0</v>
      </c>
      <c r="X304" s="2">
        <v>0</v>
      </c>
      <c r="Y304" t="s">
        <v>4</v>
      </c>
      <c r="Z304" t="s">
        <v>4</v>
      </c>
      <c r="AA304" t="s">
        <v>4</v>
      </c>
      <c r="AB304" t="s">
        <v>4</v>
      </c>
    </row>
    <row r="305" spans="1:28" x14ac:dyDescent="0.2">
      <c r="A305" t="s">
        <v>662</v>
      </c>
      <c r="B305" t="s">
        <v>2</v>
      </c>
      <c r="C305" t="s">
        <v>3</v>
      </c>
      <c r="D305" t="s">
        <v>4</v>
      </c>
      <c r="E305" t="s">
        <v>4</v>
      </c>
      <c r="F305" t="s">
        <v>5</v>
      </c>
      <c r="G305" t="s">
        <v>6</v>
      </c>
      <c r="H305" t="s">
        <v>2698</v>
      </c>
      <c r="I305" s="2">
        <v>54</v>
      </c>
      <c r="J305" s="2">
        <v>0</v>
      </c>
      <c r="K305" s="2">
        <v>0</v>
      </c>
      <c r="L305" s="3">
        <v>45845</v>
      </c>
      <c r="M305" s="3">
        <v>45845</v>
      </c>
      <c r="N305" s="3"/>
      <c r="O305" t="s">
        <v>2700</v>
      </c>
      <c r="P305" t="s">
        <v>9</v>
      </c>
      <c r="Q305" s="4">
        <v>0.50512731481480999</v>
      </c>
      <c r="R305" t="s">
        <v>5</v>
      </c>
      <c r="S305" t="s">
        <v>4</v>
      </c>
      <c r="T305" t="s">
        <v>2701</v>
      </c>
      <c r="U305" t="s">
        <v>10</v>
      </c>
      <c r="V305" s="5">
        <v>0</v>
      </c>
      <c r="W305" s="5">
        <v>0</v>
      </c>
      <c r="X305" s="2">
        <v>0</v>
      </c>
      <c r="Y305" t="s">
        <v>4</v>
      </c>
      <c r="Z305" t="s">
        <v>4</v>
      </c>
      <c r="AA305" t="s">
        <v>4</v>
      </c>
      <c r="AB305" t="s">
        <v>4</v>
      </c>
    </row>
    <row r="306" spans="1:28" x14ac:dyDescent="0.2">
      <c r="A306" t="s">
        <v>1135</v>
      </c>
      <c r="B306" t="s">
        <v>2</v>
      </c>
      <c r="C306" t="s">
        <v>3</v>
      </c>
      <c r="D306" t="s">
        <v>4</v>
      </c>
      <c r="E306" t="s">
        <v>4</v>
      </c>
      <c r="F306" t="s">
        <v>5</v>
      </c>
      <c r="G306" t="s">
        <v>6</v>
      </c>
      <c r="H306" t="s">
        <v>2702</v>
      </c>
      <c r="I306" s="2">
        <v>480</v>
      </c>
      <c r="J306" s="2">
        <v>0</v>
      </c>
      <c r="K306" s="2">
        <v>0</v>
      </c>
      <c r="L306" s="3">
        <v>45850</v>
      </c>
      <c r="M306" s="3">
        <v>45850</v>
      </c>
      <c r="N306" s="3"/>
      <c r="O306" t="s">
        <v>2703</v>
      </c>
      <c r="P306" t="s">
        <v>9</v>
      </c>
      <c r="Q306" s="4">
        <v>0.89373842592593</v>
      </c>
      <c r="R306" t="s">
        <v>5</v>
      </c>
      <c r="S306" t="s">
        <v>4</v>
      </c>
      <c r="T306" t="s">
        <v>2680</v>
      </c>
      <c r="U306" t="s">
        <v>10</v>
      </c>
      <c r="V306" s="5">
        <v>0</v>
      </c>
      <c r="W306" s="5">
        <v>0</v>
      </c>
      <c r="X306" s="2">
        <v>0</v>
      </c>
      <c r="Y306" t="s">
        <v>4</v>
      </c>
      <c r="Z306" t="s">
        <v>4</v>
      </c>
      <c r="AA306" t="s">
        <v>4</v>
      </c>
      <c r="AB306" t="s">
        <v>4</v>
      </c>
    </row>
    <row r="307" spans="1:28" x14ac:dyDescent="0.2">
      <c r="A307" t="s">
        <v>1135</v>
      </c>
      <c r="B307" t="s">
        <v>2</v>
      </c>
      <c r="C307" t="s">
        <v>3</v>
      </c>
      <c r="D307" t="s">
        <v>4</v>
      </c>
      <c r="E307" t="s">
        <v>4</v>
      </c>
      <c r="F307" t="s">
        <v>5</v>
      </c>
      <c r="G307" t="s">
        <v>6</v>
      </c>
      <c r="H307" t="s">
        <v>2702</v>
      </c>
      <c r="I307" s="2">
        <v>480</v>
      </c>
      <c r="J307" s="2">
        <v>0</v>
      </c>
      <c r="K307" s="2">
        <v>0</v>
      </c>
      <c r="L307" s="3">
        <v>45850</v>
      </c>
      <c r="M307" s="3">
        <v>45850</v>
      </c>
      <c r="N307" s="3"/>
      <c r="O307" t="s">
        <v>2704</v>
      </c>
      <c r="P307" t="s">
        <v>9</v>
      </c>
      <c r="Q307" s="4">
        <v>0.89373842592593</v>
      </c>
      <c r="R307" t="s">
        <v>5</v>
      </c>
      <c r="S307" t="s">
        <v>4</v>
      </c>
      <c r="T307" t="s">
        <v>2680</v>
      </c>
      <c r="U307" t="s">
        <v>10</v>
      </c>
      <c r="V307" s="5">
        <v>0</v>
      </c>
      <c r="W307" s="5">
        <v>0</v>
      </c>
      <c r="X307" s="2">
        <v>0</v>
      </c>
      <c r="Y307" t="s">
        <v>4</v>
      </c>
      <c r="Z307" t="s">
        <v>4</v>
      </c>
      <c r="AA307" t="s">
        <v>4</v>
      </c>
      <c r="AB307" t="s">
        <v>4</v>
      </c>
    </row>
    <row r="308" spans="1:28" x14ac:dyDescent="0.2">
      <c r="A308" t="s">
        <v>1822</v>
      </c>
      <c r="B308" t="s">
        <v>2</v>
      </c>
      <c r="C308" t="s">
        <v>3</v>
      </c>
      <c r="D308" t="s">
        <v>4</v>
      </c>
      <c r="E308" t="s">
        <v>4</v>
      </c>
      <c r="F308" t="s">
        <v>5</v>
      </c>
      <c r="G308" t="s">
        <v>6</v>
      </c>
      <c r="H308" t="s">
        <v>2705</v>
      </c>
      <c r="I308" s="2">
        <v>480</v>
      </c>
      <c r="J308" s="2">
        <v>0</v>
      </c>
      <c r="K308" s="2">
        <v>0</v>
      </c>
      <c r="L308" s="3">
        <v>45854</v>
      </c>
      <c r="M308" s="3">
        <v>45854</v>
      </c>
      <c r="N308" s="3"/>
      <c r="O308" t="s">
        <v>2706</v>
      </c>
      <c r="P308" t="s">
        <v>9</v>
      </c>
      <c r="Q308" s="4">
        <v>0.75377314814815</v>
      </c>
      <c r="R308" t="s">
        <v>5</v>
      </c>
      <c r="S308" t="s">
        <v>4</v>
      </c>
      <c r="T308" t="s">
        <v>2299</v>
      </c>
      <c r="U308" t="s">
        <v>10</v>
      </c>
      <c r="V308" s="5">
        <v>0</v>
      </c>
      <c r="W308" s="5">
        <v>0</v>
      </c>
      <c r="X308" s="2">
        <v>0</v>
      </c>
      <c r="Y308" t="s">
        <v>4</v>
      </c>
      <c r="Z308" t="s">
        <v>4</v>
      </c>
      <c r="AA308" t="s">
        <v>4</v>
      </c>
      <c r="AB308" t="s">
        <v>4</v>
      </c>
    </row>
    <row r="309" spans="1:28" x14ac:dyDescent="0.2">
      <c r="A309" t="s">
        <v>1822</v>
      </c>
      <c r="B309" t="s">
        <v>2</v>
      </c>
      <c r="C309" t="s">
        <v>3</v>
      </c>
      <c r="D309" t="s">
        <v>4</v>
      </c>
      <c r="E309" t="s">
        <v>4</v>
      </c>
      <c r="F309" t="s">
        <v>5</v>
      </c>
      <c r="G309" t="s">
        <v>6</v>
      </c>
      <c r="H309" t="s">
        <v>2705</v>
      </c>
      <c r="I309" s="2">
        <v>480</v>
      </c>
      <c r="J309" s="2">
        <v>0</v>
      </c>
      <c r="K309" s="2">
        <v>0</v>
      </c>
      <c r="L309" s="3">
        <v>45855</v>
      </c>
      <c r="M309" s="3">
        <v>45855</v>
      </c>
      <c r="N309" s="3"/>
      <c r="O309" t="s">
        <v>2707</v>
      </c>
      <c r="P309" t="s">
        <v>9</v>
      </c>
      <c r="Q309" s="4">
        <v>0.75377314814815</v>
      </c>
      <c r="R309" t="s">
        <v>5</v>
      </c>
      <c r="S309" t="s">
        <v>4</v>
      </c>
      <c r="T309" t="s">
        <v>2350</v>
      </c>
      <c r="U309" t="s">
        <v>10</v>
      </c>
      <c r="V309" s="5">
        <v>0</v>
      </c>
      <c r="W309" s="5">
        <v>0</v>
      </c>
      <c r="X309" s="2">
        <v>0</v>
      </c>
      <c r="Y309" t="s">
        <v>4</v>
      </c>
      <c r="Z309" t="s">
        <v>4</v>
      </c>
      <c r="AA309" t="s">
        <v>4</v>
      </c>
      <c r="AB309" t="s">
        <v>4</v>
      </c>
    </row>
    <row r="310" spans="1:28" x14ac:dyDescent="0.2">
      <c r="A310" t="s">
        <v>699</v>
      </c>
      <c r="B310" t="s">
        <v>2</v>
      </c>
      <c r="C310" t="s">
        <v>3</v>
      </c>
      <c r="D310" t="s">
        <v>4</v>
      </c>
      <c r="E310" t="s">
        <v>4</v>
      </c>
      <c r="F310" t="s">
        <v>5</v>
      </c>
      <c r="G310" t="s">
        <v>6</v>
      </c>
      <c r="H310" t="s">
        <v>2708</v>
      </c>
      <c r="I310" s="2">
        <v>70</v>
      </c>
      <c r="J310" s="2">
        <v>0</v>
      </c>
      <c r="K310" s="2">
        <v>0</v>
      </c>
      <c r="L310" s="3">
        <v>45857</v>
      </c>
      <c r="M310" s="3">
        <v>45857</v>
      </c>
      <c r="N310" s="3"/>
      <c r="O310" t="s">
        <v>2709</v>
      </c>
      <c r="P310" t="s">
        <v>9</v>
      </c>
      <c r="Q310" s="4">
        <v>0.69414351851851996</v>
      </c>
      <c r="R310" t="s">
        <v>5</v>
      </c>
      <c r="S310" t="s">
        <v>4</v>
      </c>
      <c r="T310" t="s">
        <v>2262</v>
      </c>
      <c r="U310" t="s">
        <v>10</v>
      </c>
      <c r="V310" s="5">
        <v>0</v>
      </c>
      <c r="W310" s="5">
        <v>0</v>
      </c>
      <c r="X310" s="2">
        <v>0</v>
      </c>
      <c r="Y310" t="s">
        <v>4</v>
      </c>
      <c r="Z310" t="s">
        <v>4</v>
      </c>
      <c r="AA310" t="s">
        <v>4</v>
      </c>
      <c r="AB310" t="s">
        <v>4</v>
      </c>
    </row>
    <row r="311" spans="1:28" x14ac:dyDescent="0.2">
      <c r="A311" t="s">
        <v>699</v>
      </c>
      <c r="B311" t="s">
        <v>2</v>
      </c>
      <c r="C311" t="s">
        <v>3</v>
      </c>
      <c r="D311" t="s">
        <v>4</v>
      </c>
      <c r="E311" t="s">
        <v>4</v>
      </c>
      <c r="F311" t="s">
        <v>5</v>
      </c>
      <c r="G311" t="s">
        <v>6</v>
      </c>
      <c r="H311" t="s">
        <v>2708</v>
      </c>
      <c r="I311" s="2">
        <v>70</v>
      </c>
      <c r="J311" s="2">
        <v>0</v>
      </c>
      <c r="K311" s="2">
        <v>0</v>
      </c>
      <c r="L311" s="3">
        <v>45857</v>
      </c>
      <c r="M311" s="3">
        <v>45857</v>
      </c>
      <c r="N311" s="3"/>
      <c r="O311" t="s">
        <v>2710</v>
      </c>
      <c r="P311" t="s">
        <v>9</v>
      </c>
      <c r="Q311" s="4">
        <v>0.69414351851851996</v>
      </c>
      <c r="R311" t="s">
        <v>5</v>
      </c>
      <c r="S311" t="s">
        <v>4</v>
      </c>
      <c r="T311" t="s">
        <v>2262</v>
      </c>
      <c r="U311" t="s">
        <v>10</v>
      </c>
      <c r="V311" s="5">
        <v>0</v>
      </c>
      <c r="W311" s="5">
        <v>0</v>
      </c>
      <c r="X311" s="2">
        <v>0</v>
      </c>
      <c r="Y311" t="s">
        <v>4</v>
      </c>
      <c r="Z311" t="s">
        <v>4</v>
      </c>
      <c r="AA311" t="s">
        <v>4</v>
      </c>
      <c r="AB311" t="s">
        <v>4</v>
      </c>
    </row>
    <row r="312" spans="1:28" x14ac:dyDescent="0.2">
      <c r="A312" t="s">
        <v>1812</v>
      </c>
      <c r="B312" t="s">
        <v>2</v>
      </c>
      <c r="C312" t="s">
        <v>3</v>
      </c>
      <c r="D312" t="s">
        <v>4</v>
      </c>
      <c r="E312" t="s">
        <v>4</v>
      </c>
      <c r="F312" t="s">
        <v>5</v>
      </c>
      <c r="G312" t="s">
        <v>6</v>
      </c>
      <c r="H312" t="s">
        <v>2711</v>
      </c>
      <c r="I312" s="2">
        <v>12000</v>
      </c>
      <c r="J312" s="2">
        <v>0</v>
      </c>
      <c r="K312" s="2">
        <v>0</v>
      </c>
      <c r="L312" s="3">
        <v>45824</v>
      </c>
      <c r="M312" s="3">
        <v>45824</v>
      </c>
      <c r="N312" s="3"/>
      <c r="O312" t="s">
        <v>2712</v>
      </c>
      <c r="P312" t="s">
        <v>9</v>
      </c>
      <c r="Q312" s="4">
        <v>0.88736111111111005</v>
      </c>
      <c r="R312" t="s">
        <v>5</v>
      </c>
      <c r="S312" t="s">
        <v>4</v>
      </c>
      <c r="T312" t="s">
        <v>2691</v>
      </c>
      <c r="U312" t="s">
        <v>10</v>
      </c>
      <c r="V312" s="5">
        <v>0</v>
      </c>
      <c r="W312" s="5">
        <v>0</v>
      </c>
      <c r="X312" s="2">
        <v>0</v>
      </c>
      <c r="Y312" t="s">
        <v>4</v>
      </c>
      <c r="Z312" t="s">
        <v>4</v>
      </c>
      <c r="AA312" t="s">
        <v>4</v>
      </c>
      <c r="AB312" t="s">
        <v>4</v>
      </c>
    </row>
    <row r="313" spans="1:28" x14ac:dyDescent="0.2">
      <c r="A313" t="s">
        <v>1139</v>
      </c>
      <c r="B313" t="s">
        <v>2</v>
      </c>
      <c r="C313" t="s">
        <v>3</v>
      </c>
      <c r="D313" t="s">
        <v>4</v>
      </c>
      <c r="E313" t="s">
        <v>4</v>
      </c>
      <c r="F313" t="s">
        <v>5</v>
      </c>
      <c r="G313" t="s">
        <v>6</v>
      </c>
      <c r="H313" t="s">
        <v>2713</v>
      </c>
      <c r="I313" s="2">
        <v>432</v>
      </c>
      <c r="J313" s="2">
        <v>0</v>
      </c>
      <c r="K313" s="2">
        <v>0</v>
      </c>
      <c r="L313" s="3">
        <v>45848</v>
      </c>
      <c r="M313" s="3">
        <v>45848</v>
      </c>
      <c r="N313" s="3"/>
      <c r="O313" t="s">
        <v>2714</v>
      </c>
      <c r="P313" t="s">
        <v>9</v>
      </c>
      <c r="Q313" s="4">
        <v>0.4447337962963</v>
      </c>
      <c r="R313" t="s">
        <v>5</v>
      </c>
      <c r="S313" t="s">
        <v>4</v>
      </c>
      <c r="T313" t="s">
        <v>2580</v>
      </c>
      <c r="U313" t="s">
        <v>10</v>
      </c>
      <c r="V313" s="5">
        <v>0</v>
      </c>
      <c r="W313" s="5">
        <v>0</v>
      </c>
      <c r="X313" s="2">
        <v>0</v>
      </c>
      <c r="Y313" t="s">
        <v>4</v>
      </c>
      <c r="Z313" t="s">
        <v>4</v>
      </c>
      <c r="AA313" t="s">
        <v>4</v>
      </c>
      <c r="AB313" t="s">
        <v>4</v>
      </c>
    </row>
    <row r="314" spans="1:28" x14ac:dyDescent="0.2">
      <c r="A314" t="s">
        <v>1139</v>
      </c>
      <c r="B314" t="s">
        <v>2</v>
      </c>
      <c r="C314" t="s">
        <v>3</v>
      </c>
      <c r="D314" t="s">
        <v>4</v>
      </c>
      <c r="E314" t="s">
        <v>4</v>
      </c>
      <c r="F314" t="s">
        <v>5</v>
      </c>
      <c r="G314" t="s">
        <v>6</v>
      </c>
      <c r="H314" t="s">
        <v>2713</v>
      </c>
      <c r="I314" s="2">
        <v>432</v>
      </c>
      <c r="J314" s="2">
        <v>0</v>
      </c>
      <c r="K314" s="2">
        <v>0</v>
      </c>
      <c r="L314" s="3">
        <v>45848</v>
      </c>
      <c r="M314" s="3">
        <v>45848</v>
      </c>
      <c r="N314" s="3"/>
      <c r="O314" t="s">
        <v>2715</v>
      </c>
      <c r="P314" t="s">
        <v>9</v>
      </c>
      <c r="Q314" s="4">
        <v>0.4447337962963</v>
      </c>
      <c r="R314" t="s">
        <v>5</v>
      </c>
      <c r="S314" t="s">
        <v>4</v>
      </c>
      <c r="T314" t="s">
        <v>2580</v>
      </c>
      <c r="U314" t="s">
        <v>10</v>
      </c>
      <c r="V314" s="5">
        <v>0</v>
      </c>
      <c r="W314" s="5">
        <v>0</v>
      </c>
      <c r="X314" s="2">
        <v>0</v>
      </c>
      <c r="Y314" t="s">
        <v>4</v>
      </c>
      <c r="Z314" t="s">
        <v>4</v>
      </c>
      <c r="AA314" t="s">
        <v>4</v>
      </c>
      <c r="AB314" t="s">
        <v>4</v>
      </c>
    </row>
    <row r="315" spans="1:28" x14ac:dyDescent="0.2">
      <c r="A315" t="s">
        <v>1145</v>
      </c>
      <c r="B315" t="s">
        <v>2</v>
      </c>
      <c r="C315" t="s">
        <v>3</v>
      </c>
      <c r="D315" t="s">
        <v>4</v>
      </c>
      <c r="E315" t="s">
        <v>4</v>
      </c>
      <c r="F315" t="s">
        <v>5</v>
      </c>
      <c r="G315" t="s">
        <v>6</v>
      </c>
      <c r="H315" t="s">
        <v>2716</v>
      </c>
      <c r="I315" s="2">
        <v>450</v>
      </c>
      <c r="J315" s="2">
        <v>0</v>
      </c>
      <c r="K315" s="2">
        <v>0</v>
      </c>
      <c r="L315" s="3">
        <v>45686</v>
      </c>
      <c r="M315" s="3">
        <v>45686</v>
      </c>
      <c r="N315" s="3"/>
      <c r="O315" t="s">
        <v>2717</v>
      </c>
      <c r="P315" t="s">
        <v>9</v>
      </c>
      <c r="Q315" s="4">
        <v>0.36540509259259002</v>
      </c>
      <c r="R315" t="s">
        <v>5</v>
      </c>
      <c r="S315" t="s">
        <v>4</v>
      </c>
      <c r="T315" t="s">
        <v>2718</v>
      </c>
      <c r="U315" t="s">
        <v>10</v>
      </c>
      <c r="V315" s="5">
        <v>0</v>
      </c>
      <c r="W315" s="5">
        <v>0</v>
      </c>
      <c r="X315" s="2">
        <v>0</v>
      </c>
      <c r="Y315" t="s">
        <v>4</v>
      </c>
      <c r="Z315" t="s">
        <v>4</v>
      </c>
      <c r="AA315" t="s">
        <v>4</v>
      </c>
      <c r="AB315" t="s">
        <v>4</v>
      </c>
    </row>
    <row r="316" spans="1:28" x14ac:dyDescent="0.2">
      <c r="A316" t="s">
        <v>1145</v>
      </c>
      <c r="B316" t="s">
        <v>2</v>
      </c>
      <c r="C316" t="s">
        <v>3</v>
      </c>
      <c r="D316" t="s">
        <v>4</v>
      </c>
      <c r="E316" t="s">
        <v>4</v>
      </c>
      <c r="F316" t="s">
        <v>5</v>
      </c>
      <c r="G316" t="s">
        <v>6</v>
      </c>
      <c r="H316" t="s">
        <v>2716</v>
      </c>
      <c r="I316" s="2">
        <v>450</v>
      </c>
      <c r="J316" s="2">
        <v>0</v>
      </c>
      <c r="K316" s="2">
        <v>0</v>
      </c>
      <c r="L316" s="3">
        <v>45686</v>
      </c>
      <c r="M316" s="3">
        <v>45686</v>
      </c>
      <c r="N316" s="3"/>
      <c r="O316" t="s">
        <v>2719</v>
      </c>
      <c r="P316" t="s">
        <v>9</v>
      </c>
      <c r="Q316" s="4">
        <v>0.36540509259259002</v>
      </c>
      <c r="R316" t="s">
        <v>5</v>
      </c>
      <c r="S316" t="s">
        <v>4</v>
      </c>
      <c r="T316" t="s">
        <v>2718</v>
      </c>
      <c r="U316" t="s">
        <v>10</v>
      </c>
      <c r="V316" s="5">
        <v>0</v>
      </c>
      <c r="W316" s="5">
        <v>0</v>
      </c>
      <c r="X316" s="2">
        <v>0</v>
      </c>
      <c r="Y316" t="s">
        <v>4</v>
      </c>
      <c r="Z316" t="s">
        <v>4</v>
      </c>
      <c r="AA316" t="s">
        <v>4</v>
      </c>
      <c r="AB316" t="s">
        <v>4</v>
      </c>
    </row>
    <row r="317" spans="1:28" x14ac:dyDescent="0.2">
      <c r="A317" t="s">
        <v>1468</v>
      </c>
      <c r="B317" t="s">
        <v>2</v>
      </c>
      <c r="C317" t="s">
        <v>3</v>
      </c>
      <c r="D317" t="s">
        <v>4</v>
      </c>
      <c r="E317" t="s">
        <v>4</v>
      </c>
      <c r="F317" t="s">
        <v>5</v>
      </c>
      <c r="G317" t="s">
        <v>6</v>
      </c>
      <c r="H317" t="s">
        <v>2720</v>
      </c>
      <c r="I317" s="2">
        <v>72</v>
      </c>
      <c r="J317" s="2">
        <v>0</v>
      </c>
      <c r="K317" s="2">
        <v>0</v>
      </c>
      <c r="L317" s="3">
        <v>45770</v>
      </c>
      <c r="M317" s="3">
        <v>45770</v>
      </c>
      <c r="N317" s="3"/>
      <c r="O317" t="s">
        <v>2721</v>
      </c>
      <c r="P317" t="s">
        <v>9</v>
      </c>
      <c r="Q317" s="4">
        <v>0.52930555555556003</v>
      </c>
      <c r="R317" t="s">
        <v>5</v>
      </c>
      <c r="S317" t="s">
        <v>4</v>
      </c>
      <c r="T317" t="s">
        <v>2722</v>
      </c>
      <c r="U317" t="s">
        <v>10</v>
      </c>
      <c r="V317" s="5">
        <v>0</v>
      </c>
      <c r="W317" s="5">
        <v>0</v>
      </c>
      <c r="X317" s="2">
        <v>0</v>
      </c>
      <c r="Y317" t="s">
        <v>4</v>
      </c>
      <c r="Z317" t="s">
        <v>4</v>
      </c>
      <c r="AA317" t="s">
        <v>4</v>
      </c>
      <c r="AB317" t="s">
        <v>4</v>
      </c>
    </row>
    <row r="318" spans="1:28" x14ac:dyDescent="0.2">
      <c r="A318" t="s">
        <v>1468</v>
      </c>
      <c r="B318" t="s">
        <v>2</v>
      </c>
      <c r="C318" t="s">
        <v>3</v>
      </c>
      <c r="D318" t="s">
        <v>4</v>
      </c>
      <c r="E318" t="s">
        <v>4</v>
      </c>
      <c r="F318" t="s">
        <v>5</v>
      </c>
      <c r="G318" t="s">
        <v>6</v>
      </c>
      <c r="H318" t="s">
        <v>2720</v>
      </c>
      <c r="I318" s="2">
        <v>32</v>
      </c>
      <c r="J318" s="2">
        <v>0</v>
      </c>
      <c r="K318" s="2">
        <v>0</v>
      </c>
      <c r="L318" s="3">
        <v>45818</v>
      </c>
      <c r="M318" s="3">
        <v>45818</v>
      </c>
      <c r="N318" s="3"/>
      <c r="O318" t="s">
        <v>2723</v>
      </c>
      <c r="P318" t="s">
        <v>9</v>
      </c>
      <c r="Q318" s="4">
        <v>0.52930555555556003</v>
      </c>
      <c r="R318" t="s">
        <v>5</v>
      </c>
      <c r="S318" t="s">
        <v>4</v>
      </c>
      <c r="T318" t="s">
        <v>2290</v>
      </c>
      <c r="U318" t="s">
        <v>10</v>
      </c>
      <c r="V318" s="5">
        <v>0</v>
      </c>
      <c r="W318" s="5">
        <v>0</v>
      </c>
      <c r="X318" s="2">
        <v>0</v>
      </c>
      <c r="Y318" t="s">
        <v>4</v>
      </c>
      <c r="Z318" t="s">
        <v>4</v>
      </c>
      <c r="AA318" t="s">
        <v>4</v>
      </c>
      <c r="AB318" t="s">
        <v>4</v>
      </c>
    </row>
    <row r="319" spans="1:28" x14ac:dyDescent="0.2">
      <c r="A319" t="s">
        <v>837</v>
      </c>
      <c r="B319" t="s">
        <v>2</v>
      </c>
      <c r="C319" t="s">
        <v>3</v>
      </c>
      <c r="D319" t="s">
        <v>4</v>
      </c>
      <c r="E319" t="s">
        <v>4</v>
      </c>
      <c r="F319" t="s">
        <v>5</v>
      </c>
      <c r="G319" t="s">
        <v>6</v>
      </c>
      <c r="H319" t="s">
        <v>2724</v>
      </c>
      <c r="I319" s="2">
        <v>30000</v>
      </c>
      <c r="J319" s="2">
        <v>0</v>
      </c>
      <c r="K319" s="2">
        <v>0</v>
      </c>
      <c r="L319" s="3">
        <v>45859</v>
      </c>
      <c r="M319" s="3">
        <v>45859</v>
      </c>
      <c r="N319" s="3"/>
      <c r="O319" t="s">
        <v>2725</v>
      </c>
      <c r="P319" t="s">
        <v>9</v>
      </c>
      <c r="Q319" s="4">
        <v>0.32871527777777998</v>
      </c>
      <c r="R319" t="s">
        <v>5</v>
      </c>
      <c r="S319" t="s">
        <v>4</v>
      </c>
      <c r="T319" t="s">
        <v>2261</v>
      </c>
      <c r="U319" t="s">
        <v>10</v>
      </c>
      <c r="V319" s="5">
        <v>0</v>
      </c>
      <c r="W319" s="5">
        <v>0</v>
      </c>
      <c r="X319" s="2">
        <v>0</v>
      </c>
      <c r="Y319" t="s">
        <v>4</v>
      </c>
      <c r="Z319" t="s">
        <v>4</v>
      </c>
      <c r="AA319" t="s">
        <v>4</v>
      </c>
      <c r="AB319" t="s">
        <v>4</v>
      </c>
    </row>
    <row r="320" spans="1:28" x14ac:dyDescent="0.2">
      <c r="A320" t="s">
        <v>1573</v>
      </c>
      <c r="B320" t="s">
        <v>2</v>
      </c>
      <c r="C320" t="s">
        <v>3</v>
      </c>
      <c r="D320" t="s">
        <v>4</v>
      </c>
      <c r="E320" t="s">
        <v>4</v>
      </c>
      <c r="F320" t="s">
        <v>5</v>
      </c>
      <c r="G320" t="s">
        <v>6</v>
      </c>
      <c r="H320" t="s">
        <v>2726</v>
      </c>
      <c r="I320" s="2">
        <v>45</v>
      </c>
      <c r="J320" s="2">
        <v>0</v>
      </c>
      <c r="K320" s="2">
        <v>0</v>
      </c>
      <c r="L320" s="3">
        <v>45859</v>
      </c>
      <c r="M320" s="3">
        <v>45859</v>
      </c>
      <c r="N320" s="3"/>
      <c r="O320" t="s">
        <v>2727</v>
      </c>
      <c r="P320" t="s">
        <v>9</v>
      </c>
      <c r="Q320" s="4">
        <v>0.96943287037036996</v>
      </c>
      <c r="R320" t="s">
        <v>5</v>
      </c>
      <c r="S320" t="s">
        <v>4</v>
      </c>
      <c r="T320" t="s">
        <v>2261</v>
      </c>
      <c r="U320" t="s">
        <v>10</v>
      </c>
      <c r="V320" s="5">
        <v>0</v>
      </c>
      <c r="W320" s="5">
        <v>0</v>
      </c>
      <c r="X320" s="2">
        <v>0</v>
      </c>
      <c r="Y320" t="s">
        <v>4</v>
      </c>
      <c r="Z320" t="s">
        <v>4</v>
      </c>
      <c r="AA320" t="s">
        <v>4</v>
      </c>
      <c r="AB320" t="s">
        <v>4</v>
      </c>
    </row>
    <row r="321" spans="1:28" x14ac:dyDescent="0.2">
      <c r="A321" t="s">
        <v>1145</v>
      </c>
      <c r="B321" t="s">
        <v>2</v>
      </c>
      <c r="C321" t="s">
        <v>3</v>
      </c>
      <c r="D321" t="s">
        <v>4</v>
      </c>
      <c r="E321" t="s">
        <v>4</v>
      </c>
      <c r="F321" t="s">
        <v>5</v>
      </c>
      <c r="G321" t="s">
        <v>6</v>
      </c>
      <c r="H321" t="s">
        <v>2728</v>
      </c>
      <c r="I321" s="2">
        <v>450</v>
      </c>
      <c r="J321" s="2">
        <v>0</v>
      </c>
      <c r="K321" s="2">
        <v>0</v>
      </c>
      <c r="L321" s="3">
        <v>45686</v>
      </c>
      <c r="M321" s="3">
        <v>45686</v>
      </c>
      <c r="N321" s="3"/>
      <c r="O321" t="s">
        <v>2729</v>
      </c>
      <c r="P321" t="s">
        <v>9</v>
      </c>
      <c r="Q321" s="4">
        <v>0.71042824074073996</v>
      </c>
      <c r="R321" t="s">
        <v>5</v>
      </c>
      <c r="S321" t="s">
        <v>4</v>
      </c>
      <c r="T321" t="s">
        <v>2718</v>
      </c>
      <c r="U321" t="s">
        <v>10</v>
      </c>
      <c r="V321" s="5">
        <v>0</v>
      </c>
      <c r="W321" s="5">
        <v>0</v>
      </c>
      <c r="X321" s="2">
        <v>0</v>
      </c>
      <c r="Y321" t="s">
        <v>4</v>
      </c>
      <c r="Z321" t="s">
        <v>4</v>
      </c>
      <c r="AA321" t="s">
        <v>4</v>
      </c>
      <c r="AB321" t="s">
        <v>4</v>
      </c>
    </row>
    <row r="322" spans="1:28" x14ac:dyDescent="0.2">
      <c r="A322" t="s">
        <v>1145</v>
      </c>
      <c r="B322" t="s">
        <v>2</v>
      </c>
      <c r="C322" t="s">
        <v>3</v>
      </c>
      <c r="D322" t="s">
        <v>4</v>
      </c>
      <c r="E322" t="s">
        <v>4</v>
      </c>
      <c r="F322" t="s">
        <v>5</v>
      </c>
      <c r="G322" t="s">
        <v>6</v>
      </c>
      <c r="H322" t="s">
        <v>2728</v>
      </c>
      <c r="I322" s="2">
        <v>450</v>
      </c>
      <c r="J322" s="2">
        <v>0</v>
      </c>
      <c r="K322" s="2">
        <v>0</v>
      </c>
      <c r="L322" s="3">
        <v>45686</v>
      </c>
      <c r="M322" s="3">
        <v>45686</v>
      </c>
      <c r="N322" s="3"/>
      <c r="O322" t="s">
        <v>2730</v>
      </c>
      <c r="P322" t="s">
        <v>9</v>
      </c>
      <c r="Q322" s="4">
        <v>0.71042824074073996</v>
      </c>
      <c r="R322" t="s">
        <v>5</v>
      </c>
      <c r="S322" t="s">
        <v>4</v>
      </c>
      <c r="T322" t="s">
        <v>2718</v>
      </c>
      <c r="U322" t="s">
        <v>10</v>
      </c>
      <c r="V322" s="5">
        <v>0</v>
      </c>
      <c r="W322" s="5">
        <v>0</v>
      </c>
      <c r="X322" s="2">
        <v>0</v>
      </c>
      <c r="Y322" t="s">
        <v>4</v>
      </c>
      <c r="Z322" t="s">
        <v>4</v>
      </c>
      <c r="AA322" t="s">
        <v>4</v>
      </c>
      <c r="AB322" t="s">
        <v>4</v>
      </c>
    </row>
    <row r="323" spans="1:28" x14ac:dyDescent="0.2">
      <c r="A323" t="s">
        <v>646</v>
      </c>
      <c r="B323" t="s">
        <v>2</v>
      </c>
      <c r="C323" t="s">
        <v>3</v>
      </c>
      <c r="D323" t="s">
        <v>4</v>
      </c>
      <c r="E323" t="s">
        <v>4</v>
      </c>
      <c r="F323" t="s">
        <v>5</v>
      </c>
      <c r="G323" t="s">
        <v>6</v>
      </c>
      <c r="H323" t="s">
        <v>2731</v>
      </c>
      <c r="I323" s="2">
        <v>1051</v>
      </c>
      <c r="J323" s="2">
        <v>0</v>
      </c>
      <c r="K323" s="2">
        <v>0</v>
      </c>
      <c r="L323" s="3">
        <v>45850</v>
      </c>
      <c r="M323" s="3">
        <v>45850</v>
      </c>
      <c r="N323" s="3"/>
      <c r="O323" t="s">
        <v>2732</v>
      </c>
      <c r="P323" t="s">
        <v>9</v>
      </c>
      <c r="Q323" s="4">
        <v>0.97605324074073996</v>
      </c>
      <c r="R323" t="s">
        <v>5</v>
      </c>
      <c r="S323" t="s">
        <v>4</v>
      </c>
      <c r="T323" t="s">
        <v>2680</v>
      </c>
      <c r="U323" t="s">
        <v>10</v>
      </c>
      <c r="V323" s="5">
        <v>0</v>
      </c>
      <c r="W323" s="5">
        <v>0</v>
      </c>
      <c r="X323" s="2">
        <v>0</v>
      </c>
      <c r="Y323" t="s">
        <v>4</v>
      </c>
      <c r="Z323" t="s">
        <v>4</v>
      </c>
      <c r="AA323" t="s">
        <v>4</v>
      </c>
      <c r="AB323" t="s">
        <v>4</v>
      </c>
    </row>
    <row r="324" spans="1:28" x14ac:dyDescent="0.2">
      <c r="A324" t="s">
        <v>2030</v>
      </c>
      <c r="B324" t="s">
        <v>2</v>
      </c>
      <c r="C324" t="s">
        <v>3</v>
      </c>
      <c r="D324" t="s">
        <v>4</v>
      </c>
      <c r="E324" t="s">
        <v>4</v>
      </c>
      <c r="F324" t="s">
        <v>5</v>
      </c>
      <c r="G324" t="s">
        <v>6</v>
      </c>
      <c r="H324" t="s">
        <v>2733</v>
      </c>
      <c r="I324" s="2">
        <v>672</v>
      </c>
      <c r="J324" s="2">
        <v>0</v>
      </c>
      <c r="K324" s="2">
        <v>0</v>
      </c>
      <c r="L324" s="3">
        <v>45854</v>
      </c>
      <c r="M324" s="3">
        <v>45854</v>
      </c>
      <c r="N324" s="3"/>
      <c r="O324" t="s">
        <v>2734</v>
      </c>
      <c r="P324" t="s">
        <v>9</v>
      </c>
      <c r="Q324" s="4">
        <v>0.49107638888888999</v>
      </c>
      <c r="R324" t="s">
        <v>5</v>
      </c>
      <c r="S324" t="s">
        <v>4</v>
      </c>
      <c r="T324" t="s">
        <v>2299</v>
      </c>
      <c r="U324" t="s">
        <v>10</v>
      </c>
      <c r="V324" s="5">
        <v>0</v>
      </c>
      <c r="W324" s="5">
        <v>0</v>
      </c>
      <c r="X324" s="2">
        <v>0</v>
      </c>
      <c r="Y324" t="s">
        <v>4</v>
      </c>
      <c r="Z324" t="s">
        <v>4</v>
      </c>
      <c r="AA324" t="s">
        <v>4</v>
      </c>
      <c r="AB324" t="s">
        <v>4</v>
      </c>
    </row>
    <row r="325" spans="1:28" x14ac:dyDescent="0.2">
      <c r="A325" t="s">
        <v>2030</v>
      </c>
      <c r="B325" t="s">
        <v>2</v>
      </c>
      <c r="C325" t="s">
        <v>3</v>
      </c>
      <c r="D325" t="s">
        <v>4</v>
      </c>
      <c r="E325" t="s">
        <v>4</v>
      </c>
      <c r="F325" t="s">
        <v>5</v>
      </c>
      <c r="G325" t="s">
        <v>6</v>
      </c>
      <c r="H325" t="s">
        <v>2733</v>
      </c>
      <c r="I325" s="2">
        <v>840</v>
      </c>
      <c r="J325" s="2">
        <v>0</v>
      </c>
      <c r="K325" s="2">
        <v>0</v>
      </c>
      <c r="L325" s="3">
        <v>45833</v>
      </c>
      <c r="M325" s="3">
        <v>45833</v>
      </c>
      <c r="N325" s="3"/>
      <c r="O325" t="s">
        <v>2735</v>
      </c>
      <c r="P325" t="s">
        <v>9</v>
      </c>
      <c r="Q325" s="4">
        <v>0.49107638888888999</v>
      </c>
      <c r="R325" t="s">
        <v>5</v>
      </c>
      <c r="S325" t="s">
        <v>4</v>
      </c>
      <c r="T325" t="s">
        <v>2736</v>
      </c>
      <c r="U325" t="s">
        <v>10</v>
      </c>
      <c r="V325" s="5">
        <v>0</v>
      </c>
      <c r="W325" s="5">
        <v>0</v>
      </c>
      <c r="X325" s="2">
        <v>0</v>
      </c>
      <c r="Y325" t="s">
        <v>4</v>
      </c>
      <c r="Z325" t="s">
        <v>4</v>
      </c>
      <c r="AA325" t="s">
        <v>4</v>
      </c>
      <c r="AB325" t="s">
        <v>4</v>
      </c>
    </row>
    <row r="326" spans="1:28" x14ac:dyDescent="0.2">
      <c r="A326" t="s">
        <v>1901</v>
      </c>
      <c r="B326" t="s">
        <v>2</v>
      </c>
      <c r="C326" t="s">
        <v>3</v>
      </c>
      <c r="D326" t="s">
        <v>4</v>
      </c>
      <c r="E326" t="s">
        <v>4</v>
      </c>
      <c r="F326" t="s">
        <v>5</v>
      </c>
      <c r="G326" t="s">
        <v>6</v>
      </c>
      <c r="H326" t="s">
        <v>2737</v>
      </c>
      <c r="I326" s="2">
        <v>10560</v>
      </c>
      <c r="J326" s="2">
        <v>0</v>
      </c>
      <c r="K326" s="2">
        <v>0</v>
      </c>
      <c r="L326" s="3">
        <v>45832</v>
      </c>
      <c r="M326" s="3">
        <v>45832</v>
      </c>
      <c r="N326" s="3"/>
      <c r="O326" t="s">
        <v>2738</v>
      </c>
      <c r="P326" t="s">
        <v>9</v>
      </c>
      <c r="Q326" s="4">
        <v>0.42244212962963001</v>
      </c>
      <c r="R326" t="s">
        <v>5</v>
      </c>
      <c r="S326" t="s">
        <v>4</v>
      </c>
      <c r="T326" t="s">
        <v>2665</v>
      </c>
      <c r="U326" t="s">
        <v>10</v>
      </c>
      <c r="V326" s="5">
        <v>0</v>
      </c>
      <c r="W326" s="5">
        <v>0</v>
      </c>
      <c r="X326" s="2">
        <v>0</v>
      </c>
      <c r="Y326" t="s">
        <v>4</v>
      </c>
      <c r="Z326" t="s">
        <v>4</v>
      </c>
      <c r="AA326" t="s">
        <v>4</v>
      </c>
      <c r="AB326" t="s">
        <v>4</v>
      </c>
    </row>
    <row r="327" spans="1:28" x14ac:dyDescent="0.2">
      <c r="A327" t="s">
        <v>1901</v>
      </c>
      <c r="B327" t="s">
        <v>2</v>
      </c>
      <c r="C327" t="s">
        <v>3</v>
      </c>
      <c r="D327" t="s">
        <v>4</v>
      </c>
      <c r="E327" t="s">
        <v>4</v>
      </c>
      <c r="F327" t="s">
        <v>5</v>
      </c>
      <c r="G327" t="s">
        <v>6</v>
      </c>
      <c r="H327" t="s">
        <v>2737</v>
      </c>
      <c r="I327" s="2">
        <v>10560</v>
      </c>
      <c r="J327" s="2">
        <v>0</v>
      </c>
      <c r="K327" s="2">
        <v>0</v>
      </c>
      <c r="L327" s="3">
        <v>45832</v>
      </c>
      <c r="M327" s="3">
        <v>45832</v>
      </c>
      <c r="N327" s="3"/>
      <c r="O327" t="s">
        <v>2739</v>
      </c>
      <c r="P327" t="s">
        <v>9</v>
      </c>
      <c r="Q327" s="4">
        <v>0.42244212962963001</v>
      </c>
      <c r="R327" t="s">
        <v>5</v>
      </c>
      <c r="S327" t="s">
        <v>4</v>
      </c>
      <c r="T327" t="s">
        <v>2665</v>
      </c>
      <c r="U327" t="s">
        <v>10</v>
      </c>
      <c r="V327" s="5">
        <v>0</v>
      </c>
      <c r="W327" s="5">
        <v>0</v>
      </c>
      <c r="X327" s="2">
        <v>0</v>
      </c>
      <c r="Y327" t="s">
        <v>4</v>
      </c>
      <c r="Z327" t="s">
        <v>4</v>
      </c>
      <c r="AA327" t="s">
        <v>4</v>
      </c>
      <c r="AB327" t="s">
        <v>4</v>
      </c>
    </row>
    <row r="328" spans="1:28" x14ac:dyDescent="0.2">
      <c r="A328" t="s">
        <v>1982</v>
      </c>
      <c r="B328" t="s">
        <v>2</v>
      </c>
      <c r="C328" t="s">
        <v>3</v>
      </c>
      <c r="D328" t="s">
        <v>4</v>
      </c>
      <c r="E328" t="s">
        <v>4</v>
      </c>
      <c r="F328" t="s">
        <v>5</v>
      </c>
      <c r="G328" t="s">
        <v>6</v>
      </c>
      <c r="H328" t="s">
        <v>2740</v>
      </c>
      <c r="I328" s="2">
        <v>3360</v>
      </c>
      <c r="J328" s="2">
        <v>0</v>
      </c>
      <c r="K328" s="2">
        <v>0</v>
      </c>
      <c r="L328" s="3">
        <v>45858</v>
      </c>
      <c r="M328" s="3">
        <v>45858</v>
      </c>
      <c r="N328" s="3"/>
      <c r="O328" t="s">
        <v>2741</v>
      </c>
      <c r="P328" t="s">
        <v>9</v>
      </c>
      <c r="Q328" s="4">
        <v>0.37871527777778002</v>
      </c>
      <c r="R328" t="s">
        <v>5</v>
      </c>
      <c r="S328" t="s">
        <v>4</v>
      </c>
      <c r="T328" t="s">
        <v>2337</v>
      </c>
      <c r="U328" t="s">
        <v>10</v>
      </c>
      <c r="V328" s="5">
        <v>0</v>
      </c>
      <c r="W328" s="5">
        <v>0</v>
      </c>
      <c r="X328" s="2">
        <v>0</v>
      </c>
      <c r="Y328" t="s">
        <v>4</v>
      </c>
      <c r="Z328" t="s">
        <v>4</v>
      </c>
      <c r="AA328" t="s">
        <v>4</v>
      </c>
      <c r="AB328" t="s">
        <v>4</v>
      </c>
    </row>
    <row r="329" spans="1:28" x14ac:dyDescent="0.2">
      <c r="A329" t="s">
        <v>1982</v>
      </c>
      <c r="B329" t="s">
        <v>2</v>
      </c>
      <c r="C329" t="s">
        <v>3</v>
      </c>
      <c r="D329" t="s">
        <v>4</v>
      </c>
      <c r="E329" t="s">
        <v>4</v>
      </c>
      <c r="F329" t="s">
        <v>5</v>
      </c>
      <c r="G329" t="s">
        <v>6</v>
      </c>
      <c r="H329" t="s">
        <v>2740</v>
      </c>
      <c r="I329" s="2">
        <v>3360</v>
      </c>
      <c r="J329" s="2">
        <v>0</v>
      </c>
      <c r="K329" s="2">
        <v>0</v>
      </c>
      <c r="L329" s="3">
        <v>45846</v>
      </c>
      <c r="M329" s="3">
        <v>45846</v>
      </c>
      <c r="N329" s="3"/>
      <c r="O329" t="s">
        <v>2742</v>
      </c>
      <c r="P329" t="s">
        <v>9</v>
      </c>
      <c r="Q329" s="4">
        <v>0.37871527777778002</v>
      </c>
      <c r="R329" t="s">
        <v>5</v>
      </c>
      <c r="S329" t="s">
        <v>4</v>
      </c>
      <c r="T329" t="s">
        <v>2318</v>
      </c>
      <c r="U329" t="s">
        <v>10</v>
      </c>
      <c r="V329" s="5">
        <v>0</v>
      </c>
      <c r="W329" s="5">
        <v>0</v>
      </c>
      <c r="X329" s="2">
        <v>0</v>
      </c>
      <c r="Y329" t="s">
        <v>4</v>
      </c>
      <c r="Z329" t="s">
        <v>4</v>
      </c>
      <c r="AA329" t="s">
        <v>4</v>
      </c>
      <c r="AB329" t="s">
        <v>4</v>
      </c>
    </row>
    <row r="330" spans="1:28" x14ac:dyDescent="0.2">
      <c r="A330" t="s">
        <v>854</v>
      </c>
      <c r="B330" t="s">
        <v>2</v>
      </c>
      <c r="C330" t="s">
        <v>3</v>
      </c>
      <c r="D330" t="s">
        <v>4</v>
      </c>
      <c r="E330" t="s">
        <v>4</v>
      </c>
      <c r="F330" t="s">
        <v>5</v>
      </c>
      <c r="G330" t="s">
        <v>6</v>
      </c>
      <c r="H330" t="s">
        <v>2743</v>
      </c>
      <c r="I330" s="2">
        <v>28800</v>
      </c>
      <c r="J330" s="2">
        <v>0</v>
      </c>
      <c r="K330" s="2">
        <v>0</v>
      </c>
      <c r="L330" s="3">
        <v>45811</v>
      </c>
      <c r="M330" s="3">
        <v>45811</v>
      </c>
      <c r="N330" s="3"/>
      <c r="O330" t="s">
        <v>2744</v>
      </c>
      <c r="P330" t="s">
        <v>9</v>
      </c>
      <c r="Q330" s="4">
        <v>0.57459490740741004</v>
      </c>
      <c r="R330" t="s">
        <v>5</v>
      </c>
      <c r="S330" t="s">
        <v>4</v>
      </c>
      <c r="T330" t="s">
        <v>2745</v>
      </c>
      <c r="U330" t="s">
        <v>10</v>
      </c>
      <c r="V330" s="5">
        <v>0</v>
      </c>
      <c r="W330" s="5">
        <v>0</v>
      </c>
      <c r="X330" s="2">
        <v>0</v>
      </c>
      <c r="Y330" t="s">
        <v>4</v>
      </c>
      <c r="Z330" t="s">
        <v>4</v>
      </c>
      <c r="AA330" t="s">
        <v>4</v>
      </c>
      <c r="AB330" t="s">
        <v>4</v>
      </c>
    </row>
    <row r="331" spans="1:28" x14ac:dyDescent="0.2">
      <c r="A331" t="s">
        <v>854</v>
      </c>
      <c r="B331" t="s">
        <v>2</v>
      </c>
      <c r="C331" t="s">
        <v>3</v>
      </c>
      <c r="D331" t="s">
        <v>4</v>
      </c>
      <c r="E331" t="s">
        <v>4</v>
      </c>
      <c r="F331" t="s">
        <v>5</v>
      </c>
      <c r="G331" t="s">
        <v>6</v>
      </c>
      <c r="H331" t="s">
        <v>2743</v>
      </c>
      <c r="I331" s="2">
        <v>5200</v>
      </c>
      <c r="J331" s="2">
        <v>0</v>
      </c>
      <c r="K331" s="2">
        <v>0</v>
      </c>
      <c r="L331" s="3">
        <v>45851</v>
      </c>
      <c r="M331" s="3">
        <v>45851</v>
      </c>
      <c r="N331" s="3"/>
      <c r="O331" t="s">
        <v>2746</v>
      </c>
      <c r="P331" t="s">
        <v>9</v>
      </c>
      <c r="Q331" s="4">
        <v>0.57459490740741004</v>
      </c>
      <c r="R331" t="s">
        <v>5</v>
      </c>
      <c r="S331" t="s">
        <v>4</v>
      </c>
      <c r="T331" t="s">
        <v>2747</v>
      </c>
      <c r="U331" t="s">
        <v>10</v>
      </c>
      <c r="V331" s="5">
        <v>0</v>
      </c>
      <c r="W331" s="5">
        <v>0</v>
      </c>
      <c r="X331" s="2">
        <v>0</v>
      </c>
      <c r="Y331" t="s">
        <v>4</v>
      </c>
      <c r="Z331" t="s">
        <v>4</v>
      </c>
      <c r="AA331" t="s">
        <v>4</v>
      </c>
      <c r="AB331" t="s">
        <v>4</v>
      </c>
    </row>
    <row r="332" spans="1:28" x14ac:dyDescent="0.2">
      <c r="A332" t="s">
        <v>1346</v>
      </c>
      <c r="B332" t="s">
        <v>2</v>
      </c>
      <c r="C332" t="s">
        <v>3</v>
      </c>
      <c r="D332" t="s">
        <v>4</v>
      </c>
      <c r="E332" t="s">
        <v>4</v>
      </c>
      <c r="F332" t="s">
        <v>5</v>
      </c>
      <c r="G332" t="s">
        <v>6</v>
      </c>
      <c r="H332" t="s">
        <v>2748</v>
      </c>
      <c r="I332" s="2">
        <v>1000</v>
      </c>
      <c r="J332" s="2">
        <v>0</v>
      </c>
      <c r="K332" s="2">
        <v>0</v>
      </c>
      <c r="L332" s="3">
        <v>45854</v>
      </c>
      <c r="M332" s="3">
        <v>45854</v>
      </c>
      <c r="N332" s="3"/>
      <c r="O332" t="s">
        <v>2749</v>
      </c>
      <c r="P332" t="s">
        <v>9</v>
      </c>
      <c r="Q332" s="4">
        <v>0.92524305555555997</v>
      </c>
      <c r="R332" t="s">
        <v>5</v>
      </c>
      <c r="S332" t="s">
        <v>4</v>
      </c>
      <c r="T332" t="s">
        <v>2299</v>
      </c>
      <c r="U332" t="s">
        <v>10</v>
      </c>
      <c r="V332" s="5">
        <v>0</v>
      </c>
      <c r="W332" s="5">
        <v>0</v>
      </c>
      <c r="X332" s="2">
        <v>0</v>
      </c>
      <c r="Y332" t="s">
        <v>4</v>
      </c>
      <c r="Z332" t="s">
        <v>4</v>
      </c>
      <c r="AA332" t="s">
        <v>4</v>
      </c>
      <c r="AB332" t="s">
        <v>4</v>
      </c>
    </row>
    <row r="333" spans="1:28" x14ac:dyDescent="0.2">
      <c r="A333" t="s">
        <v>1131</v>
      </c>
      <c r="B333" t="s">
        <v>2</v>
      </c>
      <c r="C333" t="s">
        <v>3</v>
      </c>
      <c r="D333" t="s">
        <v>4</v>
      </c>
      <c r="E333" t="s">
        <v>4</v>
      </c>
      <c r="F333" t="s">
        <v>5</v>
      </c>
      <c r="G333" t="s">
        <v>6</v>
      </c>
      <c r="H333" t="s">
        <v>2750</v>
      </c>
      <c r="I333" s="5">
        <v>202.3</v>
      </c>
      <c r="J333" s="2">
        <v>0</v>
      </c>
      <c r="K333" s="2">
        <v>0</v>
      </c>
      <c r="L333" s="3">
        <v>45854</v>
      </c>
      <c r="M333" s="3">
        <v>45854</v>
      </c>
      <c r="N333" s="3"/>
      <c r="O333" t="s">
        <v>2751</v>
      </c>
      <c r="P333" t="s">
        <v>9</v>
      </c>
      <c r="Q333" s="4">
        <v>0.98046296296295998</v>
      </c>
      <c r="R333" t="s">
        <v>5</v>
      </c>
      <c r="S333" t="s">
        <v>4</v>
      </c>
      <c r="T333" t="s">
        <v>2299</v>
      </c>
      <c r="U333" t="s">
        <v>10</v>
      </c>
      <c r="V333" s="5">
        <v>0</v>
      </c>
      <c r="W333" s="5">
        <v>0</v>
      </c>
      <c r="X333" s="2">
        <v>0</v>
      </c>
      <c r="Y333" t="s">
        <v>4</v>
      </c>
      <c r="Z333" t="s">
        <v>4</v>
      </c>
      <c r="AA333" t="s">
        <v>4</v>
      </c>
      <c r="AB333" t="s">
        <v>4</v>
      </c>
    </row>
    <row r="334" spans="1:28" x14ac:dyDescent="0.2">
      <c r="A334" t="s">
        <v>1131</v>
      </c>
      <c r="B334" t="s">
        <v>2</v>
      </c>
      <c r="C334" t="s">
        <v>3</v>
      </c>
      <c r="D334" t="s">
        <v>4</v>
      </c>
      <c r="E334" t="s">
        <v>4</v>
      </c>
      <c r="F334" t="s">
        <v>5</v>
      </c>
      <c r="G334" t="s">
        <v>6</v>
      </c>
      <c r="H334" t="s">
        <v>2750</v>
      </c>
      <c r="I334" s="5">
        <v>202.8</v>
      </c>
      <c r="J334" s="2">
        <v>0</v>
      </c>
      <c r="K334" s="2">
        <v>0</v>
      </c>
      <c r="L334" s="3">
        <v>45854</v>
      </c>
      <c r="M334" s="3">
        <v>45854</v>
      </c>
      <c r="N334" s="3"/>
      <c r="O334" t="s">
        <v>2752</v>
      </c>
      <c r="P334" t="s">
        <v>9</v>
      </c>
      <c r="Q334" s="4">
        <v>0.98046296296295998</v>
      </c>
      <c r="R334" t="s">
        <v>5</v>
      </c>
      <c r="S334" t="s">
        <v>4</v>
      </c>
      <c r="T334" t="s">
        <v>2299</v>
      </c>
      <c r="U334" t="s">
        <v>10</v>
      </c>
      <c r="V334" s="5">
        <v>0</v>
      </c>
      <c r="W334" s="5">
        <v>0</v>
      </c>
      <c r="X334" s="2">
        <v>0</v>
      </c>
      <c r="Y334" t="s">
        <v>4</v>
      </c>
      <c r="Z334" t="s">
        <v>4</v>
      </c>
      <c r="AA334" t="s">
        <v>4</v>
      </c>
      <c r="AB334" t="s">
        <v>4</v>
      </c>
    </row>
    <row r="335" spans="1:28" x14ac:dyDescent="0.2">
      <c r="A335" t="s">
        <v>1135</v>
      </c>
      <c r="B335" t="s">
        <v>2</v>
      </c>
      <c r="C335" t="s">
        <v>3</v>
      </c>
      <c r="D335" t="s">
        <v>4</v>
      </c>
      <c r="E335" t="s">
        <v>4</v>
      </c>
      <c r="F335" t="s">
        <v>5</v>
      </c>
      <c r="G335" t="s">
        <v>6</v>
      </c>
      <c r="H335" t="s">
        <v>2753</v>
      </c>
      <c r="I335" s="2">
        <v>480</v>
      </c>
      <c r="J335" s="2">
        <v>0</v>
      </c>
      <c r="K335" s="2">
        <v>0</v>
      </c>
      <c r="L335" s="3">
        <v>45850</v>
      </c>
      <c r="M335" s="3">
        <v>45850</v>
      </c>
      <c r="N335" s="3"/>
      <c r="O335" t="s">
        <v>2754</v>
      </c>
      <c r="P335" t="s">
        <v>9</v>
      </c>
      <c r="Q335" s="4">
        <v>0.92141203703704</v>
      </c>
      <c r="R335" t="s">
        <v>5</v>
      </c>
      <c r="S335" t="s">
        <v>4</v>
      </c>
      <c r="T335" t="s">
        <v>2680</v>
      </c>
      <c r="U335" t="s">
        <v>10</v>
      </c>
      <c r="V335" s="5">
        <v>0</v>
      </c>
      <c r="W335" s="5">
        <v>0</v>
      </c>
      <c r="X335" s="2">
        <v>0</v>
      </c>
      <c r="Y335" t="s">
        <v>4</v>
      </c>
      <c r="Z335" t="s">
        <v>4</v>
      </c>
      <c r="AA335" t="s">
        <v>4</v>
      </c>
      <c r="AB335" t="s">
        <v>4</v>
      </c>
    </row>
    <row r="336" spans="1:28" x14ac:dyDescent="0.2">
      <c r="A336" t="s">
        <v>1135</v>
      </c>
      <c r="B336" t="s">
        <v>2</v>
      </c>
      <c r="C336" t="s">
        <v>3</v>
      </c>
      <c r="D336" t="s">
        <v>4</v>
      </c>
      <c r="E336" t="s">
        <v>4</v>
      </c>
      <c r="F336" t="s">
        <v>5</v>
      </c>
      <c r="G336" t="s">
        <v>6</v>
      </c>
      <c r="H336" t="s">
        <v>2753</v>
      </c>
      <c r="I336" s="2">
        <v>480</v>
      </c>
      <c r="J336" s="2">
        <v>0</v>
      </c>
      <c r="K336" s="2">
        <v>0</v>
      </c>
      <c r="L336" s="3">
        <v>45850</v>
      </c>
      <c r="M336" s="3">
        <v>45850</v>
      </c>
      <c r="N336" s="3"/>
      <c r="O336" t="s">
        <v>2755</v>
      </c>
      <c r="P336" t="s">
        <v>9</v>
      </c>
      <c r="Q336" s="4">
        <v>0.92141203703704</v>
      </c>
      <c r="R336" t="s">
        <v>5</v>
      </c>
      <c r="S336" t="s">
        <v>4</v>
      </c>
      <c r="T336" t="s">
        <v>2680</v>
      </c>
      <c r="U336" t="s">
        <v>10</v>
      </c>
      <c r="V336" s="5">
        <v>0</v>
      </c>
      <c r="W336" s="5">
        <v>0</v>
      </c>
      <c r="X336" s="2">
        <v>0</v>
      </c>
      <c r="Y336" t="s">
        <v>4</v>
      </c>
      <c r="Z336" t="s">
        <v>4</v>
      </c>
      <c r="AA336" t="s">
        <v>4</v>
      </c>
      <c r="AB336" t="s">
        <v>4</v>
      </c>
    </row>
    <row r="337" spans="1:28" x14ac:dyDescent="0.2">
      <c r="A337" t="s">
        <v>641</v>
      </c>
      <c r="B337" t="s">
        <v>2</v>
      </c>
      <c r="C337" t="s">
        <v>3</v>
      </c>
      <c r="D337" t="s">
        <v>4</v>
      </c>
      <c r="E337" t="s">
        <v>4</v>
      </c>
      <c r="F337" t="s">
        <v>5</v>
      </c>
      <c r="G337" t="s">
        <v>6</v>
      </c>
      <c r="H337" t="s">
        <v>2756</v>
      </c>
      <c r="I337" s="2">
        <v>2304</v>
      </c>
      <c r="J337" s="2">
        <v>0</v>
      </c>
      <c r="K337" s="2">
        <v>0</v>
      </c>
      <c r="L337" s="3">
        <v>45824</v>
      </c>
      <c r="M337" s="3">
        <v>45824</v>
      </c>
      <c r="N337" s="3"/>
      <c r="O337" t="s">
        <v>2757</v>
      </c>
      <c r="P337" t="s">
        <v>9</v>
      </c>
      <c r="Q337" s="4">
        <v>0.95681712962962995</v>
      </c>
      <c r="R337" t="s">
        <v>5</v>
      </c>
      <c r="S337" t="s">
        <v>4</v>
      </c>
      <c r="T337" t="s">
        <v>2691</v>
      </c>
      <c r="U337" t="s">
        <v>10</v>
      </c>
      <c r="V337" s="5">
        <v>0</v>
      </c>
      <c r="W337" s="5">
        <v>0</v>
      </c>
      <c r="X337" s="2">
        <v>0</v>
      </c>
      <c r="Y337" t="s">
        <v>4</v>
      </c>
      <c r="Z337" t="s">
        <v>4</v>
      </c>
      <c r="AA337" t="s">
        <v>4</v>
      </c>
      <c r="AB337" t="s">
        <v>4</v>
      </c>
    </row>
    <row r="338" spans="1:28" x14ac:dyDescent="0.2">
      <c r="A338" t="s">
        <v>641</v>
      </c>
      <c r="B338" t="s">
        <v>2</v>
      </c>
      <c r="C338" t="s">
        <v>3</v>
      </c>
      <c r="D338" t="s">
        <v>4</v>
      </c>
      <c r="E338" t="s">
        <v>4</v>
      </c>
      <c r="F338" t="s">
        <v>5</v>
      </c>
      <c r="G338" t="s">
        <v>6</v>
      </c>
      <c r="H338" t="s">
        <v>2756</v>
      </c>
      <c r="I338" s="2">
        <v>2304</v>
      </c>
      <c r="J338" s="2">
        <v>0</v>
      </c>
      <c r="K338" s="2">
        <v>0</v>
      </c>
      <c r="L338" s="3">
        <v>45824</v>
      </c>
      <c r="M338" s="3">
        <v>45824</v>
      </c>
      <c r="N338" s="3"/>
      <c r="O338" t="s">
        <v>2758</v>
      </c>
      <c r="P338" t="s">
        <v>9</v>
      </c>
      <c r="Q338" s="4">
        <v>0.95681712962962995</v>
      </c>
      <c r="R338" t="s">
        <v>5</v>
      </c>
      <c r="S338" t="s">
        <v>4</v>
      </c>
      <c r="T338" t="s">
        <v>2691</v>
      </c>
      <c r="U338" t="s">
        <v>10</v>
      </c>
      <c r="V338" s="5">
        <v>0</v>
      </c>
      <c r="W338" s="5">
        <v>0</v>
      </c>
      <c r="X338" s="2">
        <v>0</v>
      </c>
      <c r="Y338" t="s">
        <v>4</v>
      </c>
      <c r="Z338" t="s">
        <v>4</v>
      </c>
      <c r="AA338" t="s">
        <v>4</v>
      </c>
      <c r="AB338" t="s">
        <v>4</v>
      </c>
    </row>
    <row r="339" spans="1:28" x14ac:dyDescent="0.2">
      <c r="A339" t="s">
        <v>2251</v>
      </c>
      <c r="B339" t="s">
        <v>4</v>
      </c>
      <c r="C339" t="s">
        <v>4</v>
      </c>
      <c r="D339" t="s">
        <v>4</v>
      </c>
      <c r="E339" t="s">
        <v>4</v>
      </c>
      <c r="F339" t="s">
        <v>5</v>
      </c>
      <c r="G339" t="s">
        <v>6</v>
      </c>
      <c r="H339" t="s">
        <v>2759</v>
      </c>
      <c r="I339" s="5">
        <v>0</v>
      </c>
      <c r="J339" s="5">
        <v>0</v>
      </c>
      <c r="K339" s="5">
        <v>0</v>
      </c>
      <c r="L339" s="3"/>
      <c r="M339" s="3"/>
      <c r="N339" s="3"/>
      <c r="O339" t="s">
        <v>4</v>
      </c>
      <c r="P339" t="s">
        <v>9</v>
      </c>
      <c r="Q339" s="4">
        <v>0.51390046296295999</v>
      </c>
      <c r="R339" t="s">
        <v>4</v>
      </c>
      <c r="S339" t="s">
        <v>4</v>
      </c>
      <c r="T339" t="s">
        <v>2256</v>
      </c>
      <c r="U339" t="s">
        <v>4</v>
      </c>
      <c r="V339" s="5">
        <v>0</v>
      </c>
      <c r="W339" s="5">
        <v>0</v>
      </c>
      <c r="X339" s="2">
        <v>0</v>
      </c>
      <c r="Y339" t="s">
        <v>4</v>
      </c>
      <c r="Z339" t="s">
        <v>4</v>
      </c>
      <c r="AA339" t="s">
        <v>4</v>
      </c>
      <c r="AB339" t="s">
        <v>4</v>
      </c>
    </row>
    <row r="340" spans="1:28" x14ac:dyDescent="0.2">
      <c r="A340" t="s">
        <v>1822</v>
      </c>
      <c r="B340" t="s">
        <v>2</v>
      </c>
      <c r="C340" t="s">
        <v>3</v>
      </c>
      <c r="D340" t="s">
        <v>4</v>
      </c>
      <c r="E340" t="s">
        <v>4</v>
      </c>
      <c r="F340" t="s">
        <v>5</v>
      </c>
      <c r="G340" t="s">
        <v>6</v>
      </c>
      <c r="H340" t="s">
        <v>2760</v>
      </c>
      <c r="I340" s="2">
        <v>480</v>
      </c>
      <c r="J340" s="2">
        <v>0</v>
      </c>
      <c r="K340" s="2">
        <v>0</v>
      </c>
      <c r="L340" s="3">
        <v>45859</v>
      </c>
      <c r="M340" s="3">
        <v>45859</v>
      </c>
      <c r="N340" s="3"/>
      <c r="O340" t="s">
        <v>2761</v>
      </c>
      <c r="P340" t="s">
        <v>9</v>
      </c>
      <c r="Q340" s="4">
        <v>0.73597222222222003</v>
      </c>
      <c r="R340" t="s">
        <v>5</v>
      </c>
      <c r="S340" t="s">
        <v>4</v>
      </c>
      <c r="T340" t="s">
        <v>2261</v>
      </c>
      <c r="U340" t="s">
        <v>10</v>
      </c>
      <c r="V340" s="5">
        <v>0</v>
      </c>
      <c r="W340" s="5">
        <v>0</v>
      </c>
      <c r="X340" s="2">
        <v>0</v>
      </c>
      <c r="Y340" t="s">
        <v>4</v>
      </c>
      <c r="Z340" t="s">
        <v>4</v>
      </c>
      <c r="AA340" t="s">
        <v>4</v>
      </c>
      <c r="AB340" t="s">
        <v>4</v>
      </c>
    </row>
    <row r="341" spans="1:28" x14ac:dyDescent="0.2">
      <c r="A341" t="s">
        <v>1834</v>
      </c>
      <c r="B341" t="s">
        <v>2</v>
      </c>
      <c r="C341" t="s">
        <v>3</v>
      </c>
      <c r="D341" t="s">
        <v>4</v>
      </c>
      <c r="E341" t="s">
        <v>4</v>
      </c>
      <c r="F341" t="s">
        <v>5</v>
      </c>
      <c r="G341" t="s">
        <v>6</v>
      </c>
      <c r="H341" t="s">
        <v>2762</v>
      </c>
      <c r="I341" s="2">
        <v>9000</v>
      </c>
      <c r="J341" s="2">
        <v>0</v>
      </c>
      <c r="K341" s="2">
        <v>0</v>
      </c>
      <c r="L341" s="3">
        <v>45827</v>
      </c>
      <c r="M341" s="3">
        <v>45827</v>
      </c>
      <c r="N341" s="3"/>
      <c r="O341" t="s">
        <v>2763</v>
      </c>
      <c r="P341" t="s">
        <v>9</v>
      </c>
      <c r="Q341" s="4">
        <v>0.36059027777778002</v>
      </c>
      <c r="R341" t="s">
        <v>5</v>
      </c>
      <c r="S341" t="s">
        <v>4</v>
      </c>
      <c r="T341" t="s">
        <v>2327</v>
      </c>
      <c r="U341" t="s">
        <v>10</v>
      </c>
      <c r="V341" s="5">
        <v>0</v>
      </c>
      <c r="W341" s="5">
        <v>0</v>
      </c>
      <c r="X341" s="2">
        <v>0</v>
      </c>
      <c r="Y341" t="s">
        <v>4</v>
      </c>
      <c r="Z341" t="s">
        <v>4</v>
      </c>
      <c r="AA341" t="s">
        <v>4</v>
      </c>
      <c r="AB341" t="s">
        <v>4</v>
      </c>
    </row>
    <row r="342" spans="1:28" x14ac:dyDescent="0.2">
      <c r="A342" t="s">
        <v>662</v>
      </c>
      <c r="B342" t="s">
        <v>2</v>
      </c>
      <c r="C342" t="s">
        <v>3</v>
      </c>
      <c r="D342" t="s">
        <v>4</v>
      </c>
      <c r="E342" t="s">
        <v>4</v>
      </c>
      <c r="F342" t="s">
        <v>5</v>
      </c>
      <c r="G342" t="s">
        <v>6</v>
      </c>
      <c r="H342" t="s">
        <v>2764</v>
      </c>
      <c r="I342" s="2">
        <v>270</v>
      </c>
      <c r="J342" s="2">
        <v>0</v>
      </c>
      <c r="K342" s="2">
        <v>0</v>
      </c>
      <c r="L342" s="3">
        <v>45840</v>
      </c>
      <c r="M342" s="3">
        <v>45840</v>
      </c>
      <c r="N342" s="3"/>
      <c r="O342" t="s">
        <v>2765</v>
      </c>
      <c r="P342" t="s">
        <v>9</v>
      </c>
      <c r="Q342" s="4">
        <v>0.55762731481480998</v>
      </c>
      <c r="R342" t="s">
        <v>5</v>
      </c>
      <c r="S342" t="s">
        <v>4</v>
      </c>
      <c r="T342" t="s">
        <v>2766</v>
      </c>
      <c r="U342" t="s">
        <v>10</v>
      </c>
      <c r="V342" s="5">
        <v>0</v>
      </c>
      <c r="W342" s="5">
        <v>0</v>
      </c>
      <c r="X342" s="2">
        <v>0</v>
      </c>
      <c r="Y342" t="s">
        <v>4</v>
      </c>
      <c r="Z342" t="s">
        <v>4</v>
      </c>
      <c r="AA342" t="s">
        <v>4</v>
      </c>
      <c r="AB342" t="s">
        <v>4</v>
      </c>
    </row>
    <row r="343" spans="1:28" x14ac:dyDescent="0.2">
      <c r="A343" t="s">
        <v>662</v>
      </c>
      <c r="B343" t="s">
        <v>2</v>
      </c>
      <c r="C343" t="s">
        <v>3</v>
      </c>
      <c r="D343" t="s">
        <v>4</v>
      </c>
      <c r="E343" t="s">
        <v>4</v>
      </c>
      <c r="F343" t="s">
        <v>5</v>
      </c>
      <c r="G343" t="s">
        <v>6</v>
      </c>
      <c r="H343" t="s">
        <v>2764</v>
      </c>
      <c r="I343" s="2">
        <v>270</v>
      </c>
      <c r="J343" s="2">
        <v>0</v>
      </c>
      <c r="K343" s="2">
        <v>0</v>
      </c>
      <c r="L343" s="3">
        <v>45840</v>
      </c>
      <c r="M343" s="3">
        <v>45840</v>
      </c>
      <c r="N343" s="3"/>
      <c r="O343" t="s">
        <v>2767</v>
      </c>
      <c r="P343" t="s">
        <v>9</v>
      </c>
      <c r="Q343" s="4">
        <v>0.55762731481480998</v>
      </c>
      <c r="R343" t="s">
        <v>5</v>
      </c>
      <c r="S343" t="s">
        <v>4</v>
      </c>
      <c r="T343" t="s">
        <v>2766</v>
      </c>
      <c r="U343" t="s">
        <v>10</v>
      </c>
      <c r="V343" s="5">
        <v>0</v>
      </c>
      <c r="W343" s="5">
        <v>0</v>
      </c>
      <c r="X343" s="2">
        <v>0</v>
      </c>
      <c r="Y343" t="s">
        <v>4</v>
      </c>
      <c r="Z343" t="s">
        <v>4</v>
      </c>
      <c r="AA343" t="s">
        <v>4</v>
      </c>
      <c r="AB343" t="s">
        <v>4</v>
      </c>
    </row>
    <row r="344" spans="1:28" x14ac:dyDescent="0.2">
      <c r="A344" t="s">
        <v>268</v>
      </c>
      <c r="B344" t="s">
        <v>2</v>
      </c>
      <c r="C344" t="s">
        <v>3</v>
      </c>
      <c r="D344" t="s">
        <v>4</v>
      </c>
      <c r="E344" t="s">
        <v>4</v>
      </c>
      <c r="F344" t="s">
        <v>5</v>
      </c>
      <c r="G344" t="s">
        <v>6</v>
      </c>
      <c r="H344" t="s">
        <v>2768</v>
      </c>
      <c r="I344" s="2">
        <v>902</v>
      </c>
      <c r="J344" s="2">
        <v>0</v>
      </c>
      <c r="K344" s="2">
        <v>0</v>
      </c>
      <c r="L344" s="3">
        <v>45847</v>
      </c>
      <c r="M344" s="3">
        <v>45847</v>
      </c>
      <c r="N344" s="3"/>
      <c r="O344" t="s">
        <v>2769</v>
      </c>
      <c r="P344" t="s">
        <v>9</v>
      </c>
      <c r="Q344" s="4">
        <v>0.77552083333333</v>
      </c>
      <c r="R344" t="s">
        <v>5</v>
      </c>
      <c r="S344" t="s">
        <v>4</v>
      </c>
      <c r="T344" t="s">
        <v>2341</v>
      </c>
      <c r="U344" t="s">
        <v>10</v>
      </c>
      <c r="V344" s="5">
        <v>0</v>
      </c>
      <c r="W344" s="5">
        <v>0</v>
      </c>
      <c r="X344" s="2">
        <v>0</v>
      </c>
      <c r="Y344" t="s">
        <v>4</v>
      </c>
      <c r="Z344" t="s">
        <v>4</v>
      </c>
      <c r="AA344" t="s">
        <v>4</v>
      </c>
      <c r="AB344" t="s">
        <v>4</v>
      </c>
    </row>
    <row r="345" spans="1:28" x14ac:dyDescent="0.2">
      <c r="A345" t="s">
        <v>675</v>
      </c>
      <c r="B345" t="s">
        <v>2</v>
      </c>
      <c r="C345" t="s">
        <v>3</v>
      </c>
      <c r="D345" t="s">
        <v>4</v>
      </c>
      <c r="E345" t="s">
        <v>4</v>
      </c>
      <c r="F345" t="s">
        <v>5</v>
      </c>
      <c r="G345" t="s">
        <v>6</v>
      </c>
      <c r="H345" t="s">
        <v>2770</v>
      </c>
      <c r="I345" s="2">
        <v>450</v>
      </c>
      <c r="J345" s="2">
        <v>0</v>
      </c>
      <c r="K345" s="2">
        <v>0</v>
      </c>
      <c r="L345" s="3">
        <v>45832</v>
      </c>
      <c r="M345" s="3">
        <v>45856</v>
      </c>
      <c r="N345" s="3">
        <v>45856</v>
      </c>
      <c r="O345" t="s">
        <v>2771</v>
      </c>
      <c r="P345" t="s">
        <v>9</v>
      </c>
      <c r="Q345" s="4">
        <v>0.65539351851852001</v>
      </c>
      <c r="R345" t="s">
        <v>5</v>
      </c>
      <c r="S345" t="s">
        <v>4</v>
      </c>
      <c r="T345" t="s">
        <v>2665</v>
      </c>
      <c r="U345" t="s">
        <v>10</v>
      </c>
      <c r="V345" s="5">
        <v>0</v>
      </c>
      <c r="W345" s="5">
        <v>0</v>
      </c>
      <c r="X345" s="2">
        <v>0</v>
      </c>
      <c r="Y345" t="s">
        <v>4</v>
      </c>
      <c r="Z345" t="s">
        <v>4</v>
      </c>
      <c r="AA345" t="s">
        <v>4</v>
      </c>
      <c r="AB345" t="s">
        <v>4</v>
      </c>
    </row>
    <row r="346" spans="1:28" x14ac:dyDescent="0.2">
      <c r="A346" t="s">
        <v>675</v>
      </c>
      <c r="B346" t="s">
        <v>2</v>
      </c>
      <c r="C346" t="s">
        <v>3</v>
      </c>
      <c r="D346" t="s">
        <v>4</v>
      </c>
      <c r="E346" t="s">
        <v>4</v>
      </c>
      <c r="F346" t="s">
        <v>5</v>
      </c>
      <c r="G346" t="s">
        <v>6</v>
      </c>
      <c r="H346" t="s">
        <v>2770</v>
      </c>
      <c r="I346" s="2">
        <v>600</v>
      </c>
      <c r="J346" s="2">
        <v>0</v>
      </c>
      <c r="K346" s="2">
        <v>0</v>
      </c>
      <c r="L346" s="3">
        <v>45858</v>
      </c>
      <c r="M346" s="3">
        <v>45858</v>
      </c>
      <c r="N346" s="3"/>
      <c r="O346" t="s">
        <v>2772</v>
      </c>
      <c r="P346" t="s">
        <v>9</v>
      </c>
      <c r="Q346" s="4">
        <v>0.65539351851852001</v>
      </c>
      <c r="R346" t="s">
        <v>5</v>
      </c>
      <c r="S346" t="s">
        <v>4</v>
      </c>
      <c r="T346" t="s">
        <v>2337</v>
      </c>
      <c r="U346" t="s">
        <v>10</v>
      </c>
      <c r="V346" s="5">
        <v>0</v>
      </c>
      <c r="W346" s="5">
        <v>0</v>
      </c>
      <c r="X346" s="2">
        <v>0</v>
      </c>
      <c r="Y346" t="s">
        <v>4</v>
      </c>
      <c r="Z346" t="s">
        <v>4</v>
      </c>
      <c r="AA346" t="s">
        <v>4</v>
      </c>
      <c r="AB346" t="s">
        <v>4</v>
      </c>
    </row>
    <row r="347" spans="1:28" x14ac:dyDescent="0.2">
      <c r="A347" t="s">
        <v>635</v>
      </c>
      <c r="B347" t="s">
        <v>2</v>
      </c>
      <c r="C347" t="s">
        <v>3</v>
      </c>
      <c r="D347" t="s">
        <v>4</v>
      </c>
      <c r="E347" t="s">
        <v>4</v>
      </c>
      <c r="F347" t="s">
        <v>5</v>
      </c>
      <c r="G347" t="s">
        <v>6</v>
      </c>
      <c r="H347" t="s">
        <v>2773</v>
      </c>
      <c r="I347" s="2">
        <v>800</v>
      </c>
      <c r="J347" s="2">
        <v>0</v>
      </c>
      <c r="K347" s="2">
        <v>0</v>
      </c>
      <c r="L347" s="3">
        <v>45779</v>
      </c>
      <c r="M347" s="3">
        <v>45779</v>
      </c>
      <c r="N347" s="3"/>
      <c r="O347" t="s">
        <v>2774</v>
      </c>
      <c r="P347" t="s">
        <v>9</v>
      </c>
      <c r="Q347" s="4">
        <v>0.88666666666667004</v>
      </c>
      <c r="R347" t="s">
        <v>5</v>
      </c>
      <c r="S347" t="s">
        <v>4</v>
      </c>
      <c r="T347" t="s">
        <v>2775</v>
      </c>
      <c r="U347" t="s">
        <v>10</v>
      </c>
      <c r="V347" s="5">
        <v>0</v>
      </c>
      <c r="W347" s="5">
        <v>0</v>
      </c>
      <c r="X347" s="2">
        <v>0</v>
      </c>
      <c r="Y347" t="s">
        <v>4</v>
      </c>
      <c r="Z347" t="s">
        <v>4</v>
      </c>
      <c r="AA347" t="s">
        <v>4</v>
      </c>
      <c r="AB347" t="s">
        <v>4</v>
      </c>
    </row>
    <row r="348" spans="1:28" x14ac:dyDescent="0.2">
      <c r="A348" t="s">
        <v>635</v>
      </c>
      <c r="B348" t="s">
        <v>2</v>
      </c>
      <c r="C348" t="s">
        <v>3</v>
      </c>
      <c r="D348" t="s">
        <v>4</v>
      </c>
      <c r="E348" t="s">
        <v>4</v>
      </c>
      <c r="F348" t="s">
        <v>5</v>
      </c>
      <c r="G348" t="s">
        <v>6</v>
      </c>
      <c r="H348" t="s">
        <v>2773</v>
      </c>
      <c r="I348" s="2">
        <v>800</v>
      </c>
      <c r="J348" s="2">
        <v>0</v>
      </c>
      <c r="K348" s="2">
        <v>0</v>
      </c>
      <c r="L348" s="3">
        <v>45768</v>
      </c>
      <c r="M348" s="3">
        <v>45768</v>
      </c>
      <c r="N348" s="3"/>
      <c r="O348" t="s">
        <v>2776</v>
      </c>
      <c r="P348" t="s">
        <v>9</v>
      </c>
      <c r="Q348" s="4">
        <v>0.88666666666667004</v>
      </c>
      <c r="R348" t="s">
        <v>5</v>
      </c>
      <c r="S348" t="s">
        <v>4</v>
      </c>
      <c r="T348" t="s">
        <v>2777</v>
      </c>
      <c r="U348" t="s">
        <v>10</v>
      </c>
      <c r="V348" s="5">
        <v>0</v>
      </c>
      <c r="W348" s="5">
        <v>0</v>
      </c>
      <c r="X348" s="2">
        <v>0</v>
      </c>
      <c r="Y348" t="s">
        <v>4</v>
      </c>
      <c r="Z348" t="s">
        <v>4</v>
      </c>
      <c r="AA348" t="s">
        <v>4</v>
      </c>
      <c r="AB348" t="s">
        <v>4</v>
      </c>
    </row>
    <row r="349" spans="1:28" x14ac:dyDescent="0.2">
      <c r="A349" t="s">
        <v>641</v>
      </c>
      <c r="B349" t="s">
        <v>2</v>
      </c>
      <c r="C349" t="s">
        <v>3</v>
      </c>
      <c r="D349" t="s">
        <v>4</v>
      </c>
      <c r="E349" t="s">
        <v>4</v>
      </c>
      <c r="F349" t="s">
        <v>5</v>
      </c>
      <c r="G349" t="s">
        <v>6</v>
      </c>
      <c r="H349" t="s">
        <v>2778</v>
      </c>
      <c r="I349" s="2">
        <v>2304</v>
      </c>
      <c r="J349" s="2">
        <v>0</v>
      </c>
      <c r="K349" s="2">
        <v>0</v>
      </c>
      <c r="L349" s="3">
        <v>45785</v>
      </c>
      <c r="M349" s="3">
        <v>45785</v>
      </c>
      <c r="N349" s="3"/>
      <c r="O349" t="s">
        <v>2779</v>
      </c>
      <c r="P349" t="s">
        <v>9</v>
      </c>
      <c r="Q349" s="4">
        <v>0.37546296296296</v>
      </c>
      <c r="R349" t="s">
        <v>5</v>
      </c>
      <c r="S349" t="s">
        <v>4</v>
      </c>
      <c r="T349" t="s">
        <v>2780</v>
      </c>
      <c r="U349" t="s">
        <v>10</v>
      </c>
      <c r="V349" s="5">
        <v>0</v>
      </c>
      <c r="W349" s="5">
        <v>0</v>
      </c>
      <c r="X349" s="2">
        <v>0</v>
      </c>
      <c r="Y349" t="s">
        <v>4</v>
      </c>
      <c r="Z349" t="s">
        <v>4</v>
      </c>
      <c r="AA349" t="s">
        <v>4</v>
      </c>
      <c r="AB349" t="s">
        <v>4</v>
      </c>
    </row>
    <row r="350" spans="1:28" x14ac:dyDescent="0.2">
      <c r="A350" t="s">
        <v>641</v>
      </c>
      <c r="B350" t="s">
        <v>2</v>
      </c>
      <c r="C350" t="s">
        <v>3</v>
      </c>
      <c r="D350" t="s">
        <v>4</v>
      </c>
      <c r="E350" t="s">
        <v>4</v>
      </c>
      <c r="F350" t="s">
        <v>5</v>
      </c>
      <c r="G350" t="s">
        <v>6</v>
      </c>
      <c r="H350" t="s">
        <v>2778</v>
      </c>
      <c r="I350" s="2">
        <v>384</v>
      </c>
      <c r="J350" s="2">
        <v>0</v>
      </c>
      <c r="K350" s="2">
        <v>0</v>
      </c>
      <c r="L350" s="3">
        <v>45787</v>
      </c>
      <c r="M350" s="3">
        <v>45787</v>
      </c>
      <c r="N350" s="3"/>
      <c r="O350" t="s">
        <v>2781</v>
      </c>
      <c r="P350" t="s">
        <v>9</v>
      </c>
      <c r="Q350" s="4">
        <v>0.37546296296296</v>
      </c>
      <c r="R350" t="s">
        <v>5</v>
      </c>
      <c r="S350" t="s">
        <v>4</v>
      </c>
      <c r="T350" t="s">
        <v>2782</v>
      </c>
      <c r="U350" t="s">
        <v>10</v>
      </c>
      <c r="V350" s="5">
        <v>0</v>
      </c>
      <c r="W350" s="5">
        <v>0</v>
      </c>
      <c r="X350" s="2">
        <v>0</v>
      </c>
      <c r="Y350" t="s">
        <v>4</v>
      </c>
      <c r="Z350" t="s">
        <v>4</v>
      </c>
      <c r="AA350" t="s">
        <v>4</v>
      </c>
      <c r="AB350" t="s">
        <v>4</v>
      </c>
    </row>
    <row r="351" spans="1:28" x14ac:dyDescent="0.2">
      <c r="A351" t="s">
        <v>0</v>
      </c>
      <c r="B351" t="s">
        <v>2</v>
      </c>
      <c r="C351" t="s">
        <v>3</v>
      </c>
      <c r="D351" t="s">
        <v>4</v>
      </c>
      <c r="E351" t="s">
        <v>4</v>
      </c>
      <c r="F351" t="s">
        <v>5</v>
      </c>
      <c r="G351" t="s">
        <v>6</v>
      </c>
      <c r="H351" t="s">
        <v>7</v>
      </c>
      <c r="I351" s="2">
        <v>196</v>
      </c>
      <c r="J351" s="2">
        <v>0</v>
      </c>
      <c r="K351" s="2">
        <v>0</v>
      </c>
      <c r="L351" s="3">
        <v>45843</v>
      </c>
      <c r="M351" s="3">
        <v>45843</v>
      </c>
      <c r="N351" s="3"/>
      <c r="O351" t="s">
        <v>11</v>
      </c>
      <c r="P351" t="s">
        <v>9</v>
      </c>
      <c r="Q351" s="4">
        <v>0.93377314814815005</v>
      </c>
      <c r="R351" t="s">
        <v>5</v>
      </c>
      <c r="S351" t="s">
        <v>4</v>
      </c>
      <c r="T351" t="s">
        <v>2783</v>
      </c>
      <c r="U351" t="s">
        <v>10</v>
      </c>
      <c r="V351" s="5">
        <v>0</v>
      </c>
      <c r="W351" s="5">
        <v>0</v>
      </c>
      <c r="X351" s="2">
        <v>0</v>
      </c>
      <c r="Y351" t="s">
        <v>4</v>
      </c>
      <c r="Z351" t="s">
        <v>4</v>
      </c>
      <c r="AA351" t="s">
        <v>4</v>
      </c>
      <c r="AB351" t="s">
        <v>4</v>
      </c>
    </row>
    <row r="352" spans="1:28" x14ac:dyDescent="0.2">
      <c r="A352" t="s">
        <v>0</v>
      </c>
      <c r="B352" t="s">
        <v>2</v>
      </c>
      <c r="C352" t="s">
        <v>3</v>
      </c>
      <c r="D352" t="s">
        <v>4</v>
      </c>
      <c r="E352" t="s">
        <v>4</v>
      </c>
      <c r="F352" t="s">
        <v>5</v>
      </c>
      <c r="G352" t="s">
        <v>6</v>
      </c>
      <c r="H352" t="s">
        <v>7</v>
      </c>
      <c r="I352" s="2">
        <v>196</v>
      </c>
      <c r="J352" s="2">
        <v>0</v>
      </c>
      <c r="K352" s="2">
        <v>0</v>
      </c>
      <c r="L352" s="3">
        <v>45843</v>
      </c>
      <c r="M352" s="3">
        <v>45843</v>
      </c>
      <c r="N352" s="3"/>
      <c r="O352" t="s">
        <v>8</v>
      </c>
      <c r="P352" t="s">
        <v>9</v>
      </c>
      <c r="Q352" s="4">
        <v>0.93377314814815005</v>
      </c>
      <c r="R352" t="s">
        <v>5</v>
      </c>
      <c r="S352" t="s">
        <v>4</v>
      </c>
      <c r="T352" t="s">
        <v>2783</v>
      </c>
      <c r="U352" t="s">
        <v>10</v>
      </c>
      <c r="V352" s="5">
        <v>0</v>
      </c>
      <c r="W352" s="5">
        <v>0</v>
      </c>
      <c r="X352" s="2">
        <v>0</v>
      </c>
      <c r="Y352" t="s">
        <v>4</v>
      </c>
      <c r="Z352" t="s">
        <v>4</v>
      </c>
      <c r="AA352" t="s">
        <v>4</v>
      </c>
      <c r="AB352" t="s">
        <v>4</v>
      </c>
    </row>
    <row r="353" spans="1:28" x14ac:dyDescent="0.2">
      <c r="A353" t="s">
        <v>2039</v>
      </c>
      <c r="B353" t="s">
        <v>2</v>
      </c>
      <c r="C353" t="s">
        <v>3</v>
      </c>
      <c r="D353" t="s">
        <v>4</v>
      </c>
      <c r="E353" t="s">
        <v>4</v>
      </c>
      <c r="F353" t="s">
        <v>5</v>
      </c>
      <c r="G353" t="s">
        <v>6</v>
      </c>
      <c r="H353" t="s">
        <v>2784</v>
      </c>
      <c r="I353" s="2">
        <v>108</v>
      </c>
      <c r="J353" s="2">
        <v>0</v>
      </c>
      <c r="K353" s="2">
        <v>0</v>
      </c>
      <c r="L353" s="3">
        <v>45859</v>
      </c>
      <c r="M353" s="3">
        <v>45859</v>
      </c>
      <c r="N353" s="3"/>
      <c r="O353" t="s">
        <v>2785</v>
      </c>
      <c r="P353" t="s">
        <v>9</v>
      </c>
      <c r="Q353" s="4">
        <v>0.42328703703704001</v>
      </c>
      <c r="R353" t="s">
        <v>5</v>
      </c>
      <c r="S353" t="s">
        <v>4</v>
      </c>
      <c r="T353" t="s">
        <v>2261</v>
      </c>
      <c r="U353" t="s">
        <v>10</v>
      </c>
      <c r="V353" s="5">
        <v>0</v>
      </c>
      <c r="W353" s="5">
        <v>0</v>
      </c>
      <c r="X353" s="2">
        <v>0</v>
      </c>
      <c r="Y353" t="s">
        <v>4</v>
      </c>
      <c r="Z353" t="s">
        <v>4</v>
      </c>
      <c r="AA353" t="s">
        <v>4</v>
      </c>
      <c r="AB353" t="s">
        <v>4</v>
      </c>
    </row>
    <row r="354" spans="1:28" x14ac:dyDescent="0.2">
      <c r="A354" t="s">
        <v>2039</v>
      </c>
      <c r="B354" t="s">
        <v>2</v>
      </c>
      <c r="C354" t="s">
        <v>3</v>
      </c>
      <c r="D354" t="s">
        <v>4</v>
      </c>
      <c r="E354" t="s">
        <v>4</v>
      </c>
      <c r="F354" t="s">
        <v>5</v>
      </c>
      <c r="G354" t="s">
        <v>6</v>
      </c>
      <c r="H354" t="s">
        <v>2784</v>
      </c>
      <c r="I354" s="2">
        <v>103</v>
      </c>
      <c r="J354" s="2">
        <v>0</v>
      </c>
      <c r="K354" s="2">
        <v>0</v>
      </c>
      <c r="L354" s="3">
        <v>45856</v>
      </c>
      <c r="M354" s="3">
        <v>45856</v>
      </c>
      <c r="N354" s="3"/>
      <c r="O354" t="s">
        <v>2786</v>
      </c>
      <c r="P354" t="s">
        <v>9</v>
      </c>
      <c r="Q354" s="4">
        <v>0.42328703703704001</v>
      </c>
      <c r="R354" t="s">
        <v>5</v>
      </c>
      <c r="S354" t="s">
        <v>4</v>
      </c>
      <c r="T354" t="s">
        <v>2260</v>
      </c>
      <c r="U354" t="s">
        <v>10</v>
      </c>
      <c r="V354" s="5">
        <v>0</v>
      </c>
      <c r="W354" s="5">
        <v>0</v>
      </c>
      <c r="X354" s="2">
        <v>0</v>
      </c>
      <c r="Y354" t="s">
        <v>4</v>
      </c>
      <c r="Z354" t="s">
        <v>4</v>
      </c>
      <c r="AA354" t="s">
        <v>4</v>
      </c>
      <c r="AB354" t="s">
        <v>4</v>
      </c>
    </row>
    <row r="355" spans="1:28" x14ac:dyDescent="0.2">
      <c r="A355" t="s">
        <v>730</v>
      </c>
      <c r="B355" t="s">
        <v>2</v>
      </c>
      <c r="C355" t="s">
        <v>3</v>
      </c>
      <c r="D355" t="s">
        <v>4</v>
      </c>
      <c r="E355" t="s">
        <v>4</v>
      </c>
      <c r="F355" t="s">
        <v>5</v>
      </c>
      <c r="G355" t="s">
        <v>6</v>
      </c>
      <c r="H355" t="s">
        <v>2787</v>
      </c>
      <c r="I355" s="2">
        <v>1260</v>
      </c>
      <c r="J355" s="2">
        <v>0</v>
      </c>
      <c r="K355" s="2">
        <v>0</v>
      </c>
      <c r="L355" s="3">
        <v>45854</v>
      </c>
      <c r="M355" s="3">
        <v>45854</v>
      </c>
      <c r="N355" s="3"/>
      <c r="O355" t="s">
        <v>2788</v>
      </c>
      <c r="P355" t="s">
        <v>9</v>
      </c>
      <c r="Q355" s="4">
        <v>0.56172453703703995</v>
      </c>
      <c r="R355" t="s">
        <v>5</v>
      </c>
      <c r="S355" t="s">
        <v>4</v>
      </c>
      <c r="T355" t="s">
        <v>2299</v>
      </c>
      <c r="U355" t="s">
        <v>10</v>
      </c>
      <c r="V355" s="5">
        <v>0</v>
      </c>
      <c r="W355" s="5">
        <v>0</v>
      </c>
      <c r="X355" s="2">
        <v>0</v>
      </c>
      <c r="Y355" t="s">
        <v>4</v>
      </c>
      <c r="Z355" t="s">
        <v>4</v>
      </c>
      <c r="AA355" t="s">
        <v>4</v>
      </c>
      <c r="AB355" t="s">
        <v>4</v>
      </c>
    </row>
    <row r="356" spans="1:28" x14ac:dyDescent="0.2">
      <c r="A356" t="s">
        <v>730</v>
      </c>
      <c r="B356" t="s">
        <v>2</v>
      </c>
      <c r="C356" t="s">
        <v>3</v>
      </c>
      <c r="D356" t="s">
        <v>4</v>
      </c>
      <c r="E356" t="s">
        <v>4</v>
      </c>
      <c r="F356" t="s">
        <v>5</v>
      </c>
      <c r="G356" t="s">
        <v>6</v>
      </c>
      <c r="H356" t="s">
        <v>2787</v>
      </c>
      <c r="I356" s="2">
        <v>1260</v>
      </c>
      <c r="J356" s="2">
        <v>0</v>
      </c>
      <c r="K356" s="2">
        <v>0</v>
      </c>
      <c r="L356" s="3">
        <v>45857</v>
      </c>
      <c r="M356" s="3">
        <v>45857</v>
      </c>
      <c r="N356" s="3"/>
      <c r="O356" t="s">
        <v>2789</v>
      </c>
      <c r="P356" t="s">
        <v>9</v>
      </c>
      <c r="Q356" s="4">
        <v>0.56172453703703995</v>
      </c>
      <c r="R356" t="s">
        <v>5</v>
      </c>
      <c r="S356" t="s">
        <v>4</v>
      </c>
      <c r="T356" t="s">
        <v>2262</v>
      </c>
      <c r="U356" t="s">
        <v>10</v>
      </c>
      <c r="V356" s="5">
        <v>0</v>
      </c>
      <c r="W356" s="5">
        <v>0</v>
      </c>
      <c r="X356" s="2">
        <v>0</v>
      </c>
      <c r="Y356" t="s">
        <v>4</v>
      </c>
      <c r="Z356" t="s">
        <v>4</v>
      </c>
      <c r="AA356" t="s">
        <v>4</v>
      </c>
      <c r="AB356" t="s">
        <v>4</v>
      </c>
    </row>
    <row r="357" spans="1:28" x14ac:dyDescent="0.2">
      <c r="A357" t="s">
        <v>1139</v>
      </c>
      <c r="B357" t="s">
        <v>2</v>
      </c>
      <c r="C357" t="s">
        <v>3</v>
      </c>
      <c r="D357" t="s">
        <v>4</v>
      </c>
      <c r="E357" t="s">
        <v>4</v>
      </c>
      <c r="F357" t="s">
        <v>5</v>
      </c>
      <c r="G357" t="s">
        <v>6</v>
      </c>
      <c r="H357" t="s">
        <v>2790</v>
      </c>
      <c r="I357" s="2">
        <v>360</v>
      </c>
      <c r="J357" s="2">
        <v>0</v>
      </c>
      <c r="K357" s="2">
        <v>0</v>
      </c>
      <c r="L357" s="3">
        <v>45844</v>
      </c>
      <c r="M357" s="3">
        <v>45844</v>
      </c>
      <c r="N357" s="3"/>
      <c r="O357" t="s">
        <v>2791</v>
      </c>
      <c r="P357" t="s">
        <v>9</v>
      </c>
      <c r="Q357" s="4">
        <v>0.55336805555556001</v>
      </c>
      <c r="R357" t="s">
        <v>5</v>
      </c>
      <c r="S357" t="s">
        <v>4</v>
      </c>
      <c r="T357" t="s">
        <v>2792</v>
      </c>
      <c r="U357" t="s">
        <v>10</v>
      </c>
      <c r="V357" s="5">
        <v>0</v>
      </c>
      <c r="W357" s="5">
        <v>0</v>
      </c>
      <c r="X357" s="2">
        <v>0</v>
      </c>
      <c r="Y357" t="s">
        <v>4</v>
      </c>
      <c r="Z357" t="s">
        <v>4</v>
      </c>
      <c r="AA357" t="s">
        <v>4</v>
      </c>
      <c r="AB357" t="s">
        <v>4</v>
      </c>
    </row>
    <row r="358" spans="1:28" x14ac:dyDescent="0.2">
      <c r="A358" t="s">
        <v>1139</v>
      </c>
      <c r="B358" t="s">
        <v>2</v>
      </c>
      <c r="C358" t="s">
        <v>3</v>
      </c>
      <c r="D358" t="s">
        <v>4</v>
      </c>
      <c r="E358" t="s">
        <v>4</v>
      </c>
      <c r="F358" t="s">
        <v>5</v>
      </c>
      <c r="G358" t="s">
        <v>6</v>
      </c>
      <c r="H358" t="s">
        <v>2790</v>
      </c>
      <c r="I358" s="2">
        <v>432</v>
      </c>
      <c r="J358" s="2">
        <v>0</v>
      </c>
      <c r="K358" s="2">
        <v>0</v>
      </c>
      <c r="L358" s="3">
        <v>45844</v>
      </c>
      <c r="M358" s="3">
        <v>45844</v>
      </c>
      <c r="N358" s="3"/>
      <c r="O358" t="s">
        <v>2793</v>
      </c>
      <c r="P358" t="s">
        <v>9</v>
      </c>
      <c r="Q358" s="4">
        <v>0.55336805555556001</v>
      </c>
      <c r="R358" t="s">
        <v>5</v>
      </c>
      <c r="S358" t="s">
        <v>4</v>
      </c>
      <c r="T358" t="s">
        <v>2792</v>
      </c>
      <c r="U358" t="s">
        <v>10</v>
      </c>
      <c r="V358" s="5">
        <v>0</v>
      </c>
      <c r="W358" s="5">
        <v>0</v>
      </c>
      <c r="X358" s="2">
        <v>0</v>
      </c>
      <c r="Y358" t="s">
        <v>4</v>
      </c>
      <c r="Z358" t="s">
        <v>4</v>
      </c>
      <c r="AA358" t="s">
        <v>4</v>
      </c>
      <c r="AB358" t="s">
        <v>4</v>
      </c>
    </row>
    <row r="359" spans="1:28" x14ac:dyDescent="0.2">
      <c r="A359" t="s">
        <v>1822</v>
      </c>
      <c r="B359" t="s">
        <v>2</v>
      </c>
      <c r="C359" t="s">
        <v>3</v>
      </c>
      <c r="D359" t="s">
        <v>4</v>
      </c>
      <c r="E359" t="s">
        <v>4</v>
      </c>
      <c r="F359" t="s">
        <v>5</v>
      </c>
      <c r="G359" t="s">
        <v>6</v>
      </c>
      <c r="H359" t="s">
        <v>2794</v>
      </c>
      <c r="I359" s="2">
        <v>480</v>
      </c>
      <c r="J359" s="2">
        <v>0</v>
      </c>
      <c r="K359" s="2">
        <v>0</v>
      </c>
      <c r="L359" s="3">
        <v>45859</v>
      </c>
      <c r="M359" s="3">
        <v>45859</v>
      </c>
      <c r="N359" s="3"/>
      <c r="O359" t="s">
        <v>2795</v>
      </c>
      <c r="P359" t="s">
        <v>9</v>
      </c>
      <c r="Q359" s="4">
        <v>0.73363425925925996</v>
      </c>
      <c r="R359" t="s">
        <v>5</v>
      </c>
      <c r="S359" t="s">
        <v>4</v>
      </c>
      <c r="T359" t="s">
        <v>2261</v>
      </c>
      <c r="U359" t="s">
        <v>10</v>
      </c>
      <c r="V359" s="5">
        <v>0</v>
      </c>
      <c r="W359" s="5">
        <v>0</v>
      </c>
      <c r="X359" s="2">
        <v>0</v>
      </c>
      <c r="Y359" t="s">
        <v>4</v>
      </c>
      <c r="Z359" t="s">
        <v>4</v>
      </c>
      <c r="AA359" t="s">
        <v>4</v>
      </c>
      <c r="AB359" t="s">
        <v>4</v>
      </c>
    </row>
    <row r="360" spans="1:28" x14ac:dyDescent="0.2">
      <c r="A360" t="s">
        <v>1466</v>
      </c>
      <c r="B360" t="s">
        <v>2</v>
      </c>
      <c r="C360" t="s">
        <v>3</v>
      </c>
      <c r="D360" t="s">
        <v>4</v>
      </c>
      <c r="E360" t="s">
        <v>4</v>
      </c>
      <c r="F360" t="s">
        <v>5</v>
      </c>
      <c r="G360" t="s">
        <v>6</v>
      </c>
      <c r="H360" t="s">
        <v>2796</v>
      </c>
      <c r="I360" s="2">
        <v>60</v>
      </c>
      <c r="J360" s="2">
        <v>0</v>
      </c>
      <c r="K360" s="2">
        <v>0</v>
      </c>
      <c r="L360" s="3">
        <v>45859</v>
      </c>
      <c r="M360" s="3">
        <v>45859</v>
      </c>
      <c r="N360" s="3"/>
      <c r="O360" t="s">
        <v>2797</v>
      </c>
      <c r="P360" t="s">
        <v>9</v>
      </c>
      <c r="Q360" s="4">
        <v>0.42311342592592999</v>
      </c>
      <c r="R360" t="s">
        <v>5</v>
      </c>
      <c r="S360" t="s">
        <v>4</v>
      </c>
      <c r="T360" t="s">
        <v>2261</v>
      </c>
      <c r="U360" t="s">
        <v>10</v>
      </c>
      <c r="V360" s="5">
        <v>0</v>
      </c>
      <c r="W360" s="5">
        <v>0</v>
      </c>
      <c r="X360" s="2">
        <v>0</v>
      </c>
      <c r="Y360" t="s">
        <v>4</v>
      </c>
      <c r="Z360" t="s">
        <v>4</v>
      </c>
      <c r="AA360" t="s">
        <v>4</v>
      </c>
      <c r="AB360" t="s">
        <v>4</v>
      </c>
    </row>
    <row r="361" spans="1:28" x14ac:dyDescent="0.2">
      <c r="A361" t="s">
        <v>1327</v>
      </c>
      <c r="B361" t="s">
        <v>2</v>
      </c>
      <c r="C361" t="s">
        <v>3</v>
      </c>
      <c r="D361" t="s">
        <v>4</v>
      </c>
      <c r="E361" t="s">
        <v>4</v>
      </c>
      <c r="F361" t="s">
        <v>5</v>
      </c>
      <c r="G361" t="s">
        <v>6</v>
      </c>
      <c r="H361" t="s">
        <v>2798</v>
      </c>
      <c r="I361" s="2">
        <v>600</v>
      </c>
      <c r="J361" s="2">
        <v>0</v>
      </c>
      <c r="K361" s="2">
        <v>0</v>
      </c>
      <c r="L361" s="3">
        <v>45848</v>
      </c>
      <c r="M361" s="3">
        <v>45848</v>
      </c>
      <c r="N361" s="3"/>
      <c r="O361" t="s">
        <v>2799</v>
      </c>
      <c r="P361" t="s">
        <v>9</v>
      </c>
      <c r="Q361" s="4">
        <v>0.86081018518519004</v>
      </c>
      <c r="R361" t="s">
        <v>5</v>
      </c>
      <c r="S361" t="s">
        <v>4</v>
      </c>
      <c r="T361" t="s">
        <v>2580</v>
      </c>
      <c r="U361" t="s">
        <v>10</v>
      </c>
      <c r="V361" s="5">
        <v>0</v>
      </c>
      <c r="W361" s="5">
        <v>0</v>
      </c>
      <c r="X361" s="2">
        <v>0</v>
      </c>
      <c r="Y361" t="s">
        <v>4</v>
      </c>
      <c r="Z361" t="s">
        <v>4</v>
      </c>
      <c r="AA361" t="s">
        <v>4</v>
      </c>
      <c r="AB361" t="s">
        <v>4</v>
      </c>
    </row>
    <row r="362" spans="1:28" x14ac:dyDescent="0.2">
      <c r="A362" t="s">
        <v>1582</v>
      </c>
      <c r="B362" t="s">
        <v>2</v>
      </c>
      <c r="C362" t="s">
        <v>3</v>
      </c>
      <c r="D362" t="s">
        <v>4</v>
      </c>
      <c r="E362" t="s">
        <v>4</v>
      </c>
      <c r="F362" t="s">
        <v>5</v>
      </c>
      <c r="G362" t="s">
        <v>6</v>
      </c>
      <c r="H362" t="s">
        <v>2800</v>
      </c>
      <c r="I362" s="2">
        <v>1200</v>
      </c>
      <c r="J362" s="2">
        <v>0</v>
      </c>
      <c r="K362" s="2">
        <v>0</v>
      </c>
      <c r="L362" s="3">
        <v>45857</v>
      </c>
      <c r="M362" s="3">
        <v>45857</v>
      </c>
      <c r="N362" s="3"/>
      <c r="O362" t="s">
        <v>2801</v>
      </c>
      <c r="P362" t="s">
        <v>9</v>
      </c>
      <c r="Q362" s="4">
        <v>0.54442129629629998</v>
      </c>
      <c r="R362" t="s">
        <v>5</v>
      </c>
      <c r="S362" t="s">
        <v>4</v>
      </c>
      <c r="T362" t="s">
        <v>2262</v>
      </c>
      <c r="U362" t="s">
        <v>10</v>
      </c>
      <c r="V362" s="5">
        <v>0</v>
      </c>
      <c r="W362" s="5">
        <v>0</v>
      </c>
      <c r="X362" s="2">
        <v>0</v>
      </c>
      <c r="Y362" t="s">
        <v>4</v>
      </c>
      <c r="Z362" t="s">
        <v>4</v>
      </c>
      <c r="AA362" t="s">
        <v>4</v>
      </c>
      <c r="AB362" t="s">
        <v>4</v>
      </c>
    </row>
    <row r="363" spans="1:28" x14ac:dyDescent="0.2">
      <c r="A363" t="s">
        <v>1468</v>
      </c>
      <c r="B363" t="s">
        <v>2</v>
      </c>
      <c r="C363" t="s">
        <v>3</v>
      </c>
      <c r="D363" t="s">
        <v>4</v>
      </c>
      <c r="E363" t="s">
        <v>4</v>
      </c>
      <c r="F363" t="s">
        <v>5</v>
      </c>
      <c r="G363" t="s">
        <v>6</v>
      </c>
      <c r="H363" t="s">
        <v>2802</v>
      </c>
      <c r="I363" s="2">
        <v>72</v>
      </c>
      <c r="J363" s="2">
        <v>0</v>
      </c>
      <c r="K363" s="2">
        <v>0</v>
      </c>
      <c r="L363" s="3">
        <v>45770</v>
      </c>
      <c r="M363" s="3">
        <v>45770</v>
      </c>
      <c r="N363" s="3"/>
      <c r="O363" t="s">
        <v>2803</v>
      </c>
      <c r="P363" t="s">
        <v>9</v>
      </c>
      <c r="Q363" s="4">
        <v>0.97304398148147997</v>
      </c>
      <c r="R363" t="s">
        <v>5</v>
      </c>
      <c r="S363" t="s">
        <v>4</v>
      </c>
      <c r="T363" t="s">
        <v>2722</v>
      </c>
      <c r="U363" t="s">
        <v>10</v>
      </c>
      <c r="V363" s="5">
        <v>0</v>
      </c>
      <c r="W363" s="5">
        <v>0</v>
      </c>
      <c r="X363" s="2">
        <v>0</v>
      </c>
      <c r="Y363" t="s">
        <v>4</v>
      </c>
      <c r="Z363" t="s">
        <v>4</v>
      </c>
      <c r="AA363" t="s">
        <v>4</v>
      </c>
      <c r="AB363" t="s">
        <v>4</v>
      </c>
    </row>
    <row r="364" spans="1:28" x14ac:dyDescent="0.2">
      <c r="A364" t="s">
        <v>1468</v>
      </c>
      <c r="B364" t="s">
        <v>2</v>
      </c>
      <c r="C364" t="s">
        <v>3</v>
      </c>
      <c r="D364" t="s">
        <v>4</v>
      </c>
      <c r="E364" t="s">
        <v>4</v>
      </c>
      <c r="F364" t="s">
        <v>5</v>
      </c>
      <c r="G364" t="s">
        <v>6</v>
      </c>
      <c r="H364" t="s">
        <v>2802</v>
      </c>
      <c r="I364" s="2">
        <v>72</v>
      </c>
      <c r="J364" s="2">
        <v>0</v>
      </c>
      <c r="K364" s="2">
        <v>0</v>
      </c>
      <c r="L364" s="3">
        <v>45770</v>
      </c>
      <c r="M364" s="3">
        <v>45770</v>
      </c>
      <c r="N364" s="3"/>
      <c r="O364" t="s">
        <v>2804</v>
      </c>
      <c r="P364" t="s">
        <v>9</v>
      </c>
      <c r="Q364" s="4">
        <v>0.97304398148147997</v>
      </c>
      <c r="R364" t="s">
        <v>5</v>
      </c>
      <c r="S364" t="s">
        <v>4</v>
      </c>
      <c r="T364" t="s">
        <v>2722</v>
      </c>
      <c r="U364" t="s">
        <v>10</v>
      </c>
      <c r="V364" s="5">
        <v>0</v>
      </c>
      <c r="W364" s="5">
        <v>0</v>
      </c>
      <c r="X364" s="2">
        <v>0</v>
      </c>
      <c r="Y364" t="s">
        <v>4</v>
      </c>
      <c r="Z364" t="s">
        <v>4</v>
      </c>
      <c r="AA364" t="s">
        <v>4</v>
      </c>
      <c r="AB364" t="s">
        <v>4</v>
      </c>
    </row>
    <row r="365" spans="1:28" x14ac:dyDescent="0.2">
      <c r="A365" t="s">
        <v>689</v>
      </c>
      <c r="B365" t="s">
        <v>2</v>
      </c>
      <c r="C365" t="s">
        <v>3</v>
      </c>
      <c r="D365" t="s">
        <v>4</v>
      </c>
      <c r="E365" t="s">
        <v>4</v>
      </c>
      <c r="F365" t="s">
        <v>5</v>
      </c>
      <c r="G365" t="s">
        <v>6</v>
      </c>
      <c r="H365" t="s">
        <v>2805</v>
      </c>
      <c r="I365" s="2">
        <v>31</v>
      </c>
      <c r="J365" s="2">
        <v>0</v>
      </c>
      <c r="K365" s="2">
        <v>0</v>
      </c>
      <c r="L365" s="3">
        <v>45856</v>
      </c>
      <c r="M365" s="3">
        <v>45856</v>
      </c>
      <c r="N365" s="3"/>
      <c r="O365" t="s">
        <v>2806</v>
      </c>
      <c r="P365" t="s">
        <v>9</v>
      </c>
      <c r="Q365" s="4">
        <v>0.56333333333333002</v>
      </c>
      <c r="R365" t="s">
        <v>5</v>
      </c>
      <c r="S365" t="s">
        <v>4</v>
      </c>
      <c r="T365" t="s">
        <v>2260</v>
      </c>
      <c r="U365" t="s">
        <v>10</v>
      </c>
      <c r="V365" s="5">
        <v>0</v>
      </c>
      <c r="W365" s="5">
        <v>0</v>
      </c>
      <c r="X365" s="2">
        <v>0</v>
      </c>
      <c r="Y365" t="s">
        <v>4</v>
      </c>
      <c r="Z365" t="s">
        <v>4</v>
      </c>
      <c r="AA365" t="s">
        <v>4</v>
      </c>
      <c r="AB365" t="s">
        <v>4</v>
      </c>
    </row>
    <row r="366" spans="1:28" x14ac:dyDescent="0.2">
      <c r="A366" t="s">
        <v>699</v>
      </c>
      <c r="B366" t="s">
        <v>2</v>
      </c>
      <c r="C366" t="s">
        <v>3</v>
      </c>
      <c r="D366" t="s">
        <v>4</v>
      </c>
      <c r="E366" t="s">
        <v>4</v>
      </c>
      <c r="F366" t="s">
        <v>5</v>
      </c>
      <c r="G366" t="s">
        <v>6</v>
      </c>
      <c r="H366" t="s">
        <v>2807</v>
      </c>
      <c r="I366" s="2">
        <v>29</v>
      </c>
      <c r="J366" s="2">
        <v>0</v>
      </c>
      <c r="K366" s="2">
        <v>0</v>
      </c>
      <c r="L366" s="3">
        <v>45859</v>
      </c>
      <c r="M366" s="3">
        <v>45859</v>
      </c>
      <c r="N366" s="3"/>
      <c r="O366" t="s">
        <v>2808</v>
      </c>
      <c r="P366" t="s">
        <v>9</v>
      </c>
      <c r="Q366" s="4">
        <v>0.56467592592592997</v>
      </c>
      <c r="R366" t="s">
        <v>5</v>
      </c>
      <c r="S366" t="s">
        <v>4</v>
      </c>
      <c r="T366" t="s">
        <v>2261</v>
      </c>
      <c r="U366" t="s">
        <v>10</v>
      </c>
      <c r="V366" s="5">
        <v>0</v>
      </c>
      <c r="W366" s="5">
        <v>0</v>
      </c>
      <c r="X366" s="2">
        <v>0</v>
      </c>
      <c r="Y366" t="s">
        <v>4</v>
      </c>
      <c r="Z366" t="s">
        <v>4</v>
      </c>
      <c r="AA366" t="s">
        <v>4</v>
      </c>
      <c r="AB366" t="s">
        <v>4</v>
      </c>
    </row>
    <row r="367" spans="1:28" x14ac:dyDescent="0.2">
      <c r="A367" t="s">
        <v>2030</v>
      </c>
      <c r="B367" t="s">
        <v>2</v>
      </c>
      <c r="C367" t="s">
        <v>3</v>
      </c>
      <c r="D367" t="s">
        <v>4</v>
      </c>
      <c r="E367" t="s">
        <v>4</v>
      </c>
      <c r="F367" t="s">
        <v>5</v>
      </c>
      <c r="G367" t="s">
        <v>6</v>
      </c>
      <c r="H367" t="s">
        <v>2809</v>
      </c>
      <c r="I367" s="2">
        <v>1260</v>
      </c>
      <c r="J367" s="2">
        <v>0</v>
      </c>
      <c r="K367" s="2">
        <v>0</v>
      </c>
      <c r="L367" s="3">
        <v>45836</v>
      </c>
      <c r="M367" s="3">
        <v>45836</v>
      </c>
      <c r="N367" s="3"/>
      <c r="O367" t="s">
        <v>2810</v>
      </c>
      <c r="P367" t="s">
        <v>9</v>
      </c>
      <c r="Q367" s="4">
        <v>0.59267361111111005</v>
      </c>
      <c r="R367" t="s">
        <v>5</v>
      </c>
      <c r="S367" t="s">
        <v>4</v>
      </c>
      <c r="T367" t="s">
        <v>2316</v>
      </c>
      <c r="U367" t="s">
        <v>10</v>
      </c>
      <c r="V367" s="5">
        <v>0</v>
      </c>
      <c r="W367" s="5">
        <v>0</v>
      </c>
      <c r="X367" s="2">
        <v>0</v>
      </c>
      <c r="Y367" t="s">
        <v>4</v>
      </c>
      <c r="Z367" t="s">
        <v>4</v>
      </c>
      <c r="AA367" t="s">
        <v>4</v>
      </c>
      <c r="AB367" t="s">
        <v>4</v>
      </c>
    </row>
    <row r="368" spans="1:28" x14ac:dyDescent="0.2">
      <c r="A368" t="s">
        <v>2030</v>
      </c>
      <c r="B368" t="s">
        <v>2</v>
      </c>
      <c r="C368" t="s">
        <v>3</v>
      </c>
      <c r="D368" t="s">
        <v>4</v>
      </c>
      <c r="E368" t="s">
        <v>4</v>
      </c>
      <c r="F368" t="s">
        <v>5</v>
      </c>
      <c r="G368" t="s">
        <v>6</v>
      </c>
      <c r="H368" t="s">
        <v>2809</v>
      </c>
      <c r="I368" s="2">
        <v>1260</v>
      </c>
      <c r="J368" s="2">
        <v>0</v>
      </c>
      <c r="K368" s="2">
        <v>0</v>
      </c>
      <c r="L368" s="3">
        <v>45836</v>
      </c>
      <c r="M368" s="3">
        <v>45836</v>
      </c>
      <c r="N368" s="3"/>
      <c r="O368" t="s">
        <v>2811</v>
      </c>
      <c r="P368" t="s">
        <v>9</v>
      </c>
      <c r="Q368" s="4">
        <v>0.59267361111111005</v>
      </c>
      <c r="R368" t="s">
        <v>5</v>
      </c>
      <c r="S368" t="s">
        <v>4</v>
      </c>
      <c r="T368" t="s">
        <v>2316</v>
      </c>
      <c r="U368" t="s">
        <v>10</v>
      </c>
      <c r="V368" s="5">
        <v>0</v>
      </c>
      <c r="W368" s="5">
        <v>0</v>
      </c>
      <c r="X368" s="2">
        <v>0</v>
      </c>
      <c r="Y368" t="s">
        <v>4</v>
      </c>
      <c r="Z368" t="s">
        <v>4</v>
      </c>
      <c r="AA368" t="s">
        <v>4</v>
      </c>
      <c r="AB368" t="s">
        <v>4</v>
      </c>
    </row>
    <row r="369" spans="1:28" x14ac:dyDescent="0.2">
      <c r="A369" t="s">
        <v>641</v>
      </c>
      <c r="B369" t="s">
        <v>2</v>
      </c>
      <c r="C369" t="s">
        <v>3</v>
      </c>
      <c r="D369" t="s">
        <v>4</v>
      </c>
      <c r="E369" t="s">
        <v>4</v>
      </c>
      <c r="F369" t="s">
        <v>5</v>
      </c>
      <c r="G369" t="s">
        <v>6</v>
      </c>
      <c r="H369" t="s">
        <v>2812</v>
      </c>
      <c r="I369" s="2">
        <v>2304</v>
      </c>
      <c r="J369" s="2">
        <v>0</v>
      </c>
      <c r="K369" s="2">
        <v>0</v>
      </c>
      <c r="L369" s="3">
        <v>45824</v>
      </c>
      <c r="M369" s="3">
        <v>45824</v>
      </c>
      <c r="N369" s="3"/>
      <c r="O369" t="s">
        <v>2813</v>
      </c>
      <c r="P369" t="s">
        <v>9</v>
      </c>
      <c r="Q369" s="4">
        <v>0.76547453703704005</v>
      </c>
      <c r="R369" t="s">
        <v>5</v>
      </c>
      <c r="S369" t="s">
        <v>4</v>
      </c>
      <c r="T369" t="s">
        <v>2691</v>
      </c>
      <c r="U369" t="s">
        <v>10</v>
      </c>
      <c r="V369" s="5">
        <v>0</v>
      </c>
      <c r="W369" s="5">
        <v>0</v>
      </c>
      <c r="X369" s="2">
        <v>0</v>
      </c>
      <c r="Y369" t="s">
        <v>4</v>
      </c>
      <c r="Z369" t="s">
        <v>4</v>
      </c>
      <c r="AA369" t="s">
        <v>4</v>
      </c>
      <c r="AB369" t="s">
        <v>4</v>
      </c>
    </row>
    <row r="370" spans="1:28" x14ac:dyDescent="0.2">
      <c r="A370" t="s">
        <v>641</v>
      </c>
      <c r="B370" t="s">
        <v>2</v>
      </c>
      <c r="C370" t="s">
        <v>3</v>
      </c>
      <c r="D370" t="s">
        <v>4</v>
      </c>
      <c r="E370" t="s">
        <v>4</v>
      </c>
      <c r="F370" t="s">
        <v>5</v>
      </c>
      <c r="G370" t="s">
        <v>6</v>
      </c>
      <c r="H370" t="s">
        <v>2812</v>
      </c>
      <c r="I370" s="2">
        <v>2295</v>
      </c>
      <c r="J370" s="2">
        <v>0</v>
      </c>
      <c r="K370" s="2">
        <v>0</v>
      </c>
      <c r="L370" s="3">
        <v>45832</v>
      </c>
      <c r="M370" s="3">
        <v>45832</v>
      </c>
      <c r="N370" s="3"/>
      <c r="O370" t="s">
        <v>2814</v>
      </c>
      <c r="P370" t="s">
        <v>9</v>
      </c>
      <c r="Q370" s="4">
        <v>0.76547453703704005</v>
      </c>
      <c r="R370" t="s">
        <v>5</v>
      </c>
      <c r="S370" t="s">
        <v>4</v>
      </c>
      <c r="T370" t="s">
        <v>2665</v>
      </c>
      <c r="U370" t="s">
        <v>10</v>
      </c>
      <c r="V370" s="5">
        <v>0</v>
      </c>
      <c r="W370" s="5">
        <v>0</v>
      </c>
      <c r="X370" s="2">
        <v>0</v>
      </c>
      <c r="Y370" t="s">
        <v>4</v>
      </c>
      <c r="Z370" t="s">
        <v>4</v>
      </c>
      <c r="AA370" t="s">
        <v>4</v>
      </c>
      <c r="AB370" t="s">
        <v>4</v>
      </c>
    </row>
    <row r="371" spans="1:28" x14ac:dyDescent="0.2">
      <c r="A371" t="s">
        <v>1139</v>
      </c>
      <c r="B371" t="s">
        <v>2</v>
      </c>
      <c r="C371" t="s">
        <v>3</v>
      </c>
      <c r="D371" t="s">
        <v>4</v>
      </c>
      <c r="E371" t="s">
        <v>4</v>
      </c>
      <c r="F371" t="s">
        <v>5</v>
      </c>
      <c r="G371" t="s">
        <v>6</v>
      </c>
      <c r="H371" t="s">
        <v>2815</v>
      </c>
      <c r="I371" s="2">
        <v>432</v>
      </c>
      <c r="J371" s="2">
        <v>0</v>
      </c>
      <c r="K371" s="2">
        <v>0</v>
      </c>
      <c r="L371" s="3">
        <v>45834</v>
      </c>
      <c r="M371" s="3">
        <v>45834</v>
      </c>
      <c r="N371" s="3"/>
      <c r="O371" t="s">
        <v>2816</v>
      </c>
      <c r="P371" t="s">
        <v>9</v>
      </c>
      <c r="Q371" s="4">
        <v>0.49690972222222002</v>
      </c>
      <c r="R371" t="s">
        <v>5</v>
      </c>
      <c r="S371" t="s">
        <v>4</v>
      </c>
      <c r="T371" t="s">
        <v>2817</v>
      </c>
      <c r="U371" t="s">
        <v>10</v>
      </c>
      <c r="V371" s="5">
        <v>0</v>
      </c>
      <c r="W371" s="5">
        <v>0</v>
      </c>
      <c r="X371" s="2">
        <v>0</v>
      </c>
      <c r="Y371" t="s">
        <v>4</v>
      </c>
      <c r="Z371" t="s">
        <v>4</v>
      </c>
      <c r="AA371" t="s">
        <v>4</v>
      </c>
      <c r="AB371" t="s">
        <v>4</v>
      </c>
    </row>
    <row r="372" spans="1:28" x14ac:dyDescent="0.2">
      <c r="A372" t="s">
        <v>1139</v>
      </c>
      <c r="B372" t="s">
        <v>2</v>
      </c>
      <c r="C372" t="s">
        <v>3</v>
      </c>
      <c r="D372" t="s">
        <v>4</v>
      </c>
      <c r="E372" t="s">
        <v>4</v>
      </c>
      <c r="F372" t="s">
        <v>5</v>
      </c>
      <c r="G372" t="s">
        <v>6</v>
      </c>
      <c r="H372" t="s">
        <v>2815</v>
      </c>
      <c r="I372" s="2">
        <v>432</v>
      </c>
      <c r="J372" s="2">
        <v>0</v>
      </c>
      <c r="K372" s="2">
        <v>0</v>
      </c>
      <c r="L372" s="3">
        <v>45834</v>
      </c>
      <c r="M372" s="3">
        <v>45834</v>
      </c>
      <c r="N372" s="3"/>
      <c r="O372" t="s">
        <v>2818</v>
      </c>
      <c r="P372" t="s">
        <v>9</v>
      </c>
      <c r="Q372" s="4">
        <v>0.49690972222222002</v>
      </c>
      <c r="R372" t="s">
        <v>5</v>
      </c>
      <c r="S372" t="s">
        <v>4</v>
      </c>
      <c r="T372" t="s">
        <v>2817</v>
      </c>
      <c r="U372" t="s">
        <v>10</v>
      </c>
      <c r="V372" s="5">
        <v>0</v>
      </c>
      <c r="W372" s="5">
        <v>0</v>
      </c>
      <c r="X372" s="2">
        <v>0</v>
      </c>
      <c r="Y372" t="s">
        <v>4</v>
      </c>
      <c r="Z372" t="s">
        <v>4</v>
      </c>
      <c r="AA372" t="s">
        <v>4</v>
      </c>
      <c r="AB372" t="s">
        <v>4</v>
      </c>
    </row>
    <row r="373" spans="1:28" x14ac:dyDescent="0.2">
      <c r="A373" t="s">
        <v>2043</v>
      </c>
      <c r="B373" t="s">
        <v>2</v>
      </c>
      <c r="C373" t="s">
        <v>3</v>
      </c>
      <c r="D373" t="s">
        <v>4</v>
      </c>
      <c r="E373" t="s">
        <v>4</v>
      </c>
      <c r="F373" t="s">
        <v>5</v>
      </c>
      <c r="G373" t="s">
        <v>6</v>
      </c>
      <c r="H373" t="s">
        <v>2819</v>
      </c>
      <c r="I373" s="2">
        <v>108</v>
      </c>
      <c r="J373" s="2">
        <v>0</v>
      </c>
      <c r="K373" s="2">
        <v>0</v>
      </c>
      <c r="L373" s="3">
        <v>45857</v>
      </c>
      <c r="M373" s="3">
        <v>45857</v>
      </c>
      <c r="N373" s="3"/>
      <c r="O373" t="s">
        <v>2820</v>
      </c>
      <c r="P373" t="s">
        <v>9</v>
      </c>
      <c r="Q373" s="4">
        <v>0.55305555555555996</v>
      </c>
      <c r="R373" t="s">
        <v>5</v>
      </c>
      <c r="S373" t="s">
        <v>4</v>
      </c>
      <c r="T373" t="s">
        <v>2262</v>
      </c>
      <c r="U373" t="s">
        <v>10</v>
      </c>
      <c r="V373" s="5">
        <v>0</v>
      </c>
      <c r="W373" s="5">
        <v>0</v>
      </c>
      <c r="X373" s="2">
        <v>0</v>
      </c>
      <c r="Y373" t="s">
        <v>4</v>
      </c>
      <c r="Z373" t="s">
        <v>4</v>
      </c>
      <c r="AA373" t="s">
        <v>4</v>
      </c>
      <c r="AB373" t="s">
        <v>4</v>
      </c>
    </row>
    <row r="374" spans="1:28" x14ac:dyDescent="0.2">
      <c r="A374" t="s">
        <v>2043</v>
      </c>
      <c r="B374" t="s">
        <v>2</v>
      </c>
      <c r="C374" t="s">
        <v>3</v>
      </c>
      <c r="D374" t="s">
        <v>4</v>
      </c>
      <c r="E374" t="s">
        <v>4</v>
      </c>
      <c r="F374" t="s">
        <v>5</v>
      </c>
      <c r="G374" t="s">
        <v>6</v>
      </c>
      <c r="H374" t="s">
        <v>2819</v>
      </c>
      <c r="I374" s="2">
        <v>108</v>
      </c>
      <c r="J374" s="2">
        <v>0</v>
      </c>
      <c r="K374" s="2">
        <v>0</v>
      </c>
      <c r="L374" s="3">
        <v>45856</v>
      </c>
      <c r="M374" s="3">
        <v>45856</v>
      </c>
      <c r="N374" s="3"/>
      <c r="O374" t="s">
        <v>2821</v>
      </c>
      <c r="P374" t="s">
        <v>9</v>
      </c>
      <c r="Q374" s="4">
        <v>0.55305555555555996</v>
      </c>
      <c r="R374" t="s">
        <v>5</v>
      </c>
      <c r="S374" t="s">
        <v>4</v>
      </c>
      <c r="T374" t="s">
        <v>2260</v>
      </c>
      <c r="U374" t="s">
        <v>10</v>
      </c>
      <c r="V374" s="5">
        <v>0</v>
      </c>
      <c r="W374" s="5">
        <v>0</v>
      </c>
      <c r="X374" s="2">
        <v>0</v>
      </c>
      <c r="Y374" t="s">
        <v>4</v>
      </c>
      <c r="Z374" t="s">
        <v>4</v>
      </c>
      <c r="AA374" t="s">
        <v>4</v>
      </c>
      <c r="AB374" t="s">
        <v>4</v>
      </c>
    </row>
    <row r="375" spans="1:28" x14ac:dyDescent="0.2">
      <c r="A375" t="s">
        <v>718</v>
      </c>
      <c r="B375" t="s">
        <v>2</v>
      </c>
      <c r="C375" t="s">
        <v>3</v>
      </c>
      <c r="D375" t="s">
        <v>4</v>
      </c>
      <c r="E375" t="s">
        <v>4</v>
      </c>
      <c r="F375" t="s">
        <v>5</v>
      </c>
      <c r="G375" t="s">
        <v>6</v>
      </c>
      <c r="H375" t="s">
        <v>2822</v>
      </c>
      <c r="I375" s="2">
        <v>88</v>
      </c>
      <c r="J375" s="2">
        <v>0</v>
      </c>
      <c r="K375" s="2">
        <v>0</v>
      </c>
      <c r="L375" s="3">
        <v>45848</v>
      </c>
      <c r="M375" s="3">
        <v>45848</v>
      </c>
      <c r="N375" s="3"/>
      <c r="O375" t="s">
        <v>2823</v>
      </c>
      <c r="P375" t="s">
        <v>9</v>
      </c>
      <c r="Q375" s="4">
        <v>0.89116898148148005</v>
      </c>
      <c r="R375" t="s">
        <v>5</v>
      </c>
      <c r="S375" t="s">
        <v>4</v>
      </c>
      <c r="T375" t="s">
        <v>2580</v>
      </c>
      <c r="U375" t="s">
        <v>10</v>
      </c>
      <c r="V375" s="5">
        <v>0</v>
      </c>
      <c r="W375" s="5">
        <v>0</v>
      </c>
      <c r="X375" s="2">
        <v>0</v>
      </c>
      <c r="Y375" t="s">
        <v>4</v>
      </c>
      <c r="Z375" t="s">
        <v>4</v>
      </c>
      <c r="AA375" t="s">
        <v>4</v>
      </c>
      <c r="AB375" t="s">
        <v>4</v>
      </c>
    </row>
    <row r="376" spans="1:28" x14ac:dyDescent="0.2">
      <c r="A376" t="s">
        <v>718</v>
      </c>
      <c r="B376" t="s">
        <v>2</v>
      </c>
      <c r="C376" t="s">
        <v>3</v>
      </c>
      <c r="D376" t="s">
        <v>4</v>
      </c>
      <c r="E376" t="s">
        <v>4</v>
      </c>
      <c r="F376" t="s">
        <v>5</v>
      </c>
      <c r="G376" t="s">
        <v>6</v>
      </c>
      <c r="H376" t="s">
        <v>2822</v>
      </c>
      <c r="I376" s="2">
        <v>88</v>
      </c>
      <c r="J376" s="2">
        <v>0</v>
      </c>
      <c r="K376" s="2">
        <v>0</v>
      </c>
      <c r="L376" s="3">
        <v>45848</v>
      </c>
      <c r="M376" s="3">
        <v>45848</v>
      </c>
      <c r="N376" s="3"/>
      <c r="O376" t="s">
        <v>2824</v>
      </c>
      <c r="P376" t="s">
        <v>9</v>
      </c>
      <c r="Q376" s="4">
        <v>0.89116898148148005</v>
      </c>
      <c r="R376" t="s">
        <v>5</v>
      </c>
      <c r="S376" t="s">
        <v>4</v>
      </c>
      <c r="T376" t="s">
        <v>2580</v>
      </c>
      <c r="U376" t="s">
        <v>10</v>
      </c>
      <c r="V376" s="5">
        <v>0</v>
      </c>
      <c r="W376" s="5">
        <v>0</v>
      </c>
      <c r="X376" s="2">
        <v>0</v>
      </c>
      <c r="Y376" t="s">
        <v>4</v>
      </c>
      <c r="Z376" t="s">
        <v>4</v>
      </c>
      <c r="AA376" t="s">
        <v>4</v>
      </c>
      <c r="AB376" t="s">
        <v>4</v>
      </c>
    </row>
    <row r="377" spans="1:28" x14ac:dyDescent="0.2">
      <c r="A377" t="s">
        <v>1131</v>
      </c>
      <c r="B377" t="s">
        <v>2</v>
      </c>
      <c r="C377" t="s">
        <v>3</v>
      </c>
      <c r="D377" t="s">
        <v>4</v>
      </c>
      <c r="E377" t="s">
        <v>4</v>
      </c>
      <c r="F377" t="s">
        <v>5</v>
      </c>
      <c r="G377" t="s">
        <v>6</v>
      </c>
      <c r="H377" t="s">
        <v>2825</v>
      </c>
      <c r="I377" s="5">
        <v>204.3</v>
      </c>
      <c r="J377" s="2">
        <v>0</v>
      </c>
      <c r="K377" s="2">
        <v>0</v>
      </c>
      <c r="L377" s="3">
        <v>45854</v>
      </c>
      <c r="M377" s="3">
        <v>45854</v>
      </c>
      <c r="N377" s="3"/>
      <c r="O377" t="s">
        <v>2826</v>
      </c>
      <c r="P377" t="s">
        <v>9</v>
      </c>
      <c r="Q377" s="4">
        <v>0.98077546296296003</v>
      </c>
      <c r="R377" t="s">
        <v>5</v>
      </c>
      <c r="S377" t="s">
        <v>4</v>
      </c>
      <c r="T377" t="s">
        <v>2299</v>
      </c>
      <c r="U377" t="s">
        <v>10</v>
      </c>
      <c r="V377" s="5">
        <v>0</v>
      </c>
      <c r="W377" s="5">
        <v>0</v>
      </c>
      <c r="X377" s="2">
        <v>0</v>
      </c>
      <c r="Y377" t="s">
        <v>4</v>
      </c>
      <c r="Z377" t="s">
        <v>4</v>
      </c>
      <c r="AA377" t="s">
        <v>4</v>
      </c>
      <c r="AB377" t="s">
        <v>4</v>
      </c>
    </row>
    <row r="378" spans="1:28" x14ac:dyDescent="0.2">
      <c r="A378" t="s">
        <v>1131</v>
      </c>
      <c r="B378" t="s">
        <v>2</v>
      </c>
      <c r="C378" t="s">
        <v>3</v>
      </c>
      <c r="D378" t="s">
        <v>4</v>
      </c>
      <c r="E378" t="s">
        <v>4</v>
      </c>
      <c r="F378" t="s">
        <v>5</v>
      </c>
      <c r="G378" t="s">
        <v>6</v>
      </c>
      <c r="H378" t="s">
        <v>2825</v>
      </c>
      <c r="I378" s="5">
        <v>203.3</v>
      </c>
      <c r="J378" s="2">
        <v>0</v>
      </c>
      <c r="K378" s="2">
        <v>0</v>
      </c>
      <c r="L378" s="3">
        <v>45854</v>
      </c>
      <c r="M378" s="3">
        <v>45854</v>
      </c>
      <c r="N378" s="3"/>
      <c r="O378" t="s">
        <v>2827</v>
      </c>
      <c r="P378" t="s">
        <v>9</v>
      </c>
      <c r="Q378" s="4">
        <v>0.98077546296296003</v>
      </c>
      <c r="R378" t="s">
        <v>5</v>
      </c>
      <c r="S378" t="s">
        <v>4</v>
      </c>
      <c r="T378" t="s">
        <v>2299</v>
      </c>
      <c r="U378" t="s">
        <v>10</v>
      </c>
      <c r="V378" s="5">
        <v>0</v>
      </c>
      <c r="W378" s="5">
        <v>0</v>
      </c>
      <c r="X378" s="2">
        <v>0</v>
      </c>
      <c r="Y378" t="s">
        <v>4</v>
      </c>
      <c r="Z378" t="s">
        <v>4</v>
      </c>
      <c r="AA378" t="s">
        <v>4</v>
      </c>
      <c r="AB378" t="s">
        <v>4</v>
      </c>
    </row>
    <row r="379" spans="1:28" x14ac:dyDescent="0.2">
      <c r="A379" t="s">
        <v>1845</v>
      </c>
      <c r="B379" t="s">
        <v>2</v>
      </c>
      <c r="C379" t="s">
        <v>3</v>
      </c>
      <c r="D379" t="s">
        <v>4</v>
      </c>
      <c r="E379" t="s">
        <v>4</v>
      </c>
      <c r="F379" t="s">
        <v>5</v>
      </c>
      <c r="G379" t="s">
        <v>6</v>
      </c>
      <c r="H379" t="s">
        <v>2828</v>
      </c>
      <c r="I379" s="2">
        <v>648</v>
      </c>
      <c r="J379" s="2">
        <v>0</v>
      </c>
      <c r="K379" s="2">
        <v>0</v>
      </c>
      <c r="L379" s="3">
        <v>45859</v>
      </c>
      <c r="M379" s="3">
        <v>45859</v>
      </c>
      <c r="N379" s="3"/>
      <c r="O379" t="s">
        <v>2829</v>
      </c>
      <c r="P379" t="s">
        <v>9</v>
      </c>
      <c r="Q379" s="4">
        <v>0.97943287037036997</v>
      </c>
      <c r="R379" t="s">
        <v>5</v>
      </c>
      <c r="S379" t="s">
        <v>4</v>
      </c>
      <c r="T379" t="s">
        <v>2261</v>
      </c>
      <c r="U379" t="s">
        <v>10</v>
      </c>
      <c r="V379" s="5">
        <v>0</v>
      </c>
      <c r="W379" s="5">
        <v>0</v>
      </c>
      <c r="X379" s="2">
        <v>0</v>
      </c>
      <c r="Y379" t="s">
        <v>4</v>
      </c>
      <c r="Z379" t="s">
        <v>4</v>
      </c>
      <c r="AA379" t="s">
        <v>4</v>
      </c>
      <c r="AB379" t="s">
        <v>4</v>
      </c>
    </row>
    <row r="380" spans="1:28" x14ac:dyDescent="0.2">
      <c r="A380" t="s">
        <v>1905</v>
      </c>
      <c r="B380" t="s">
        <v>2</v>
      </c>
      <c r="C380" t="s">
        <v>3</v>
      </c>
      <c r="D380" t="s">
        <v>4</v>
      </c>
      <c r="E380" t="s">
        <v>4</v>
      </c>
      <c r="F380" t="s">
        <v>5</v>
      </c>
      <c r="G380" t="s">
        <v>6</v>
      </c>
      <c r="H380" t="s">
        <v>2830</v>
      </c>
      <c r="I380" s="2">
        <v>2500</v>
      </c>
      <c r="J380" s="2">
        <v>0</v>
      </c>
      <c r="K380" s="2">
        <v>0</v>
      </c>
      <c r="L380" s="3">
        <v>45859</v>
      </c>
      <c r="M380" s="3">
        <v>45859</v>
      </c>
      <c r="N380" s="3"/>
      <c r="O380" t="s">
        <v>2831</v>
      </c>
      <c r="P380" t="s">
        <v>9</v>
      </c>
      <c r="Q380" s="4">
        <v>0.62934027777778001</v>
      </c>
      <c r="R380" t="s">
        <v>5</v>
      </c>
      <c r="S380" t="s">
        <v>4</v>
      </c>
      <c r="T380" t="s">
        <v>2261</v>
      </c>
      <c r="U380" t="s">
        <v>10</v>
      </c>
      <c r="V380" s="5">
        <v>0</v>
      </c>
      <c r="W380" s="5">
        <v>0</v>
      </c>
      <c r="X380" s="2">
        <v>0</v>
      </c>
      <c r="Y380" t="s">
        <v>4</v>
      </c>
      <c r="Z380" t="s">
        <v>4</v>
      </c>
      <c r="AA380" t="s">
        <v>4</v>
      </c>
      <c r="AB380" t="s">
        <v>4</v>
      </c>
    </row>
    <row r="381" spans="1:28" x14ac:dyDescent="0.2">
      <c r="A381" t="s">
        <v>1573</v>
      </c>
      <c r="B381" t="s">
        <v>2</v>
      </c>
      <c r="C381" t="s">
        <v>3</v>
      </c>
      <c r="D381" t="s">
        <v>4</v>
      </c>
      <c r="E381" t="s">
        <v>4</v>
      </c>
      <c r="F381" t="s">
        <v>5</v>
      </c>
      <c r="G381" t="s">
        <v>6</v>
      </c>
      <c r="H381" t="s">
        <v>2832</v>
      </c>
      <c r="I381" s="2">
        <v>0</v>
      </c>
      <c r="J381" s="2">
        <v>45</v>
      </c>
      <c r="K381" s="2">
        <v>0</v>
      </c>
      <c r="L381" s="3">
        <v>45859</v>
      </c>
      <c r="M381" s="3">
        <v>45859</v>
      </c>
      <c r="N381" s="3"/>
      <c r="O381" t="s">
        <v>2833</v>
      </c>
      <c r="P381" t="s">
        <v>9</v>
      </c>
      <c r="Q381" s="4">
        <v>0.51164351851851997</v>
      </c>
      <c r="R381" t="s">
        <v>5</v>
      </c>
      <c r="S381" t="s">
        <v>4</v>
      </c>
      <c r="T381" t="s">
        <v>2261</v>
      </c>
      <c r="U381" t="s">
        <v>10</v>
      </c>
      <c r="V381" s="5">
        <v>0</v>
      </c>
      <c r="W381" s="5">
        <v>0</v>
      </c>
      <c r="X381" s="2">
        <v>0</v>
      </c>
      <c r="Y381" t="s">
        <v>4</v>
      </c>
      <c r="Z381" t="s">
        <v>4</v>
      </c>
      <c r="AA381" t="s">
        <v>4</v>
      </c>
      <c r="AB381" t="s">
        <v>4</v>
      </c>
    </row>
    <row r="382" spans="1:28" x14ac:dyDescent="0.2">
      <c r="A382" t="s">
        <v>1135</v>
      </c>
      <c r="B382" t="s">
        <v>2</v>
      </c>
      <c r="C382" t="s">
        <v>3</v>
      </c>
      <c r="D382" t="s">
        <v>4</v>
      </c>
      <c r="E382" t="s">
        <v>4</v>
      </c>
      <c r="F382" t="s">
        <v>5</v>
      </c>
      <c r="G382" t="s">
        <v>6</v>
      </c>
      <c r="H382" t="s">
        <v>2834</v>
      </c>
      <c r="I382" s="2">
        <v>480</v>
      </c>
      <c r="J382" s="2">
        <v>0</v>
      </c>
      <c r="K382" s="2">
        <v>0</v>
      </c>
      <c r="L382" s="3">
        <v>45850</v>
      </c>
      <c r="M382" s="3">
        <v>45850</v>
      </c>
      <c r="N382" s="3"/>
      <c r="O382" t="s">
        <v>2835</v>
      </c>
      <c r="P382" t="s">
        <v>9</v>
      </c>
      <c r="Q382" s="4">
        <v>0.89659722222222005</v>
      </c>
      <c r="R382" t="s">
        <v>5</v>
      </c>
      <c r="S382" t="s">
        <v>4</v>
      </c>
      <c r="T382" t="s">
        <v>2680</v>
      </c>
      <c r="U382" t="s">
        <v>10</v>
      </c>
      <c r="V382" s="5">
        <v>0</v>
      </c>
      <c r="W382" s="5">
        <v>0</v>
      </c>
      <c r="X382" s="2">
        <v>0</v>
      </c>
      <c r="Y382" t="s">
        <v>4</v>
      </c>
      <c r="Z382" t="s">
        <v>4</v>
      </c>
      <c r="AA382" t="s">
        <v>4</v>
      </c>
      <c r="AB382" t="s">
        <v>4</v>
      </c>
    </row>
    <row r="383" spans="1:28" x14ac:dyDescent="0.2">
      <c r="A383" t="s">
        <v>1135</v>
      </c>
      <c r="B383" t="s">
        <v>2</v>
      </c>
      <c r="C383" t="s">
        <v>3</v>
      </c>
      <c r="D383" t="s">
        <v>4</v>
      </c>
      <c r="E383" t="s">
        <v>4</v>
      </c>
      <c r="F383" t="s">
        <v>5</v>
      </c>
      <c r="G383" t="s">
        <v>6</v>
      </c>
      <c r="H383" t="s">
        <v>2834</v>
      </c>
      <c r="I383" s="2">
        <v>480</v>
      </c>
      <c r="J383" s="2">
        <v>0</v>
      </c>
      <c r="K383" s="2">
        <v>0</v>
      </c>
      <c r="L383" s="3">
        <v>45850</v>
      </c>
      <c r="M383" s="3">
        <v>45850</v>
      </c>
      <c r="N383" s="3"/>
      <c r="O383" t="s">
        <v>2836</v>
      </c>
      <c r="P383" t="s">
        <v>9</v>
      </c>
      <c r="Q383" s="4">
        <v>0.89659722222222005</v>
      </c>
      <c r="R383" t="s">
        <v>5</v>
      </c>
      <c r="S383" t="s">
        <v>4</v>
      </c>
      <c r="T383" t="s">
        <v>2680</v>
      </c>
      <c r="U383" t="s">
        <v>10</v>
      </c>
      <c r="V383" s="5">
        <v>0</v>
      </c>
      <c r="W383" s="5">
        <v>0</v>
      </c>
      <c r="X383" s="2">
        <v>0</v>
      </c>
      <c r="Y383" t="s">
        <v>4</v>
      </c>
      <c r="Z383" t="s">
        <v>4</v>
      </c>
      <c r="AA383" t="s">
        <v>4</v>
      </c>
      <c r="AB383" t="s">
        <v>4</v>
      </c>
    </row>
    <row r="384" spans="1:28" x14ac:dyDescent="0.2">
      <c r="A384" t="s">
        <v>1135</v>
      </c>
      <c r="B384" t="s">
        <v>2</v>
      </c>
      <c r="C384" t="s">
        <v>3</v>
      </c>
      <c r="D384" t="s">
        <v>4</v>
      </c>
      <c r="E384" t="s">
        <v>4</v>
      </c>
      <c r="F384" t="s">
        <v>5</v>
      </c>
      <c r="G384" t="s">
        <v>6</v>
      </c>
      <c r="H384" t="s">
        <v>2837</v>
      </c>
      <c r="I384" s="2">
        <v>480</v>
      </c>
      <c r="J384" s="2">
        <v>0</v>
      </c>
      <c r="K384" s="2">
        <v>0</v>
      </c>
      <c r="L384" s="3">
        <v>45850</v>
      </c>
      <c r="M384" s="3">
        <v>45850</v>
      </c>
      <c r="N384" s="3"/>
      <c r="O384" t="s">
        <v>2838</v>
      </c>
      <c r="P384" t="s">
        <v>9</v>
      </c>
      <c r="Q384" s="4">
        <v>0.96857638888888997</v>
      </c>
      <c r="R384" t="s">
        <v>5</v>
      </c>
      <c r="S384" t="s">
        <v>4</v>
      </c>
      <c r="T384" t="s">
        <v>2680</v>
      </c>
      <c r="U384" t="s">
        <v>10</v>
      </c>
      <c r="V384" s="5">
        <v>0</v>
      </c>
      <c r="W384" s="5">
        <v>0</v>
      </c>
      <c r="X384" s="2">
        <v>0</v>
      </c>
      <c r="Y384" t="s">
        <v>4</v>
      </c>
      <c r="Z384" t="s">
        <v>4</v>
      </c>
      <c r="AA384" t="s">
        <v>4</v>
      </c>
      <c r="AB384" t="s">
        <v>4</v>
      </c>
    </row>
    <row r="385" spans="1:28" x14ac:dyDescent="0.2">
      <c r="A385" t="s">
        <v>1135</v>
      </c>
      <c r="B385" t="s">
        <v>2</v>
      </c>
      <c r="C385" t="s">
        <v>3</v>
      </c>
      <c r="D385" t="s">
        <v>4</v>
      </c>
      <c r="E385" t="s">
        <v>4</v>
      </c>
      <c r="F385" t="s">
        <v>5</v>
      </c>
      <c r="G385" t="s">
        <v>6</v>
      </c>
      <c r="H385" t="s">
        <v>2837</v>
      </c>
      <c r="I385" s="2">
        <v>480</v>
      </c>
      <c r="J385" s="2">
        <v>0</v>
      </c>
      <c r="K385" s="2">
        <v>0</v>
      </c>
      <c r="L385" s="3">
        <v>45850</v>
      </c>
      <c r="M385" s="3">
        <v>45850</v>
      </c>
      <c r="N385" s="3"/>
      <c r="O385" t="s">
        <v>2839</v>
      </c>
      <c r="P385" t="s">
        <v>9</v>
      </c>
      <c r="Q385" s="4">
        <v>0.96857638888888997</v>
      </c>
      <c r="R385" t="s">
        <v>5</v>
      </c>
      <c r="S385" t="s">
        <v>4</v>
      </c>
      <c r="T385" t="s">
        <v>2680</v>
      </c>
      <c r="U385" t="s">
        <v>10</v>
      </c>
      <c r="V385" s="5">
        <v>0</v>
      </c>
      <c r="W385" s="5">
        <v>0</v>
      </c>
      <c r="X385" s="2">
        <v>0</v>
      </c>
      <c r="Y385" t="s">
        <v>4</v>
      </c>
      <c r="Z385" t="s">
        <v>4</v>
      </c>
      <c r="AA385" t="s">
        <v>4</v>
      </c>
      <c r="AB385" t="s">
        <v>4</v>
      </c>
    </row>
    <row r="386" spans="1:28" x14ac:dyDescent="0.2">
      <c r="A386" t="s">
        <v>1131</v>
      </c>
      <c r="B386" t="s">
        <v>2</v>
      </c>
      <c r="C386" t="s">
        <v>3</v>
      </c>
      <c r="D386" t="s">
        <v>4</v>
      </c>
      <c r="E386" t="s">
        <v>4</v>
      </c>
      <c r="F386" t="s">
        <v>5</v>
      </c>
      <c r="G386" t="s">
        <v>6</v>
      </c>
      <c r="H386" t="s">
        <v>2840</v>
      </c>
      <c r="I386" s="5">
        <v>201.3</v>
      </c>
      <c r="J386" s="2">
        <v>0</v>
      </c>
      <c r="K386" s="2">
        <v>0</v>
      </c>
      <c r="L386" s="3">
        <v>45854</v>
      </c>
      <c r="M386" s="3">
        <v>45854</v>
      </c>
      <c r="N386" s="3"/>
      <c r="O386" t="s">
        <v>2841</v>
      </c>
      <c r="P386" t="s">
        <v>9</v>
      </c>
      <c r="Q386" s="4">
        <v>0.98113425925926001</v>
      </c>
      <c r="R386" t="s">
        <v>5</v>
      </c>
      <c r="S386" t="s">
        <v>4</v>
      </c>
      <c r="T386" t="s">
        <v>2299</v>
      </c>
      <c r="U386" t="s">
        <v>10</v>
      </c>
      <c r="V386" s="5">
        <v>0</v>
      </c>
      <c r="W386" s="5">
        <v>0</v>
      </c>
      <c r="X386" s="2">
        <v>0</v>
      </c>
      <c r="Y386" t="s">
        <v>4</v>
      </c>
      <c r="Z386" t="s">
        <v>4</v>
      </c>
      <c r="AA386" t="s">
        <v>4</v>
      </c>
      <c r="AB386" t="s">
        <v>4</v>
      </c>
    </row>
    <row r="387" spans="1:28" x14ac:dyDescent="0.2">
      <c r="A387" t="s">
        <v>1131</v>
      </c>
      <c r="B387" t="s">
        <v>2</v>
      </c>
      <c r="C387" t="s">
        <v>3</v>
      </c>
      <c r="D387" t="s">
        <v>4</v>
      </c>
      <c r="E387" t="s">
        <v>4</v>
      </c>
      <c r="F387" t="s">
        <v>5</v>
      </c>
      <c r="G387" t="s">
        <v>6</v>
      </c>
      <c r="H387" t="s">
        <v>2840</v>
      </c>
      <c r="I387" s="5">
        <v>206.3</v>
      </c>
      <c r="J387" s="2">
        <v>0</v>
      </c>
      <c r="K387" s="2">
        <v>0</v>
      </c>
      <c r="L387" s="3">
        <v>45854</v>
      </c>
      <c r="M387" s="3">
        <v>45854</v>
      </c>
      <c r="N387" s="3"/>
      <c r="O387" t="s">
        <v>2842</v>
      </c>
      <c r="P387" t="s">
        <v>9</v>
      </c>
      <c r="Q387" s="4">
        <v>0.98113425925926001</v>
      </c>
      <c r="R387" t="s">
        <v>5</v>
      </c>
      <c r="S387" t="s">
        <v>4</v>
      </c>
      <c r="T387" t="s">
        <v>2299</v>
      </c>
      <c r="U387" t="s">
        <v>10</v>
      </c>
      <c r="V387" s="5">
        <v>0</v>
      </c>
      <c r="W387" s="5">
        <v>0</v>
      </c>
      <c r="X387" s="2">
        <v>0</v>
      </c>
      <c r="Y387" t="s">
        <v>4</v>
      </c>
      <c r="Z387" t="s">
        <v>4</v>
      </c>
      <c r="AA387" t="s">
        <v>4</v>
      </c>
      <c r="AB387" t="s">
        <v>4</v>
      </c>
    </row>
    <row r="388" spans="1:28" x14ac:dyDescent="0.2">
      <c r="A388" t="s">
        <v>1346</v>
      </c>
      <c r="B388" t="s">
        <v>2</v>
      </c>
      <c r="C388" t="s">
        <v>3</v>
      </c>
      <c r="D388" t="s">
        <v>4</v>
      </c>
      <c r="E388" t="s">
        <v>4</v>
      </c>
      <c r="F388" t="s">
        <v>5</v>
      </c>
      <c r="G388" t="s">
        <v>6</v>
      </c>
      <c r="H388" t="s">
        <v>2843</v>
      </c>
      <c r="I388" s="2">
        <v>1000</v>
      </c>
      <c r="J388" s="2">
        <v>0</v>
      </c>
      <c r="K388" s="2">
        <v>0</v>
      </c>
      <c r="L388" s="3">
        <v>45856</v>
      </c>
      <c r="M388" s="3">
        <v>45856</v>
      </c>
      <c r="N388" s="3"/>
      <c r="O388" t="s">
        <v>2844</v>
      </c>
      <c r="P388" t="s">
        <v>9</v>
      </c>
      <c r="Q388" s="4">
        <v>0.75569444444444001</v>
      </c>
      <c r="R388" t="s">
        <v>5</v>
      </c>
      <c r="S388" t="s">
        <v>4</v>
      </c>
      <c r="T388" t="s">
        <v>2260</v>
      </c>
      <c r="U388" t="s">
        <v>10</v>
      </c>
      <c r="V388" s="5">
        <v>0</v>
      </c>
      <c r="W388" s="5">
        <v>0</v>
      </c>
      <c r="X388" s="2">
        <v>0</v>
      </c>
      <c r="Y388" t="s">
        <v>4</v>
      </c>
      <c r="Z388" t="s">
        <v>4</v>
      </c>
      <c r="AA388" t="s">
        <v>4</v>
      </c>
      <c r="AB388" t="s">
        <v>4</v>
      </c>
    </row>
    <row r="389" spans="1:28" x14ac:dyDescent="0.2">
      <c r="A389" t="s">
        <v>1346</v>
      </c>
      <c r="B389" t="s">
        <v>2</v>
      </c>
      <c r="C389" t="s">
        <v>3</v>
      </c>
      <c r="D389" t="s">
        <v>4</v>
      </c>
      <c r="E389" t="s">
        <v>4</v>
      </c>
      <c r="F389" t="s">
        <v>5</v>
      </c>
      <c r="G389" t="s">
        <v>6</v>
      </c>
      <c r="H389" t="s">
        <v>2843</v>
      </c>
      <c r="I389" s="2">
        <v>1000</v>
      </c>
      <c r="J389" s="2">
        <v>0</v>
      </c>
      <c r="K389" s="2">
        <v>0</v>
      </c>
      <c r="L389" s="3">
        <v>45856</v>
      </c>
      <c r="M389" s="3">
        <v>45856</v>
      </c>
      <c r="N389" s="3"/>
      <c r="O389" t="s">
        <v>2845</v>
      </c>
      <c r="P389" t="s">
        <v>9</v>
      </c>
      <c r="Q389" s="4">
        <v>0.75569444444444001</v>
      </c>
      <c r="R389" t="s">
        <v>5</v>
      </c>
      <c r="S389" t="s">
        <v>4</v>
      </c>
      <c r="T389" t="s">
        <v>2260</v>
      </c>
      <c r="U389" t="s">
        <v>10</v>
      </c>
      <c r="V389" s="5">
        <v>0</v>
      </c>
      <c r="W389" s="5">
        <v>0</v>
      </c>
      <c r="X389" s="2">
        <v>0</v>
      </c>
      <c r="Y389" t="s">
        <v>4</v>
      </c>
      <c r="Z389" t="s">
        <v>4</v>
      </c>
      <c r="AA389" t="s">
        <v>4</v>
      </c>
      <c r="AB389" t="s">
        <v>4</v>
      </c>
    </row>
    <row r="390" spans="1:28" x14ac:dyDescent="0.2">
      <c r="A390" t="s">
        <v>1278</v>
      </c>
      <c r="B390" t="s">
        <v>2</v>
      </c>
      <c r="C390" t="s">
        <v>3</v>
      </c>
      <c r="D390" t="s">
        <v>4</v>
      </c>
      <c r="E390" t="s">
        <v>4</v>
      </c>
      <c r="F390" t="s">
        <v>5</v>
      </c>
      <c r="G390" t="s">
        <v>6</v>
      </c>
      <c r="H390" t="s">
        <v>2846</v>
      </c>
      <c r="I390" s="2">
        <v>9600</v>
      </c>
      <c r="J390" s="2">
        <v>0</v>
      </c>
      <c r="K390" s="2">
        <v>0</v>
      </c>
      <c r="L390" s="3">
        <v>45843</v>
      </c>
      <c r="M390" s="3">
        <v>45843</v>
      </c>
      <c r="N390" s="3"/>
      <c r="O390" t="s">
        <v>2847</v>
      </c>
      <c r="P390" t="s">
        <v>9</v>
      </c>
      <c r="Q390" s="4">
        <v>0.48634259259259</v>
      </c>
      <c r="R390" t="s">
        <v>5</v>
      </c>
      <c r="S390" t="s">
        <v>4</v>
      </c>
      <c r="T390" t="s">
        <v>2783</v>
      </c>
      <c r="U390" t="s">
        <v>10</v>
      </c>
      <c r="V390" s="5">
        <v>0</v>
      </c>
      <c r="W390" s="5">
        <v>0</v>
      </c>
      <c r="X390" s="2">
        <v>0</v>
      </c>
      <c r="Y390" t="s">
        <v>4</v>
      </c>
      <c r="Z390" t="s">
        <v>4</v>
      </c>
      <c r="AA390" t="s">
        <v>4</v>
      </c>
      <c r="AB390" t="s">
        <v>4</v>
      </c>
    </row>
    <row r="391" spans="1:28" x14ac:dyDescent="0.2">
      <c r="A391" t="s">
        <v>1278</v>
      </c>
      <c r="B391" t="s">
        <v>2</v>
      </c>
      <c r="C391" t="s">
        <v>3</v>
      </c>
      <c r="D391" t="s">
        <v>4</v>
      </c>
      <c r="E391" t="s">
        <v>4</v>
      </c>
      <c r="F391" t="s">
        <v>5</v>
      </c>
      <c r="G391" t="s">
        <v>6</v>
      </c>
      <c r="H391" t="s">
        <v>2846</v>
      </c>
      <c r="I391" s="2">
        <v>9600</v>
      </c>
      <c r="J391" s="2">
        <v>0</v>
      </c>
      <c r="K391" s="2">
        <v>0</v>
      </c>
      <c r="L391" s="3">
        <v>45836</v>
      </c>
      <c r="M391" s="3">
        <v>45836</v>
      </c>
      <c r="N391" s="3"/>
      <c r="O391" t="s">
        <v>2848</v>
      </c>
      <c r="P391" t="s">
        <v>9</v>
      </c>
      <c r="Q391" s="4">
        <v>0.48634259259259</v>
      </c>
      <c r="R391" t="s">
        <v>5</v>
      </c>
      <c r="S391" t="s">
        <v>4</v>
      </c>
      <c r="T391" t="s">
        <v>2316</v>
      </c>
      <c r="U391" t="s">
        <v>10</v>
      </c>
      <c r="V391" s="5">
        <v>0</v>
      </c>
      <c r="W391" s="5">
        <v>0</v>
      </c>
      <c r="X391" s="2">
        <v>0</v>
      </c>
      <c r="Y391" t="s">
        <v>4</v>
      </c>
      <c r="Z391" t="s">
        <v>4</v>
      </c>
      <c r="AA391" t="s">
        <v>4</v>
      </c>
      <c r="AB391" t="s">
        <v>4</v>
      </c>
    </row>
    <row r="392" spans="1:28" x14ac:dyDescent="0.2">
      <c r="A392" t="s">
        <v>2043</v>
      </c>
      <c r="B392" t="s">
        <v>2</v>
      </c>
      <c r="C392" t="s">
        <v>3</v>
      </c>
      <c r="D392" t="s">
        <v>4</v>
      </c>
      <c r="E392" t="s">
        <v>4</v>
      </c>
      <c r="F392" t="s">
        <v>5</v>
      </c>
      <c r="G392" t="s">
        <v>6</v>
      </c>
      <c r="H392" t="s">
        <v>2849</v>
      </c>
      <c r="I392" s="2">
        <v>108</v>
      </c>
      <c r="J392" s="2">
        <v>0</v>
      </c>
      <c r="K392" s="2">
        <v>0</v>
      </c>
      <c r="L392" s="3">
        <v>45859</v>
      </c>
      <c r="M392" s="3">
        <v>45859</v>
      </c>
      <c r="N392" s="3"/>
      <c r="O392" t="s">
        <v>2850</v>
      </c>
      <c r="P392" t="s">
        <v>9</v>
      </c>
      <c r="Q392" s="4">
        <v>0.34048611111110999</v>
      </c>
      <c r="R392" t="s">
        <v>5</v>
      </c>
      <c r="S392" t="s">
        <v>4</v>
      </c>
      <c r="T392" t="s">
        <v>2261</v>
      </c>
      <c r="U392" t="s">
        <v>10</v>
      </c>
      <c r="V392" s="5">
        <v>0</v>
      </c>
      <c r="W392" s="5">
        <v>0</v>
      </c>
      <c r="X392" s="2">
        <v>0</v>
      </c>
      <c r="Y392" t="s">
        <v>4</v>
      </c>
      <c r="Z392" t="s">
        <v>4</v>
      </c>
      <c r="AA392" t="s">
        <v>4</v>
      </c>
      <c r="AB392" t="s">
        <v>4</v>
      </c>
    </row>
    <row r="393" spans="1:28" x14ac:dyDescent="0.2">
      <c r="A393" t="s">
        <v>12</v>
      </c>
      <c r="B393" t="s">
        <v>2</v>
      </c>
      <c r="C393" t="s">
        <v>3</v>
      </c>
      <c r="D393" t="s">
        <v>4</v>
      </c>
      <c r="E393" t="s">
        <v>4</v>
      </c>
      <c r="F393" t="s">
        <v>5</v>
      </c>
      <c r="G393" t="s">
        <v>6</v>
      </c>
      <c r="H393" t="s">
        <v>14</v>
      </c>
      <c r="I393" s="2">
        <v>196</v>
      </c>
      <c r="J393" s="2">
        <v>0</v>
      </c>
      <c r="K393" s="2">
        <v>0</v>
      </c>
      <c r="L393" s="3">
        <v>45855</v>
      </c>
      <c r="M393" s="3">
        <v>45855</v>
      </c>
      <c r="N393" s="3"/>
      <c r="O393" t="s">
        <v>15</v>
      </c>
      <c r="P393" t="s">
        <v>9</v>
      </c>
      <c r="Q393" s="4">
        <v>0.70599537037036997</v>
      </c>
      <c r="R393" t="s">
        <v>5</v>
      </c>
      <c r="S393" t="s">
        <v>4</v>
      </c>
      <c r="T393" t="s">
        <v>2350</v>
      </c>
      <c r="U393" t="s">
        <v>10</v>
      </c>
      <c r="V393" s="5">
        <v>0</v>
      </c>
      <c r="W393" s="5">
        <v>0</v>
      </c>
      <c r="X393" s="2">
        <v>0</v>
      </c>
      <c r="Y393" t="s">
        <v>4</v>
      </c>
      <c r="Z393" t="s">
        <v>4</v>
      </c>
      <c r="AA393" t="s">
        <v>4</v>
      </c>
      <c r="AB393" t="s">
        <v>4</v>
      </c>
    </row>
    <row r="394" spans="1:28" x14ac:dyDescent="0.2">
      <c r="A394" t="s">
        <v>1363</v>
      </c>
      <c r="B394" t="s">
        <v>2</v>
      </c>
      <c r="C394" t="s">
        <v>3</v>
      </c>
      <c r="D394" t="s">
        <v>4</v>
      </c>
      <c r="E394" t="s">
        <v>4</v>
      </c>
      <c r="F394" t="s">
        <v>5</v>
      </c>
      <c r="G394" t="s">
        <v>6</v>
      </c>
      <c r="H394" t="s">
        <v>2851</v>
      </c>
      <c r="I394" s="2">
        <v>5000</v>
      </c>
      <c r="J394" s="2">
        <v>0</v>
      </c>
      <c r="K394" s="2">
        <v>0</v>
      </c>
      <c r="L394" s="3">
        <v>45833</v>
      </c>
      <c r="M394" s="3">
        <v>45833</v>
      </c>
      <c r="N394" s="3"/>
      <c r="O394" t="s">
        <v>2852</v>
      </c>
      <c r="P394" t="s">
        <v>9</v>
      </c>
      <c r="Q394" s="4">
        <v>0.53961805555555997</v>
      </c>
      <c r="R394" t="s">
        <v>5</v>
      </c>
      <c r="S394" t="s">
        <v>4</v>
      </c>
      <c r="T394" t="s">
        <v>2736</v>
      </c>
      <c r="U394" t="s">
        <v>10</v>
      </c>
      <c r="V394" s="5">
        <v>0</v>
      </c>
      <c r="W394" s="5">
        <v>0</v>
      </c>
      <c r="X394" s="2">
        <v>0</v>
      </c>
      <c r="Y394" t="s">
        <v>2351</v>
      </c>
      <c r="Z394" t="s">
        <v>2351</v>
      </c>
      <c r="AA394" t="s">
        <v>2351</v>
      </c>
      <c r="AB394" t="s">
        <v>2351</v>
      </c>
    </row>
    <row r="395" spans="1:28" x14ac:dyDescent="0.2">
      <c r="A395" t="s">
        <v>1363</v>
      </c>
      <c r="B395" t="s">
        <v>2</v>
      </c>
      <c r="C395" t="s">
        <v>3</v>
      </c>
      <c r="D395" t="s">
        <v>4</v>
      </c>
      <c r="E395" t="s">
        <v>4</v>
      </c>
      <c r="F395" t="s">
        <v>5</v>
      </c>
      <c r="G395" t="s">
        <v>6</v>
      </c>
      <c r="H395" t="s">
        <v>2851</v>
      </c>
      <c r="I395" s="2">
        <v>3000</v>
      </c>
      <c r="J395" s="2">
        <v>0</v>
      </c>
      <c r="K395" s="2">
        <v>0</v>
      </c>
      <c r="L395" s="3">
        <v>45833</v>
      </c>
      <c r="M395" s="3">
        <v>45833</v>
      </c>
      <c r="N395" s="3"/>
      <c r="O395" t="s">
        <v>2853</v>
      </c>
      <c r="P395" t="s">
        <v>9</v>
      </c>
      <c r="Q395" s="4">
        <v>0.53961805555555997</v>
      </c>
      <c r="R395" t="s">
        <v>5</v>
      </c>
      <c r="S395" t="s">
        <v>4</v>
      </c>
      <c r="T395" t="s">
        <v>2736</v>
      </c>
      <c r="U395" t="s">
        <v>10</v>
      </c>
      <c r="V395" s="5">
        <v>0</v>
      </c>
      <c r="W395" s="5">
        <v>0</v>
      </c>
      <c r="X395" s="2">
        <v>0</v>
      </c>
      <c r="Y395" t="s">
        <v>2351</v>
      </c>
      <c r="Z395" t="s">
        <v>2351</v>
      </c>
      <c r="AA395" t="s">
        <v>2351</v>
      </c>
      <c r="AB395" t="s">
        <v>2351</v>
      </c>
    </row>
    <row r="396" spans="1:28" x14ac:dyDescent="0.2">
      <c r="A396" t="s">
        <v>1359</v>
      </c>
      <c r="B396" t="s">
        <v>2</v>
      </c>
      <c r="C396" t="s">
        <v>3</v>
      </c>
      <c r="D396" t="s">
        <v>4</v>
      </c>
      <c r="E396" t="s">
        <v>4</v>
      </c>
      <c r="F396" t="s">
        <v>5</v>
      </c>
      <c r="G396" t="s">
        <v>6</v>
      </c>
      <c r="H396" t="s">
        <v>2854</v>
      </c>
      <c r="I396" s="2">
        <v>3000</v>
      </c>
      <c r="J396" s="2">
        <v>0</v>
      </c>
      <c r="K396" s="2">
        <v>0</v>
      </c>
      <c r="L396" s="3">
        <v>45850</v>
      </c>
      <c r="M396" s="3">
        <v>45850</v>
      </c>
      <c r="N396" s="3"/>
      <c r="O396" t="s">
        <v>2855</v>
      </c>
      <c r="P396" t="s">
        <v>9</v>
      </c>
      <c r="Q396" s="4">
        <v>0.62788194444444001</v>
      </c>
      <c r="R396" t="s">
        <v>5</v>
      </c>
      <c r="S396" t="s">
        <v>4</v>
      </c>
      <c r="T396" t="s">
        <v>2680</v>
      </c>
      <c r="U396" t="s">
        <v>10</v>
      </c>
      <c r="V396" s="5">
        <v>0</v>
      </c>
      <c r="W396" s="5">
        <v>0</v>
      </c>
      <c r="X396" s="2">
        <v>0</v>
      </c>
      <c r="Y396" t="s">
        <v>4</v>
      </c>
      <c r="Z396" t="s">
        <v>4</v>
      </c>
      <c r="AA396" t="s">
        <v>4</v>
      </c>
      <c r="AB396" t="s">
        <v>4</v>
      </c>
    </row>
    <row r="397" spans="1:28" x14ac:dyDescent="0.2">
      <c r="A397" t="s">
        <v>1359</v>
      </c>
      <c r="B397" t="s">
        <v>2</v>
      </c>
      <c r="C397" t="s">
        <v>3</v>
      </c>
      <c r="D397" t="s">
        <v>4</v>
      </c>
      <c r="E397" t="s">
        <v>4</v>
      </c>
      <c r="F397" t="s">
        <v>5</v>
      </c>
      <c r="G397" t="s">
        <v>6</v>
      </c>
      <c r="H397" t="s">
        <v>2854</v>
      </c>
      <c r="I397" s="2">
        <v>3000</v>
      </c>
      <c r="J397" s="2">
        <v>0</v>
      </c>
      <c r="K397" s="2">
        <v>0</v>
      </c>
      <c r="L397" s="3">
        <v>45847</v>
      </c>
      <c r="M397" s="3">
        <v>45847</v>
      </c>
      <c r="N397" s="3"/>
      <c r="O397" t="s">
        <v>2856</v>
      </c>
      <c r="P397" t="s">
        <v>9</v>
      </c>
      <c r="Q397" s="4">
        <v>0.62788194444444001</v>
      </c>
      <c r="R397" t="s">
        <v>5</v>
      </c>
      <c r="S397" t="s">
        <v>4</v>
      </c>
      <c r="T397" t="s">
        <v>2341</v>
      </c>
      <c r="U397" t="s">
        <v>10</v>
      </c>
      <c r="V397" s="5">
        <v>0</v>
      </c>
      <c r="W397" s="5">
        <v>0</v>
      </c>
      <c r="X397" s="2">
        <v>0</v>
      </c>
      <c r="Y397" t="s">
        <v>4</v>
      </c>
      <c r="Z397" t="s">
        <v>4</v>
      </c>
      <c r="AA397" t="s">
        <v>4</v>
      </c>
      <c r="AB397" t="s">
        <v>4</v>
      </c>
    </row>
    <row r="398" spans="1:28" x14ac:dyDescent="0.2">
      <c r="A398" t="s">
        <v>1031</v>
      </c>
      <c r="B398" t="s">
        <v>2</v>
      </c>
      <c r="C398" t="s">
        <v>3</v>
      </c>
      <c r="D398" t="s">
        <v>4</v>
      </c>
      <c r="E398" t="s">
        <v>4</v>
      </c>
      <c r="F398" t="s">
        <v>5</v>
      </c>
      <c r="G398" t="s">
        <v>6</v>
      </c>
      <c r="H398" t="s">
        <v>2857</v>
      </c>
      <c r="I398" s="2">
        <v>405</v>
      </c>
      <c r="J398" s="2">
        <v>0</v>
      </c>
      <c r="K398" s="2">
        <v>0</v>
      </c>
      <c r="L398" s="3">
        <v>45855</v>
      </c>
      <c r="M398" s="3">
        <v>45855</v>
      </c>
      <c r="N398" s="3"/>
      <c r="O398" t="s">
        <v>2858</v>
      </c>
      <c r="P398" t="s">
        <v>9</v>
      </c>
      <c r="Q398" s="4">
        <v>0.86215277777777999</v>
      </c>
      <c r="R398" t="s">
        <v>5</v>
      </c>
      <c r="S398" t="s">
        <v>4</v>
      </c>
      <c r="T398" t="s">
        <v>2350</v>
      </c>
      <c r="U398" t="s">
        <v>10</v>
      </c>
      <c r="V398" s="5">
        <v>0</v>
      </c>
      <c r="W398" s="5">
        <v>0</v>
      </c>
      <c r="X398" s="2">
        <v>0</v>
      </c>
      <c r="Y398" t="s">
        <v>4</v>
      </c>
      <c r="Z398" t="s">
        <v>4</v>
      </c>
      <c r="AA398" t="s">
        <v>4</v>
      </c>
      <c r="AB398" t="s">
        <v>4</v>
      </c>
    </row>
    <row r="399" spans="1:28" x14ac:dyDescent="0.2">
      <c r="A399" t="s">
        <v>1031</v>
      </c>
      <c r="B399" t="s">
        <v>2</v>
      </c>
      <c r="C399" t="s">
        <v>3</v>
      </c>
      <c r="D399" t="s">
        <v>4</v>
      </c>
      <c r="E399" t="s">
        <v>4</v>
      </c>
      <c r="F399" t="s">
        <v>5</v>
      </c>
      <c r="G399" t="s">
        <v>6</v>
      </c>
      <c r="H399" t="s">
        <v>2857</v>
      </c>
      <c r="I399" s="2">
        <v>405</v>
      </c>
      <c r="J399" s="2">
        <v>0</v>
      </c>
      <c r="K399" s="2">
        <v>0</v>
      </c>
      <c r="L399" s="3">
        <v>45855</v>
      </c>
      <c r="M399" s="3">
        <v>45855</v>
      </c>
      <c r="N399" s="3"/>
      <c r="O399" t="s">
        <v>2859</v>
      </c>
      <c r="P399" t="s">
        <v>9</v>
      </c>
      <c r="Q399" s="4">
        <v>0.86215277777777999</v>
      </c>
      <c r="R399" t="s">
        <v>5</v>
      </c>
      <c r="S399" t="s">
        <v>4</v>
      </c>
      <c r="T399" t="s">
        <v>2350</v>
      </c>
      <c r="U399" t="s">
        <v>10</v>
      </c>
      <c r="V399" s="5">
        <v>0</v>
      </c>
      <c r="W399" s="5">
        <v>0</v>
      </c>
      <c r="X399" s="2">
        <v>0</v>
      </c>
      <c r="Y399" t="s">
        <v>4</v>
      </c>
      <c r="Z399" t="s">
        <v>4</v>
      </c>
      <c r="AA399" t="s">
        <v>4</v>
      </c>
      <c r="AB399" t="s">
        <v>4</v>
      </c>
    </row>
    <row r="400" spans="1:28" x14ac:dyDescent="0.2">
      <c r="A400" t="s">
        <v>1054</v>
      </c>
      <c r="B400" t="s">
        <v>2</v>
      </c>
      <c r="C400" t="s">
        <v>3</v>
      </c>
      <c r="D400" t="s">
        <v>4</v>
      </c>
      <c r="E400" t="s">
        <v>4</v>
      </c>
      <c r="F400" t="s">
        <v>5</v>
      </c>
      <c r="G400" t="s">
        <v>6</v>
      </c>
      <c r="H400" t="s">
        <v>2860</v>
      </c>
      <c r="I400" s="2">
        <v>1320</v>
      </c>
      <c r="J400" s="2">
        <v>0</v>
      </c>
      <c r="K400" s="2">
        <v>0</v>
      </c>
      <c r="L400" s="3">
        <v>45843</v>
      </c>
      <c r="M400" s="3">
        <v>45843</v>
      </c>
      <c r="N400" s="3"/>
      <c r="O400" t="s">
        <v>2861</v>
      </c>
      <c r="P400" t="s">
        <v>9</v>
      </c>
      <c r="Q400" s="4">
        <v>0.54525462962963001</v>
      </c>
      <c r="R400" t="s">
        <v>5</v>
      </c>
      <c r="S400" t="s">
        <v>4</v>
      </c>
      <c r="T400" t="s">
        <v>2783</v>
      </c>
      <c r="U400" t="s">
        <v>10</v>
      </c>
      <c r="V400" s="5">
        <v>0</v>
      </c>
      <c r="W400" s="5">
        <v>0</v>
      </c>
      <c r="X400" s="2">
        <v>0</v>
      </c>
      <c r="Y400" t="s">
        <v>4</v>
      </c>
      <c r="Z400" t="s">
        <v>4</v>
      </c>
      <c r="AA400" t="s">
        <v>4</v>
      </c>
      <c r="AB400" t="s">
        <v>4</v>
      </c>
    </row>
    <row r="401" spans="1:28" x14ac:dyDescent="0.2">
      <c r="A401" t="s">
        <v>1054</v>
      </c>
      <c r="B401" t="s">
        <v>2</v>
      </c>
      <c r="C401" t="s">
        <v>3</v>
      </c>
      <c r="D401" t="s">
        <v>4</v>
      </c>
      <c r="E401" t="s">
        <v>4</v>
      </c>
      <c r="F401" t="s">
        <v>5</v>
      </c>
      <c r="G401" t="s">
        <v>6</v>
      </c>
      <c r="H401" t="s">
        <v>2860</v>
      </c>
      <c r="I401" s="2">
        <v>1320</v>
      </c>
      <c r="J401" s="2">
        <v>0</v>
      </c>
      <c r="K401" s="2">
        <v>0</v>
      </c>
      <c r="L401" s="3">
        <v>45843</v>
      </c>
      <c r="M401" s="3">
        <v>45843</v>
      </c>
      <c r="N401" s="3"/>
      <c r="O401" t="s">
        <v>2862</v>
      </c>
      <c r="P401" t="s">
        <v>9</v>
      </c>
      <c r="Q401" s="4">
        <v>0.54525462962963001</v>
      </c>
      <c r="R401" t="s">
        <v>5</v>
      </c>
      <c r="S401" t="s">
        <v>4</v>
      </c>
      <c r="T401" t="s">
        <v>2783</v>
      </c>
      <c r="U401" t="s">
        <v>10</v>
      </c>
      <c r="V401" s="5">
        <v>0</v>
      </c>
      <c r="W401" s="5">
        <v>0</v>
      </c>
      <c r="X401" s="2">
        <v>0</v>
      </c>
      <c r="Y401" t="s">
        <v>4</v>
      </c>
      <c r="Z401" t="s">
        <v>4</v>
      </c>
      <c r="AA401" t="s">
        <v>4</v>
      </c>
      <c r="AB401" t="s">
        <v>4</v>
      </c>
    </row>
    <row r="402" spans="1:28" x14ac:dyDescent="0.2">
      <c r="A402" t="s">
        <v>2039</v>
      </c>
      <c r="B402" t="s">
        <v>2</v>
      </c>
      <c r="C402" t="s">
        <v>3</v>
      </c>
      <c r="D402" t="s">
        <v>4</v>
      </c>
      <c r="E402" t="s">
        <v>4</v>
      </c>
      <c r="F402" t="s">
        <v>5</v>
      </c>
      <c r="G402" t="s">
        <v>6</v>
      </c>
      <c r="H402" t="s">
        <v>2863</v>
      </c>
      <c r="I402" s="2">
        <v>0</v>
      </c>
      <c r="J402" s="2">
        <v>108</v>
      </c>
      <c r="K402" s="2">
        <v>0</v>
      </c>
      <c r="L402" s="3">
        <v>45860</v>
      </c>
      <c r="M402" s="3">
        <v>45860</v>
      </c>
      <c r="N402" s="3"/>
      <c r="O402" t="s">
        <v>2864</v>
      </c>
      <c r="P402" t="s">
        <v>9</v>
      </c>
      <c r="Q402" s="4">
        <v>0.37072916666667</v>
      </c>
      <c r="R402" t="s">
        <v>5</v>
      </c>
      <c r="S402" t="s">
        <v>4</v>
      </c>
      <c r="T402" t="s">
        <v>2256</v>
      </c>
      <c r="U402" t="s">
        <v>10</v>
      </c>
      <c r="V402" s="5">
        <v>0</v>
      </c>
      <c r="W402" s="5">
        <v>0</v>
      </c>
      <c r="X402" s="2">
        <v>0</v>
      </c>
      <c r="Y402" t="s">
        <v>4</v>
      </c>
      <c r="Z402" t="s">
        <v>4</v>
      </c>
      <c r="AA402" t="s">
        <v>4</v>
      </c>
      <c r="AB402" t="s">
        <v>4</v>
      </c>
    </row>
    <row r="403" spans="1:28" x14ac:dyDescent="0.2">
      <c r="A403" t="s">
        <v>2039</v>
      </c>
      <c r="B403" t="s">
        <v>2</v>
      </c>
      <c r="C403" t="s">
        <v>3</v>
      </c>
      <c r="D403" t="s">
        <v>4</v>
      </c>
      <c r="E403" t="s">
        <v>4</v>
      </c>
      <c r="F403" t="s">
        <v>5</v>
      </c>
      <c r="G403" t="s">
        <v>6</v>
      </c>
      <c r="H403" t="s">
        <v>2863</v>
      </c>
      <c r="I403" s="2">
        <v>0</v>
      </c>
      <c r="J403" s="2">
        <v>108</v>
      </c>
      <c r="K403" s="2">
        <v>0</v>
      </c>
      <c r="L403" s="3">
        <v>45860</v>
      </c>
      <c r="M403" s="3">
        <v>45860</v>
      </c>
      <c r="N403" s="3"/>
      <c r="O403" t="s">
        <v>2865</v>
      </c>
      <c r="P403" t="s">
        <v>9</v>
      </c>
      <c r="Q403" s="4">
        <v>0.37072916666667</v>
      </c>
      <c r="R403" t="s">
        <v>5</v>
      </c>
      <c r="S403" t="s">
        <v>4</v>
      </c>
      <c r="T403" t="s">
        <v>2256</v>
      </c>
      <c r="U403" t="s">
        <v>10</v>
      </c>
      <c r="V403" s="5">
        <v>0</v>
      </c>
      <c r="W403" s="5">
        <v>0</v>
      </c>
      <c r="X403" s="2">
        <v>0</v>
      </c>
      <c r="Y403" t="s">
        <v>4</v>
      </c>
      <c r="Z403" t="s">
        <v>4</v>
      </c>
      <c r="AA403" t="s">
        <v>4</v>
      </c>
      <c r="AB403" t="s">
        <v>4</v>
      </c>
    </row>
    <row r="404" spans="1:28" x14ac:dyDescent="0.2">
      <c r="A404" t="s">
        <v>1139</v>
      </c>
      <c r="B404" t="s">
        <v>2</v>
      </c>
      <c r="C404" t="s">
        <v>3</v>
      </c>
      <c r="D404" t="s">
        <v>4</v>
      </c>
      <c r="E404" t="s">
        <v>4</v>
      </c>
      <c r="F404" t="s">
        <v>5</v>
      </c>
      <c r="G404" t="s">
        <v>6</v>
      </c>
      <c r="H404" t="s">
        <v>2866</v>
      </c>
      <c r="I404" s="2">
        <v>432</v>
      </c>
      <c r="J404" s="2">
        <v>0</v>
      </c>
      <c r="K404" s="2">
        <v>0</v>
      </c>
      <c r="L404" s="3">
        <v>45848</v>
      </c>
      <c r="M404" s="3">
        <v>45848</v>
      </c>
      <c r="N404" s="3"/>
      <c r="O404" t="s">
        <v>2867</v>
      </c>
      <c r="P404" t="s">
        <v>9</v>
      </c>
      <c r="Q404" s="4">
        <v>0.41065972222222002</v>
      </c>
      <c r="R404" t="s">
        <v>5</v>
      </c>
      <c r="S404" t="s">
        <v>4</v>
      </c>
      <c r="T404" t="s">
        <v>2580</v>
      </c>
      <c r="U404" t="s">
        <v>10</v>
      </c>
      <c r="V404" s="5">
        <v>0</v>
      </c>
      <c r="W404" s="5">
        <v>0</v>
      </c>
      <c r="X404" s="2">
        <v>0</v>
      </c>
      <c r="Y404" t="s">
        <v>4</v>
      </c>
      <c r="Z404" t="s">
        <v>4</v>
      </c>
      <c r="AA404" t="s">
        <v>4</v>
      </c>
      <c r="AB404" t="s">
        <v>4</v>
      </c>
    </row>
    <row r="405" spans="1:28" x14ac:dyDescent="0.2">
      <c r="A405" t="s">
        <v>1139</v>
      </c>
      <c r="B405" t="s">
        <v>2</v>
      </c>
      <c r="C405" t="s">
        <v>3</v>
      </c>
      <c r="D405" t="s">
        <v>4</v>
      </c>
      <c r="E405" t="s">
        <v>4</v>
      </c>
      <c r="F405" t="s">
        <v>5</v>
      </c>
      <c r="G405" t="s">
        <v>6</v>
      </c>
      <c r="H405" t="s">
        <v>2866</v>
      </c>
      <c r="I405" s="2">
        <v>432</v>
      </c>
      <c r="J405" s="2">
        <v>0</v>
      </c>
      <c r="K405" s="2">
        <v>0</v>
      </c>
      <c r="L405" s="3">
        <v>45848</v>
      </c>
      <c r="M405" s="3">
        <v>45848</v>
      </c>
      <c r="N405" s="3"/>
      <c r="O405" t="s">
        <v>2868</v>
      </c>
      <c r="P405" t="s">
        <v>9</v>
      </c>
      <c r="Q405" s="4">
        <v>0.41065972222222002</v>
      </c>
      <c r="R405" t="s">
        <v>5</v>
      </c>
      <c r="S405" t="s">
        <v>4</v>
      </c>
      <c r="T405" t="s">
        <v>2580</v>
      </c>
      <c r="U405" t="s">
        <v>10</v>
      </c>
      <c r="V405" s="5">
        <v>0</v>
      </c>
      <c r="W405" s="5">
        <v>0</v>
      </c>
      <c r="X405" s="2">
        <v>0</v>
      </c>
      <c r="Y405" t="s">
        <v>4</v>
      </c>
      <c r="Z405" t="s">
        <v>4</v>
      </c>
      <c r="AA405" t="s">
        <v>4</v>
      </c>
      <c r="AB405" t="s">
        <v>4</v>
      </c>
    </row>
    <row r="406" spans="1:28" x14ac:dyDescent="0.2">
      <c r="A406" t="s">
        <v>491</v>
      </c>
      <c r="B406" t="s">
        <v>2</v>
      </c>
      <c r="C406" t="s">
        <v>3</v>
      </c>
      <c r="D406" t="s">
        <v>4</v>
      </c>
      <c r="E406" t="s">
        <v>4</v>
      </c>
      <c r="F406" t="s">
        <v>5</v>
      </c>
      <c r="G406" t="s">
        <v>17</v>
      </c>
      <c r="H406" t="s">
        <v>2869</v>
      </c>
      <c r="I406" s="2">
        <v>2160</v>
      </c>
      <c r="J406" s="2">
        <v>0</v>
      </c>
      <c r="K406" s="2">
        <v>0</v>
      </c>
      <c r="L406" s="3">
        <v>45856</v>
      </c>
      <c r="M406" s="3">
        <v>45856</v>
      </c>
      <c r="N406" s="3"/>
      <c r="O406" t="s">
        <v>2870</v>
      </c>
      <c r="P406" t="s">
        <v>9</v>
      </c>
      <c r="Q406" s="4">
        <v>0.43148148148148002</v>
      </c>
      <c r="R406" t="s">
        <v>5</v>
      </c>
      <c r="S406" t="s">
        <v>4</v>
      </c>
      <c r="T406" t="s">
        <v>2260</v>
      </c>
      <c r="U406" t="s">
        <v>10</v>
      </c>
      <c r="V406" s="5">
        <v>0</v>
      </c>
      <c r="W406" s="5">
        <v>0</v>
      </c>
      <c r="X406" s="2">
        <v>0</v>
      </c>
      <c r="Y406" t="s">
        <v>4</v>
      </c>
      <c r="Z406" t="s">
        <v>4</v>
      </c>
      <c r="AA406" t="s">
        <v>4</v>
      </c>
      <c r="AB406" t="s">
        <v>4</v>
      </c>
    </row>
    <row r="407" spans="1:28" x14ac:dyDescent="0.2">
      <c r="A407" t="s">
        <v>491</v>
      </c>
      <c r="B407" t="s">
        <v>2</v>
      </c>
      <c r="C407" t="s">
        <v>3</v>
      </c>
      <c r="D407" t="s">
        <v>4</v>
      </c>
      <c r="E407" t="s">
        <v>4</v>
      </c>
      <c r="F407" t="s">
        <v>5</v>
      </c>
      <c r="G407" t="s">
        <v>17</v>
      </c>
      <c r="H407" t="s">
        <v>2869</v>
      </c>
      <c r="I407" s="2">
        <v>1080</v>
      </c>
      <c r="J407" s="2">
        <v>0</v>
      </c>
      <c r="K407" s="2">
        <v>0</v>
      </c>
      <c r="L407" s="3">
        <v>45855</v>
      </c>
      <c r="M407" s="3">
        <v>45855</v>
      </c>
      <c r="N407" s="3"/>
      <c r="O407" t="s">
        <v>2871</v>
      </c>
      <c r="P407" t="s">
        <v>9</v>
      </c>
      <c r="Q407" s="4">
        <v>0.43148148148148002</v>
      </c>
      <c r="R407" t="s">
        <v>5</v>
      </c>
      <c r="S407" t="s">
        <v>4</v>
      </c>
      <c r="T407" t="s">
        <v>2350</v>
      </c>
      <c r="U407" t="s">
        <v>10</v>
      </c>
      <c r="V407" s="5">
        <v>0</v>
      </c>
      <c r="W407" s="5">
        <v>0</v>
      </c>
      <c r="X407" s="2">
        <v>0</v>
      </c>
      <c r="Y407" t="s">
        <v>4</v>
      </c>
      <c r="Z407" t="s">
        <v>4</v>
      </c>
      <c r="AA407" t="s">
        <v>4</v>
      </c>
      <c r="AB407" t="s">
        <v>4</v>
      </c>
    </row>
    <row r="408" spans="1:28" x14ac:dyDescent="0.2">
      <c r="A408" t="s">
        <v>491</v>
      </c>
      <c r="B408" t="s">
        <v>2</v>
      </c>
      <c r="C408" t="s">
        <v>3</v>
      </c>
      <c r="D408" t="s">
        <v>4</v>
      </c>
      <c r="E408" t="s">
        <v>4</v>
      </c>
      <c r="F408" t="s">
        <v>5</v>
      </c>
      <c r="G408" t="s">
        <v>17</v>
      </c>
      <c r="H408" t="s">
        <v>2872</v>
      </c>
      <c r="I408" s="2">
        <v>2160</v>
      </c>
      <c r="J408" s="2">
        <v>0</v>
      </c>
      <c r="K408" s="2">
        <v>0</v>
      </c>
      <c r="L408" s="3">
        <v>45856</v>
      </c>
      <c r="M408" s="3">
        <v>45856</v>
      </c>
      <c r="N408" s="3"/>
      <c r="O408" t="s">
        <v>2873</v>
      </c>
      <c r="P408" t="s">
        <v>9</v>
      </c>
      <c r="Q408" s="4">
        <v>0.435</v>
      </c>
      <c r="R408" t="s">
        <v>5</v>
      </c>
      <c r="S408" t="s">
        <v>4</v>
      </c>
      <c r="T408" t="s">
        <v>2260</v>
      </c>
      <c r="U408" t="s">
        <v>10</v>
      </c>
      <c r="V408" s="5">
        <v>0</v>
      </c>
      <c r="W408" s="5">
        <v>0</v>
      </c>
      <c r="X408" s="2">
        <v>0</v>
      </c>
      <c r="Y408" t="s">
        <v>4</v>
      </c>
      <c r="Z408" t="s">
        <v>4</v>
      </c>
      <c r="AA408" t="s">
        <v>4</v>
      </c>
      <c r="AB408" t="s">
        <v>4</v>
      </c>
    </row>
    <row r="409" spans="1:28" x14ac:dyDescent="0.2">
      <c r="A409" t="s">
        <v>491</v>
      </c>
      <c r="B409" t="s">
        <v>2</v>
      </c>
      <c r="C409" t="s">
        <v>3</v>
      </c>
      <c r="D409" t="s">
        <v>4</v>
      </c>
      <c r="E409" t="s">
        <v>4</v>
      </c>
      <c r="F409" t="s">
        <v>5</v>
      </c>
      <c r="G409" t="s">
        <v>17</v>
      </c>
      <c r="H409" t="s">
        <v>2872</v>
      </c>
      <c r="I409" s="2">
        <v>2160</v>
      </c>
      <c r="J409" s="2">
        <v>0</v>
      </c>
      <c r="K409" s="2">
        <v>0</v>
      </c>
      <c r="L409" s="3">
        <v>45856</v>
      </c>
      <c r="M409" s="3">
        <v>45856</v>
      </c>
      <c r="N409" s="3"/>
      <c r="O409" t="s">
        <v>2874</v>
      </c>
      <c r="P409" t="s">
        <v>9</v>
      </c>
      <c r="Q409" s="4">
        <v>0.435</v>
      </c>
      <c r="R409" t="s">
        <v>5</v>
      </c>
      <c r="S409" t="s">
        <v>4</v>
      </c>
      <c r="T409" t="s">
        <v>2260</v>
      </c>
      <c r="U409" t="s">
        <v>10</v>
      </c>
      <c r="V409" s="5">
        <v>0</v>
      </c>
      <c r="W409" s="5">
        <v>0</v>
      </c>
      <c r="X409" s="2">
        <v>0</v>
      </c>
      <c r="Y409" t="s">
        <v>4</v>
      </c>
      <c r="Z409" t="s">
        <v>4</v>
      </c>
      <c r="AA409" t="s">
        <v>4</v>
      </c>
      <c r="AB409" t="s">
        <v>4</v>
      </c>
    </row>
    <row r="410" spans="1:28" x14ac:dyDescent="0.2">
      <c r="A410" t="s">
        <v>296</v>
      </c>
      <c r="B410" t="s">
        <v>2</v>
      </c>
      <c r="C410" t="s">
        <v>3</v>
      </c>
      <c r="D410" t="s">
        <v>4</v>
      </c>
      <c r="E410" t="s">
        <v>4</v>
      </c>
      <c r="F410" t="s">
        <v>5</v>
      </c>
      <c r="G410" t="s">
        <v>17</v>
      </c>
      <c r="H410" t="s">
        <v>2875</v>
      </c>
      <c r="I410" s="2">
        <v>700</v>
      </c>
      <c r="J410" s="2">
        <v>0</v>
      </c>
      <c r="K410" s="2">
        <v>0</v>
      </c>
      <c r="L410" s="3">
        <v>45856</v>
      </c>
      <c r="M410" s="3">
        <v>45856</v>
      </c>
      <c r="N410" s="3"/>
      <c r="O410" t="s">
        <v>2876</v>
      </c>
      <c r="P410" t="s">
        <v>9</v>
      </c>
      <c r="Q410" s="4">
        <v>0.44190972222222002</v>
      </c>
      <c r="R410" t="s">
        <v>5</v>
      </c>
      <c r="S410" t="s">
        <v>4</v>
      </c>
      <c r="T410" t="s">
        <v>2260</v>
      </c>
      <c r="U410" t="s">
        <v>10</v>
      </c>
      <c r="V410" s="5">
        <v>0</v>
      </c>
      <c r="W410" s="5">
        <v>0</v>
      </c>
      <c r="X410" s="2">
        <v>0</v>
      </c>
      <c r="Y410" t="s">
        <v>4</v>
      </c>
      <c r="Z410" t="s">
        <v>4</v>
      </c>
      <c r="AA410" t="s">
        <v>4</v>
      </c>
      <c r="AB410" t="s">
        <v>4</v>
      </c>
    </row>
    <row r="411" spans="1:28" x14ac:dyDescent="0.2">
      <c r="A411" t="s">
        <v>296</v>
      </c>
      <c r="B411" t="s">
        <v>2</v>
      </c>
      <c r="C411" t="s">
        <v>3</v>
      </c>
      <c r="D411" t="s">
        <v>4</v>
      </c>
      <c r="E411" t="s">
        <v>4</v>
      </c>
      <c r="F411" t="s">
        <v>5</v>
      </c>
      <c r="G411" t="s">
        <v>17</v>
      </c>
      <c r="H411" t="s">
        <v>2875</v>
      </c>
      <c r="I411" s="2">
        <v>700</v>
      </c>
      <c r="J411" s="2">
        <v>0</v>
      </c>
      <c r="K411" s="2">
        <v>0</v>
      </c>
      <c r="L411" s="3">
        <v>45859</v>
      </c>
      <c r="M411" s="3">
        <v>45859</v>
      </c>
      <c r="N411" s="3"/>
      <c r="O411" t="s">
        <v>2877</v>
      </c>
      <c r="P411" t="s">
        <v>9</v>
      </c>
      <c r="Q411" s="4">
        <v>0.44190972222222002</v>
      </c>
      <c r="R411" t="s">
        <v>5</v>
      </c>
      <c r="S411" t="s">
        <v>4</v>
      </c>
      <c r="T411" t="s">
        <v>2261</v>
      </c>
      <c r="U411" t="s">
        <v>10</v>
      </c>
      <c r="V411" s="5">
        <v>0</v>
      </c>
      <c r="W411" s="5">
        <v>0</v>
      </c>
      <c r="X411" s="2">
        <v>0</v>
      </c>
      <c r="Y411" t="s">
        <v>4</v>
      </c>
      <c r="Z411" t="s">
        <v>4</v>
      </c>
      <c r="AA411" t="s">
        <v>4</v>
      </c>
      <c r="AB411" t="s">
        <v>4</v>
      </c>
    </row>
    <row r="412" spans="1:28" x14ac:dyDescent="0.2">
      <c r="A412" t="s">
        <v>579</v>
      </c>
      <c r="B412" t="s">
        <v>2</v>
      </c>
      <c r="C412" t="s">
        <v>3</v>
      </c>
      <c r="D412" t="s">
        <v>4</v>
      </c>
      <c r="E412" t="s">
        <v>4</v>
      </c>
      <c r="F412" t="s">
        <v>5</v>
      </c>
      <c r="G412" t="s">
        <v>17</v>
      </c>
      <c r="H412" t="s">
        <v>2878</v>
      </c>
      <c r="I412" s="2">
        <v>42000</v>
      </c>
      <c r="J412" s="2">
        <v>0</v>
      </c>
      <c r="K412" s="2">
        <v>0</v>
      </c>
      <c r="L412" s="3">
        <v>45832</v>
      </c>
      <c r="M412" s="3">
        <v>45832</v>
      </c>
      <c r="N412" s="3"/>
      <c r="O412" t="s">
        <v>2879</v>
      </c>
      <c r="P412" t="s">
        <v>9</v>
      </c>
      <c r="Q412" s="4">
        <v>0.36465277777777999</v>
      </c>
      <c r="R412" t="s">
        <v>5</v>
      </c>
      <c r="S412" t="s">
        <v>4</v>
      </c>
      <c r="T412" t="s">
        <v>2665</v>
      </c>
      <c r="U412" t="s">
        <v>10</v>
      </c>
      <c r="V412" s="5">
        <v>0</v>
      </c>
      <c r="W412" s="5">
        <v>0</v>
      </c>
      <c r="X412" s="2">
        <v>0</v>
      </c>
      <c r="Y412" t="s">
        <v>4</v>
      </c>
      <c r="Z412" t="s">
        <v>4</v>
      </c>
      <c r="AA412" t="s">
        <v>4</v>
      </c>
      <c r="AB412" t="s">
        <v>4</v>
      </c>
    </row>
    <row r="413" spans="1:28" x14ac:dyDescent="0.2">
      <c r="A413" t="s">
        <v>912</v>
      </c>
      <c r="B413" t="s">
        <v>2</v>
      </c>
      <c r="C413" t="s">
        <v>3</v>
      </c>
      <c r="D413" t="s">
        <v>4</v>
      </c>
      <c r="E413" t="s">
        <v>4</v>
      </c>
      <c r="F413" t="s">
        <v>5</v>
      </c>
      <c r="G413" t="s">
        <v>17</v>
      </c>
      <c r="H413" t="s">
        <v>2880</v>
      </c>
      <c r="I413" s="2">
        <v>124200</v>
      </c>
      <c r="J413" s="2">
        <v>0</v>
      </c>
      <c r="K413" s="2">
        <v>0</v>
      </c>
      <c r="L413" s="3">
        <v>45776</v>
      </c>
      <c r="M413" s="3">
        <v>45776</v>
      </c>
      <c r="N413" s="3"/>
      <c r="O413" t="s">
        <v>2881</v>
      </c>
      <c r="P413" t="s">
        <v>9</v>
      </c>
      <c r="Q413" s="4">
        <v>0.48093750000000002</v>
      </c>
      <c r="R413" t="s">
        <v>5</v>
      </c>
      <c r="S413" t="s">
        <v>4</v>
      </c>
      <c r="T413" t="s">
        <v>2882</v>
      </c>
      <c r="U413" t="s">
        <v>10</v>
      </c>
      <c r="V413" s="5">
        <v>0</v>
      </c>
      <c r="W413" s="5">
        <v>0</v>
      </c>
      <c r="X413" s="2">
        <v>0</v>
      </c>
      <c r="Y413" t="s">
        <v>4</v>
      </c>
      <c r="Z413" t="s">
        <v>4</v>
      </c>
      <c r="AA413" t="s">
        <v>4</v>
      </c>
      <c r="AB413" t="s">
        <v>4</v>
      </c>
    </row>
    <row r="414" spans="1:28" x14ac:dyDescent="0.2">
      <c r="A414" t="s">
        <v>491</v>
      </c>
      <c r="B414" t="s">
        <v>2</v>
      </c>
      <c r="C414" t="s">
        <v>3</v>
      </c>
      <c r="D414" t="s">
        <v>4</v>
      </c>
      <c r="E414" t="s">
        <v>4</v>
      </c>
      <c r="F414" t="s">
        <v>5</v>
      </c>
      <c r="G414" t="s">
        <v>17</v>
      </c>
      <c r="H414" t="s">
        <v>2883</v>
      </c>
      <c r="I414" s="2">
        <v>720</v>
      </c>
      <c r="J414" s="2">
        <v>0</v>
      </c>
      <c r="K414" s="2">
        <v>0</v>
      </c>
      <c r="L414" s="3">
        <v>45845</v>
      </c>
      <c r="M414" s="3">
        <v>45845</v>
      </c>
      <c r="N414" s="3"/>
      <c r="O414" t="s">
        <v>2884</v>
      </c>
      <c r="P414" t="s">
        <v>9</v>
      </c>
      <c r="Q414" s="4">
        <v>0.39814814814815003</v>
      </c>
      <c r="R414" t="s">
        <v>5</v>
      </c>
      <c r="S414" t="s">
        <v>4</v>
      </c>
      <c r="T414" t="s">
        <v>2701</v>
      </c>
      <c r="U414" t="s">
        <v>10</v>
      </c>
      <c r="V414" s="5">
        <v>0</v>
      </c>
      <c r="W414" s="5">
        <v>0</v>
      </c>
      <c r="X414" s="2">
        <v>0</v>
      </c>
      <c r="Y414" t="s">
        <v>4</v>
      </c>
      <c r="Z414" t="s">
        <v>4</v>
      </c>
      <c r="AA414" t="s">
        <v>4</v>
      </c>
      <c r="AB414" t="s">
        <v>4</v>
      </c>
    </row>
    <row r="415" spans="1:28" x14ac:dyDescent="0.2">
      <c r="A415" t="s">
        <v>491</v>
      </c>
      <c r="B415" t="s">
        <v>2</v>
      </c>
      <c r="C415" t="s">
        <v>3</v>
      </c>
      <c r="D415" t="s">
        <v>4</v>
      </c>
      <c r="E415" t="s">
        <v>4</v>
      </c>
      <c r="F415" t="s">
        <v>5</v>
      </c>
      <c r="G415" t="s">
        <v>17</v>
      </c>
      <c r="H415" t="s">
        <v>2883</v>
      </c>
      <c r="I415" s="2">
        <v>1440</v>
      </c>
      <c r="J415" s="2">
        <v>0</v>
      </c>
      <c r="K415" s="2">
        <v>0</v>
      </c>
      <c r="L415" s="3">
        <v>45851</v>
      </c>
      <c r="M415" s="3">
        <v>45851</v>
      </c>
      <c r="N415" s="3"/>
      <c r="O415" t="s">
        <v>2885</v>
      </c>
      <c r="P415" t="s">
        <v>9</v>
      </c>
      <c r="Q415" s="4">
        <v>0.39814814814815003</v>
      </c>
      <c r="R415" t="s">
        <v>5</v>
      </c>
      <c r="S415" t="s">
        <v>4</v>
      </c>
      <c r="T415" t="s">
        <v>2747</v>
      </c>
      <c r="U415" t="s">
        <v>10</v>
      </c>
      <c r="V415" s="5">
        <v>0</v>
      </c>
      <c r="W415" s="5">
        <v>0</v>
      </c>
      <c r="X415" s="2">
        <v>0</v>
      </c>
      <c r="Y415" t="s">
        <v>4</v>
      </c>
      <c r="Z415" t="s">
        <v>4</v>
      </c>
      <c r="AA415" t="s">
        <v>4</v>
      </c>
      <c r="AB415" t="s">
        <v>4</v>
      </c>
    </row>
    <row r="416" spans="1:28" x14ac:dyDescent="0.2">
      <c r="A416" t="s">
        <v>1541</v>
      </c>
      <c r="B416" t="s">
        <v>2</v>
      </c>
      <c r="C416" t="s">
        <v>3</v>
      </c>
      <c r="D416" t="s">
        <v>4</v>
      </c>
      <c r="E416" t="s">
        <v>4</v>
      </c>
      <c r="F416" t="s">
        <v>5</v>
      </c>
      <c r="G416" t="s">
        <v>6</v>
      </c>
      <c r="H416" t="s">
        <v>2886</v>
      </c>
      <c r="I416" s="2">
        <v>300</v>
      </c>
      <c r="J416" s="2">
        <v>0</v>
      </c>
      <c r="K416" s="2">
        <v>0</v>
      </c>
      <c r="L416" s="3">
        <v>45855</v>
      </c>
      <c r="M416" s="3">
        <v>45855</v>
      </c>
      <c r="N416" s="3"/>
      <c r="O416" t="s">
        <v>2887</v>
      </c>
      <c r="P416" t="s">
        <v>9</v>
      </c>
      <c r="Q416" s="4">
        <v>0.82281249999999995</v>
      </c>
      <c r="R416" t="s">
        <v>5</v>
      </c>
      <c r="S416" t="s">
        <v>4</v>
      </c>
      <c r="T416" t="s">
        <v>2350</v>
      </c>
      <c r="U416" t="s">
        <v>10</v>
      </c>
      <c r="V416" s="5">
        <v>0</v>
      </c>
      <c r="W416" s="5">
        <v>0</v>
      </c>
      <c r="X416" s="2">
        <v>0</v>
      </c>
      <c r="Y416" t="s">
        <v>4</v>
      </c>
      <c r="Z416" t="s">
        <v>4</v>
      </c>
      <c r="AA416" t="s">
        <v>4</v>
      </c>
      <c r="AB416" t="s">
        <v>4</v>
      </c>
    </row>
    <row r="417" spans="1:28" x14ac:dyDescent="0.2">
      <c r="A417" t="s">
        <v>1541</v>
      </c>
      <c r="B417" t="s">
        <v>2</v>
      </c>
      <c r="C417" t="s">
        <v>3</v>
      </c>
      <c r="D417" t="s">
        <v>4</v>
      </c>
      <c r="E417" t="s">
        <v>4</v>
      </c>
      <c r="F417" t="s">
        <v>5</v>
      </c>
      <c r="G417" t="s">
        <v>6</v>
      </c>
      <c r="H417" t="s">
        <v>2886</v>
      </c>
      <c r="I417" s="2">
        <v>300</v>
      </c>
      <c r="J417" s="2">
        <v>0</v>
      </c>
      <c r="K417" s="2">
        <v>0</v>
      </c>
      <c r="L417" s="3">
        <v>45856</v>
      </c>
      <c r="M417" s="3">
        <v>45856</v>
      </c>
      <c r="N417" s="3"/>
      <c r="O417" t="s">
        <v>2888</v>
      </c>
      <c r="P417" t="s">
        <v>9</v>
      </c>
      <c r="Q417" s="4">
        <v>0.82281249999999995</v>
      </c>
      <c r="R417" t="s">
        <v>5</v>
      </c>
      <c r="S417" t="s">
        <v>4</v>
      </c>
      <c r="T417" t="s">
        <v>2260</v>
      </c>
      <c r="U417" t="s">
        <v>10</v>
      </c>
      <c r="V417" s="5">
        <v>0</v>
      </c>
      <c r="W417" s="5">
        <v>0</v>
      </c>
      <c r="X417" s="2">
        <v>0</v>
      </c>
      <c r="Y417" t="s">
        <v>4</v>
      </c>
      <c r="Z417" t="s">
        <v>4</v>
      </c>
      <c r="AA417" t="s">
        <v>4</v>
      </c>
      <c r="AB417" t="s">
        <v>4</v>
      </c>
    </row>
    <row r="418" spans="1:28" x14ac:dyDescent="0.2">
      <c r="A418" t="s">
        <v>1209</v>
      </c>
      <c r="B418" t="s">
        <v>2</v>
      </c>
      <c r="C418" t="s">
        <v>3</v>
      </c>
      <c r="D418" t="s">
        <v>4</v>
      </c>
      <c r="E418" t="s">
        <v>4</v>
      </c>
      <c r="F418" t="s">
        <v>5</v>
      </c>
      <c r="G418" t="s">
        <v>6</v>
      </c>
      <c r="H418" t="s">
        <v>2889</v>
      </c>
      <c r="I418" s="2">
        <v>560</v>
      </c>
      <c r="J418" s="2">
        <v>0</v>
      </c>
      <c r="K418" s="2">
        <v>0</v>
      </c>
      <c r="L418" s="3">
        <v>45467</v>
      </c>
      <c r="M418" s="3">
        <v>45467</v>
      </c>
      <c r="N418" s="3"/>
      <c r="O418" t="s">
        <v>2890</v>
      </c>
      <c r="P418" t="s">
        <v>9</v>
      </c>
      <c r="Q418" s="4">
        <v>0.74185185185184999</v>
      </c>
      <c r="R418" t="s">
        <v>5</v>
      </c>
      <c r="S418" t="s">
        <v>4</v>
      </c>
      <c r="T418" t="s">
        <v>2891</v>
      </c>
      <c r="U418" t="s">
        <v>10</v>
      </c>
      <c r="V418" s="5">
        <v>0</v>
      </c>
      <c r="W418" s="5">
        <v>0</v>
      </c>
      <c r="X418" s="2">
        <v>0</v>
      </c>
      <c r="Y418" t="s">
        <v>4</v>
      </c>
      <c r="Z418" t="s">
        <v>4</v>
      </c>
      <c r="AA418" t="s">
        <v>4</v>
      </c>
      <c r="AB418" t="s">
        <v>4</v>
      </c>
    </row>
    <row r="419" spans="1:28" x14ac:dyDescent="0.2">
      <c r="A419" t="s">
        <v>1938</v>
      </c>
      <c r="B419" t="s">
        <v>2</v>
      </c>
      <c r="C419" t="s">
        <v>3</v>
      </c>
      <c r="D419" t="s">
        <v>4</v>
      </c>
      <c r="E419" t="s">
        <v>4</v>
      </c>
      <c r="F419" t="s">
        <v>5</v>
      </c>
      <c r="G419" t="s">
        <v>6</v>
      </c>
      <c r="H419" t="s">
        <v>2892</v>
      </c>
      <c r="I419" s="2">
        <v>8064</v>
      </c>
      <c r="J419" s="2">
        <v>0</v>
      </c>
      <c r="K419" s="2">
        <v>0</v>
      </c>
      <c r="L419" s="3">
        <v>45817</v>
      </c>
      <c r="M419" s="3">
        <v>45817</v>
      </c>
      <c r="N419" s="3"/>
      <c r="O419" t="s">
        <v>2893</v>
      </c>
      <c r="P419" t="s">
        <v>9</v>
      </c>
      <c r="Q419" s="4">
        <v>0.57187500000000002</v>
      </c>
      <c r="R419" t="s">
        <v>5</v>
      </c>
      <c r="S419" t="s">
        <v>4</v>
      </c>
      <c r="T419" t="s">
        <v>2894</v>
      </c>
      <c r="U419" t="s">
        <v>10</v>
      </c>
      <c r="V419" s="5">
        <v>0</v>
      </c>
      <c r="W419" s="5">
        <v>0</v>
      </c>
      <c r="X419" s="2">
        <v>0</v>
      </c>
      <c r="Y419" t="s">
        <v>4</v>
      </c>
      <c r="Z419" t="s">
        <v>4</v>
      </c>
      <c r="AA419" t="s">
        <v>4</v>
      </c>
      <c r="AB419" t="s">
        <v>4</v>
      </c>
    </row>
    <row r="420" spans="1:28" x14ac:dyDescent="0.2">
      <c r="A420" t="s">
        <v>686</v>
      </c>
      <c r="B420" t="s">
        <v>2</v>
      </c>
      <c r="C420" t="s">
        <v>3</v>
      </c>
      <c r="D420" t="s">
        <v>4</v>
      </c>
      <c r="E420" t="s">
        <v>4</v>
      </c>
      <c r="F420" t="s">
        <v>5</v>
      </c>
      <c r="G420" t="s">
        <v>6</v>
      </c>
      <c r="H420" t="s">
        <v>2895</v>
      </c>
      <c r="I420" s="2">
        <v>0</v>
      </c>
      <c r="J420" s="2">
        <v>70</v>
      </c>
      <c r="K420" s="2">
        <v>0</v>
      </c>
      <c r="L420" s="3">
        <v>45857</v>
      </c>
      <c r="M420" s="3">
        <v>45857</v>
      </c>
      <c r="N420" s="3"/>
      <c r="O420" t="s">
        <v>2896</v>
      </c>
      <c r="P420" t="s">
        <v>9</v>
      </c>
      <c r="Q420" s="4">
        <v>0.69655092592593004</v>
      </c>
      <c r="R420" t="s">
        <v>5</v>
      </c>
      <c r="S420" t="s">
        <v>4</v>
      </c>
      <c r="T420" t="s">
        <v>2262</v>
      </c>
      <c r="U420" t="s">
        <v>10</v>
      </c>
      <c r="V420" s="5">
        <v>0</v>
      </c>
      <c r="W420" s="5">
        <v>0</v>
      </c>
      <c r="X420" s="2">
        <v>0</v>
      </c>
      <c r="Y420" t="s">
        <v>4</v>
      </c>
      <c r="Z420" t="s">
        <v>4</v>
      </c>
      <c r="AA420" t="s">
        <v>4</v>
      </c>
      <c r="AB420" t="s">
        <v>4</v>
      </c>
    </row>
    <row r="421" spans="1:28" x14ac:dyDescent="0.2">
      <c r="A421" t="s">
        <v>686</v>
      </c>
      <c r="B421" t="s">
        <v>2</v>
      </c>
      <c r="C421" t="s">
        <v>3</v>
      </c>
      <c r="D421" t="s">
        <v>4</v>
      </c>
      <c r="E421" t="s">
        <v>4</v>
      </c>
      <c r="F421" t="s">
        <v>5</v>
      </c>
      <c r="G421" t="s">
        <v>6</v>
      </c>
      <c r="H421" t="s">
        <v>2895</v>
      </c>
      <c r="I421" s="2">
        <v>0</v>
      </c>
      <c r="J421" s="2">
        <v>70</v>
      </c>
      <c r="K421" s="2">
        <v>0</v>
      </c>
      <c r="L421" s="3">
        <v>45857</v>
      </c>
      <c r="M421" s="3">
        <v>45857</v>
      </c>
      <c r="N421" s="3"/>
      <c r="O421" t="s">
        <v>2897</v>
      </c>
      <c r="P421" t="s">
        <v>9</v>
      </c>
      <c r="Q421" s="4">
        <v>0.69655092592593004</v>
      </c>
      <c r="R421" t="s">
        <v>5</v>
      </c>
      <c r="S421" t="s">
        <v>4</v>
      </c>
      <c r="T421" t="s">
        <v>2262</v>
      </c>
      <c r="U421" t="s">
        <v>10</v>
      </c>
      <c r="V421" s="5">
        <v>0</v>
      </c>
      <c r="W421" s="5">
        <v>0</v>
      </c>
      <c r="X421" s="2">
        <v>0</v>
      </c>
      <c r="Y421" t="s">
        <v>4</v>
      </c>
      <c r="Z421" t="s">
        <v>4</v>
      </c>
      <c r="AA421" t="s">
        <v>4</v>
      </c>
      <c r="AB421" t="s">
        <v>4</v>
      </c>
    </row>
    <row r="422" spans="1:28" x14ac:dyDescent="0.2">
      <c r="A422" t="s">
        <v>715</v>
      </c>
      <c r="B422" t="s">
        <v>2</v>
      </c>
      <c r="C422" t="s">
        <v>3</v>
      </c>
      <c r="D422" t="s">
        <v>4</v>
      </c>
      <c r="E422" t="s">
        <v>4</v>
      </c>
      <c r="F422" t="s">
        <v>5</v>
      </c>
      <c r="G422" t="s">
        <v>6</v>
      </c>
      <c r="H422" t="s">
        <v>2898</v>
      </c>
      <c r="I422" s="2">
        <v>88</v>
      </c>
      <c r="J422" s="2">
        <v>0</v>
      </c>
      <c r="K422" s="2">
        <v>0</v>
      </c>
      <c r="L422" s="3">
        <v>45855</v>
      </c>
      <c r="M422" s="3">
        <v>45855</v>
      </c>
      <c r="N422" s="3"/>
      <c r="O422" t="s">
        <v>2899</v>
      </c>
      <c r="P422" t="s">
        <v>9</v>
      </c>
      <c r="Q422" s="4">
        <v>0.95804398148147996</v>
      </c>
      <c r="R422" t="s">
        <v>5</v>
      </c>
      <c r="S422" t="s">
        <v>4</v>
      </c>
      <c r="T422" t="s">
        <v>2350</v>
      </c>
      <c r="U422" t="s">
        <v>10</v>
      </c>
      <c r="V422" s="5">
        <v>0</v>
      </c>
      <c r="W422" s="5">
        <v>0</v>
      </c>
      <c r="X422" s="2">
        <v>0</v>
      </c>
      <c r="Y422" t="s">
        <v>4</v>
      </c>
      <c r="Z422" t="s">
        <v>4</v>
      </c>
      <c r="AA422" t="s">
        <v>4</v>
      </c>
      <c r="AB422" t="s">
        <v>4</v>
      </c>
    </row>
    <row r="423" spans="1:28" x14ac:dyDescent="0.2">
      <c r="A423" t="s">
        <v>715</v>
      </c>
      <c r="B423" t="s">
        <v>2</v>
      </c>
      <c r="C423" t="s">
        <v>3</v>
      </c>
      <c r="D423" t="s">
        <v>4</v>
      </c>
      <c r="E423" t="s">
        <v>4</v>
      </c>
      <c r="F423" t="s">
        <v>5</v>
      </c>
      <c r="G423" t="s">
        <v>6</v>
      </c>
      <c r="H423" t="s">
        <v>2898</v>
      </c>
      <c r="I423" s="2">
        <v>88</v>
      </c>
      <c r="J423" s="2">
        <v>0</v>
      </c>
      <c r="K423" s="2">
        <v>0</v>
      </c>
      <c r="L423" s="3">
        <v>45855</v>
      </c>
      <c r="M423" s="3">
        <v>45855</v>
      </c>
      <c r="N423" s="3"/>
      <c r="O423" t="s">
        <v>2900</v>
      </c>
      <c r="P423" t="s">
        <v>9</v>
      </c>
      <c r="Q423" s="4">
        <v>0.95804398148147996</v>
      </c>
      <c r="R423" t="s">
        <v>5</v>
      </c>
      <c r="S423" t="s">
        <v>4</v>
      </c>
      <c r="T423" t="s">
        <v>2350</v>
      </c>
      <c r="U423" t="s">
        <v>10</v>
      </c>
      <c r="V423" s="5">
        <v>0</v>
      </c>
      <c r="W423" s="5">
        <v>0</v>
      </c>
      <c r="X423" s="2">
        <v>0</v>
      </c>
      <c r="Y423" t="s">
        <v>4</v>
      </c>
      <c r="Z423" t="s">
        <v>4</v>
      </c>
      <c r="AA423" t="s">
        <v>4</v>
      </c>
      <c r="AB423" t="s">
        <v>4</v>
      </c>
    </row>
    <row r="424" spans="1:28" x14ac:dyDescent="0.2">
      <c r="A424" t="s">
        <v>730</v>
      </c>
      <c r="B424" t="s">
        <v>2</v>
      </c>
      <c r="C424" t="s">
        <v>3</v>
      </c>
      <c r="D424" t="s">
        <v>4</v>
      </c>
      <c r="E424" t="s">
        <v>4</v>
      </c>
      <c r="F424" t="s">
        <v>5</v>
      </c>
      <c r="G424" t="s">
        <v>6</v>
      </c>
      <c r="H424" t="s">
        <v>2901</v>
      </c>
      <c r="I424" s="2">
        <v>1260</v>
      </c>
      <c r="J424" s="2">
        <v>0</v>
      </c>
      <c r="K424" s="2">
        <v>0</v>
      </c>
      <c r="L424" s="3">
        <v>45843</v>
      </c>
      <c r="M424" s="3">
        <v>45843</v>
      </c>
      <c r="N424" s="3"/>
      <c r="O424" t="s">
        <v>2902</v>
      </c>
      <c r="P424" t="s">
        <v>9</v>
      </c>
      <c r="Q424" s="4">
        <v>0.56246527777777999</v>
      </c>
      <c r="R424" t="s">
        <v>5</v>
      </c>
      <c r="S424" t="s">
        <v>4</v>
      </c>
      <c r="T424" t="s">
        <v>2783</v>
      </c>
      <c r="U424" t="s">
        <v>10</v>
      </c>
      <c r="V424" s="5">
        <v>0</v>
      </c>
      <c r="W424" s="5">
        <v>0</v>
      </c>
      <c r="X424" s="2">
        <v>0</v>
      </c>
      <c r="Y424" t="s">
        <v>4</v>
      </c>
      <c r="Z424" t="s">
        <v>4</v>
      </c>
      <c r="AA424" t="s">
        <v>4</v>
      </c>
      <c r="AB424" t="s">
        <v>4</v>
      </c>
    </row>
    <row r="425" spans="1:28" x14ac:dyDescent="0.2">
      <c r="A425" t="s">
        <v>730</v>
      </c>
      <c r="B425" t="s">
        <v>2</v>
      </c>
      <c r="C425" t="s">
        <v>3</v>
      </c>
      <c r="D425" t="s">
        <v>4</v>
      </c>
      <c r="E425" t="s">
        <v>4</v>
      </c>
      <c r="F425" t="s">
        <v>5</v>
      </c>
      <c r="G425" t="s">
        <v>6</v>
      </c>
      <c r="H425" t="s">
        <v>2901</v>
      </c>
      <c r="I425" s="2">
        <v>1260</v>
      </c>
      <c r="J425" s="2">
        <v>0</v>
      </c>
      <c r="K425" s="2">
        <v>0</v>
      </c>
      <c r="L425" s="3">
        <v>45857</v>
      </c>
      <c r="M425" s="3">
        <v>45857</v>
      </c>
      <c r="N425" s="3"/>
      <c r="O425" t="s">
        <v>2903</v>
      </c>
      <c r="P425" t="s">
        <v>9</v>
      </c>
      <c r="Q425" s="4">
        <v>0.56246527777777999</v>
      </c>
      <c r="R425" t="s">
        <v>5</v>
      </c>
      <c r="S425" t="s">
        <v>4</v>
      </c>
      <c r="T425" t="s">
        <v>2262</v>
      </c>
      <c r="U425" t="s">
        <v>10</v>
      </c>
      <c r="V425" s="5">
        <v>0</v>
      </c>
      <c r="W425" s="5">
        <v>0</v>
      </c>
      <c r="X425" s="2">
        <v>0</v>
      </c>
      <c r="Y425" t="s">
        <v>4</v>
      </c>
      <c r="Z425" t="s">
        <v>4</v>
      </c>
      <c r="AA425" t="s">
        <v>4</v>
      </c>
      <c r="AB425" t="s">
        <v>4</v>
      </c>
    </row>
    <row r="426" spans="1:28" x14ac:dyDescent="0.2">
      <c r="A426" t="s">
        <v>1359</v>
      </c>
      <c r="B426" t="s">
        <v>2</v>
      </c>
      <c r="C426" t="s">
        <v>3</v>
      </c>
      <c r="D426" t="s">
        <v>4</v>
      </c>
      <c r="E426" t="s">
        <v>4</v>
      </c>
      <c r="F426" t="s">
        <v>5</v>
      </c>
      <c r="G426" t="s">
        <v>6</v>
      </c>
      <c r="H426" t="s">
        <v>2904</v>
      </c>
      <c r="I426" s="2">
        <v>5000</v>
      </c>
      <c r="J426" s="2">
        <v>0</v>
      </c>
      <c r="K426" s="2">
        <v>0</v>
      </c>
      <c r="L426" s="3">
        <v>45836</v>
      </c>
      <c r="M426" s="3">
        <v>45836</v>
      </c>
      <c r="N426" s="3"/>
      <c r="O426" t="s">
        <v>2905</v>
      </c>
      <c r="P426" t="s">
        <v>9</v>
      </c>
      <c r="Q426" s="4">
        <v>0.61273148148148004</v>
      </c>
      <c r="R426" t="s">
        <v>5</v>
      </c>
      <c r="S426" t="s">
        <v>4</v>
      </c>
      <c r="T426" t="s">
        <v>2316</v>
      </c>
      <c r="U426" t="s">
        <v>10</v>
      </c>
      <c r="V426" s="5">
        <v>0</v>
      </c>
      <c r="W426" s="5">
        <v>0</v>
      </c>
      <c r="X426" s="2">
        <v>0</v>
      </c>
      <c r="Y426" t="s">
        <v>4</v>
      </c>
      <c r="Z426" t="s">
        <v>4</v>
      </c>
      <c r="AA426" t="s">
        <v>4</v>
      </c>
      <c r="AB426" t="s">
        <v>4</v>
      </c>
    </row>
    <row r="427" spans="1:28" x14ac:dyDescent="0.2">
      <c r="A427" t="s">
        <v>1275</v>
      </c>
      <c r="B427" t="s">
        <v>2</v>
      </c>
      <c r="C427" t="s">
        <v>3</v>
      </c>
      <c r="D427" t="s">
        <v>4</v>
      </c>
      <c r="E427" t="s">
        <v>4</v>
      </c>
      <c r="F427" t="s">
        <v>5</v>
      </c>
      <c r="G427" t="s">
        <v>21</v>
      </c>
      <c r="H427" t="s">
        <v>2906</v>
      </c>
      <c r="I427" s="2">
        <v>3750</v>
      </c>
      <c r="J427" s="2">
        <v>0</v>
      </c>
      <c r="K427" s="2">
        <v>0</v>
      </c>
      <c r="L427" s="3">
        <v>45847</v>
      </c>
      <c r="M427" s="3">
        <v>45847</v>
      </c>
      <c r="N427" s="3"/>
      <c r="O427" t="s">
        <v>2907</v>
      </c>
      <c r="P427" t="s">
        <v>9</v>
      </c>
      <c r="Q427" s="4">
        <v>0.48769675925925998</v>
      </c>
      <c r="R427" t="s">
        <v>5</v>
      </c>
      <c r="S427" t="s">
        <v>4</v>
      </c>
      <c r="T427" t="s">
        <v>2341</v>
      </c>
      <c r="U427" t="s">
        <v>10</v>
      </c>
      <c r="V427" s="5">
        <v>0</v>
      </c>
      <c r="W427" s="5">
        <v>0</v>
      </c>
      <c r="X427" s="2">
        <v>0</v>
      </c>
      <c r="Y427" t="s">
        <v>4</v>
      </c>
      <c r="Z427" t="s">
        <v>4</v>
      </c>
      <c r="AA427" t="s">
        <v>4</v>
      </c>
      <c r="AB427" t="s">
        <v>4</v>
      </c>
    </row>
    <row r="428" spans="1:28" x14ac:dyDescent="0.2">
      <c r="A428" t="s">
        <v>1275</v>
      </c>
      <c r="B428" t="s">
        <v>2</v>
      </c>
      <c r="C428" t="s">
        <v>3</v>
      </c>
      <c r="D428" t="s">
        <v>4</v>
      </c>
      <c r="E428" t="s">
        <v>4</v>
      </c>
      <c r="F428" t="s">
        <v>5</v>
      </c>
      <c r="G428" t="s">
        <v>21</v>
      </c>
      <c r="H428" t="s">
        <v>2906</v>
      </c>
      <c r="I428" s="2">
        <v>6250</v>
      </c>
      <c r="J428" s="2">
        <v>0</v>
      </c>
      <c r="K428" s="2">
        <v>0</v>
      </c>
      <c r="L428" s="3">
        <v>45847</v>
      </c>
      <c r="M428" s="3">
        <v>45847</v>
      </c>
      <c r="N428" s="3"/>
      <c r="O428" t="s">
        <v>2908</v>
      </c>
      <c r="P428" t="s">
        <v>9</v>
      </c>
      <c r="Q428" s="4">
        <v>0.48769675925925998</v>
      </c>
      <c r="R428" t="s">
        <v>5</v>
      </c>
      <c r="S428" t="s">
        <v>4</v>
      </c>
      <c r="T428" t="s">
        <v>2341</v>
      </c>
      <c r="U428" t="s">
        <v>10</v>
      </c>
      <c r="V428" s="5">
        <v>0</v>
      </c>
      <c r="W428" s="5">
        <v>0</v>
      </c>
      <c r="X428" s="2">
        <v>0</v>
      </c>
      <c r="Y428" t="s">
        <v>4</v>
      </c>
      <c r="Z428" t="s">
        <v>4</v>
      </c>
      <c r="AA428" t="s">
        <v>4</v>
      </c>
      <c r="AB428" t="s">
        <v>4</v>
      </c>
    </row>
    <row r="429" spans="1:28" x14ac:dyDescent="0.2">
      <c r="A429" t="s">
        <v>1363</v>
      </c>
      <c r="B429" t="s">
        <v>2</v>
      </c>
      <c r="C429" t="s">
        <v>3</v>
      </c>
      <c r="D429" t="s">
        <v>4</v>
      </c>
      <c r="E429" t="s">
        <v>4</v>
      </c>
      <c r="F429" t="s">
        <v>5</v>
      </c>
      <c r="G429" t="s">
        <v>6</v>
      </c>
      <c r="H429" t="s">
        <v>2909</v>
      </c>
      <c r="I429" s="2">
        <v>5000</v>
      </c>
      <c r="J429" s="2">
        <v>0</v>
      </c>
      <c r="K429" s="2">
        <v>0</v>
      </c>
      <c r="L429" s="3">
        <v>45833</v>
      </c>
      <c r="M429" s="3">
        <v>45833</v>
      </c>
      <c r="N429" s="3"/>
      <c r="O429" t="s">
        <v>2910</v>
      </c>
      <c r="P429" t="s">
        <v>9</v>
      </c>
      <c r="Q429" s="4">
        <v>0.53984953703703997</v>
      </c>
      <c r="R429" t="s">
        <v>5</v>
      </c>
      <c r="S429" t="s">
        <v>4</v>
      </c>
      <c r="T429" t="s">
        <v>2736</v>
      </c>
      <c r="U429" t="s">
        <v>10</v>
      </c>
      <c r="V429" s="5">
        <v>0</v>
      </c>
      <c r="W429" s="5">
        <v>0</v>
      </c>
      <c r="X429" s="2">
        <v>0</v>
      </c>
      <c r="Y429" t="s">
        <v>2351</v>
      </c>
      <c r="Z429" t="s">
        <v>2351</v>
      </c>
      <c r="AA429" t="s">
        <v>2351</v>
      </c>
      <c r="AB429" t="s">
        <v>2351</v>
      </c>
    </row>
    <row r="430" spans="1:28" x14ac:dyDescent="0.2">
      <c r="A430" t="s">
        <v>1215</v>
      </c>
      <c r="B430" t="s">
        <v>2</v>
      </c>
      <c r="C430" t="s">
        <v>3</v>
      </c>
      <c r="D430" t="s">
        <v>4</v>
      </c>
      <c r="E430" t="s">
        <v>4</v>
      </c>
      <c r="F430" t="s">
        <v>5</v>
      </c>
      <c r="G430" t="s">
        <v>21</v>
      </c>
      <c r="H430" t="s">
        <v>2911</v>
      </c>
      <c r="I430" s="2">
        <v>1180</v>
      </c>
      <c r="J430" s="2">
        <v>0</v>
      </c>
      <c r="K430" s="2">
        <v>0</v>
      </c>
      <c r="L430" s="3">
        <v>45818</v>
      </c>
      <c r="M430" s="3">
        <v>45818</v>
      </c>
      <c r="N430" s="3"/>
      <c r="O430" t="s">
        <v>2912</v>
      </c>
      <c r="P430" t="s">
        <v>9</v>
      </c>
      <c r="Q430" s="4">
        <v>0.92599537037037005</v>
      </c>
      <c r="R430" t="s">
        <v>5</v>
      </c>
      <c r="S430" t="s">
        <v>4</v>
      </c>
      <c r="T430" t="s">
        <v>2290</v>
      </c>
      <c r="U430" t="s">
        <v>10</v>
      </c>
      <c r="V430" s="5">
        <v>0</v>
      </c>
      <c r="W430" s="5">
        <v>0</v>
      </c>
      <c r="X430" s="2">
        <v>0</v>
      </c>
      <c r="Y430" t="s">
        <v>4</v>
      </c>
      <c r="Z430" t="s">
        <v>4</v>
      </c>
      <c r="AA430" t="s">
        <v>4</v>
      </c>
      <c r="AB430" t="s">
        <v>4</v>
      </c>
    </row>
    <row r="431" spans="1:28" x14ac:dyDescent="0.2">
      <c r="A431" t="s">
        <v>1215</v>
      </c>
      <c r="B431" t="s">
        <v>2</v>
      </c>
      <c r="C431" t="s">
        <v>3</v>
      </c>
      <c r="D431" t="s">
        <v>4</v>
      </c>
      <c r="E431" t="s">
        <v>4</v>
      </c>
      <c r="F431" t="s">
        <v>5</v>
      </c>
      <c r="G431" t="s">
        <v>21</v>
      </c>
      <c r="H431" t="s">
        <v>2911</v>
      </c>
      <c r="I431" s="2">
        <v>1000</v>
      </c>
      <c r="J431" s="2">
        <v>0</v>
      </c>
      <c r="K431" s="2">
        <v>0</v>
      </c>
      <c r="L431" s="3">
        <v>45819</v>
      </c>
      <c r="M431" s="3">
        <v>45819</v>
      </c>
      <c r="N431" s="3"/>
      <c r="O431" t="s">
        <v>2913</v>
      </c>
      <c r="P431" t="s">
        <v>9</v>
      </c>
      <c r="Q431" s="4">
        <v>0.92599537037037005</v>
      </c>
      <c r="R431" t="s">
        <v>5</v>
      </c>
      <c r="S431" t="s">
        <v>4</v>
      </c>
      <c r="T431" t="s">
        <v>2263</v>
      </c>
      <c r="U431" t="s">
        <v>10</v>
      </c>
      <c r="V431" s="5">
        <v>0</v>
      </c>
      <c r="W431" s="5">
        <v>0</v>
      </c>
      <c r="X431" s="2">
        <v>0</v>
      </c>
      <c r="Y431" t="s">
        <v>4</v>
      </c>
      <c r="Z431" t="s">
        <v>4</v>
      </c>
      <c r="AA431" t="s">
        <v>4</v>
      </c>
      <c r="AB431" t="s">
        <v>4</v>
      </c>
    </row>
    <row r="432" spans="1:28" x14ac:dyDescent="0.2">
      <c r="A432" t="s">
        <v>822</v>
      </c>
      <c r="B432" t="s">
        <v>2</v>
      </c>
      <c r="C432" t="s">
        <v>3</v>
      </c>
      <c r="D432" t="s">
        <v>4</v>
      </c>
      <c r="E432" t="s">
        <v>4</v>
      </c>
      <c r="F432" t="s">
        <v>5</v>
      </c>
      <c r="G432" t="s">
        <v>17</v>
      </c>
      <c r="H432" t="s">
        <v>2914</v>
      </c>
      <c r="I432" s="2">
        <v>1440</v>
      </c>
      <c r="J432" s="2">
        <v>0</v>
      </c>
      <c r="K432" s="2">
        <v>0</v>
      </c>
      <c r="L432" s="3">
        <v>45858</v>
      </c>
      <c r="M432" s="3">
        <v>45858</v>
      </c>
      <c r="N432" s="3"/>
      <c r="O432" t="s">
        <v>2915</v>
      </c>
      <c r="P432" t="s">
        <v>9</v>
      </c>
      <c r="Q432" s="4">
        <v>0.56855324074073998</v>
      </c>
      <c r="R432" t="s">
        <v>5</v>
      </c>
      <c r="S432" t="s">
        <v>4</v>
      </c>
      <c r="T432" t="s">
        <v>2337</v>
      </c>
      <c r="U432" t="s">
        <v>10</v>
      </c>
      <c r="V432" s="5">
        <v>0</v>
      </c>
      <c r="W432" s="5">
        <v>0</v>
      </c>
      <c r="X432" s="2">
        <v>0</v>
      </c>
      <c r="Y432" t="s">
        <v>4</v>
      </c>
      <c r="Z432" t="s">
        <v>4</v>
      </c>
      <c r="AA432" t="s">
        <v>4</v>
      </c>
      <c r="AB432" t="s">
        <v>4</v>
      </c>
    </row>
    <row r="433" spans="1:28" x14ac:dyDescent="0.2">
      <c r="A433" t="s">
        <v>822</v>
      </c>
      <c r="B433" t="s">
        <v>2</v>
      </c>
      <c r="C433" t="s">
        <v>3</v>
      </c>
      <c r="D433" t="s">
        <v>4</v>
      </c>
      <c r="E433" t="s">
        <v>4</v>
      </c>
      <c r="F433" t="s">
        <v>5</v>
      </c>
      <c r="G433" t="s">
        <v>17</v>
      </c>
      <c r="H433" t="s">
        <v>2914</v>
      </c>
      <c r="I433" s="2">
        <v>1440</v>
      </c>
      <c r="J433" s="2">
        <v>0</v>
      </c>
      <c r="K433" s="2">
        <v>0</v>
      </c>
      <c r="L433" s="3">
        <v>45858</v>
      </c>
      <c r="M433" s="3">
        <v>45858</v>
      </c>
      <c r="N433" s="3"/>
      <c r="O433" t="s">
        <v>2916</v>
      </c>
      <c r="P433" t="s">
        <v>9</v>
      </c>
      <c r="Q433" s="4">
        <v>0.56855324074073998</v>
      </c>
      <c r="R433" t="s">
        <v>5</v>
      </c>
      <c r="S433" t="s">
        <v>4</v>
      </c>
      <c r="T433" t="s">
        <v>2337</v>
      </c>
      <c r="U433" t="s">
        <v>10</v>
      </c>
      <c r="V433" s="5">
        <v>0</v>
      </c>
      <c r="W433" s="5">
        <v>0</v>
      </c>
      <c r="X433" s="2">
        <v>0</v>
      </c>
      <c r="Y433" t="s">
        <v>4</v>
      </c>
      <c r="Z433" t="s">
        <v>4</v>
      </c>
      <c r="AA433" t="s">
        <v>4</v>
      </c>
      <c r="AB433" t="s">
        <v>4</v>
      </c>
    </row>
    <row r="434" spans="1:28" x14ac:dyDescent="0.2">
      <c r="A434" t="s">
        <v>296</v>
      </c>
      <c r="B434" t="s">
        <v>2</v>
      </c>
      <c r="C434" t="s">
        <v>3</v>
      </c>
      <c r="D434" t="s">
        <v>4</v>
      </c>
      <c r="E434" t="s">
        <v>4</v>
      </c>
      <c r="F434" t="s">
        <v>5</v>
      </c>
      <c r="G434" t="s">
        <v>17</v>
      </c>
      <c r="H434" t="s">
        <v>2917</v>
      </c>
      <c r="I434" s="2">
        <v>700</v>
      </c>
      <c r="J434" s="2">
        <v>0</v>
      </c>
      <c r="K434" s="2">
        <v>0</v>
      </c>
      <c r="L434" s="3">
        <v>45850</v>
      </c>
      <c r="M434" s="3">
        <v>45850</v>
      </c>
      <c r="N434" s="3"/>
      <c r="O434" t="s">
        <v>2918</v>
      </c>
      <c r="P434" t="s">
        <v>9</v>
      </c>
      <c r="Q434" s="4">
        <v>0.37531249999999999</v>
      </c>
      <c r="R434" t="s">
        <v>5</v>
      </c>
      <c r="S434" t="s">
        <v>4</v>
      </c>
      <c r="T434" t="s">
        <v>2680</v>
      </c>
      <c r="U434" t="s">
        <v>10</v>
      </c>
      <c r="V434" s="5">
        <v>0</v>
      </c>
      <c r="W434" s="5">
        <v>0</v>
      </c>
      <c r="X434" s="2">
        <v>0</v>
      </c>
      <c r="Y434" t="s">
        <v>4</v>
      </c>
      <c r="Z434" t="s">
        <v>4</v>
      </c>
      <c r="AA434" t="s">
        <v>4</v>
      </c>
      <c r="AB434" t="s">
        <v>4</v>
      </c>
    </row>
    <row r="435" spans="1:28" x14ac:dyDescent="0.2">
      <c r="A435" t="s">
        <v>817</v>
      </c>
      <c r="B435" t="s">
        <v>2</v>
      </c>
      <c r="C435" t="s">
        <v>3</v>
      </c>
      <c r="D435" t="s">
        <v>4</v>
      </c>
      <c r="E435" t="s">
        <v>4</v>
      </c>
      <c r="F435" t="s">
        <v>5</v>
      </c>
      <c r="G435" t="s">
        <v>17</v>
      </c>
      <c r="H435" t="s">
        <v>2919</v>
      </c>
      <c r="I435" s="2">
        <v>490</v>
      </c>
      <c r="J435" s="2">
        <v>0</v>
      </c>
      <c r="K435" s="2">
        <v>0</v>
      </c>
      <c r="L435" s="3">
        <v>45818</v>
      </c>
      <c r="M435" s="3">
        <v>45818</v>
      </c>
      <c r="N435" s="3"/>
      <c r="O435" t="s">
        <v>2920</v>
      </c>
      <c r="P435" t="s">
        <v>9</v>
      </c>
      <c r="Q435" s="4">
        <v>0.41216435185185002</v>
      </c>
      <c r="R435" t="s">
        <v>5</v>
      </c>
      <c r="S435" t="s">
        <v>4</v>
      </c>
      <c r="T435" t="s">
        <v>2290</v>
      </c>
      <c r="U435" t="s">
        <v>10</v>
      </c>
      <c r="V435" s="5">
        <v>0</v>
      </c>
      <c r="W435" s="5">
        <v>0</v>
      </c>
      <c r="X435" s="2">
        <v>0</v>
      </c>
      <c r="Y435" t="s">
        <v>2351</v>
      </c>
      <c r="Z435" t="s">
        <v>2351</v>
      </c>
      <c r="AA435" t="s">
        <v>2351</v>
      </c>
      <c r="AB435" t="s">
        <v>2351</v>
      </c>
    </row>
    <row r="436" spans="1:28" x14ac:dyDescent="0.2">
      <c r="A436" t="s">
        <v>817</v>
      </c>
      <c r="B436" t="s">
        <v>2</v>
      </c>
      <c r="C436" t="s">
        <v>3</v>
      </c>
      <c r="D436" t="s">
        <v>4</v>
      </c>
      <c r="E436" t="s">
        <v>4</v>
      </c>
      <c r="F436" t="s">
        <v>5</v>
      </c>
      <c r="G436" t="s">
        <v>17</v>
      </c>
      <c r="H436" t="s">
        <v>2919</v>
      </c>
      <c r="I436" s="2">
        <v>700</v>
      </c>
      <c r="J436" s="2">
        <v>0</v>
      </c>
      <c r="K436" s="2">
        <v>0</v>
      </c>
      <c r="L436" s="3">
        <v>45786</v>
      </c>
      <c r="M436" s="3">
        <v>45786</v>
      </c>
      <c r="N436" s="3"/>
      <c r="O436" t="s">
        <v>2921</v>
      </c>
      <c r="P436" t="s">
        <v>9</v>
      </c>
      <c r="Q436" s="4">
        <v>0.41216435185185002</v>
      </c>
      <c r="R436" t="s">
        <v>5</v>
      </c>
      <c r="S436" t="s">
        <v>4</v>
      </c>
      <c r="T436" t="s">
        <v>2922</v>
      </c>
      <c r="U436" t="s">
        <v>10</v>
      </c>
      <c r="V436" s="5">
        <v>0</v>
      </c>
      <c r="W436" s="5">
        <v>0</v>
      </c>
      <c r="X436" s="2">
        <v>0</v>
      </c>
      <c r="Y436" t="s">
        <v>2351</v>
      </c>
      <c r="Z436" t="s">
        <v>2351</v>
      </c>
      <c r="AA436" t="s">
        <v>2351</v>
      </c>
      <c r="AB436" t="s">
        <v>2351</v>
      </c>
    </row>
    <row r="437" spans="1:28" x14ac:dyDescent="0.2">
      <c r="A437" t="s">
        <v>0</v>
      </c>
      <c r="B437" t="s">
        <v>2</v>
      </c>
      <c r="C437" t="s">
        <v>3</v>
      </c>
      <c r="D437" t="s">
        <v>4</v>
      </c>
      <c r="E437" t="s">
        <v>4</v>
      </c>
      <c r="F437" t="s">
        <v>5</v>
      </c>
      <c r="G437" t="s">
        <v>17</v>
      </c>
      <c r="H437" t="s">
        <v>28</v>
      </c>
      <c r="I437" s="2">
        <v>196</v>
      </c>
      <c r="J437" s="2">
        <v>0</v>
      </c>
      <c r="K437" s="2">
        <v>0</v>
      </c>
      <c r="L437" s="3">
        <v>45839</v>
      </c>
      <c r="M437" s="3">
        <v>45839</v>
      </c>
      <c r="N437" s="3"/>
      <c r="O437" t="s">
        <v>29</v>
      </c>
      <c r="P437" t="s">
        <v>9</v>
      </c>
      <c r="Q437" s="4">
        <v>0.58741898148147997</v>
      </c>
      <c r="R437" t="s">
        <v>5</v>
      </c>
      <c r="S437" t="s">
        <v>4</v>
      </c>
      <c r="T437" t="s">
        <v>2312</v>
      </c>
      <c r="U437" t="s">
        <v>10</v>
      </c>
      <c r="V437" s="5">
        <v>0</v>
      </c>
      <c r="W437" s="5">
        <v>0</v>
      </c>
      <c r="X437" s="2">
        <v>0</v>
      </c>
      <c r="Y437" t="s">
        <v>4</v>
      </c>
      <c r="Z437" t="s">
        <v>4</v>
      </c>
      <c r="AA437" t="s">
        <v>4</v>
      </c>
      <c r="AB437" t="s">
        <v>4</v>
      </c>
    </row>
    <row r="438" spans="1:28" x14ac:dyDescent="0.2">
      <c r="A438" t="s">
        <v>0</v>
      </c>
      <c r="B438" t="s">
        <v>2</v>
      </c>
      <c r="C438" t="s">
        <v>3</v>
      </c>
      <c r="D438" t="s">
        <v>4</v>
      </c>
      <c r="E438" t="s">
        <v>4</v>
      </c>
      <c r="F438" t="s">
        <v>5</v>
      </c>
      <c r="G438" t="s">
        <v>17</v>
      </c>
      <c r="H438" t="s">
        <v>28</v>
      </c>
      <c r="I438" s="2">
        <v>196</v>
      </c>
      <c r="J438" s="2">
        <v>0</v>
      </c>
      <c r="K438" s="2">
        <v>0</v>
      </c>
      <c r="L438" s="3">
        <v>45839</v>
      </c>
      <c r="M438" s="3">
        <v>45839</v>
      </c>
      <c r="N438" s="3"/>
      <c r="O438" t="s">
        <v>30</v>
      </c>
      <c r="P438" t="s">
        <v>9</v>
      </c>
      <c r="Q438" s="4">
        <v>0.58741898148147997</v>
      </c>
      <c r="R438" t="s">
        <v>5</v>
      </c>
      <c r="S438" t="s">
        <v>4</v>
      </c>
      <c r="T438" t="s">
        <v>2312</v>
      </c>
      <c r="U438" t="s">
        <v>10</v>
      </c>
      <c r="V438" s="5">
        <v>0</v>
      </c>
      <c r="W438" s="5">
        <v>0</v>
      </c>
      <c r="X438" s="2">
        <v>0</v>
      </c>
      <c r="Y438" t="s">
        <v>4</v>
      </c>
      <c r="Z438" t="s">
        <v>4</v>
      </c>
      <c r="AA438" t="s">
        <v>4</v>
      </c>
      <c r="AB438" t="s">
        <v>4</v>
      </c>
    </row>
    <row r="439" spans="1:28" x14ac:dyDescent="0.2">
      <c r="A439" t="s">
        <v>1135</v>
      </c>
      <c r="B439" t="s">
        <v>2</v>
      </c>
      <c r="C439" t="s">
        <v>3</v>
      </c>
      <c r="D439" t="s">
        <v>4</v>
      </c>
      <c r="E439" t="s">
        <v>4</v>
      </c>
      <c r="F439" t="s">
        <v>5</v>
      </c>
      <c r="G439" t="s">
        <v>17</v>
      </c>
      <c r="H439" t="s">
        <v>2923</v>
      </c>
      <c r="I439" s="2">
        <v>480</v>
      </c>
      <c r="J439" s="2">
        <v>0</v>
      </c>
      <c r="K439" s="2">
        <v>0</v>
      </c>
      <c r="L439" s="3">
        <v>45857</v>
      </c>
      <c r="M439" s="3">
        <v>45857</v>
      </c>
      <c r="N439" s="3"/>
      <c r="O439" t="s">
        <v>2924</v>
      </c>
      <c r="P439" t="s">
        <v>9</v>
      </c>
      <c r="Q439" s="4">
        <v>0.77475694444443999</v>
      </c>
      <c r="R439" t="s">
        <v>5</v>
      </c>
      <c r="S439" t="s">
        <v>4</v>
      </c>
      <c r="T439" t="s">
        <v>2262</v>
      </c>
      <c r="U439" t="s">
        <v>10</v>
      </c>
      <c r="V439" s="5">
        <v>0</v>
      </c>
      <c r="W439" s="5">
        <v>0</v>
      </c>
      <c r="X439" s="2">
        <v>0</v>
      </c>
      <c r="Y439" t="s">
        <v>4</v>
      </c>
      <c r="Z439" t="s">
        <v>4</v>
      </c>
      <c r="AA439" t="s">
        <v>4</v>
      </c>
      <c r="AB439" t="s">
        <v>4</v>
      </c>
    </row>
    <row r="440" spans="1:28" x14ac:dyDescent="0.2">
      <c r="A440" t="s">
        <v>1135</v>
      </c>
      <c r="B440" t="s">
        <v>2</v>
      </c>
      <c r="C440" t="s">
        <v>3</v>
      </c>
      <c r="D440" t="s">
        <v>4</v>
      </c>
      <c r="E440" t="s">
        <v>4</v>
      </c>
      <c r="F440" t="s">
        <v>5</v>
      </c>
      <c r="G440" t="s">
        <v>17</v>
      </c>
      <c r="H440" t="s">
        <v>2923</v>
      </c>
      <c r="I440" s="2">
        <v>480</v>
      </c>
      <c r="J440" s="2">
        <v>0</v>
      </c>
      <c r="K440" s="2">
        <v>0</v>
      </c>
      <c r="L440" s="3">
        <v>45857</v>
      </c>
      <c r="M440" s="3">
        <v>45857</v>
      </c>
      <c r="N440" s="3"/>
      <c r="O440" t="s">
        <v>2925</v>
      </c>
      <c r="P440" t="s">
        <v>9</v>
      </c>
      <c r="Q440" s="4">
        <v>0.77475694444443999</v>
      </c>
      <c r="R440" t="s">
        <v>5</v>
      </c>
      <c r="S440" t="s">
        <v>4</v>
      </c>
      <c r="T440" t="s">
        <v>2262</v>
      </c>
      <c r="U440" t="s">
        <v>10</v>
      </c>
      <c r="V440" s="5">
        <v>0</v>
      </c>
      <c r="W440" s="5">
        <v>0</v>
      </c>
      <c r="X440" s="2">
        <v>0</v>
      </c>
      <c r="Y440" t="s">
        <v>4</v>
      </c>
      <c r="Z440" t="s">
        <v>4</v>
      </c>
      <c r="AA440" t="s">
        <v>4</v>
      </c>
      <c r="AB440" t="s">
        <v>4</v>
      </c>
    </row>
    <row r="441" spans="1:28" x14ac:dyDescent="0.2">
      <c r="A441" t="s">
        <v>285</v>
      </c>
      <c r="B441" t="s">
        <v>2</v>
      </c>
      <c r="C441" t="s">
        <v>3</v>
      </c>
      <c r="D441" t="s">
        <v>4</v>
      </c>
      <c r="E441" t="s">
        <v>4</v>
      </c>
      <c r="F441" t="s">
        <v>5</v>
      </c>
      <c r="G441" t="s">
        <v>6</v>
      </c>
      <c r="H441" t="s">
        <v>2926</v>
      </c>
      <c r="I441" s="2">
        <v>30</v>
      </c>
      <c r="J441" s="2">
        <v>0</v>
      </c>
      <c r="K441" s="2">
        <v>0</v>
      </c>
      <c r="L441" s="3">
        <v>45835</v>
      </c>
      <c r="M441" s="3">
        <v>45835</v>
      </c>
      <c r="N441" s="3"/>
      <c r="O441" t="s">
        <v>2927</v>
      </c>
      <c r="P441" t="s">
        <v>9</v>
      </c>
      <c r="Q441" s="4">
        <v>0.61715277777777999</v>
      </c>
      <c r="R441" t="s">
        <v>5</v>
      </c>
      <c r="S441" t="s">
        <v>4</v>
      </c>
      <c r="T441" t="s">
        <v>2928</v>
      </c>
      <c r="U441" t="s">
        <v>10</v>
      </c>
      <c r="V441" s="5">
        <v>0</v>
      </c>
      <c r="W441" s="5">
        <v>0</v>
      </c>
      <c r="X441" s="2">
        <v>0</v>
      </c>
      <c r="Y441" t="s">
        <v>4</v>
      </c>
      <c r="Z441" t="s">
        <v>4</v>
      </c>
      <c r="AA441" t="s">
        <v>4</v>
      </c>
      <c r="AB441" t="s">
        <v>4</v>
      </c>
    </row>
    <row r="442" spans="1:28" x14ac:dyDescent="0.2">
      <c r="A442" t="s">
        <v>285</v>
      </c>
      <c r="B442" t="s">
        <v>2</v>
      </c>
      <c r="C442" t="s">
        <v>3</v>
      </c>
      <c r="D442" t="s">
        <v>4</v>
      </c>
      <c r="E442" t="s">
        <v>4</v>
      </c>
      <c r="F442" t="s">
        <v>5</v>
      </c>
      <c r="G442" t="s">
        <v>6</v>
      </c>
      <c r="H442" t="s">
        <v>2926</v>
      </c>
      <c r="I442" s="2">
        <v>30</v>
      </c>
      <c r="J442" s="2">
        <v>0</v>
      </c>
      <c r="K442" s="2">
        <v>0</v>
      </c>
      <c r="L442" s="3">
        <v>45835</v>
      </c>
      <c r="M442" s="3">
        <v>45835</v>
      </c>
      <c r="N442" s="3"/>
      <c r="O442" t="s">
        <v>2929</v>
      </c>
      <c r="P442" t="s">
        <v>9</v>
      </c>
      <c r="Q442" s="4">
        <v>0.61715277777777999</v>
      </c>
      <c r="R442" t="s">
        <v>5</v>
      </c>
      <c r="S442" t="s">
        <v>4</v>
      </c>
      <c r="T442" t="s">
        <v>2928</v>
      </c>
      <c r="U442" t="s">
        <v>10</v>
      </c>
      <c r="V442" s="5">
        <v>0</v>
      </c>
      <c r="W442" s="5">
        <v>0</v>
      </c>
      <c r="X442" s="2">
        <v>0</v>
      </c>
      <c r="Y442" t="s">
        <v>4</v>
      </c>
      <c r="Z442" t="s">
        <v>4</v>
      </c>
      <c r="AA442" t="s">
        <v>4</v>
      </c>
      <c r="AB442" t="s">
        <v>4</v>
      </c>
    </row>
    <row r="443" spans="1:28" x14ac:dyDescent="0.2">
      <c r="A443" t="s">
        <v>662</v>
      </c>
      <c r="B443" t="s">
        <v>2</v>
      </c>
      <c r="C443" t="s">
        <v>3</v>
      </c>
      <c r="D443" t="s">
        <v>4</v>
      </c>
      <c r="E443" t="s">
        <v>4</v>
      </c>
      <c r="F443" t="s">
        <v>5</v>
      </c>
      <c r="G443" t="s">
        <v>6</v>
      </c>
      <c r="H443" t="s">
        <v>2930</v>
      </c>
      <c r="I443" s="2">
        <v>270</v>
      </c>
      <c r="J443" s="2">
        <v>0</v>
      </c>
      <c r="K443" s="2">
        <v>0</v>
      </c>
      <c r="L443" s="3">
        <v>45843</v>
      </c>
      <c r="M443" s="3">
        <v>45843</v>
      </c>
      <c r="N443" s="3"/>
      <c r="O443" t="s">
        <v>2931</v>
      </c>
      <c r="P443" t="s">
        <v>9</v>
      </c>
      <c r="Q443" s="4">
        <v>0.55262731481480998</v>
      </c>
      <c r="R443" t="s">
        <v>5</v>
      </c>
      <c r="S443" t="s">
        <v>4</v>
      </c>
      <c r="T443" t="s">
        <v>2783</v>
      </c>
      <c r="U443" t="s">
        <v>10</v>
      </c>
      <c r="V443" s="5">
        <v>0</v>
      </c>
      <c r="W443" s="5">
        <v>0</v>
      </c>
      <c r="X443" s="2">
        <v>0</v>
      </c>
      <c r="Y443" t="s">
        <v>4</v>
      </c>
      <c r="Z443" t="s">
        <v>4</v>
      </c>
      <c r="AA443" t="s">
        <v>4</v>
      </c>
      <c r="AB443" t="s">
        <v>4</v>
      </c>
    </row>
    <row r="444" spans="1:28" x14ac:dyDescent="0.2">
      <c r="A444" t="s">
        <v>662</v>
      </c>
      <c r="B444" t="s">
        <v>2</v>
      </c>
      <c r="C444" t="s">
        <v>3</v>
      </c>
      <c r="D444" t="s">
        <v>4</v>
      </c>
      <c r="E444" t="s">
        <v>4</v>
      </c>
      <c r="F444" t="s">
        <v>5</v>
      </c>
      <c r="G444" t="s">
        <v>6</v>
      </c>
      <c r="H444" t="s">
        <v>2930</v>
      </c>
      <c r="I444" s="2">
        <v>270</v>
      </c>
      <c r="J444" s="2">
        <v>0</v>
      </c>
      <c r="K444" s="2">
        <v>0</v>
      </c>
      <c r="L444" s="3">
        <v>45840</v>
      </c>
      <c r="M444" s="3">
        <v>45840</v>
      </c>
      <c r="N444" s="3"/>
      <c r="O444" t="s">
        <v>2932</v>
      </c>
      <c r="P444" t="s">
        <v>9</v>
      </c>
      <c r="Q444" s="4">
        <v>0.55262731481480998</v>
      </c>
      <c r="R444" t="s">
        <v>5</v>
      </c>
      <c r="S444" t="s">
        <v>4</v>
      </c>
      <c r="T444" t="s">
        <v>2766</v>
      </c>
      <c r="U444" t="s">
        <v>10</v>
      </c>
      <c r="V444" s="5">
        <v>0</v>
      </c>
      <c r="W444" s="5">
        <v>0</v>
      </c>
      <c r="X444" s="2">
        <v>0</v>
      </c>
      <c r="Y444" t="s">
        <v>4</v>
      </c>
      <c r="Z444" t="s">
        <v>4</v>
      </c>
      <c r="AA444" t="s">
        <v>4</v>
      </c>
      <c r="AB444" t="s">
        <v>4</v>
      </c>
    </row>
    <row r="445" spans="1:28" x14ac:dyDescent="0.2">
      <c r="A445" t="s">
        <v>1054</v>
      </c>
      <c r="B445" t="s">
        <v>2</v>
      </c>
      <c r="C445" t="s">
        <v>3</v>
      </c>
      <c r="D445" t="s">
        <v>4</v>
      </c>
      <c r="E445" t="s">
        <v>4</v>
      </c>
      <c r="F445" t="s">
        <v>5</v>
      </c>
      <c r="G445" t="s">
        <v>6</v>
      </c>
      <c r="H445" t="s">
        <v>2933</v>
      </c>
      <c r="I445" s="2">
        <v>352</v>
      </c>
      <c r="J445" s="2">
        <v>0</v>
      </c>
      <c r="K445" s="2">
        <v>0</v>
      </c>
      <c r="L445" s="3">
        <v>45843</v>
      </c>
      <c r="M445" s="3">
        <v>45843</v>
      </c>
      <c r="N445" s="3"/>
      <c r="O445" t="s">
        <v>2934</v>
      </c>
      <c r="P445" t="s">
        <v>9</v>
      </c>
      <c r="Q445" s="4">
        <v>0.62918981481480996</v>
      </c>
      <c r="R445" t="s">
        <v>5</v>
      </c>
      <c r="S445" t="s">
        <v>4</v>
      </c>
      <c r="T445" t="s">
        <v>2783</v>
      </c>
      <c r="U445" t="s">
        <v>10</v>
      </c>
      <c r="V445" s="5">
        <v>0</v>
      </c>
      <c r="W445" s="5">
        <v>0</v>
      </c>
      <c r="X445" s="2">
        <v>0</v>
      </c>
      <c r="Y445" t="s">
        <v>4</v>
      </c>
      <c r="Z445" t="s">
        <v>4</v>
      </c>
      <c r="AA445" t="s">
        <v>4</v>
      </c>
      <c r="AB445" t="s">
        <v>4</v>
      </c>
    </row>
    <row r="446" spans="1:28" x14ac:dyDescent="0.2">
      <c r="A446" t="s">
        <v>1054</v>
      </c>
      <c r="B446" t="s">
        <v>2</v>
      </c>
      <c r="C446" t="s">
        <v>3</v>
      </c>
      <c r="D446" t="s">
        <v>4</v>
      </c>
      <c r="E446" t="s">
        <v>4</v>
      </c>
      <c r="F446" t="s">
        <v>5</v>
      </c>
      <c r="G446" t="s">
        <v>6</v>
      </c>
      <c r="H446" t="s">
        <v>2933</v>
      </c>
      <c r="I446" s="2">
        <v>1320</v>
      </c>
      <c r="J446" s="2">
        <v>0</v>
      </c>
      <c r="K446" s="2">
        <v>0</v>
      </c>
      <c r="L446" s="3">
        <v>45850</v>
      </c>
      <c r="M446" s="3">
        <v>45850</v>
      </c>
      <c r="N446" s="3"/>
      <c r="O446" t="s">
        <v>2935</v>
      </c>
      <c r="P446" t="s">
        <v>9</v>
      </c>
      <c r="Q446" s="4">
        <v>0.62918981481480996</v>
      </c>
      <c r="R446" t="s">
        <v>5</v>
      </c>
      <c r="S446" t="s">
        <v>4</v>
      </c>
      <c r="T446" t="s">
        <v>2680</v>
      </c>
      <c r="U446" t="s">
        <v>10</v>
      </c>
      <c r="V446" s="5">
        <v>0</v>
      </c>
      <c r="W446" s="5">
        <v>0</v>
      </c>
      <c r="X446" s="2">
        <v>0</v>
      </c>
      <c r="Y446" t="s">
        <v>4</v>
      </c>
      <c r="Z446" t="s">
        <v>4</v>
      </c>
      <c r="AA446" t="s">
        <v>4</v>
      </c>
      <c r="AB446" t="s">
        <v>4</v>
      </c>
    </row>
    <row r="447" spans="1:28" x14ac:dyDescent="0.2">
      <c r="A447" t="s">
        <v>1142</v>
      </c>
      <c r="B447" t="s">
        <v>2</v>
      </c>
      <c r="C447" t="s">
        <v>3</v>
      </c>
      <c r="D447" t="s">
        <v>4</v>
      </c>
      <c r="E447" t="s">
        <v>4</v>
      </c>
      <c r="F447" t="s">
        <v>5</v>
      </c>
      <c r="G447" t="s">
        <v>6</v>
      </c>
      <c r="H447" t="s">
        <v>2936</v>
      </c>
      <c r="I447" s="2">
        <v>450</v>
      </c>
      <c r="J447" s="2">
        <v>0</v>
      </c>
      <c r="K447" s="2">
        <v>0</v>
      </c>
      <c r="L447" s="3">
        <v>45844</v>
      </c>
      <c r="M447" s="3">
        <v>45844</v>
      </c>
      <c r="N447" s="3"/>
      <c r="O447" t="s">
        <v>2937</v>
      </c>
      <c r="P447" t="s">
        <v>9</v>
      </c>
      <c r="Q447" s="4">
        <v>0.48203703703703998</v>
      </c>
      <c r="R447" t="s">
        <v>5</v>
      </c>
      <c r="S447" t="s">
        <v>4</v>
      </c>
      <c r="T447" t="s">
        <v>2792</v>
      </c>
      <c r="U447" t="s">
        <v>10</v>
      </c>
      <c r="V447" s="5">
        <v>0</v>
      </c>
      <c r="W447" s="5">
        <v>0</v>
      </c>
      <c r="X447" s="2">
        <v>0</v>
      </c>
      <c r="Y447" t="s">
        <v>4</v>
      </c>
      <c r="Z447" t="s">
        <v>4</v>
      </c>
      <c r="AA447" t="s">
        <v>4</v>
      </c>
      <c r="AB447" t="s">
        <v>4</v>
      </c>
    </row>
    <row r="448" spans="1:28" x14ac:dyDescent="0.2">
      <c r="A448" t="s">
        <v>1142</v>
      </c>
      <c r="B448" t="s">
        <v>2</v>
      </c>
      <c r="C448" t="s">
        <v>3</v>
      </c>
      <c r="D448" t="s">
        <v>4</v>
      </c>
      <c r="E448" t="s">
        <v>4</v>
      </c>
      <c r="F448" t="s">
        <v>5</v>
      </c>
      <c r="G448" t="s">
        <v>6</v>
      </c>
      <c r="H448" t="s">
        <v>2936</v>
      </c>
      <c r="I448" s="2">
        <v>198</v>
      </c>
      <c r="J448" s="2">
        <v>0</v>
      </c>
      <c r="K448" s="2">
        <v>0</v>
      </c>
      <c r="L448" s="3">
        <v>45844</v>
      </c>
      <c r="M448" s="3">
        <v>45844</v>
      </c>
      <c r="N448" s="3"/>
      <c r="O448" t="s">
        <v>2938</v>
      </c>
      <c r="P448" t="s">
        <v>9</v>
      </c>
      <c r="Q448" s="4">
        <v>0.48203703703703998</v>
      </c>
      <c r="R448" t="s">
        <v>5</v>
      </c>
      <c r="S448" t="s">
        <v>4</v>
      </c>
      <c r="T448" t="s">
        <v>2792</v>
      </c>
      <c r="U448" t="s">
        <v>10</v>
      </c>
      <c r="V448" s="5">
        <v>0</v>
      </c>
      <c r="W448" s="5">
        <v>0</v>
      </c>
      <c r="X448" s="2">
        <v>0</v>
      </c>
      <c r="Y448" t="s">
        <v>4</v>
      </c>
      <c r="Z448" t="s">
        <v>4</v>
      </c>
      <c r="AA448" t="s">
        <v>4</v>
      </c>
      <c r="AB448" t="s">
        <v>4</v>
      </c>
    </row>
    <row r="449" spans="1:28" x14ac:dyDescent="0.2">
      <c r="A449" t="s">
        <v>662</v>
      </c>
      <c r="B449" t="s">
        <v>2</v>
      </c>
      <c r="C449" t="s">
        <v>3</v>
      </c>
      <c r="D449" t="s">
        <v>4</v>
      </c>
      <c r="E449" t="s">
        <v>4</v>
      </c>
      <c r="F449" t="s">
        <v>5</v>
      </c>
      <c r="G449" t="s">
        <v>6</v>
      </c>
      <c r="H449" t="s">
        <v>2939</v>
      </c>
      <c r="I449" s="2">
        <v>270</v>
      </c>
      <c r="J449" s="2">
        <v>0</v>
      </c>
      <c r="K449" s="2">
        <v>0</v>
      </c>
      <c r="L449" s="3">
        <v>45857</v>
      </c>
      <c r="M449" s="3">
        <v>45857</v>
      </c>
      <c r="N449" s="3"/>
      <c r="O449" t="s">
        <v>2940</v>
      </c>
      <c r="P449" t="s">
        <v>9</v>
      </c>
      <c r="Q449" s="4">
        <v>0.49239583333332998</v>
      </c>
      <c r="R449" t="s">
        <v>5</v>
      </c>
      <c r="S449" t="s">
        <v>4</v>
      </c>
      <c r="T449" t="s">
        <v>2262</v>
      </c>
      <c r="U449" t="s">
        <v>10</v>
      </c>
      <c r="V449" s="5">
        <v>0</v>
      </c>
      <c r="W449" s="5">
        <v>0</v>
      </c>
      <c r="X449" s="2">
        <v>0</v>
      </c>
      <c r="Y449" t="s">
        <v>4</v>
      </c>
      <c r="Z449" t="s">
        <v>4</v>
      </c>
      <c r="AA449" t="s">
        <v>4</v>
      </c>
      <c r="AB449" t="s">
        <v>4</v>
      </c>
    </row>
    <row r="450" spans="1:28" x14ac:dyDescent="0.2">
      <c r="A450" t="s">
        <v>662</v>
      </c>
      <c r="B450" t="s">
        <v>2</v>
      </c>
      <c r="C450" t="s">
        <v>3</v>
      </c>
      <c r="D450" t="s">
        <v>4</v>
      </c>
      <c r="E450" t="s">
        <v>4</v>
      </c>
      <c r="F450" t="s">
        <v>5</v>
      </c>
      <c r="G450" t="s">
        <v>6</v>
      </c>
      <c r="H450" t="s">
        <v>2939</v>
      </c>
      <c r="I450" s="2">
        <v>270</v>
      </c>
      <c r="J450" s="2">
        <v>0</v>
      </c>
      <c r="K450" s="2">
        <v>0</v>
      </c>
      <c r="L450" s="3">
        <v>45857</v>
      </c>
      <c r="M450" s="3">
        <v>45857</v>
      </c>
      <c r="N450" s="3"/>
      <c r="O450" t="s">
        <v>2941</v>
      </c>
      <c r="P450" t="s">
        <v>9</v>
      </c>
      <c r="Q450" s="4">
        <v>0.49239583333332998</v>
      </c>
      <c r="R450" t="s">
        <v>5</v>
      </c>
      <c r="S450" t="s">
        <v>4</v>
      </c>
      <c r="T450" t="s">
        <v>2262</v>
      </c>
      <c r="U450" t="s">
        <v>10</v>
      </c>
      <c r="V450" s="5">
        <v>0</v>
      </c>
      <c r="W450" s="5">
        <v>0</v>
      </c>
      <c r="X450" s="2">
        <v>0</v>
      </c>
      <c r="Y450" t="s">
        <v>4</v>
      </c>
      <c r="Z450" t="s">
        <v>4</v>
      </c>
      <c r="AA450" t="s">
        <v>4</v>
      </c>
      <c r="AB450" t="s">
        <v>4</v>
      </c>
    </row>
    <row r="451" spans="1:28" x14ac:dyDescent="0.2">
      <c r="A451" t="s">
        <v>1573</v>
      </c>
      <c r="B451" t="s">
        <v>2</v>
      </c>
      <c r="C451" t="s">
        <v>3</v>
      </c>
      <c r="D451" t="s">
        <v>4</v>
      </c>
      <c r="E451" t="s">
        <v>4</v>
      </c>
      <c r="F451" t="s">
        <v>5</v>
      </c>
      <c r="G451" t="s">
        <v>6</v>
      </c>
      <c r="H451" t="s">
        <v>2942</v>
      </c>
      <c r="I451" s="2">
        <v>0</v>
      </c>
      <c r="J451" s="2">
        <v>45</v>
      </c>
      <c r="K451" s="2">
        <v>0</v>
      </c>
      <c r="L451" s="3">
        <v>45859</v>
      </c>
      <c r="M451" s="3">
        <v>45859</v>
      </c>
      <c r="N451" s="3"/>
      <c r="O451" t="s">
        <v>2943</v>
      </c>
      <c r="P451" t="s">
        <v>9</v>
      </c>
      <c r="Q451" s="4">
        <v>0.47077546296296002</v>
      </c>
      <c r="R451" t="s">
        <v>5</v>
      </c>
      <c r="S451" t="s">
        <v>4</v>
      </c>
      <c r="T451" t="s">
        <v>2261</v>
      </c>
      <c r="U451" t="s">
        <v>10</v>
      </c>
      <c r="V451" s="5">
        <v>0</v>
      </c>
      <c r="W451" s="5">
        <v>0</v>
      </c>
      <c r="X451" s="2">
        <v>0</v>
      </c>
      <c r="Y451" t="s">
        <v>4</v>
      </c>
      <c r="Z451" t="s">
        <v>4</v>
      </c>
      <c r="AA451" t="s">
        <v>4</v>
      </c>
      <c r="AB451" t="s">
        <v>4</v>
      </c>
    </row>
    <row r="452" spans="1:28" x14ac:dyDescent="0.2">
      <c r="A452" t="s">
        <v>2095</v>
      </c>
      <c r="B452" t="s">
        <v>2</v>
      </c>
      <c r="C452" t="s">
        <v>3</v>
      </c>
      <c r="D452" t="s">
        <v>4</v>
      </c>
      <c r="E452" t="s">
        <v>4</v>
      </c>
      <c r="F452" t="s">
        <v>5</v>
      </c>
      <c r="G452" t="s">
        <v>6</v>
      </c>
      <c r="H452" t="s">
        <v>2944</v>
      </c>
      <c r="I452" s="2">
        <v>4800</v>
      </c>
      <c r="J452" s="2">
        <v>0</v>
      </c>
      <c r="K452" s="2">
        <v>0</v>
      </c>
      <c r="L452" s="3">
        <v>45847</v>
      </c>
      <c r="M452" s="3">
        <v>45847</v>
      </c>
      <c r="N452" s="3"/>
      <c r="O452" t="s">
        <v>2945</v>
      </c>
      <c r="P452" t="s">
        <v>9</v>
      </c>
      <c r="Q452" s="4">
        <v>0.62899305555555995</v>
      </c>
      <c r="R452" t="s">
        <v>5</v>
      </c>
      <c r="S452" t="s">
        <v>4</v>
      </c>
      <c r="T452" t="s">
        <v>2341</v>
      </c>
      <c r="U452" t="s">
        <v>10</v>
      </c>
      <c r="V452" s="5">
        <v>0</v>
      </c>
      <c r="W452" s="5">
        <v>0</v>
      </c>
      <c r="X452" s="2">
        <v>0</v>
      </c>
      <c r="Y452" t="s">
        <v>4</v>
      </c>
      <c r="Z452" t="s">
        <v>4</v>
      </c>
      <c r="AA452" t="s">
        <v>4</v>
      </c>
      <c r="AB452" t="s">
        <v>4</v>
      </c>
    </row>
    <row r="453" spans="1:28" x14ac:dyDescent="0.2">
      <c r="A453" t="s">
        <v>2095</v>
      </c>
      <c r="B453" t="s">
        <v>2</v>
      </c>
      <c r="C453" t="s">
        <v>3</v>
      </c>
      <c r="D453" t="s">
        <v>4</v>
      </c>
      <c r="E453" t="s">
        <v>4</v>
      </c>
      <c r="F453" t="s">
        <v>5</v>
      </c>
      <c r="G453" t="s">
        <v>6</v>
      </c>
      <c r="H453" t="s">
        <v>2944</v>
      </c>
      <c r="I453" s="2">
        <v>4800</v>
      </c>
      <c r="J453" s="2">
        <v>0</v>
      </c>
      <c r="K453" s="2">
        <v>0</v>
      </c>
      <c r="L453" s="3">
        <v>45850</v>
      </c>
      <c r="M453" s="3">
        <v>45850</v>
      </c>
      <c r="N453" s="3"/>
      <c r="O453" t="s">
        <v>2946</v>
      </c>
      <c r="P453" t="s">
        <v>9</v>
      </c>
      <c r="Q453" s="4">
        <v>0.62899305555555995</v>
      </c>
      <c r="R453" t="s">
        <v>5</v>
      </c>
      <c r="S453" t="s">
        <v>4</v>
      </c>
      <c r="T453" t="s">
        <v>2680</v>
      </c>
      <c r="U453" t="s">
        <v>10</v>
      </c>
      <c r="V453" s="5">
        <v>0</v>
      </c>
      <c r="W453" s="5">
        <v>0</v>
      </c>
      <c r="X453" s="2">
        <v>0</v>
      </c>
      <c r="Y453" t="s">
        <v>4</v>
      </c>
      <c r="Z453" t="s">
        <v>4</v>
      </c>
      <c r="AA453" t="s">
        <v>4</v>
      </c>
      <c r="AB453" t="s">
        <v>4</v>
      </c>
    </row>
    <row r="454" spans="1:28" x14ac:dyDescent="0.2">
      <c r="A454" t="s">
        <v>2155</v>
      </c>
      <c r="B454" t="s">
        <v>2</v>
      </c>
      <c r="C454" t="s">
        <v>3</v>
      </c>
      <c r="D454" t="s">
        <v>4</v>
      </c>
      <c r="E454" t="s">
        <v>4</v>
      </c>
      <c r="F454" t="s">
        <v>5</v>
      </c>
      <c r="G454" t="s">
        <v>6</v>
      </c>
      <c r="H454" t="s">
        <v>2947</v>
      </c>
      <c r="I454" s="2">
        <v>0</v>
      </c>
      <c r="J454" s="2">
        <v>960</v>
      </c>
      <c r="K454" s="2">
        <v>0</v>
      </c>
      <c r="L454" s="3">
        <v>45860</v>
      </c>
      <c r="M454" s="3">
        <v>45860</v>
      </c>
      <c r="N454" s="3"/>
      <c r="O454" t="s">
        <v>2948</v>
      </c>
      <c r="P454" t="s">
        <v>9</v>
      </c>
      <c r="Q454" s="4">
        <v>0.46918981481480998</v>
      </c>
      <c r="R454" t="s">
        <v>5</v>
      </c>
      <c r="S454" t="s">
        <v>4</v>
      </c>
      <c r="T454" t="s">
        <v>2256</v>
      </c>
      <c r="U454" t="s">
        <v>10</v>
      </c>
      <c r="V454" s="5">
        <v>0</v>
      </c>
      <c r="W454" s="5">
        <v>0</v>
      </c>
      <c r="X454" s="2">
        <v>0</v>
      </c>
      <c r="Y454" t="s">
        <v>4</v>
      </c>
      <c r="Z454" t="s">
        <v>4</v>
      </c>
      <c r="AA454" t="s">
        <v>4</v>
      </c>
      <c r="AB454" t="s">
        <v>4</v>
      </c>
    </row>
    <row r="455" spans="1:28" x14ac:dyDescent="0.2">
      <c r="A455" t="s">
        <v>2155</v>
      </c>
      <c r="B455" t="s">
        <v>2</v>
      </c>
      <c r="C455" t="s">
        <v>3</v>
      </c>
      <c r="D455" t="s">
        <v>4</v>
      </c>
      <c r="E455" t="s">
        <v>4</v>
      </c>
      <c r="F455" t="s">
        <v>5</v>
      </c>
      <c r="G455" t="s">
        <v>6</v>
      </c>
      <c r="H455" t="s">
        <v>2947</v>
      </c>
      <c r="I455" s="2">
        <v>0</v>
      </c>
      <c r="J455" s="2">
        <v>1440</v>
      </c>
      <c r="K455" s="2">
        <v>0</v>
      </c>
      <c r="L455" s="3">
        <v>45860</v>
      </c>
      <c r="M455" s="3">
        <v>45860</v>
      </c>
      <c r="N455" s="3"/>
      <c r="O455" t="s">
        <v>2949</v>
      </c>
      <c r="P455" t="s">
        <v>9</v>
      </c>
      <c r="Q455" s="4">
        <v>0.46918981481480998</v>
      </c>
      <c r="R455" t="s">
        <v>5</v>
      </c>
      <c r="S455" t="s">
        <v>4</v>
      </c>
      <c r="T455" t="s">
        <v>2256</v>
      </c>
      <c r="U455" t="s">
        <v>10</v>
      </c>
      <c r="V455" s="5">
        <v>0</v>
      </c>
      <c r="W455" s="5">
        <v>0</v>
      </c>
      <c r="X455" s="2">
        <v>0</v>
      </c>
      <c r="Y455" t="s">
        <v>4</v>
      </c>
      <c r="Z455" t="s">
        <v>4</v>
      </c>
      <c r="AA455" t="s">
        <v>4</v>
      </c>
      <c r="AB455" t="s">
        <v>4</v>
      </c>
    </row>
    <row r="456" spans="1:28" x14ac:dyDescent="0.2">
      <c r="A456" t="s">
        <v>1135</v>
      </c>
      <c r="B456" t="s">
        <v>2</v>
      </c>
      <c r="C456" t="s">
        <v>3</v>
      </c>
      <c r="D456" t="s">
        <v>4</v>
      </c>
      <c r="E456" t="s">
        <v>4</v>
      </c>
      <c r="F456" t="s">
        <v>5</v>
      </c>
      <c r="G456" t="s">
        <v>21</v>
      </c>
      <c r="H456" t="s">
        <v>2950</v>
      </c>
      <c r="I456" s="2">
        <v>480</v>
      </c>
      <c r="J456" s="2">
        <v>0</v>
      </c>
      <c r="K456" s="2">
        <v>0</v>
      </c>
      <c r="L456" s="3">
        <v>45850</v>
      </c>
      <c r="M456" s="3">
        <v>45850</v>
      </c>
      <c r="N456" s="3"/>
      <c r="O456" t="s">
        <v>2951</v>
      </c>
      <c r="P456" t="s">
        <v>9</v>
      </c>
      <c r="Q456" s="4">
        <v>0.96793981481480995</v>
      </c>
      <c r="R456" t="s">
        <v>5</v>
      </c>
      <c r="S456" t="s">
        <v>4</v>
      </c>
      <c r="T456" t="s">
        <v>2680</v>
      </c>
      <c r="U456" t="s">
        <v>10</v>
      </c>
      <c r="V456" s="5">
        <v>0</v>
      </c>
      <c r="W456" s="5">
        <v>0</v>
      </c>
      <c r="X456" s="2">
        <v>0</v>
      </c>
      <c r="Y456" t="s">
        <v>4</v>
      </c>
      <c r="Z456" t="s">
        <v>4</v>
      </c>
      <c r="AA456" t="s">
        <v>4</v>
      </c>
      <c r="AB456" t="s">
        <v>4</v>
      </c>
    </row>
    <row r="457" spans="1:28" x14ac:dyDescent="0.2">
      <c r="A457" t="s">
        <v>1135</v>
      </c>
      <c r="B457" t="s">
        <v>2</v>
      </c>
      <c r="C457" t="s">
        <v>3</v>
      </c>
      <c r="D457" t="s">
        <v>4</v>
      </c>
      <c r="E457" t="s">
        <v>4</v>
      </c>
      <c r="F457" t="s">
        <v>5</v>
      </c>
      <c r="G457" t="s">
        <v>21</v>
      </c>
      <c r="H457" t="s">
        <v>2950</v>
      </c>
      <c r="I457" s="2">
        <v>480</v>
      </c>
      <c r="J457" s="2">
        <v>0</v>
      </c>
      <c r="K457" s="2">
        <v>0</v>
      </c>
      <c r="L457" s="3">
        <v>45850</v>
      </c>
      <c r="M457" s="3">
        <v>45850</v>
      </c>
      <c r="N457" s="3"/>
      <c r="O457" t="s">
        <v>2952</v>
      </c>
      <c r="P457" t="s">
        <v>9</v>
      </c>
      <c r="Q457" s="4">
        <v>0.96793981481480995</v>
      </c>
      <c r="R457" t="s">
        <v>5</v>
      </c>
      <c r="S457" t="s">
        <v>4</v>
      </c>
      <c r="T457" t="s">
        <v>2680</v>
      </c>
      <c r="U457" t="s">
        <v>10</v>
      </c>
      <c r="V457" s="5">
        <v>0</v>
      </c>
      <c r="W457" s="5">
        <v>0</v>
      </c>
      <c r="X457" s="2">
        <v>0</v>
      </c>
      <c r="Y457" t="s">
        <v>4</v>
      </c>
      <c r="Z457" t="s">
        <v>4</v>
      </c>
      <c r="AA457" t="s">
        <v>4</v>
      </c>
      <c r="AB457" t="s">
        <v>4</v>
      </c>
    </row>
    <row r="458" spans="1:28" x14ac:dyDescent="0.2">
      <c r="A458" t="s">
        <v>662</v>
      </c>
      <c r="B458" t="s">
        <v>2</v>
      </c>
      <c r="C458" t="s">
        <v>3</v>
      </c>
      <c r="D458" t="s">
        <v>4</v>
      </c>
      <c r="E458" t="s">
        <v>4</v>
      </c>
      <c r="F458" t="s">
        <v>5</v>
      </c>
      <c r="G458" t="s">
        <v>6</v>
      </c>
      <c r="H458" t="s">
        <v>2953</v>
      </c>
      <c r="I458" s="2">
        <v>270</v>
      </c>
      <c r="J458" s="2">
        <v>0</v>
      </c>
      <c r="K458" s="2">
        <v>0</v>
      </c>
      <c r="L458" s="3">
        <v>45857</v>
      </c>
      <c r="M458" s="3">
        <v>45857</v>
      </c>
      <c r="N458" s="3"/>
      <c r="O458" t="s">
        <v>2954</v>
      </c>
      <c r="P458" t="s">
        <v>9</v>
      </c>
      <c r="Q458" s="4">
        <v>0.94516203703704005</v>
      </c>
      <c r="R458" t="s">
        <v>5</v>
      </c>
      <c r="S458" t="s">
        <v>4</v>
      </c>
      <c r="T458" t="s">
        <v>2262</v>
      </c>
      <c r="U458" t="s">
        <v>10</v>
      </c>
      <c r="V458" s="5">
        <v>0</v>
      </c>
      <c r="W458" s="5">
        <v>0</v>
      </c>
      <c r="X458" s="2">
        <v>0</v>
      </c>
      <c r="Y458" t="s">
        <v>4</v>
      </c>
      <c r="Z458" t="s">
        <v>4</v>
      </c>
      <c r="AA458" t="s">
        <v>4</v>
      </c>
      <c r="AB458" t="s">
        <v>4</v>
      </c>
    </row>
    <row r="459" spans="1:28" x14ac:dyDescent="0.2">
      <c r="A459" t="s">
        <v>1541</v>
      </c>
      <c r="B459" t="s">
        <v>2</v>
      </c>
      <c r="C459" t="s">
        <v>3</v>
      </c>
      <c r="D459" t="s">
        <v>4</v>
      </c>
      <c r="E459" t="s">
        <v>4</v>
      </c>
      <c r="F459" t="s">
        <v>5</v>
      </c>
      <c r="G459" t="s">
        <v>21</v>
      </c>
      <c r="H459" t="s">
        <v>2955</v>
      </c>
      <c r="I459" s="2">
        <v>300</v>
      </c>
      <c r="J459" s="2">
        <v>0</v>
      </c>
      <c r="K459" s="2">
        <v>0</v>
      </c>
      <c r="L459" s="3">
        <v>45857</v>
      </c>
      <c r="M459" s="3">
        <v>45857</v>
      </c>
      <c r="N459" s="3"/>
      <c r="O459" t="s">
        <v>2956</v>
      </c>
      <c r="P459" t="s">
        <v>9</v>
      </c>
      <c r="Q459" s="4">
        <v>0.36983796296296001</v>
      </c>
      <c r="R459" t="s">
        <v>5</v>
      </c>
      <c r="S459" t="s">
        <v>4</v>
      </c>
      <c r="T459" t="s">
        <v>2262</v>
      </c>
      <c r="U459" t="s">
        <v>10</v>
      </c>
      <c r="V459" s="5">
        <v>0</v>
      </c>
      <c r="W459" s="5">
        <v>0</v>
      </c>
      <c r="X459" s="2">
        <v>0</v>
      </c>
      <c r="Y459" t="s">
        <v>4</v>
      </c>
      <c r="Z459" t="s">
        <v>4</v>
      </c>
      <c r="AA459" t="s">
        <v>4</v>
      </c>
      <c r="AB459" t="s">
        <v>4</v>
      </c>
    </row>
    <row r="460" spans="1:28" x14ac:dyDescent="0.2">
      <c r="A460" t="s">
        <v>1541</v>
      </c>
      <c r="B460" t="s">
        <v>2</v>
      </c>
      <c r="C460" t="s">
        <v>3</v>
      </c>
      <c r="D460" t="s">
        <v>4</v>
      </c>
      <c r="E460" t="s">
        <v>4</v>
      </c>
      <c r="F460" t="s">
        <v>5</v>
      </c>
      <c r="G460" t="s">
        <v>21</v>
      </c>
      <c r="H460" t="s">
        <v>2955</v>
      </c>
      <c r="I460" s="2">
        <v>240</v>
      </c>
      <c r="J460" s="2">
        <v>0</v>
      </c>
      <c r="K460" s="2">
        <v>0</v>
      </c>
      <c r="L460" s="3">
        <v>45856</v>
      </c>
      <c r="M460" s="3">
        <v>45856</v>
      </c>
      <c r="N460" s="3"/>
      <c r="O460" t="s">
        <v>2957</v>
      </c>
      <c r="P460" t="s">
        <v>9</v>
      </c>
      <c r="Q460" s="4">
        <v>0.36983796296296001</v>
      </c>
      <c r="R460" t="s">
        <v>5</v>
      </c>
      <c r="S460" t="s">
        <v>4</v>
      </c>
      <c r="T460" t="s">
        <v>2260</v>
      </c>
      <c r="U460" t="s">
        <v>10</v>
      </c>
      <c r="V460" s="5">
        <v>0</v>
      </c>
      <c r="W460" s="5">
        <v>0</v>
      </c>
      <c r="X460" s="2">
        <v>0</v>
      </c>
      <c r="Y460" t="s">
        <v>4</v>
      </c>
      <c r="Z460" t="s">
        <v>4</v>
      </c>
      <c r="AA460" t="s">
        <v>4</v>
      </c>
      <c r="AB460" t="s">
        <v>4</v>
      </c>
    </row>
    <row r="461" spans="1:28" x14ac:dyDescent="0.2">
      <c r="A461" t="s">
        <v>1532</v>
      </c>
      <c r="B461" t="s">
        <v>2</v>
      </c>
      <c r="C461" t="s">
        <v>3</v>
      </c>
      <c r="D461" t="s">
        <v>4</v>
      </c>
      <c r="E461" t="s">
        <v>4</v>
      </c>
      <c r="F461" t="s">
        <v>5</v>
      </c>
      <c r="G461" t="s">
        <v>17</v>
      </c>
      <c r="H461" t="s">
        <v>2958</v>
      </c>
      <c r="I461" s="2">
        <v>60</v>
      </c>
      <c r="J461" s="2">
        <v>0</v>
      </c>
      <c r="K461" s="2">
        <v>0</v>
      </c>
      <c r="L461" s="3">
        <v>45854</v>
      </c>
      <c r="M461" s="3">
        <v>45854</v>
      </c>
      <c r="N461" s="3"/>
      <c r="O461" t="s">
        <v>2959</v>
      </c>
      <c r="P461" t="s">
        <v>9</v>
      </c>
      <c r="Q461" s="4">
        <v>0.72468750000000004</v>
      </c>
      <c r="R461" t="s">
        <v>5</v>
      </c>
      <c r="S461" t="s">
        <v>4</v>
      </c>
      <c r="T461" t="s">
        <v>2299</v>
      </c>
      <c r="U461" t="s">
        <v>10</v>
      </c>
      <c r="V461" s="5">
        <v>0</v>
      </c>
      <c r="W461" s="5">
        <v>0</v>
      </c>
      <c r="X461" s="2">
        <v>0</v>
      </c>
      <c r="Y461" t="s">
        <v>4</v>
      </c>
      <c r="Z461" t="s">
        <v>4</v>
      </c>
      <c r="AA461" t="s">
        <v>4</v>
      </c>
      <c r="AB461" t="s">
        <v>4</v>
      </c>
    </row>
    <row r="462" spans="1:28" x14ac:dyDescent="0.2">
      <c r="A462" t="s">
        <v>837</v>
      </c>
      <c r="B462" t="s">
        <v>2</v>
      </c>
      <c r="C462" t="s">
        <v>3</v>
      </c>
      <c r="D462" t="s">
        <v>4</v>
      </c>
      <c r="E462" t="s">
        <v>4</v>
      </c>
      <c r="F462" t="s">
        <v>5</v>
      </c>
      <c r="G462" t="s">
        <v>17</v>
      </c>
      <c r="H462" t="s">
        <v>2960</v>
      </c>
      <c r="I462" s="2">
        <v>30000</v>
      </c>
      <c r="J462" s="2">
        <v>0</v>
      </c>
      <c r="K462" s="2">
        <v>0</v>
      </c>
      <c r="L462" s="3">
        <v>45840</v>
      </c>
      <c r="M462" s="3">
        <v>45840</v>
      </c>
      <c r="N462" s="3"/>
      <c r="O462" t="s">
        <v>2961</v>
      </c>
      <c r="P462" t="s">
        <v>9</v>
      </c>
      <c r="Q462" s="4">
        <v>0.80313657407407002</v>
      </c>
      <c r="R462" t="s">
        <v>5</v>
      </c>
      <c r="S462" t="s">
        <v>4</v>
      </c>
      <c r="T462" t="s">
        <v>2766</v>
      </c>
      <c r="U462" t="s">
        <v>10</v>
      </c>
      <c r="V462" s="5">
        <v>0</v>
      </c>
      <c r="W462" s="5">
        <v>0</v>
      </c>
      <c r="X462" s="2">
        <v>0</v>
      </c>
      <c r="Y462" t="s">
        <v>4</v>
      </c>
      <c r="Z462" t="s">
        <v>4</v>
      </c>
      <c r="AA462" t="s">
        <v>4</v>
      </c>
      <c r="AB462" t="s">
        <v>4</v>
      </c>
    </row>
    <row r="463" spans="1:28" x14ac:dyDescent="0.2">
      <c r="A463" t="s">
        <v>837</v>
      </c>
      <c r="B463" t="s">
        <v>2</v>
      </c>
      <c r="C463" t="s">
        <v>3</v>
      </c>
      <c r="D463" t="s">
        <v>4</v>
      </c>
      <c r="E463" t="s">
        <v>4</v>
      </c>
      <c r="F463" t="s">
        <v>5</v>
      </c>
      <c r="G463" t="s">
        <v>17</v>
      </c>
      <c r="H463" t="s">
        <v>2960</v>
      </c>
      <c r="I463" s="2">
        <v>30000</v>
      </c>
      <c r="J463" s="2">
        <v>0</v>
      </c>
      <c r="K463" s="2">
        <v>0</v>
      </c>
      <c r="L463" s="3">
        <v>45840</v>
      </c>
      <c r="M463" s="3">
        <v>45840</v>
      </c>
      <c r="N463" s="3"/>
      <c r="O463" t="s">
        <v>2962</v>
      </c>
      <c r="P463" t="s">
        <v>9</v>
      </c>
      <c r="Q463" s="4">
        <v>0.80313657407407002</v>
      </c>
      <c r="R463" t="s">
        <v>5</v>
      </c>
      <c r="S463" t="s">
        <v>4</v>
      </c>
      <c r="T463" t="s">
        <v>2766</v>
      </c>
      <c r="U463" t="s">
        <v>10</v>
      </c>
      <c r="V463" s="5">
        <v>0</v>
      </c>
      <c r="W463" s="5">
        <v>0</v>
      </c>
      <c r="X463" s="2">
        <v>0</v>
      </c>
      <c r="Y463" t="s">
        <v>4</v>
      </c>
      <c r="Z463" t="s">
        <v>4</v>
      </c>
      <c r="AA463" t="s">
        <v>4</v>
      </c>
      <c r="AB463" t="s">
        <v>4</v>
      </c>
    </row>
    <row r="464" spans="1:28" x14ac:dyDescent="0.2">
      <c r="A464" t="s">
        <v>579</v>
      </c>
      <c r="B464" t="s">
        <v>2</v>
      </c>
      <c r="C464" t="s">
        <v>3</v>
      </c>
      <c r="D464" t="s">
        <v>4</v>
      </c>
      <c r="E464" t="s">
        <v>4</v>
      </c>
      <c r="F464" t="s">
        <v>5</v>
      </c>
      <c r="G464" t="s">
        <v>17</v>
      </c>
      <c r="H464" t="s">
        <v>2963</v>
      </c>
      <c r="I464" s="2">
        <v>42000</v>
      </c>
      <c r="J464" s="2">
        <v>0</v>
      </c>
      <c r="K464" s="2">
        <v>0</v>
      </c>
      <c r="L464" s="3">
        <v>45803</v>
      </c>
      <c r="M464" s="3">
        <v>45803</v>
      </c>
      <c r="N464" s="3"/>
      <c r="O464" t="s">
        <v>2964</v>
      </c>
      <c r="P464" t="s">
        <v>9</v>
      </c>
      <c r="Q464" s="4">
        <v>0.44136574074073998</v>
      </c>
      <c r="R464" t="s">
        <v>5</v>
      </c>
      <c r="S464" t="s">
        <v>4</v>
      </c>
      <c r="T464" t="s">
        <v>2965</v>
      </c>
      <c r="U464" t="s">
        <v>10</v>
      </c>
      <c r="V464" s="5">
        <v>0</v>
      </c>
      <c r="W464" s="5">
        <v>0</v>
      </c>
      <c r="X464" s="2">
        <v>0</v>
      </c>
      <c r="Y464" t="s">
        <v>4</v>
      </c>
      <c r="Z464" t="s">
        <v>4</v>
      </c>
      <c r="AA464" t="s">
        <v>4</v>
      </c>
      <c r="AB464" t="s">
        <v>4</v>
      </c>
    </row>
    <row r="465" spans="1:28" x14ac:dyDescent="0.2">
      <c r="A465" t="s">
        <v>2008</v>
      </c>
      <c r="B465" t="s">
        <v>2</v>
      </c>
      <c r="C465" t="s">
        <v>3</v>
      </c>
      <c r="D465" t="s">
        <v>4</v>
      </c>
      <c r="E465" t="s">
        <v>4</v>
      </c>
      <c r="F465" t="s">
        <v>5</v>
      </c>
      <c r="G465" t="s">
        <v>17</v>
      </c>
      <c r="H465" t="s">
        <v>2966</v>
      </c>
      <c r="I465" s="2">
        <v>2520</v>
      </c>
      <c r="J465" s="2">
        <v>0</v>
      </c>
      <c r="K465" s="2">
        <v>0</v>
      </c>
      <c r="L465" s="3">
        <v>45839</v>
      </c>
      <c r="M465" s="3">
        <v>45839</v>
      </c>
      <c r="N465" s="3"/>
      <c r="O465" t="s">
        <v>2967</v>
      </c>
      <c r="P465" t="s">
        <v>9</v>
      </c>
      <c r="Q465" s="4">
        <v>0.91811342592593004</v>
      </c>
      <c r="R465" t="s">
        <v>5</v>
      </c>
      <c r="S465" t="s">
        <v>4</v>
      </c>
      <c r="T465" t="s">
        <v>2312</v>
      </c>
      <c r="U465" t="s">
        <v>10</v>
      </c>
      <c r="V465" s="5">
        <v>0</v>
      </c>
      <c r="W465" s="5">
        <v>0</v>
      </c>
      <c r="X465" s="2">
        <v>0</v>
      </c>
      <c r="Y465" t="s">
        <v>4</v>
      </c>
      <c r="Z465" t="s">
        <v>4</v>
      </c>
      <c r="AA465" t="s">
        <v>4</v>
      </c>
      <c r="AB465" t="s">
        <v>4</v>
      </c>
    </row>
    <row r="466" spans="1:28" x14ac:dyDescent="0.2">
      <c r="A466" t="s">
        <v>2008</v>
      </c>
      <c r="B466" t="s">
        <v>2</v>
      </c>
      <c r="C466" t="s">
        <v>3</v>
      </c>
      <c r="D466" t="s">
        <v>4</v>
      </c>
      <c r="E466" t="s">
        <v>4</v>
      </c>
      <c r="F466" t="s">
        <v>5</v>
      </c>
      <c r="G466" t="s">
        <v>17</v>
      </c>
      <c r="H466" t="s">
        <v>2966</v>
      </c>
      <c r="I466" s="2">
        <v>2520</v>
      </c>
      <c r="J466" s="2">
        <v>0</v>
      </c>
      <c r="K466" s="2">
        <v>0</v>
      </c>
      <c r="L466" s="3">
        <v>45839</v>
      </c>
      <c r="M466" s="3">
        <v>45839</v>
      </c>
      <c r="N466" s="3"/>
      <c r="O466" t="s">
        <v>2968</v>
      </c>
      <c r="P466" t="s">
        <v>9</v>
      </c>
      <c r="Q466" s="4">
        <v>0.91811342592593004</v>
      </c>
      <c r="R466" t="s">
        <v>5</v>
      </c>
      <c r="S466" t="s">
        <v>4</v>
      </c>
      <c r="T466" t="s">
        <v>2312</v>
      </c>
      <c r="U466" t="s">
        <v>10</v>
      </c>
      <c r="V466" s="5">
        <v>0</v>
      </c>
      <c r="W466" s="5">
        <v>0</v>
      </c>
      <c r="X466" s="2">
        <v>0</v>
      </c>
      <c r="Y466" t="s">
        <v>4</v>
      </c>
      <c r="Z466" t="s">
        <v>4</v>
      </c>
      <c r="AA466" t="s">
        <v>4</v>
      </c>
      <c r="AB466" t="s">
        <v>4</v>
      </c>
    </row>
    <row r="467" spans="1:28" x14ac:dyDescent="0.2">
      <c r="A467" t="s">
        <v>1203</v>
      </c>
      <c r="B467" t="s">
        <v>2</v>
      </c>
      <c r="C467" t="s">
        <v>3</v>
      </c>
      <c r="D467" t="s">
        <v>4</v>
      </c>
      <c r="E467" t="s">
        <v>4</v>
      </c>
      <c r="F467" t="s">
        <v>5</v>
      </c>
      <c r="G467" t="s">
        <v>17</v>
      </c>
      <c r="H467" t="s">
        <v>2969</v>
      </c>
      <c r="I467" s="2">
        <v>376</v>
      </c>
      <c r="J467" s="2">
        <v>0</v>
      </c>
      <c r="K467" s="2">
        <v>0</v>
      </c>
      <c r="L467" s="3">
        <v>45507</v>
      </c>
      <c r="M467" s="3">
        <v>45507</v>
      </c>
      <c r="N467" s="3"/>
      <c r="O467" t="s">
        <v>2970</v>
      </c>
      <c r="P467" t="s">
        <v>9</v>
      </c>
      <c r="Q467" s="4">
        <v>0.38842592592593</v>
      </c>
      <c r="R467" t="s">
        <v>5</v>
      </c>
      <c r="S467" t="s">
        <v>4</v>
      </c>
      <c r="T467" t="s">
        <v>2971</v>
      </c>
      <c r="U467" t="s">
        <v>10</v>
      </c>
      <c r="V467" s="5">
        <v>0</v>
      </c>
      <c r="W467" s="5">
        <v>0</v>
      </c>
      <c r="X467" s="2">
        <v>0</v>
      </c>
      <c r="Y467" t="s">
        <v>4</v>
      </c>
      <c r="Z467" t="s">
        <v>4</v>
      </c>
      <c r="AA467" t="s">
        <v>4</v>
      </c>
      <c r="AB467" t="s">
        <v>4</v>
      </c>
    </row>
    <row r="468" spans="1:28" x14ac:dyDescent="0.2">
      <c r="A468" t="s">
        <v>1213</v>
      </c>
      <c r="B468" t="s">
        <v>2</v>
      </c>
      <c r="C468" t="s">
        <v>3</v>
      </c>
      <c r="D468" t="s">
        <v>4</v>
      </c>
      <c r="E468" t="s">
        <v>4</v>
      </c>
      <c r="F468" t="s">
        <v>5</v>
      </c>
      <c r="G468" t="s">
        <v>17</v>
      </c>
      <c r="H468" t="s">
        <v>2972</v>
      </c>
      <c r="I468" s="2">
        <v>1200</v>
      </c>
      <c r="J468" s="2">
        <v>0</v>
      </c>
      <c r="K468" s="2">
        <v>0</v>
      </c>
      <c r="L468" s="3">
        <v>45853</v>
      </c>
      <c r="M468" s="3">
        <v>45853</v>
      </c>
      <c r="N468" s="3"/>
      <c r="O468" t="s">
        <v>2973</v>
      </c>
      <c r="P468" t="s">
        <v>9</v>
      </c>
      <c r="Q468" s="4">
        <v>0.87023148148148</v>
      </c>
      <c r="R468" t="s">
        <v>5</v>
      </c>
      <c r="S468" t="s">
        <v>4</v>
      </c>
      <c r="T468" t="s">
        <v>2272</v>
      </c>
      <c r="U468" t="s">
        <v>10</v>
      </c>
      <c r="V468" s="5">
        <v>0</v>
      </c>
      <c r="W468" s="5">
        <v>0</v>
      </c>
      <c r="X468" s="2">
        <v>0</v>
      </c>
      <c r="Y468" t="s">
        <v>4</v>
      </c>
      <c r="Z468" t="s">
        <v>4</v>
      </c>
      <c r="AA468" t="s">
        <v>4</v>
      </c>
      <c r="AB468" t="s">
        <v>4</v>
      </c>
    </row>
    <row r="469" spans="1:28" x14ac:dyDescent="0.2">
      <c r="A469" t="s">
        <v>1213</v>
      </c>
      <c r="B469" t="s">
        <v>2</v>
      </c>
      <c r="C469" t="s">
        <v>3</v>
      </c>
      <c r="D469" t="s">
        <v>4</v>
      </c>
      <c r="E469" t="s">
        <v>4</v>
      </c>
      <c r="F469" t="s">
        <v>5</v>
      </c>
      <c r="G469" t="s">
        <v>17</v>
      </c>
      <c r="H469" t="s">
        <v>2972</v>
      </c>
      <c r="I469" s="2">
        <v>500</v>
      </c>
      <c r="J469" s="2">
        <v>0</v>
      </c>
      <c r="K469" s="2">
        <v>0</v>
      </c>
      <c r="L469" s="3">
        <v>45853</v>
      </c>
      <c r="M469" s="3">
        <v>45853</v>
      </c>
      <c r="N469" s="3"/>
      <c r="O469" t="s">
        <v>2974</v>
      </c>
      <c r="P469" t="s">
        <v>9</v>
      </c>
      <c r="Q469" s="4">
        <v>0.87023148148148</v>
      </c>
      <c r="R469" t="s">
        <v>5</v>
      </c>
      <c r="S469" t="s">
        <v>4</v>
      </c>
      <c r="T469" t="s">
        <v>2272</v>
      </c>
      <c r="U469" t="s">
        <v>10</v>
      </c>
      <c r="V469" s="5">
        <v>0</v>
      </c>
      <c r="W469" s="5">
        <v>0</v>
      </c>
      <c r="X469" s="2">
        <v>0</v>
      </c>
      <c r="Y469" t="s">
        <v>4</v>
      </c>
      <c r="Z469" t="s">
        <v>4</v>
      </c>
      <c r="AA469" t="s">
        <v>4</v>
      </c>
      <c r="AB469" t="s">
        <v>4</v>
      </c>
    </row>
    <row r="470" spans="1:28" x14ac:dyDescent="0.2">
      <c r="A470" t="s">
        <v>635</v>
      </c>
      <c r="B470" t="s">
        <v>2</v>
      </c>
      <c r="C470" t="s">
        <v>3</v>
      </c>
      <c r="D470" t="s">
        <v>4</v>
      </c>
      <c r="E470" t="s">
        <v>4</v>
      </c>
      <c r="F470" t="s">
        <v>5</v>
      </c>
      <c r="G470" t="s">
        <v>6</v>
      </c>
      <c r="H470" t="s">
        <v>2975</v>
      </c>
      <c r="I470" s="2">
        <v>800</v>
      </c>
      <c r="J470" s="2">
        <v>0</v>
      </c>
      <c r="K470" s="2">
        <v>0</v>
      </c>
      <c r="L470" s="3">
        <v>45670</v>
      </c>
      <c r="M470" s="3">
        <v>45670</v>
      </c>
      <c r="N470" s="3"/>
      <c r="O470" t="s">
        <v>2976</v>
      </c>
      <c r="P470" t="s">
        <v>9</v>
      </c>
      <c r="Q470" s="4">
        <v>0.88737268518518997</v>
      </c>
      <c r="R470" t="s">
        <v>5</v>
      </c>
      <c r="S470" t="s">
        <v>4</v>
      </c>
      <c r="T470" t="s">
        <v>2977</v>
      </c>
      <c r="U470" t="s">
        <v>10</v>
      </c>
      <c r="V470" s="5">
        <v>0</v>
      </c>
      <c r="W470" s="5">
        <v>0</v>
      </c>
      <c r="X470" s="2">
        <v>0</v>
      </c>
      <c r="Y470" t="s">
        <v>4</v>
      </c>
      <c r="Z470" t="s">
        <v>4</v>
      </c>
      <c r="AA470" t="s">
        <v>4</v>
      </c>
      <c r="AB470" t="s">
        <v>4</v>
      </c>
    </row>
    <row r="471" spans="1:28" x14ac:dyDescent="0.2">
      <c r="A471" t="s">
        <v>635</v>
      </c>
      <c r="B471" t="s">
        <v>2</v>
      </c>
      <c r="C471" t="s">
        <v>3</v>
      </c>
      <c r="D471" t="s">
        <v>4</v>
      </c>
      <c r="E471" t="s">
        <v>4</v>
      </c>
      <c r="F471" t="s">
        <v>5</v>
      </c>
      <c r="G471" t="s">
        <v>6</v>
      </c>
      <c r="H471" t="s">
        <v>2975</v>
      </c>
      <c r="I471" s="2">
        <v>700</v>
      </c>
      <c r="J471" s="2">
        <v>0</v>
      </c>
      <c r="K471" s="2">
        <v>0</v>
      </c>
      <c r="L471" s="3">
        <v>45779</v>
      </c>
      <c r="M471" s="3">
        <v>45779</v>
      </c>
      <c r="N471" s="3"/>
      <c r="O471" t="s">
        <v>2978</v>
      </c>
      <c r="P471" t="s">
        <v>9</v>
      </c>
      <c r="Q471" s="4">
        <v>0.88737268518518997</v>
      </c>
      <c r="R471" t="s">
        <v>5</v>
      </c>
      <c r="S471" t="s">
        <v>4</v>
      </c>
      <c r="T471" t="s">
        <v>2775</v>
      </c>
      <c r="U471" t="s">
        <v>10</v>
      </c>
      <c r="V471" s="5">
        <v>0</v>
      </c>
      <c r="W471" s="5">
        <v>0</v>
      </c>
      <c r="X471" s="2">
        <v>0</v>
      </c>
      <c r="Y471" t="s">
        <v>4</v>
      </c>
      <c r="Z471" t="s">
        <v>4</v>
      </c>
      <c r="AA471" t="s">
        <v>4</v>
      </c>
      <c r="AB471" t="s">
        <v>4</v>
      </c>
    </row>
    <row r="472" spans="1:28" x14ac:dyDescent="0.2">
      <c r="A472" t="s">
        <v>1131</v>
      </c>
      <c r="B472" t="s">
        <v>2</v>
      </c>
      <c r="C472" t="s">
        <v>3</v>
      </c>
      <c r="D472" t="s">
        <v>4</v>
      </c>
      <c r="E472" t="s">
        <v>4</v>
      </c>
      <c r="F472" t="s">
        <v>5</v>
      </c>
      <c r="G472" t="s">
        <v>6</v>
      </c>
      <c r="H472" t="s">
        <v>2979</v>
      </c>
      <c r="I472" s="5">
        <v>202.3</v>
      </c>
      <c r="J472" s="2">
        <v>0</v>
      </c>
      <c r="K472" s="2">
        <v>0</v>
      </c>
      <c r="L472" s="3">
        <v>45854</v>
      </c>
      <c r="M472" s="3">
        <v>45854</v>
      </c>
      <c r="N472" s="3"/>
      <c r="O472" t="s">
        <v>2980</v>
      </c>
      <c r="P472" t="s">
        <v>9</v>
      </c>
      <c r="Q472" s="4">
        <v>0.98133101851852</v>
      </c>
      <c r="R472" t="s">
        <v>5</v>
      </c>
      <c r="S472" t="s">
        <v>4</v>
      </c>
      <c r="T472" t="s">
        <v>2299</v>
      </c>
      <c r="U472" t="s">
        <v>10</v>
      </c>
      <c r="V472" s="5">
        <v>0</v>
      </c>
      <c r="W472" s="5">
        <v>0</v>
      </c>
      <c r="X472" s="2">
        <v>0</v>
      </c>
      <c r="Y472" t="s">
        <v>4</v>
      </c>
      <c r="Z472" t="s">
        <v>4</v>
      </c>
      <c r="AA472" t="s">
        <v>4</v>
      </c>
      <c r="AB472" t="s">
        <v>4</v>
      </c>
    </row>
    <row r="473" spans="1:28" x14ac:dyDescent="0.2">
      <c r="A473" t="s">
        <v>1145</v>
      </c>
      <c r="B473" t="s">
        <v>2</v>
      </c>
      <c r="C473" t="s">
        <v>3</v>
      </c>
      <c r="D473" t="s">
        <v>4</v>
      </c>
      <c r="E473" t="s">
        <v>4</v>
      </c>
      <c r="F473" t="s">
        <v>5</v>
      </c>
      <c r="G473" t="s">
        <v>6</v>
      </c>
      <c r="H473" t="s">
        <v>2981</v>
      </c>
      <c r="I473" s="2">
        <v>450</v>
      </c>
      <c r="J473" s="2">
        <v>0</v>
      </c>
      <c r="K473" s="2">
        <v>0</v>
      </c>
      <c r="L473" s="3">
        <v>45686</v>
      </c>
      <c r="M473" s="3">
        <v>45686</v>
      </c>
      <c r="N473" s="3"/>
      <c r="O473" t="s">
        <v>2982</v>
      </c>
      <c r="P473" t="s">
        <v>9</v>
      </c>
      <c r="Q473" s="4">
        <v>0.71314814814814997</v>
      </c>
      <c r="R473" t="s">
        <v>5</v>
      </c>
      <c r="S473" t="s">
        <v>4</v>
      </c>
      <c r="T473" t="s">
        <v>2718</v>
      </c>
      <c r="U473" t="s">
        <v>10</v>
      </c>
      <c r="V473" s="5">
        <v>0</v>
      </c>
      <c r="W473" s="5">
        <v>0</v>
      </c>
      <c r="X473" s="2">
        <v>0</v>
      </c>
      <c r="Y473" t="s">
        <v>4</v>
      </c>
      <c r="Z473" t="s">
        <v>4</v>
      </c>
      <c r="AA473" t="s">
        <v>4</v>
      </c>
      <c r="AB473" t="s">
        <v>4</v>
      </c>
    </row>
    <row r="474" spans="1:28" x14ac:dyDescent="0.2">
      <c r="A474" t="s">
        <v>1145</v>
      </c>
      <c r="B474" t="s">
        <v>2</v>
      </c>
      <c r="C474" t="s">
        <v>3</v>
      </c>
      <c r="D474" t="s">
        <v>4</v>
      </c>
      <c r="E474" t="s">
        <v>4</v>
      </c>
      <c r="F474" t="s">
        <v>5</v>
      </c>
      <c r="G474" t="s">
        <v>6</v>
      </c>
      <c r="H474" t="s">
        <v>2981</v>
      </c>
      <c r="I474" s="2">
        <v>450</v>
      </c>
      <c r="J474" s="2">
        <v>0</v>
      </c>
      <c r="K474" s="2">
        <v>0</v>
      </c>
      <c r="L474" s="3">
        <v>45686</v>
      </c>
      <c r="M474" s="3">
        <v>45686</v>
      </c>
      <c r="N474" s="3"/>
      <c r="O474" t="s">
        <v>2983</v>
      </c>
      <c r="P474" t="s">
        <v>9</v>
      </c>
      <c r="Q474" s="4">
        <v>0.71314814814814997</v>
      </c>
      <c r="R474" t="s">
        <v>5</v>
      </c>
      <c r="S474" t="s">
        <v>4</v>
      </c>
      <c r="T474" t="s">
        <v>2718</v>
      </c>
      <c r="U474" t="s">
        <v>10</v>
      </c>
      <c r="V474" s="5">
        <v>0</v>
      </c>
      <c r="W474" s="5">
        <v>0</v>
      </c>
      <c r="X474" s="2">
        <v>0</v>
      </c>
      <c r="Y474" t="s">
        <v>4</v>
      </c>
      <c r="Z474" t="s">
        <v>4</v>
      </c>
      <c r="AA474" t="s">
        <v>4</v>
      </c>
      <c r="AB474" t="s">
        <v>4</v>
      </c>
    </row>
    <row r="475" spans="1:28" x14ac:dyDescent="0.2">
      <c r="A475" t="s">
        <v>1573</v>
      </c>
      <c r="B475" t="s">
        <v>2</v>
      </c>
      <c r="C475" t="s">
        <v>3</v>
      </c>
      <c r="D475" t="s">
        <v>4</v>
      </c>
      <c r="E475" t="s">
        <v>4</v>
      </c>
      <c r="F475" t="s">
        <v>5</v>
      </c>
      <c r="G475" t="s">
        <v>6</v>
      </c>
      <c r="H475" t="s">
        <v>2984</v>
      </c>
      <c r="I475" s="2">
        <v>45</v>
      </c>
      <c r="J475" s="2">
        <v>0</v>
      </c>
      <c r="K475" s="2">
        <v>0</v>
      </c>
      <c r="L475" s="3">
        <v>45859</v>
      </c>
      <c r="M475" s="3">
        <v>45859</v>
      </c>
      <c r="N475" s="3"/>
      <c r="O475" t="s">
        <v>2985</v>
      </c>
      <c r="P475" t="s">
        <v>9</v>
      </c>
      <c r="Q475" s="4">
        <v>0.46929398148147999</v>
      </c>
      <c r="R475" t="s">
        <v>5</v>
      </c>
      <c r="S475" t="s">
        <v>4</v>
      </c>
      <c r="T475" t="s">
        <v>2261</v>
      </c>
      <c r="U475" t="s">
        <v>10</v>
      </c>
      <c r="V475" s="5">
        <v>0</v>
      </c>
      <c r="W475" s="5">
        <v>0</v>
      </c>
      <c r="X475" s="2">
        <v>0</v>
      </c>
      <c r="Y475" t="s">
        <v>4</v>
      </c>
      <c r="Z475" t="s">
        <v>4</v>
      </c>
      <c r="AA475" t="s">
        <v>4</v>
      </c>
      <c r="AB475" t="s">
        <v>4</v>
      </c>
    </row>
    <row r="476" spans="1:28" x14ac:dyDescent="0.2">
      <c r="A476" t="s">
        <v>1139</v>
      </c>
      <c r="B476" t="s">
        <v>2</v>
      </c>
      <c r="C476" t="s">
        <v>3</v>
      </c>
      <c r="D476" t="s">
        <v>4</v>
      </c>
      <c r="E476" t="s">
        <v>4</v>
      </c>
      <c r="F476" t="s">
        <v>5</v>
      </c>
      <c r="G476" t="s">
        <v>6</v>
      </c>
      <c r="H476" t="s">
        <v>2986</v>
      </c>
      <c r="I476" s="2">
        <v>432</v>
      </c>
      <c r="J476" s="2">
        <v>0</v>
      </c>
      <c r="K476" s="2">
        <v>0</v>
      </c>
      <c r="L476" s="3">
        <v>45834</v>
      </c>
      <c r="M476" s="3">
        <v>45834</v>
      </c>
      <c r="N476" s="3"/>
      <c r="O476" t="s">
        <v>2987</v>
      </c>
      <c r="P476" t="s">
        <v>9</v>
      </c>
      <c r="Q476" s="4">
        <v>0.49708333333332999</v>
      </c>
      <c r="R476" t="s">
        <v>5</v>
      </c>
      <c r="S476" t="s">
        <v>4</v>
      </c>
      <c r="T476" t="s">
        <v>2817</v>
      </c>
      <c r="U476" t="s">
        <v>10</v>
      </c>
      <c r="V476" s="5">
        <v>0</v>
      </c>
      <c r="W476" s="5">
        <v>0</v>
      </c>
      <c r="X476" s="2">
        <v>0</v>
      </c>
      <c r="Y476" t="s">
        <v>4</v>
      </c>
      <c r="Z476" t="s">
        <v>4</v>
      </c>
      <c r="AA476" t="s">
        <v>4</v>
      </c>
      <c r="AB476" t="s">
        <v>4</v>
      </c>
    </row>
    <row r="477" spans="1:28" x14ac:dyDescent="0.2">
      <c r="A477" t="s">
        <v>1139</v>
      </c>
      <c r="B477" t="s">
        <v>2</v>
      </c>
      <c r="C477" t="s">
        <v>3</v>
      </c>
      <c r="D477" t="s">
        <v>4</v>
      </c>
      <c r="E477" t="s">
        <v>4</v>
      </c>
      <c r="F477" t="s">
        <v>5</v>
      </c>
      <c r="G477" t="s">
        <v>6</v>
      </c>
      <c r="H477" t="s">
        <v>2986</v>
      </c>
      <c r="I477" s="2">
        <v>432</v>
      </c>
      <c r="J477" s="2">
        <v>0</v>
      </c>
      <c r="K477" s="2">
        <v>0</v>
      </c>
      <c r="L477" s="3">
        <v>45834</v>
      </c>
      <c r="M477" s="3">
        <v>45834</v>
      </c>
      <c r="N477" s="3"/>
      <c r="O477" t="s">
        <v>2988</v>
      </c>
      <c r="P477" t="s">
        <v>9</v>
      </c>
      <c r="Q477" s="4">
        <v>0.49708333333332999</v>
      </c>
      <c r="R477" t="s">
        <v>5</v>
      </c>
      <c r="S477" t="s">
        <v>4</v>
      </c>
      <c r="T477" t="s">
        <v>2817</v>
      </c>
      <c r="U477" t="s">
        <v>10</v>
      </c>
      <c r="V477" s="5">
        <v>0</v>
      </c>
      <c r="W477" s="5">
        <v>0</v>
      </c>
      <c r="X477" s="2">
        <v>0</v>
      </c>
      <c r="Y477" t="s">
        <v>4</v>
      </c>
      <c r="Z477" t="s">
        <v>4</v>
      </c>
      <c r="AA477" t="s">
        <v>4</v>
      </c>
      <c r="AB477" t="s">
        <v>4</v>
      </c>
    </row>
    <row r="478" spans="1:28" x14ac:dyDescent="0.2">
      <c r="A478" t="s">
        <v>2251</v>
      </c>
      <c r="B478" t="s">
        <v>4</v>
      </c>
      <c r="C478" t="s">
        <v>4</v>
      </c>
      <c r="D478" t="s">
        <v>4</v>
      </c>
      <c r="E478" t="s">
        <v>4</v>
      </c>
      <c r="F478" t="s">
        <v>5</v>
      </c>
      <c r="G478" t="s">
        <v>6</v>
      </c>
      <c r="H478" t="s">
        <v>2989</v>
      </c>
      <c r="I478" s="5">
        <v>0</v>
      </c>
      <c r="J478" s="5">
        <v>0</v>
      </c>
      <c r="K478" s="5">
        <v>0</v>
      </c>
      <c r="L478" s="3"/>
      <c r="M478" s="3"/>
      <c r="N478" s="3"/>
      <c r="O478" t="s">
        <v>4</v>
      </c>
      <c r="P478" t="s">
        <v>9</v>
      </c>
      <c r="Q478" s="4">
        <v>0.36688657407406999</v>
      </c>
      <c r="R478" t="s">
        <v>4</v>
      </c>
      <c r="S478" t="s">
        <v>4</v>
      </c>
      <c r="T478" t="s">
        <v>2256</v>
      </c>
      <c r="U478" t="s">
        <v>4</v>
      </c>
      <c r="V478" s="5">
        <v>0</v>
      </c>
      <c r="W478" s="5">
        <v>0</v>
      </c>
      <c r="X478" s="2">
        <v>0</v>
      </c>
      <c r="Y478" t="s">
        <v>4</v>
      </c>
      <c r="Z478" t="s">
        <v>4</v>
      </c>
      <c r="AA478" t="s">
        <v>4</v>
      </c>
      <c r="AB478" t="s">
        <v>4</v>
      </c>
    </row>
    <row r="479" spans="1:28" x14ac:dyDescent="0.2">
      <c r="A479" t="s">
        <v>463</v>
      </c>
      <c r="B479" t="s">
        <v>2</v>
      </c>
      <c r="C479" t="s">
        <v>3</v>
      </c>
      <c r="D479" t="s">
        <v>4</v>
      </c>
      <c r="E479" t="s">
        <v>4</v>
      </c>
      <c r="F479" t="s">
        <v>5</v>
      </c>
      <c r="G479" t="s">
        <v>6</v>
      </c>
      <c r="H479" t="s">
        <v>2990</v>
      </c>
      <c r="I479" s="2">
        <v>5400</v>
      </c>
      <c r="J479" s="2">
        <v>0</v>
      </c>
      <c r="K479" s="2">
        <v>0</v>
      </c>
      <c r="L479" s="3">
        <v>45741</v>
      </c>
      <c r="M479" s="3">
        <v>45741</v>
      </c>
      <c r="N479" s="3"/>
      <c r="O479" t="s">
        <v>2991</v>
      </c>
      <c r="P479" t="s">
        <v>9</v>
      </c>
      <c r="Q479" s="4">
        <v>0.39983796296295998</v>
      </c>
      <c r="R479" t="s">
        <v>5</v>
      </c>
      <c r="S479" t="s">
        <v>4</v>
      </c>
      <c r="T479" t="s">
        <v>2992</v>
      </c>
      <c r="U479" t="s">
        <v>10</v>
      </c>
      <c r="V479" s="5">
        <v>0</v>
      </c>
      <c r="W479" s="5">
        <v>0</v>
      </c>
      <c r="X479" s="2">
        <v>0</v>
      </c>
      <c r="Y479" t="s">
        <v>4</v>
      </c>
      <c r="Z479" t="s">
        <v>4</v>
      </c>
      <c r="AA479" t="s">
        <v>4</v>
      </c>
      <c r="AB479" t="s">
        <v>4</v>
      </c>
    </row>
    <row r="480" spans="1:28" x14ac:dyDescent="0.2">
      <c r="A480" t="s">
        <v>1139</v>
      </c>
      <c r="B480" t="s">
        <v>2</v>
      </c>
      <c r="C480" t="s">
        <v>3</v>
      </c>
      <c r="D480" t="s">
        <v>4</v>
      </c>
      <c r="E480" t="s">
        <v>4</v>
      </c>
      <c r="F480" t="s">
        <v>5</v>
      </c>
      <c r="G480" t="s">
        <v>21</v>
      </c>
      <c r="H480" t="s">
        <v>2993</v>
      </c>
      <c r="I480" s="2">
        <v>504</v>
      </c>
      <c r="J480" s="2">
        <v>0</v>
      </c>
      <c r="K480" s="2">
        <v>0</v>
      </c>
      <c r="L480" s="3">
        <v>45848</v>
      </c>
      <c r="M480" s="3">
        <v>45848</v>
      </c>
      <c r="N480" s="3"/>
      <c r="O480" t="s">
        <v>2994</v>
      </c>
      <c r="P480" t="s">
        <v>9</v>
      </c>
      <c r="Q480" s="4">
        <v>0.44457175925926001</v>
      </c>
      <c r="R480" t="s">
        <v>5</v>
      </c>
      <c r="S480" t="s">
        <v>4</v>
      </c>
      <c r="T480" t="s">
        <v>2580</v>
      </c>
      <c r="U480" t="s">
        <v>10</v>
      </c>
      <c r="V480" s="5">
        <v>0</v>
      </c>
      <c r="W480" s="5">
        <v>0</v>
      </c>
      <c r="X480" s="2">
        <v>0</v>
      </c>
      <c r="Y480" t="s">
        <v>4</v>
      </c>
      <c r="Z480" t="s">
        <v>4</v>
      </c>
      <c r="AA480" t="s">
        <v>4</v>
      </c>
      <c r="AB480" t="s">
        <v>4</v>
      </c>
    </row>
    <row r="481" spans="1:28" x14ac:dyDescent="0.2">
      <c r="A481" t="s">
        <v>1139</v>
      </c>
      <c r="B481" t="s">
        <v>2</v>
      </c>
      <c r="C481" t="s">
        <v>3</v>
      </c>
      <c r="D481" t="s">
        <v>4</v>
      </c>
      <c r="E481" t="s">
        <v>4</v>
      </c>
      <c r="F481" t="s">
        <v>5</v>
      </c>
      <c r="G481" t="s">
        <v>21</v>
      </c>
      <c r="H481" t="s">
        <v>2993</v>
      </c>
      <c r="I481" s="2">
        <v>432</v>
      </c>
      <c r="J481" s="2">
        <v>0</v>
      </c>
      <c r="K481" s="2">
        <v>0</v>
      </c>
      <c r="L481" s="3">
        <v>45848</v>
      </c>
      <c r="M481" s="3">
        <v>45848</v>
      </c>
      <c r="N481" s="3"/>
      <c r="O481" t="s">
        <v>2995</v>
      </c>
      <c r="P481" t="s">
        <v>9</v>
      </c>
      <c r="Q481" s="4">
        <v>0.44457175925926001</v>
      </c>
      <c r="R481" t="s">
        <v>5</v>
      </c>
      <c r="S481" t="s">
        <v>4</v>
      </c>
      <c r="T481" t="s">
        <v>2580</v>
      </c>
      <c r="U481" t="s">
        <v>10</v>
      </c>
      <c r="V481" s="5">
        <v>0</v>
      </c>
      <c r="W481" s="5">
        <v>0</v>
      </c>
      <c r="X481" s="2">
        <v>0</v>
      </c>
      <c r="Y481" t="s">
        <v>4</v>
      </c>
      <c r="Z481" t="s">
        <v>4</v>
      </c>
      <c r="AA481" t="s">
        <v>4</v>
      </c>
      <c r="AB481" t="s">
        <v>4</v>
      </c>
    </row>
    <row r="482" spans="1:28" x14ac:dyDescent="0.2">
      <c r="A482" t="s">
        <v>327</v>
      </c>
      <c r="B482" t="s">
        <v>2</v>
      </c>
      <c r="C482" t="s">
        <v>3</v>
      </c>
      <c r="D482" t="s">
        <v>4</v>
      </c>
      <c r="E482" t="s">
        <v>4</v>
      </c>
      <c r="F482" t="s">
        <v>5</v>
      </c>
      <c r="G482" t="s">
        <v>6</v>
      </c>
      <c r="H482" t="s">
        <v>2996</v>
      </c>
      <c r="I482" s="2">
        <v>1260</v>
      </c>
      <c r="J482" s="2">
        <v>0</v>
      </c>
      <c r="K482" s="2">
        <v>0</v>
      </c>
      <c r="L482" s="3">
        <v>45839</v>
      </c>
      <c r="M482" s="3">
        <v>45839</v>
      </c>
      <c r="N482" s="3"/>
      <c r="O482" t="s">
        <v>2997</v>
      </c>
      <c r="P482" t="s">
        <v>9</v>
      </c>
      <c r="Q482" s="4">
        <v>0.72886574074073995</v>
      </c>
      <c r="R482" t="s">
        <v>5</v>
      </c>
      <c r="S482" t="s">
        <v>4</v>
      </c>
      <c r="T482" t="s">
        <v>2312</v>
      </c>
      <c r="U482" t="s">
        <v>10</v>
      </c>
      <c r="V482" s="5">
        <v>0</v>
      </c>
      <c r="W482" s="5">
        <v>0</v>
      </c>
      <c r="X482" s="2">
        <v>0</v>
      </c>
      <c r="Y482" t="s">
        <v>4</v>
      </c>
      <c r="Z482" t="s">
        <v>4</v>
      </c>
      <c r="AA482" t="s">
        <v>4</v>
      </c>
      <c r="AB482" t="s">
        <v>4</v>
      </c>
    </row>
    <row r="483" spans="1:28" x14ac:dyDescent="0.2">
      <c r="A483" t="s">
        <v>327</v>
      </c>
      <c r="B483" t="s">
        <v>2</v>
      </c>
      <c r="C483" t="s">
        <v>3</v>
      </c>
      <c r="D483" t="s">
        <v>4</v>
      </c>
      <c r="E483" t="s">
        <v>4</v>
      </c>
      <c r="F483" t="s">
        <v>5</v>
      </c>
      <c r="G483" t="s">
        <v>6</v>
      </c>
      <c r="H483" t="s">
        <v>2996</v>
      </c>
      <c r="I483" s="2">
        <v>1260</v>
      </c>
      <c r="J483" s="2">
        <v>0</v>
      </c>
      <c r="K483" s="2">
        <v>0</v>
      </c>
      <c r="L483" s="3">
        <v>45839</v>
      </c>
      <c r="M483" s="3">
        <v>45839</v>
      </c>
      <c r="N483" s="3"/>
      <c r="O483" t="s">
        <v>2998</v>
      </c>
      <c r="P483" t="s">
        <v>9</v>
      </c>
      <c r="Q483" s="4">
        <v>0.72886574074073995</v>
      </c>
      <c r="R483" t="s">
        <v>5</v>
      </c>
      <c r="S483" t="s">
        <v>4</v>
      </c>
      <c r="T483" t="s">
        <v>2312</v>
      </c>
      <c r="U483" t="s">
        <v>10</v>
      </c>
      <c r="V483" s="5">
        <v>0</v>
      </c>
      <c r="W483" s="5">
        <v>0</v>
      </c>
      <c r="X483" s="2">
        <v>0</v>
      </c>
      <c r="Y483" t="s">
        <v>4</v>
      </c>
      <c r="Z483" t="s">
        <v>4</v>
      </c>
      <c r="AA483" t="s">
        <v>4</v>
      </c>
      <c r="AB483" t="s">
        <v>4</v>
      </c>
    </row>
    <row r="484" spans="1:28" x14ac:dyDescent="0.2">
      <c r="A484" t="s">
        <v>331</v>
      </c>
      <c r="B484" t="s">
        <v>2</v>
      </c>
      <c r="C484" t="s">
        <v>3</v>
      </c>
      <c r="D484" t="s">
        <v>4</v>
      </c>
      <c r="E484" t="s">
        <v>4</v>
      </c>
      <c r="F484" t="s">
        <v>5</v>
      </c>
      <c r="G484" t="s">
        <v>21</v>
      </c>
      <c r="H484" t="s">
        <v>2999</v>
      </c>
      <c r="I484" s="2">
        <v>1260</v>
      </c>
      <c r="J484" s="2">
        <v>0</v>
      </c>
      <c r="K484" s="2">
        <v>0</v>
      </c>
      <c r="L484" s="3">
        <v>45853</v>
      </c>
      <c r="M484" s="3">
        <v>45853</v>
      </c>
      <c r="N484" s="3"/>
      <c r="O484" t="s">
        <v>3000</v>
      </c>
      <c r="P484" t="s">
        <v>9</v>
      </c>
      <c r="Q484" s="4">
        <v>0.51475694444443998</v>
      </c>
      <c r="R484" t="s">
        <v>5</v>
      </c>
      <c r="S484" t="s">
        <v>4</v>
      </c>
      <c r="T484" t="s">
        <v>2272</v>
      </c>
      <c r="U484" t="s">
        <v>10</v>
      </c>
      <c r="V484" s="5">
        <v>0</v>
      </c>
      <c r="W484" s="5">
        <v>0</v>
      </c>
      <c r="X484" s="2">
        <v>0</v>
      </c>
      <c r="Y484" t="s">
        <v>4</v>
      </c>
      <c r="Z484" t="s">
        <v>4</v>
      </c>
      <c r="AA484" t="s">
        <v>4</v>
      </c>
      <c r="AB484" t="s">
        <v>4</v>
      </c>
    </row>
    <row r="485" spans="1:28" x14ac:dyDescent="0.2">
      <c r="A485" t="s">
        <v>296</v>
      </c>
      <c r="B485" t="s">
        <v>2</v>
      </c>
      <c r="C485" t="s">
        <v>3</v>
      </c>
      <c r="D485" t="s">
        <v>4</v>
      </c>
      <c r="E485" t="s">
        <v>4</v>
      </c>
      <c r="F485" t="s">
        <v>5</v>
      </c>
      <c r="G485" t="s">
        <v>17</v>
      </c>
      <c r="H485" t="s">
        <v>3001</v>
      </c>
      <c r="I485" s="2">
        <v>700</v>
      </c>
      <c r="J485" s="2">
        <v>0</v>
      </c>
      <c r="K485" s="2">
        <v>0</v>
      </c>
      <c r="L485" s="3">
        <v>45855</v>
      </c>
      <c r="M485" s="3">
        <v>45855</v>
      </c>
      <c r="N485" s="3"/>
      <c r="O485" t="s">
        <v>3002</v>
      </c>
      <c r="P485" t="s">
        <v>9</v>
      </c>
      <c r="Q485" s="4">
        <v>0.74899305555555995</v>
      </c>
      <c r="R485" t="s">
        <v>5</v>
      </c>
      <c r="S485" t="s">
        <v>4</v>
      </c>
      <c r="T485" t="s">
        <v>2350</v>
      </c>
      <c r="U485" t="s">
        <v>10</v>
      </c>
      <c r="V485" s="5">
        <v>0</v>
      </c>
      <c r="W485" s="5">
        <v>0</v>
      </c>
      <c r="X485" s="2">
        <v>0</v>
      </c>
      <c r="Y485" t="s">
        <v>4</v>
      </c>
      <c r="Z485" t="s">
        <v>4</v>
      </c>
      <c r="AA485" t="s">
        <v>4</v>
      </c>
      <c r="AB485" t="s">
        <v>4</v>
      </c>
    </row>
    <row r="486" spans="1:28" x14ac:dyDescent="0.2">
      <c r="A486" t="s">
        <v>296</v>
      </c>
      <c r="B486" t="s">
        <v>2</v>
      </c>
      <c r="C486" t="s">
        <v>3</v>
      </c>
      <c r="D486" t="s">
        <v>4</v>
      </c>
      <c r="E486" t="s">
        <v>4</v>
      </c>
      <c r="F486" t="s">
        <v>5</v>
      </c>
      <c r="G486" t="s">
        <v>17</v>
      </c>
      <c r="H486" t="s">
        <v>3001</v>
      </c>
      <c r="I486" s="2">
        <v>700</v>
      </c>
      <c r="J486" s="2">
        <v>0</v>
      </c>
      <c r="K486" s="2">
        <v>0</v>
      </c>
      <c r="L486" s="3">
        <v>45855</v>
      </c>
      <c r="M486" s="3">
        <v>45855</v>
      </c>
      <c r="N486" s="3"/>
      <c r="O486" t="s">
        <v>3003</v>
      </c>
      <c r="P486" t="s">
        <v>9</v>
      </c>
      <c r="Q486" s="4">
        <v>0.74899305555555995</v>
      </c>
      <c r="R486" t="s">
        <v>5</v>
      </c>
      <c r="S486" t="s">
        <v>4</v>
      </c>
      <c r="T486" t="s">
        <v>2350</v>
      </c>
      <c r="U486" t="s">
        <v>10</v>
      </c>
      <c r="V486" s="5">
        <v>0</v>
      </c>
      <c r="W486" s="5">
        <v>0</v>
      </c>
      <c r="X486" s="2">
        <v>0</v>
      </c>
      <c r="Y486" t="s">
        <v>4</v>
      </c>
      <c r="Z486" t="s">
        <v>4</v>
      </c>
      <c r="AA486" t="s">
        <v>4</v>
      </c>
      <c r="AB486" t="s">
        <v>4</v>
      </c>
    </row>
    <row r="487" spans="1:28" x14ac:dyDescent="0.2">
      <c r="A487" t="s">
        <v>1158</v>
      </c>
      <c r="B487" t="s">
        <v>2</v>
      </c>
      <c r="C487" t="s">
        <v>3</v>
      </c>
      <c r="D487" t="s">
        <v>4</v>
      </c>
      <c r="E487" t="s">
        <v>4</v>
      </c>
      <c r="F487" t="s">
        <v>5</v>
      </c>
      <c r="G487" t="s">
        <v>17</v>
      </c>
      <c r="H487" t="s">
        <v>3004</v>
      </c>
      <c r="I487" s="2">
        <v>600</v>
      </c>
      <c r="J487" s="2">
        <v>0</v>
      </c>
      <c r="K487" s="2">
        <v>0</v>
      </c>
      <c r="L487" s="3">
        <v>45856</v>
      </c>
      <c r="M487" s="3">
        <v>45856</v>
      </c>
      <c r="N487" s="3"/>
      <c r="O487" t="s">
        <v>3005</v>
      </c>
      <c r="P487" t="s">
        <v>9</v>
      </c>
      <c r="Q487" s="4">
        <v>0.58447916666666999</v>
      </c>
      <c r="R487" t="s">
        <v>5</v>
      </c>
      <c r="S487" t="s">
        <v>4</v>
      </c>
      <c r="T487" t="s">
        <v>2260</v>
      </c>
      <c r="U487" t="s">
        <v>10</v>
      </c>
      <c r="V487" s="5">
        <v>0</v>
      </c>
      <c r="W487" s="5">
        <v>0</v>
      </c>
      <c r="X487" s="2">
        <v>0</v>
      </c>
      <c r="Y487" t="s">
        <v>4</v>
      </c>
      <c r="Z487" t="s">
        <v>4</v>
      </c>
      <c r="AA487" t="s">
        <v>4</v>
      </c>
      <c r="AB487" t="s">
        <v>4</v>
      </c>
    </row>
    <row r="488" spans="1:28" x14ac:dyDescent="0.2">
      <c r="A488" t="s">
        <v>1158</v>
      </c>
      <c r="B488" t="s">
        <v>2</v>
      </c>
      <c r="C488" t="s">
        <v>3</v>
      </c>
      <c r="D488" t="s">
        <v>4</v>
      </c>
      <c r="E488" t="s">
        <v>4</v>
      </c>
      <c r="F488" t="s">
        <v>5</v>
      </c>
      <c r="G488" t="s">
        <v>17</v>
      </c>
      <c r="H488" t="s">
        <v>3004</v>
      </c>
      <c r="I488" s="2">
        <v>400</v>
      </c>
      <c r="J488" s="2">
        <v>0</v>
      </c>
      <c r="K488" s="2">
        <v>0</v>
      </c>
      <c r="L488" s="3">
        <v>45856</v>
      </c>
      <c r="M488" s="3">
        <v>45856</v>
      </c>
      <c r="N488" s="3"/>
      <c r="O488" t="s">
        <v>3006</v>
      </c>
      <c r="P488" t="s">
        <v>9</v>
      </c>
      <c r="Q488" s="4">
        <v>0.58447916666666999</v>
      </c>
      <c r="R488" t="s">
        <v>5</v>
      </c>
      <c r="S488" t="s">
        <v>4</v>
      </c>
      <c r="T488" t="s">
        <v>2260</v>
      </c>
      <c r="U488" t="s">
        <v>10</v>
      </c>
      <c r="V488" s="5">
        <v>0</v>
      </c>
      <c r="W488" s="5">
        <v>0</v>
      </c>
      <c r="X488" s="2">
        <v>0</v>
      </c>
      <c r="Y488" t="s">
        <v>4</v>
      </c>
      <c r="Z488" t="s">
        <v>4</v>
      </c>
      <c r="AA488" t="s">
        <v>4</v>
      </c>
      <c r="AB488" t="s">
        <v>4</v>
      </c>
    </row>
    <row r="489" spans="1:28" x14ac:dyDescent="0.2">
      <c r="A489" t="s">
        <v>491</v>
      </c>
      <c r="B489" t="s">
        <v>2</v>
      </c>
      <c r="C489" t="s">
        <v>3</v>
      </c>
      <c r="D489" t="s">
        <v>4</v>
      </c>
      <c r="E489" t="s">
        <v>4</v>
      </c>
      <c r="F489" t="s">
        <v>5</v>
      </c>
      <c r="G489" t="s">
        <v>17</v>
      </c>
      <c r="H489" t="s">
        <v>3007</v>
      </c>
      <c r="I489" s="2">
        <v>2160</v>
      </c>
      <c r="J489" s="2">
        <v>0</v>
      </c>
      <c r="K489" s="2">
        <v>0</v>
      </c>
      <c r="L489" s="3">
        <v>45859</v>
      </c>
      <c r="M489" s="3">
        <v>45859</v>
      </c>
      <c r="N489" s="3"/>
      <c r="O489" t="s">
        <v>3008</v>
      </c>
      <c r="P489" t="s">
        <v>9</v>
      </c>
      <c r="Q489" s="4">
        <v>0.56105324074074003</v>
      </c>
      <c r="R489" t="s">
        <v>5</v>
      </c>
      <c r="S489" t="s">
        <v>4</v>
      </c>
      <c r="T489" t="s">
        <v>2261</v>
      </c>
      <c r="U489" t="s">
        <v>10</v>
      </c>
      <c r="V489" s="5">
        <v>0</v>
      </c>
      <c r="W489" s="5">
        <v>0</v>
      </c>
      <c r="X489" s="2">
        <v>0</v>
      </c>
      <c r="Y489" t="s">
        <v>4</v>
      </c>
      <c r="Z489" t="s">
        <v>4</v>
      </c>
      <c r="AA489" t="s">
        <v>4</v>
      </c>
      <c r="AB489" t="s">
        <v>4</v>
      </c>
    </row>
    <row r="490" spans="1:28" x14ac:dyDescent="0.2">
      <c r="A490" t="s">
        <v>491</v>
      </c>
      <c r="B490" t="s">
        <v>2</v>
      </c>
      <c r="C490" t="s">
        <v>3</v>
      </c>
      <c r="D490" t="s">
        <v>4</v>
      </c>
      <c r="E490" t="s">
        <v>4</v>
      </c>
      <c r="F490" t="s">
        <v>5</v>
      </c>
      <c r="G490" t="s">
        <v>17</v>
      </c>
      <c r="H490" t="s">
        <v>3007</v>
      </c>
      <c r="I490" s="2">
        <v>720</v>
      </c>
      <c r="J490" s="2">
        <v>0</v>
      </c>
      <c r="K490" s="2">
        <v>0</v>
      </c>
      <c r="L490" s="3">
        <v>45859</v>
      </c>
      <c r="M490" s="3">
        <v>45859</v>
      </c>
      <c r="N490" s="3"/>
      <c r="O490" t="s">
        <v>3009</v>
      </c>
      <c r="P490" t="s">
        <v>9</v>
      </c>
      <c r="Q490" s="4">
        <v>0.56105324074074003</v>
      </c>
      <c r="R490" t="s">
        <v>5</v>
      </c>
      <c r="S490" t="s">
        <v>4</v>
      </c>
      <c r="T490" t="s">
        <v>2261</v>
      </c>
      <c r="U490" t="s">
        <v>10</v>
      </c>
      <c r="V490" s="5">
        <v>0</v>
      </c>
      <c r="W490" s="5">
        <v>0</v>
      </c>
      <c r="X490" s="2">
        <v>0</v>
      </c>
      <c r="Y490" t="s">
        <v>4</v>
      </c>
      <c r="Z490" t="s">
        <v>4</v>
      </c>
      <c r="AA490" t="s">
        <v>4</v>
      </c>
      <c r="AB490" t="s">
        <v>4</v>
      </c>
    </row>
    <row r="491" spans="1:28" x14ac:dyDescent="0.2">
      <c r="A491" t="s">
        <v>296</v>
      </c>
      <c r="B491" t="s">
        <v>2</v>
      </c>
      <c r="C491" t="s">
        <v>3</v>
      </c>
      <c r="D491" t="s">
        <v>4</v>
      </c>
      <c r="E491" t="s">
        <v>4</v>
      </c>
      <c r="F491" t="s">
        <v>5</v>
      </c>
      <c r="G491" t="s">
        <v>17</v>
      </c>
      <c r="H491" t="s">
        <v>3010</v>
      </c>
      <c r="I491" s="2">
        <v>595</v>
      </c>
      <c r="J491" s="2">
        <v>0</v>
      </c>
      <c r="K491" s="2">
        <v>0</v>
      </c>
      <c r="L491" s="3">
        <v>45855</v>
      </c>
      <c r="M491" s="3">
        <v>45855</v>
      </c>
      <c r="N491" s="3"/>
      <c r="O491" t="s">
        <v>3011</v>
      </c>
      <c r="P491" t="s">
        <v>9</v>
      </c>
      <c r="Q491" s="4">
        <v>0.43703703703704</v>
      </c>
      <c r="R491" t="s">
        <v>5</v>
      </c>
      <c r="S491" t="s">
        <v>4</v>
      </c>
      <c r="T491" t="s">
        <v>2350</v>
      </c>
      <c r="U491" t="s">
        <v>10</v>
      </c>
      <c r="V491" s="5">
        <v>0</v>
      </c>
      <c r="W491" s="5">
        <v>0</v>
      </c>
      <c r="X491" s="2">
        <v>0</v>
      </c>
      <c r="Y491" t="s">
        <v>4</v>
      </c>
      <c r="Z491" t="s">
        <v>4</v>
      </c>
      <c r="AA491" t="s">
        <v>4</v>
      </c>
      <c r="AB491" t="s">
        <v>4</v>
      </c>
    </row>
    <row r="492" spans="1:28" x14ac:dyDescent="0.2">
      <c r="A492" t="s">
        <v>296</v>
      </c>
      <c r="B492" t="s">
        <v>2</v>
      </c>
      <c r="C492" t="s">
        <v>3</v>
      </c>
      <c r="D492" t="s">
        <v>4</v>
      </c>
      <c r="E492" t="s">
        <v>4</v>
      </c>
      <c r="F492" t="s">
        <v>5</v>
      </c>
      <c r="G492" t="s">
        <v>17</v>
      </c>
      <c r="H492" t="s">
        <v>3010</v>
      </c>
      <c r="I492" s="2">
        <v>700</v>
      </c>
      <c r="J492" s="2">
        <v>0</v>
      </c>
      <c r="K492" s="2">
        <v>0</v>
      </c>
      <c r="L492" s="3">
        <v>45856</v>
      </c>
      <c r="M492" s="3">
        <v>45856</v>
      </c>
      <c r="N492" s="3"/>
      <c r="O492" t="s">
        <v>3012</v>
      </c>
      <c r="P492" t="s">
        <v>9</v>
      </c>
      <c r="Q492" s="4">
        <v>0.43703703703704</v>
      </c>
      <c r="R492" t="s">
        <v>5</v>
      </c>
      <c r="S492" t="s">
        <v>4</v>
      </c>
      <c r="T492" t="s">
        <v>2260</v>
      </c>
      <c r="U492" t="s">
        <v>10</v>
      </c>
      <c r="V492" s="5">
        <v>0</v>
      </c>
      <c r="W492" s="5">
        <v>0</v>
      </c>
      <c r="X492" s="2">
        <v>0</v>
      </c>
      <c r="Y492" t="s">
        <v>4</v>
      </c>
      <c r="Z492" t="s">
        <v>4</v>
      </c>
      <c r="AA492" t="s">
        <v>4</v>
      </c>
      <c r="AB492" t="s">
        <v>4</v>
      </c>
    </row>
    <row r="493" spans="1:28" x14ac:dyDescent="0.2">
      <c r="A493" t="s">
        <v>285</v>
      </c>
      <c r="B493" t="s">
        <v>2</v>
      </c>
      <c r="C493" t="s">
        <v>3</v>
      </c>
      <c r="D493" t="s">
        <v>4</v>
      </c>
      <c r="E493" t="s">
        <v>4</v>
      </c>
      <c r="F493" t="s">
        <v>5</v>
      </c>
      <c r="G493" t="s">
        <v>17</v>
      </c>
      <c r="H493" t="s">
        <v>3013</v>
      </c>
      <c r="I493" s="2">
        <v>30</v>
      </c>
      <c r="J493" s="2">
        <v>0</v>
      </c>
      <c r="K493" s="2">
        <v>0</v>
      </c>
      <c r="L493" s="3">
        <v>45835</v>
      </c>
      <c r="M493" s="3">
        <v>45835</v>
      </c>
      <c r="N493" s="3"/>
      <c r="O493" t="s">
        <v>3014</v>
      </c>
      <c r="P493" t="s">
        <v>9</v>
      </c>
      <c r="Q493" s="4">
        <v>0.62003472222222</v>
      </c>
      <c r="R493" t="s">
        <v>5</v>
      </c>
      <c r="S493" t="s">
        <v>4</v>
      </c>
      <c r="T493" t="s">
        <v>2928</v>
      </c>
      <c r="U493" t="s">
        <v>10</v>
      </c>
      <c r="V493" s="5">
        <v>0</v>
      </c>
      <c r="W493" s="5">
        <v>0</v>
      </c>
      <c r="X493" s="2">
        <v>0</v>
      </c>
      <c r="Y493" t="s">
        <v>4</v>
      </c>
      <c r="Z493" t="s">
        <v>4</v>
      </c>
      <c r="AA493" t="s">
        <v>4</v>
      </c>
      <c r="AB493" t="s">
        <v>4</v>
      </c>
    </row>
    <row r="494" spans="1:28" x14ac:dyDescent="0.2">
      <c r="A494" t="s">
        <v>285</v>
      </c>
      <c r="B494" t="s">
        <v>2</v>
      </c>
      <c r="C494" t="s">
        <v>3</v>
      </c>
      <c r="D494" t="s">
        <v>4</v>
      </c>
      <c r="E494" t="s">
        <v>4</v>
      </c>
      <c r="F494" t="s">
        <v>5</v>
      </c>
      <c r="G494" t="s">
        <v>17</v>
      </c>
      <c r="H494" t="s">
        <v>3013</v>
      </c>
      <c r="I494" s="2">
        <v>30</v>
      </c>
      <c r="J494" s="2">
        <v>0</v>
      </c>
      <c r="K494" s="2">
        <v>0</v>
      </c>
      <c r="L494" s="3">
        <v>45835</v>
      </c>
      <c r="M494" s="3">
        <v>45835</v>
      </c>
      <c r="N494" s="3"/>
      <c r="O494" t="s">
        <v>3015</v>
      </c>
      <c r="P494" t="s">
        <v>9</v>
      </c>
      <c r="Q494" s="4">
        <v>0.62003472222222</v>
      </c>
      <c r="R494" t="s">
        <v>5</v>
      </c>
      <c r="S494" t="s">
        <v>4</v>
      </c>
      <c r="T494" t="s">
        <v>2928</v>
      </c>
      <c r="U494" t="s">
        <v>10</v>
      </c>
      <c r="V494" s="5">
        <v>0</v>
      </c>
      <c r="W494" s="5">
        <v>0</v>
      </c>
      <c r="X494" s="2">
        <v>0</v>
      </c>
      <c r="Y494" t="s">
        <v>4</v>
      </c>
      <c r="Z494" t="s">
        <v>4</v>
      </c>
      <c r="AA494" t="s">
        <v>4</v>
      </c>
      <c r="AB494" t="s">
        <v>4</v>
      </c>
    </row>
    <row r="495" spans="1:28" x14ac:dyDescent="0.2">
      <c r="A495" t="s">
        <v>296</v>
      </c>
      <c r="B495" t="s">
        <v>2</v>
      </c>
      <c r="C495" t="s">
        <v>3</v>
      </c>
      <c r="D495" t="s">
        <v>4</v>
      </c>
      <c r="E495" t="s">
        <v>4</v>
      </c>
      <c r="F495" t="s">
        <v>5</v>
      </c>
      <c r="G495" t="s">
        <v>17</v>
      </c>
      <c r="H495" t="s">
        <v>3016</v>
      </c>
      <c r="I495" s="2">
        <v>700</v>
      </c>
      <c r="J495" s="2">
        <v>0</v>
      </c>
      <c r="K495" s="2">
        <v>0</v>
      </c>
      <c r="L495" s="3">
        <v>45859</v>
      </c>
      <c r="M495" s="3">
        <v>45859</v>
      </c>
      <c r="N495" s="3"/>
      <c r="O495" t="s">
        <v>3017</v>
      </c>
      <c r="P495" t="s">
        <v>9</v>
      </c>
      <c r="Q495" s="4">
        <v>0.89608796296296001</v>
      </c>
      <c r="R495" t="s">
        <v>5</v>
      </c>
      <c r="S495" t="s">
        <v>4</v>
      </c>
      <c r="T495" t="s">
        <v>2261</v>
      </c>
      <c r="U495" t="s">
        <v>10</v>
      </c>
      <c r="V495" s="5">
        <v>0</v>
      </c>
      <c r="W495" s="5">
        <v>0</v>
      </c>
      <c r="X495" s="2">
        <v>0</v>
      </c>
      <c r="Y495" t="s">
        <v>4</v>
      </c>
      <c r="Z495" t="s">
        <v>4</v>
      </c>
      <c r="AA495" t="s">
        <v>4</v>
      </c>
      <c r="AB495" t="s">
        <v>4</v>
      </c>
    </row>
    <row r="496" spans="1:28" x14ac:dyDescent="0.2">
      <c r="A496" t="s">
        <v>1541</v>
      </c>
      <c r="B496" t="s">
        <v>2</v>
      </c>
      <c r="C496" t="s">
        <v>3</v>
      </c>
      <c r="D496" t="s">
        <v>4</v>
      </c>
      <c r="E496" t="s">
        <v>4</v>
      </c>
      <c r="F496" t="s">
        <v>5</v>
      </c>
      <c r="G496" t="s">
        <v>6</v>
      </c>
      <c r="H496" t="s">
        <v>3018</v>
      </c>
      <c r="I496" s="2">
        <v>300</v>
      </c>
      <c r="J496" s="2">
        <v>0</v>
      </c>
      <c r="K496" s="2">
        <v>0</v>
      </c>
      <c r="L496" s="3">
        <v>45852</v>
      </c>
      <c r="M496" s="3">
        <v>45852</v>
      </c>
      <c r="N496" s="3"/>
      <c r="O496" t="s">
        <v>3019</v>
      </c>
      <c r="P496" t="s">
        <v>9</v>
      </c>
      <c r="Q496" s="4">
        <v>0.88359953703703997</v>
      </c>
      <c r="R496" t="s">
        <v>5</v>
      </c>
      <c r="S496" t="s">
        <v>4</v>
      </c>
      <c r="T496" t="s">
        <v>2669</v>
      </c>
      <c r="U496" t="s">
        <v>10</v>
      </c>
      <c r="V496" s="5">
        <v>0</v>
      </c>
      <c r="W496" s="5">
        <v>0</v>
      </c>
      <c r="X496" s="2">
        <v>0</v>
      </c>
      <c r="Y496" t="s">
        <v>4</v>
      </c>
      <c r="Z496" t="s">
        <v>4</v>
      </c>
      <c r="AA496" t="s">
        <v>4</v>
      </c>
      <c r="AB496" t="s">
        <v>4</v>
      </c>
    </row>
    <row r="497" spans="1:28" x14ac:dyDescent="0.2">
      <c r="A497" t="s">
        <v>1541</v>
      </c>
      <c r="B497" t="s">
        <v>2</v>
      </c>
      <c r="C497" t="s">
        <v>3</v>
      </c>
      <c r="D497" t="s">
        <v>4</v>
      </c>
      <c r="E497" t="s">
        <v>4</v>
      </c>
      <c r="F497" t="s">
        <v>5</v>
      </c>
      <c r="G497" t="s">
        <v>6</v>
      </c>
      <c r="H497" t="s">
        <v>3018</v>
      </c>
      <c r="I497" s="2">
        <v>240</v>
      </c>
      <c r="J497" s="2">
        <v>0</v>
      </c>
      <c r="K497" s="2">
        <v>0</v>
      </c>
      <c r="L497" s="3">
        <v>45852</v>
      </c>
      <c r="M497" s="3">
        <v>45852</v>
      </c>
      <c r="N497" s="3"/>
      <c r="O497" t="s">
        <v>3020</v>
      </c>
      <c r="P497" t="s">
        <v>9</v>
      </c>
      <c r="Q497" s="4">
        <v>0.88359953703703997</v>
      </c>
      <c r="R497" t="s">
        <v>5</v>
      </c>
      <c r="S497" t="s">
        <v>4</v>
      </c>
      <c r="T497" t="s">
        <v>2669</v>
      </c>
      <c r="U497" t="s">
        <v>10</v>
      </c>
      <c r="V497" s="5">
        <v>0</v>
      </c>
      <c r="W497" s="5">
        <v>0</v>
      </c>
      <c r="X497" s="2">
        <v>0</v>
      </c>
      <c r="Y497" t="s">
        <v>4</v>
      </c>
      <c r="Z497" t="s">
        <v>4</v>
      </c>
      <c r="AA497" t="s">
        <v>4</v>
      </c>
      <c r="AB497" t="s">
        <v>4</v>
      </c>
    </row>
    <row r="498" spans="1:28" x14ac:dyDescent="0.2">
      <c r="A498" t="s">
        <v>1142</v>
      </c>
      <c r="B498" t="s">
        <v>2</v>
      </c>
      <c r="C498" t="s">
        <v>3</v>
      </c>
      <c r="D498" t="s">
        <v>4</v>
      </c>
      <c r="E498" t="s">
        <v>4</v>
      </c>
      <c r="F498" t="s">
        <v>5</v>
      </c>
      <c r="G498" t="s">
        <v>6</v>
      </c>
      <c r="H498" t="s">
        <v>3021</v>
      </c>
      <c r="I498" s="2">
        <v>450</v>
      </c>
      <c r="J498" s="2">
        <v>0</v>
      </c>
      <c r="K498" s="2">
        <v>0</v>
      </c>
      <c r="L498" s="3">
        <v>45686</v>
      </c>
      <c r="M498" s="3">
        <v>45686</v>
      </c>
      <c r="N498" s="3"/>
      <c r="O498" t="s">
        <v>3022</v>
      </c>
      <c r="P498" t="s">
        <v>9</v>
      </c>
      <c r="Q498" s="4">
        <v>0.37771990740741002</v>
      </c>
      <c r="R498" t="s">
        <v>5</v>
      </c>
      <c r="S498" t="s">
        <v>4</v>
      </c>
      <c r="T498" t="s">
        <v>2718</v>
      </c>
      <c r="U498" t="s">
        <v>10</v>
      </c>
      <c r="V498" s="5">
        <v>0</v>
      </c>
      <c r="W498" s="5">
        <v>0</v>
      </c>
      <c r="X498" s="2">
        <v>0</v>
      </c>
      <c r="Y498" t="s">
        <v>4</v>
      </c>
      <c r="Z498" t="s">
        <v>4</v>
      </c>
      <c r="AA498" t="s">
        <v>4</v>
      </c>
      <c r="AB498" t="s">
        <v>4</v>
      </c>
    </row>
    <row r="499" spans="1:28" x14ac:dyDescent="0.2">
      <c r="A499" t="s">
        <v>1142</v>
      </c>
      <c r="B499" t="s">
        <v>2</v>
      </c>
      <c r="C499" t="s">
        <v>3</v>
      </c>
      <c r="D499" t="s">
        <v>4</v>
      </c>
      <c r="E499" t="s">
        <v>4</v>
      </c>
      <c r="F499" t="s">
        <v>5</v>
      </c>
      <c r="G499" t="s">
        <v>6</v>
      </c>
      <c r="H499" t="s">
        <v>3021</v>
      </c>
      <c r="I499" s="2">
        <v>450</v>
      </c>
      <c r="J499" s="2">
        <v>0</v>
      </c>
      <c r="K499" s="2">
        <v>0</v>
      </c>
      <c r="L499" s="3">
        <v>45686</v>
      </c>
      <c r="M499" s="3">
        <v>45686</v>
      </c>
      <c r="N499" s="3"/>
      <c r="O499" t="s">
        <v>3023</v>
      </c>
      <c r="P499" t="s">
        <v>9</v>
      </c>
      <c r="Q499" s="4">
        <v>0.37771990740741002</v>
      </c>
      <c r="R499" t="s">
        <v>5</v>
      </c>
      <c r="S499" t="s">
        <v>4</v>
      </c>
      <c r="T499" t="s">
        <v>2718</v>
      </c>
      <c r="U499" t="s">
        <v>10</v>
      </c>
      <c r="V499" s="5">
        <v>0</v>
      </c>
      <c r="W499" s="5">
        <v>0</v>
      </c>
      <c r="X499" s="2">
        <v>0</v>
      </c>
      <c r="Y499" t="s">
        <v>4</v>
      </c>
      <c r="Z499" t="s">
        <v>4</v>
      </c>
      <c r="AA499" t="s">
        <v>4</v>
      </c>
      <c r="AB499" t="s">
        <v>4</v>
      </c>
    </row>
    <row r="500" spans="1:28" x14ac:dyDescent="0.2">
      <c r="A500" t="s">
        <v>730</v>
      </c>
      <c r="B500" t="s">
        <v>2</v>
      </c>
      <c r="C500" t="s">
        <v>3</v>
      </c>
      <c r="D500" t="s">
        <v>4</v>
      </c>
      <c r="E500" t="s">
        <v>4</v>
      </c>
      <c r="F500" t="s">
        <v>5</v>
      </c>
      <c r="G500" t="s">
        <v>6</v>
      </c>
      <c r="H500" t="s">
        <v>3024</v>
      </c>
      <c r="I500" s="2">
        <v>336</v>
      </c>
      <c r="J500" s="2">
        <v>0</v>
      </c>
      <c r="K500" s="2">
        <v>0</v>
      </c>
      <c r="L500" s="3">
        <v>45857</v>
      </c>
      <c r="M500" s="3">
        <v>45857</v>
      </c>
      <c r="N500" s="3"/>
      <c r="O500" t="s">
        <v>3025</v>
      </c>
      <c r="P500" t="s">
        <v>9</v>
      </c>
      <c r="Q500" s="4">
        <v>0.56307870370369995</v>
      </c>
      <c r="R500" t="s">
        <v>5</v>
      </c>
      <c r="S500" t="s">
        <v>4</v>
      </c>
      <c r="T500" t="s">
        <v>2262</v>
      </c>
      <c r="U500" t="s">
        <v>10</v>
      </c>
      <c r="V500" s="5">
        <v>0</v>
      </c>
      <c r="W500" s="5">
        <v>0</v>
      </c>
      <c r="X500" s="2">
        <v>0</v>
      </c>
      <c r="Y500" t="s">
        <v>4</v>
      </c>
      <c r="Z500" t="s">
        <v>4</v>
      </c>
      <c r="AA500" t="s">
        <v>4</v>
      </c>
      <c r="AB500" t="s">
        <v>4</v>
      </c>
    </row>
    <row r="501" spans="1:28" x14ac:dyDescent="0.2">
      <c r="A501" t="s">
        <v>1998</v>
      </c>
      <c r="B501" t="s">
        <v>2</v>
      </c>
      <c r="C501" t="s">
        <v>3</v>
      </c>
      <c r="D501" t="s">
        <v>4</v>
      </c>
      <c r="E501" t="s">
        <v>4</v>
      </c>
      <c r="F501" t="s">
        <v>5</v>
      </c>
      <c r="G501" t="s">
        <v>6</v>
      </c>
      <c r="H501" t="s">
        <v>3026</v>
      </c>
      <c r="I501" s="2">
        <v>5600</v>
      </c>
      <c r="J501" s="2">
        <v>0</v>
      </c>
      <c r="K501" s="2">
        <v>0</v>
      </c>
      <c r="L501" s="3">
        <v>45839</v>
      </c>
      <c r="M501" s="3">
        <v>45839</v>
      </c>
      <c r="N501" s="3"/>
      <c r="O501" t="s">
        <v>3027</v>
      </c>
      <c r="P501" t="s">
        <v>9</v>
      </c>
      <c r="Q501" s="4">
        <v>0.89445601851851997</v>
      </c>
      <c r="R501" t="s">
        <v>5</v>
      </c>
      <c r="S501" t="s">
        <v>4</v>
      </c>
      <c r="T501" t="s">
        <v>2312</v>
      </c>
      <c r="U501" t="s">
        <v>10</v>
      </c>
      <c r="V501" s="5">
        <v>0</v>
      </c>
      <c r="W501" s="5">
        <v>0</v>
      </c>
      <c r="X501" s="2">
        <v>0</v>
      </c>
      <c r="Y501" t="s">
        <v>4</v>
      </c>
      <c r="Z501" t="s">
        <v>4</v>
      </c>
      <c r="AA501" t="s">
        <v>4</v>
      </c>
      <c r="AB501" t="s">
        <v>4</v>
      </c>
    </row>
    <row r="502" spans="1:28" x14ac:dyDescent="0.2">
      <c r="A502" t="s">
        <v>1998</v>
      </c>
      <c r="B502" t="s">
        <v>2</v>
      </c>
      <c r="C502" t="s">
        <v>3</v>
      </c>
      <c r="D502" t="s">
        <v>4</v>
      </c>
      <c r="E502" t="s">
        <v>4</v>
      </c>
      <c r="F502" t="s">
        <v>5</v>
      </c>
      <c r="G502" t="s">
        <v>6</v>
      </c>
      <c r="H502" t="s">
        <v>3026</v>
      </c>
      <c r="I502" s="2">
        <v>5600</v>
      </c>
      <c r="J502" s="2">
        <v>0</v>
      </c>
      <c r="K502" s="2">
        <v>0</v>
      </c>
      <c r="L502" s="3">
        <v>45839</v>
      </c>
      <c r="M502" s="3">
        <v>45839</v>
      </c>
      <c r="N502" s="3"/>
      <c r="O502" t="s">
        <v>3028</v>
      </c>
      <c r="P502" t="s">
        <v>9</v>
      </c>
      <c r="Q502" s="4">
        <v>0.89445601851851997</v>
      </c>
      <c r="R502" t="s">
        <v>5</v>
      </c>
      <c r="S502" t="s">
        <v>4</v>
      </c>
      <c r="T502" t="s">
        <v>2312</v>
      </c>
      <c r="U502" t="s">
        <v>10</v>
      </c>
      <c r="V502" s="5">
        <v>0</v>
      </c>
      <c r="W502" s="5">
        <v>0</v>
      </c>
      <c r="X502" s="2">
        <v>0</v>
      </c>
      <c r="Y502" t="s">
        <v>4</v>
      </c>
      <c r="Z502" t="s">
        <v>4</v>
      </c>
      <c r="AA502" t="s">
        <v>4</v>
      </c>
      <c r="AB502" t="s">
        <v>4</v>
      </c>
    </row>
    <row r="503" spans="1:28" x14ac:dyDescent="0.2">
      <c r="A503" t="s">
        <v>2076</v>
      </c>
      <c r="B503" t="s">
        <v>2</v>
      </c>
      <c r="C503" t="s">
        <v>3</v>
      </c>
      <c r="D503" t="s">
        <v>4</v>
      </c>
      <c r="E503" t="s">
        <v>4</v>
      </c>
      <c r="F503" t="s">
        <v>5</v>
      </c>
      <c r="G503" t="s">
        <v>6</v>
      </c>
      <c r="H503" t="s">
        <v>3029</v>
      </c>
      <c r="I503" s="2">
        <v>3750</v>
      </c>
      <c r="J503" s="2">
        <v>0</v>
      </c>
      <c r="K503" s="2">
        <v>0</v>
      </c>
      <c r="L503" s="3">
        <v>45848</v>
      </c>
      <c r="M503" s="3">
        <v>45848</v>
      </c>
      <c r="N503" s="3"/>
      <c r="O503" t="s">
        <v>3030</v>
      </c>
      <c r="P503" t="s">
        <v>9</v>
      </c>
      <c r="Q503" s="4">
        <v>0.63373842592592999</v>
      </c>
      <c r="R503" t="s">
        <v>5</v>
      </c>
      <c r="S503" t="s">
        <v>4</v>
      </c>
      <c r="T503" t="s">
        <v>2580</v>
      </c>
      <c r="U503" t="s">
        <v>10</v>
      </c>
      <c r="V503" s="5">
        <v>0</v>
      </c>
      <c r="W503" s="5">
        <v>0</v>
      </c>
      <c r="X503" s="2">
        <v>0</v>
      </c>
      <c r="Y503" t="s">
        <v>4</v>
      </c>
      <c r="Z503" t="s">
        <v>4</v>
      </c>
      <c r="AA503" t="s">
        <v>4</v>
      </c>
      <c r="AB503" t="s">
        <v>4</v>
      </c>
    </row>
    <row r="504" spans="1:28" x14ac:dyDescent="0.2">
      <c r="A504" t="s">
        <v>2076</v>
      </c>
      <c r="B504" t="s">
        <v>2</v>
      </c>
      <c r="C504" t="s">
        <v>3</v>
      </c>
      <c r="D504" t="s">
        <v>4</v>
      </c>
      <c r="E504" t="s">
        <v>4</v>
      </c>
      <c r="F504" t="s">
        <v>5</v>
      </c>
      <c r="G504" t="s">
        <v>6</v>
      </c>
      <c r="H504" t="s">
        <v>3029</v>
      </c>
      <c r="I504" s="2">
        <v>3250</v>
      </c>
      <c r="J504" s="2">
        <v>0</v>
      </c>
      <c r="K504" s="2">
        <v>0</v>
      </c>
      <c r="L504" s="3">
        <v>45848</v>
      </c>
      <c r="M504" s="3">
        <v>45848</v>
      </c>
      <c r="N504" s="3"/>
      <c r="O504" t="s">
        <v>3031</v>
      </c>
      <c r="P504" t="s">
        <v>9</v>
      </c>
      <c r="Q504" s="4">
        <v>0.63373842592592999</v>
      </c>
      <c r="R504" t="s">
        <v>5</v>
      </c>
      <c r="S504" t="s">
        <v>4</v>
      </c>
      <c r="T504" t="s">
        <v>2580</v>
      </c>
      <c r="U504" t="s">
        <v>10</v>
      </c>
      <c r="V504" s="5">
        <v>0</v>
      </c>
      <c r="W504" s="5">
        <v>0</v>
      </c>
      <c r="X504" s="2">
        <v>0</v>
      </c>
      <c r="Y504" t="s">
        <v>4</v>
      </c>
      <c r="Z504" t="s">
        <v>4</v>
      </c>
      <c r="AA504" t="s">
        <v>4</v>
      </c>
      <c r="AB504" t="s">
        <v>4</v>
      </c>
    </row>
    <row r="505" spans="1:28" x14ac:dyDescent="0.2">
      <c r="A505" t="s">
        <v>641</v>
      </c>
      <c r="B505" t="s">
        <v>2</v>
      </c>
      <c r="C505" t="s">
        <v>3</v>
      </c>
      <c r="D505" t="s">
        <v>4</v>
      </c>
      <c r="E505" t="s">
        <v>4</v>
      </c>
      <c r="F505" t="s">
        <v>5</v>
      </c>
      <c r="G505" t="s">
        <v>6</v>
      </c>
      <c r="H505" t="s">
        <v>3032</v>
      </c>
      <c r="I505" s="2">
        <v>2304</v>
      </c>
      <c r="J505" s="2">
        <v>0</v>
      </c>
      <c r="K505" s="2">
        <v>0</v>
      </c>
      <c r="L505" s="3">
        <v>45858</v>
      </c>
      <c r="M505" s="3">
        <v>45858</v>
      </c>
      <c r="N505" s="3"/>
      <c r="O505" t="s">
        <v>3033</v>
      </c>
      <c r="P505" t="s">
        <v>9</v>
      </c>
      <c r="Q505" s="4">
        <v>0.54271990740741005</v>
      </c>
      <c r="R505" t="s">
        <v>5</v>
      </c>
      <c r="S505" t="s">
        <v>4</v>
      </c>
      <c r="T505" t="s">
        <v>2337</v>
      </c>
      <c r="U505" t="s">
        <v>10</v>
      </c>
      <c r="V505" s="5">
        <v>0</v>
      </c>
      <c r="W505" s="5">
        <v>0</v>
      </c>
      <c r="X505" s="2">
        <v>0</v>
      </c>
      <c r="Y505" t="s">
        <v>4</v>
      </c>
      <c r="Z505" t="s">
        <v>4</v>
      </c>
      <c r="AA505" t="s">
        <v>4</v>
      </c>
      <c r="AB505" t="s">
        <v>4</v>
      </c>
    </row>
    <row r="506" spans="1:28" x14ac:dyDescent="0.2">
      <c r="A506" t="s">
        <v>662</v>
      </c>
      <c r="B506" t="s">
        <v>2</v>
      </c>
      <c r="C506" t="s">
        <v>3</v>
      </c>
      <c r="D506" t="s">
        <v>4</v>
      </c>
      <c r="E506" t="s">
        <v>4</v>
      </c>
      <c r="F506" t="s">
        <v>5</v>
      </c>
      <c r="G506" t="s">
        <v>6</v>
      </c>
      <c r="H506" t="s">
        <v>3034</v>
      </c>
      <c r="I506" s="2">
        <v>270</v>
      </c>
      <c r="J506" s="2">
        <v>0</v>
      </c>
      <c r="K506" s="2">
        <v>0</v>
      </c>
      <c r="L506" s="3">
        <v>45857</v>
      </c>
      <c r="M506" s="3">
        <v>45857</v>
      </c>
      <c r="N506" s="3"/>
      <c r="O506" t="s">
        <v>3035</v>
      </c>
      <c r="P506" t="s">
        <v>9</v>
      </c>
      <c r="Q506" s="4">
        <v>0.50480324074074001</v>
      </c>
      <c r="R506" t="s">
        <v>5</v>
      </c>
      <c r="S506" t="s">
        <v>4</v>
      </c>
      <c r="T506" t="s">
        <v>2262</v>
      </c>
      <c r="U506" t="s">
        <v>10</v>
      </c>
      <c r="V506" s="5">
        <v>0</v>
      </c>
      <c r="W506" s="5">
        <v>0</v>
      </c>
      <c r="X506" s="2">
        <v>0</v>
      </c>
      <c r="Y506" t="s">
        <v>4</v>
      </c>
      <c r="Z506" t="s">
        <v>4</v>
      </c>
      <c r="AA506" t="s">
        <v>4</v>
      </c>
      <c r="AB506" t="s">
        <v>4</v>
      </c>
    </row>
    <row r="507" spans="1:28" x14ac:dyDescent="0.2">
      <c r="A507" t="s">
        <v>662</v>
      </c>
      <c r="B507" t="s">
        <v>2</v>
      </c>
      <c r="C507" t="s">
        <v>3</v>
      </c>
      <c r="D507" t="s">
        <v>4</v>
      </c>
      <c r="E507" t="s">
        <v>4</v>
      </c>
      <c r="F507" t="s">
        <v>5</v>
      </c>
      <c r="G507" t="s">
        <v>6</v>
      </c>
      <c r="H507" t="s">
        <v>3034</v>
      </c>
      <c r="I507" s="2">
        <v>126</v>
      </c>
      <c r="J507" s="2">
        <v>0</v>
      </c>
      <c r="K507" s="2">
        <v>0</v>
      </c>
      <c r="L507" s="3">
        <v>45857</v>
      </c>
      <c r="M507" s="3">
        <v>45857</v>
      </c>
      <c r="N507" s="3"/>
      <c r="O507" t="s">
        <v>3036</v>
      </c>
      <c r="P507" t="s">
        <v>9</v>
      </c>
      <c r="Q507" s="4">
        <v>0.50480324074074001</v>
      </c>
      <c r="R507" t="s">
        <v>5</v>
      </c>
      <c r="S507" t="s">
        <v>4</v>
      </c>
      <c r="T507" t="s">
        <v>2262</v>
      </c>
      <c r="U507" t="s">
        <v>10</v>
      </c>
      <c r="V507" s="5">
        <v>0</v>
      </c>
      <c r="W507" s="5">
        <v>0</v>
      </c>
      <c r="X507" s="2">
        <v>0</v>
      </c>
      <c r="Y507" t="s">
        <v>4</v>
      </c>
      <c r="Z507" t="s">
        <v>4</v>
      </c>
      <c r="AA507" t="s">
        <v>4</v>
      </c>
      <c r="AB507" t="s">
        <v>4</v>
      </c>
    </row>
    <row r="508" spans="1:28" x14ac:dyDescent="0.2">
      <c r="A508" t="s">
        <v>1139</v>
      </c>
      <c r="B508" t="s">
        <v>2</v>
      </c>
      <c r="C508" t="s">
        <v>3</v>
      </c>
      <c r="D508" t="s">
        <v>4</v>
      </c>
      <c r="E508" t="s">
        <v>4</v>
      </c>
      <c r="F508" t="s">
        <v>5</v>
      </c>
      <c r="G508" t="s">
        <v>21</v>
      </c>
      <c r="H508" t="s">
        <v>3037</v>
      </c>
      <c r="I508" s="2">
        <v>432</v>
      </c>
      <c r="J508" s="2">
        <v>0</v>
      </c>
      <c r="K508" s="2">
        <v>0</v>
      </c>
      <c r="L508" s="3">
        <v>45832</v>
      </c>
      <c r="M508" s="3">
        <v>45832</v>
      </c>
      <c r="N508" s="3"/>
      <c r="O508" t="s">
        <v>3038</v>
      </c>
      <c r="P508" t="s">
        <v>9</v>
      </c>
      <c r="Q508" s="4">
        <v>0.80850694444444005</v>
      </c>
      <c r="R508" t="s">
        <v>5</v>
      </c>
      <c r="S508" t="s">
        <v>4</v>
      </c>
      <c r="T508" t="s">
        <v>2665</v>
      </c>
      <c r="U508" t="s">
        <v>10</v>
      </c>
      <c r="V508" s="5">
        <v>0</v>
      </c>
      <c r="W508" s="5">
        <v>0</v>
      </c>
      <c r="X508" s="2">
        <v>0</v>
      </c>
      <c r="Y508" t="s">
        <v>4</v>
      </c>
      <c r="Z508" t="s">
        <v>4</v>
      </c>
      <c r="AA508" t="s">
        <v>4</v>
      </c>
      <c r="AB508" t="s">
        <v>4</v>
      </c>
    </row>
    <row r="509" spans="1:28" x14ac:dyDescent="0.2">
      <c r="A509" t="s">
        <v>1278</v>
      </c>
      <c r="B509" t="s">
        <v>2</v>
      </c>
      <c r="C509" t="s">
        <v>3</v>
      </c>
      <c r="D509" t="s">
        <v>4</v>
      </c>
      <c r="E509" t="s">
        <v>4</v>
      </c>
      <c r="F509" t="s">
        <v>5</v>
      </c>
      <c r="G509" t="s">
        <v>6</v>
      </c>
      <c r="H509" t="s">
        <v>3039</v>
      </c>
      <c r="I509" s="2">
        <v>10800</v>
      </c>
      <c r="J509" s="2">
        <v>0</v>
      </c>
      <c r="K509" s="2">
        <v>0</v>
      </c>
      <c r="L509" s="3">
        <v>45857</v>
      </c>
      <c r="M509" s="3">
        <v>45857</v>
      </c>
      <c r="N509" s="3"/>
      <c r="O509" t="s">
        <v>3040</v>
      </c>
      <c r="P509" t="s">
        <v>9</v>
      </c>
      <c r="Q509" s="4">
        <v>0.49890046296295998</v>
      </c>
      <c r="R509" t="s">
        <v>5</v>
      </c>
      <c r="S509" t="s">
        <v>4</v>
      </c>
      <c r="T509" t="s">
        <v>2262</v>
      </c>
      <c r="U509" t="s">
        <v>10</v>
      </c>
      <c r="V509" s="5">
        <v>0</v>
      </c>
      <c r="W509" s="5">
        <v>0</v>
      </c>
      <c r="X509" s="2">
        <v>0</v>
      </c>
      <c r="Y509" t="s">
        <v>4</v>
      </c>
      <c r="Z509" t="s">
        <v>4</v>
      </c>
      <c r="AA509" t="s">
        <v>4</v>
      </c>
      <c r="AB509" t="s">
        <v>4</v>
      </c>
    </row>
    <row r="510" spans="1:28" x14ac:dyDescent="0.2">
      <c r="A510" t="s">
        <v>1139</v>
      </c>
      <c r="B510" t="s">
        <v>2</v>
      </c>
      <c r="C510" t="s">
        <v>3</v>
      </c>
      <c r="D510" t="s">
        <v>4</v>
      </c>
      <c r="E510" t="s">
        <v>4</v>
      </c>
      <c r="F510" t="s">
        <v>5</v>
      </c>
      <c r="G510" t="s">
        <v>21</v>
      </c>
      <c r="H510" t="s">
        <v>3041</v>
      </c>
      <c r="I510" s="2">
        <v>432</v>
      </c>
      <c r="J510" s="2">
        <v>0</v>
      </c>
      <c r="K510" s="2">
        <v>0</v>
      </c>
      <c r="L510" s="3">
        <v>45832</v>
      </c>
      <c r="M510" s="3">
        <v>45832</v>
      </c>
      <c r="N510" s="3"/>
      <c r="O510" t="s">
        <v>3042</v>
      </c>
      <c r="P510" t="s">
        <v>9</v>
      </c>
      <c r="Q510" s="4">
        <v>0.46943287037037001</v>
      </c>
      <c r="R510" t="s">
        <v>5</v>
      </c>
      <c r="S510" t="s">
        <v>4</v>
      </c>
      <c r="T510" t="s">
        <v>2665</v>
      </c>
      <c r="U510" t="s">
        <v>10</v>
      </c>
      <c r="V510" s="5">
        <v>0</v>
      </c>
      <c r="W510" s="5">
        <v>0</v>
      </c>
      <c r="X510" s="2">
        <v>0</v>
      </c>
      <c r="Y510" t="s">
        <v>4</v>
      </c>
      <c r="Z510" t="s">
        <v>4</v>
      </c>
      <c r="AA510" t="s">
        <v>4</v>
      </c>
      <c r="AB510" t="s">
        <v>4</v>
      </c>
    </row>
    <row r="511" spans="1:28" x14ac:dyDescent="0.2">
      <c r="A511" t="s">
        <v>1139</v>
      </c>
      <c r="B511" t="s">
        <v>2</v>
      </c>
      <c r="C511" t="s">
        <v>3</v>
      </c>
      <c r="D511" t="s">
        <v>4</v>
      </c>
      <c r="E511" t="s">
        <v>4</v>
      </c>
      <c r="F511" t="s">
        <v>5</v>
      </c>
      <c r="G511" t="s">
        <v>21</v>
      </c>
      <c r="H511" t="s">
        <v>3041</v>
      </c>
      <c r="I511" s="2">
        <v>432</v>
      </c>
      <c r="J511" s="2">
        <v>0</v>
      </c>
      <c r="K511" s="2">
        <v>0</v>
      </c>
      <c r="L511" s="3">
        <v>45832</v>
      </c>
      <c r="M511" s="3">
        <v>45832</v>
      </c>
      <c r="N511" s="3"/>
      <c r="O511" t="s">
        <v>3043</v>
      </c>
      <c r="P511" t="s">
        <v>9</v>
      </c>
      <c r="Q511" s="4">
        <v>0.46943287037037001</v>
      </c>
      <c r="R511" t="s">
        <v>5</v>
      </c>
      <c r="S511" t="s">
        <v>4</v>
      </c>
      <c r="T511" t="s">
        <v>2665</v>
      </c>
      <c r="U511" t="s">
        <v>10</v>
      </c>
      <c r="V511" s="5">
        <v>0</v>
      </c>
      <c r="W511" s="5">
        <v>0</v>
      </c>
      <c r="X511" s="2">
        <v>0</v>
      </c>
      <c r="Y511" t="s">
        <v>4</v>
      </c>
      <c r="Z511" t="s">
        <v>4</v>
      </c>
      <c r="AA511" t="s">
        <v>4</v>
      </c>
      <c r="AB511" t="s">
        <v>4</v>
      </c>
    </row>
    <row r="512" spans="1:28" x14ac:dyDescent="0.2">
      <c r="A512" t="s">
        <v>1462</v>
      </c>
      <c r="B512" t="s">
        <v>2</v>
      </c>
      <c r="C512" t="s">
        <v>3</v>
      </c>
      <c r="D512" t="s">
        <v>4</v>
      </c>
      <c r="E512" t="s">
        <v>4</v>
      </c>
      <c r="F512" t="s">
        <v>5</v>
      </c>
      <c r="G512" t="s">
        <v>17</v>
      </c>
      <c r="H512" t="s">
        <v>3044</v>
      </c>
      <c r="I512" s="2">
        <v>72</v>
      </c>
      <c r="J512" s="2">
        <v>0</v>
      </c>
      <c r="K512" s="2">
        <v>0</v>
      </c>
      <c r="L512" s="3">
        <v>45845</v>
      </c>
      <c r="M512" s="3">
        <v>45845</v>
      </c>
      <c r="N512" s="3"/>
      <c r="O512" t="s">
        <v>3045</v>
      </c>
      <c r="P512" t="s">
        <v>9</v>
      </c>
      <c r="Q512" s="4">
        <v>0.65388888888888996</v>
      </c>
      <c r="R512" t="s">
        <v>5</v>
      </c>
      <c r="S512" t="s">
        <v>4</v>
      </c>
      <c r="T512" t="s">
        <v>2701</v>
      </c>
      <c r="U512" t="s">
        <v>10</v>
      </c>
      <c r="V512" s="5">
        <v>0</v>
      </c>
      <c r="W512" s="5">
        <v>0</v>
      </c>
      <c r="X512" s="2">
        <v>0</v>
      </c>
      <c r="Y512" t="s">
        <v>4</v>
      </c>
      <c r="Z512" t="s">
        <v>4</v>
      </c>
      <c r="AA512" t="s">
        <v>4</v>
      </c>
      <c r="AB512" t="s">
        <v>4</v>
      </c>
    </row>
    <row r="513" spans="1:28" x14ac:dyDescent="0.2">
      <c r="A513" t="s">
        <v>1462</v>
      </c>
      <c r="B513" t="s">
        <v>2</v>
      </c>
      <c r="C513" t="s">
        <v>3</v>
      </c>
      <c r="D513" t="s">
        <v>4</v>
      </c>
      <c r="E513" t="s">
        <v>4</v>
      </c>
      <c r="F513" t="s">
        <v>5</v>
      </c>
      <c r="G513" t="s">
        <v>17</v>
      </c>
      <c r="H513" t="s">
        <v>3044</v>
      </c>
      <c r="I513" s="2">
        <v>31</v>
      </c>
      <c r="J513" s="2">
        <v>0</v>
      </c>
      <c r="K513" s="2">
        <v>0</v>
      </c>
      <c r="L513" s="3">
        <v>45851</v>
      </c>
      <c r="M513" s="3">
        <v>45851</v>
      </c>
      <c r="N513" s="3"/>
      <c r="O513" t="s">
        <v>3046</v>
      </c>
      <c r="P513" t="s">
        <v>9</v>
      </c>
      <c r="Q513" s="4">
        <v>0.65388888888888996</v>
      </c>
      <c r="R513" t="s">
        <v>5</v>
      </c>
      <c r="S513" t="s">
        <v>4</v>
      </c>
      <c r="T513" t="s">
        <v>2747</v>
      </c>
      <c r="U513" t="s">
        <v>10</v>
      </c>
      <c r="V513" s="5">
        <v>0</v>
      </c>
      <c r="W513" s="5">
        <v>0</v>
      </c>
      <c r="X513" s="2">
        <v>0</v>
      </c>
      <c r="Y513" t="s">
        <v>4</v>
      </c>
      <c r="Z513" t="s">
        <v>4</v>
      </c>
      <c r="AA513" t="s">
        <v>4</v>
      </c>
      <c r="AB513" t="s">
        <v>4</v>
      </c>
    </row>
    <row r="514" spans="1:28" x14ac:dyDescent="0.2">
      <c r="A514" t="s">
        <v>1462</v>
      </c>
      <c r="B514" t="s">
        <v>2</v>
      </c>
      <c r="C514" t="s">
        <v>3</v>
      </c>
      <c r="D514" t="s">
        <v>4</v>
      </c>
      <c r="E514" t="s">
        <v>4</v>
      </c>
      <c r="F514" t="s">
        <v>5</v>
      </c>
      <c r="G514" t="s">
        <v>17</v>
      </c>
      <c r="H514" t="s">
        <v>3047</v>
      </c>
      <c r="I514" s="2">
        <v>72</v>
      </c>
      <c r="J514" s="2">
        <v>0</v>
      </c>
      <c r="K514" s="2">
        <v>0</v>
      </c>
      <c r="L514" s="3">
        <v>45845</v>
      </c>
      <c r="M514" s="3">
        <v>45845</v>
      </c>
      <c r="N514" s="3"/>
      <c r="O514" t="s">
        <v>3048</v>
      </c>
      <c r="P514" t="s">
        <v>9</v>
      </c>
      <c r="Q514" s="4">
        <v>0.87538194444443995</v>
      </c>
      <c r="R514" t="s">
        <v>5</v>
      </c>
      <c r="S514" t="s">
        <v>4</v>
      </c>
      <c r="T514" t="s">
        <v>2701</v>
      </c>
      <c r="U514" t="s">
        <v>10</v>
      </c>
      <c r="V514" s="5">
        <v>0</v>
      </c>
      <c r="W514" s="5">
        <v>0</v>
      </c>
      <c r="X514" s="2">
        <v>0</v>
      </c>
      <c r="Y514" t="s">
        <v>4</v>
      </c>
      <c r="Z514" t="s">
        <v>4</v>
      </c>
      <c r="AA514" t="s">
        <v>4</v>
      </c>
      <c r="AB514" t="s">
        <v>4</v>
      </c>
    </row>
    <row r="515" spans="1:28" x14ac:dyDescent="0.2">
      <c r="A515" t="s">
        <v>1462</v>
      </c>
      <c r="B515" t="s">
        <v>2</v>
      </c>
      <c r="C515" t="s">
        <v>3</v>
      </c>
      <c r="D515" t="s">
        <v>4</v>
      </c>
      <c r="E515" t="s">
        <v>4</v>
      </c>
      <c r="F515" t="s">
        <v>5</v>
      </c>
      <c r="G515" t="s">
        <v>17</v>
      </c>
      <c r="H515" t="s">
        <v>3047</v>
      </c>
      <c r="I515" s="2">
        <v>72</v>
      </c>
      <c r="J515" s="2">
        <v>0</v>
      </c>
      <c r="K515" s="2">
        <v>0</v>
      </c>
      <c r="L515" s="3">
        <v>45845</v>
      </c>
      <c r="M515" s="3">
        <v>45845</v>
      </c>
      <c r="N515" s="3"/>
      <c r="O515" t="s">
        <v>3049</v>
      </c>
      <c r="P515" t="s">
        <v>9</v>
      </c>
      <c r="Q515" s="4">
        <v>0.87538194444443995</v>
      </c>
      <c r="R515" t="s">
        <v>5</v>
      </c>
      <c r="S515" t="s">
        <v>4</v>
      </c>
      <c r="T515" t="s">
        <v>2701</v>
      </c>
      <c r="U515" t="s">
        <v>10</v>
      </c>
      <c r="V515" s="5">
        <v>0</v>
      </c>
      <c r="W515" s="5">
        <v>0</v>
      </c>
      <c r="X515" s="2">
        <v>0</v>
      </c>
      <c r="Y515" t="s">
        <v>4</v>
      </c>
      <c r="Z515" t="s">
        <v>4</v>
      </c>
      <c r="AA515" t="s">
        <v>4</v>
      </c>
      <c r="AB515" t="s">
        <v>4</v>
      </c>
    </row>
    <row r="516" spans="1:28" x14ac:dyDescent="0.2">
      <c r="A516" t="s">
        <v>2251</v>
      </c>
      <c r="B516" t="s">
        <v>4</v>
      </c>
      <c r="C516" t="s">
        <v>4</v>
      </c>
      <c r="D516" t="s">
        <v>4</v>
      </c>
      <c r="E516" t="s">
        <v>4</v>
      </c>
      <c r="F516" t="s">
        <v>5</v>
      </c>
      <c r="G516" t="s">
        <v>17</v>
      </c>
      <c r="H516" t="s">
        <v>3050</v>
      </c>
      <c r="I516" s="5">
        <v>0</v>
      </c>
      <c r="J516" s="5">
        <v>0</v>
      </c>
      <c r="K516" s="5">
        <v>0</v>
      </c>
      <c r="L516" s="3"/>
      <c r="M516" s="3"/>
      <c r="N516" s="3"/>
      <c r="O516" t="s">
        <v>4</v>
      </c>
      <c r="P516" t="s">
        <v>9</v>
      </c>
      <c r="Q516" s="4">
        <v>0.47589120370370003</v>
      </c>
      <c r="R516" t="s">
        <v>4</v>
      </c>
      <c r="S516" t="s">
        <v>4</v>
      </c>
      <c r="T516" t="s">
        <v>2256</v>
      </c>
      <c r="U516" t="s">
        <v>4</v>
      </c>
      <c r="V516" s="5">
        <v>0</v>
      </c>
      <c r="W516" s="5">
        <v>0</v>
      </c>
      <c r="X516" s="2">
        <v>0</v>
      </c>
      <c r="Y516" t="s">
        <v>4</v>
      </c>
      <c r="Z516" t="s">
        <v>4</v>
      </c>
      <c r="AA516" t="s">
        <v>4</v>
      </c>
      <c r="AB516" t="s">
        <v>4</v>
      </c>
    </row>
    <row r="517" spans="1:28" x14ac:dyDescent="0.2">
      <c r="A517" t="s">
        <v>285</v>
      </c>
      <c r="B517" t="s">
        <v>2</v>
      </c>
      <c r="C517" t="s">
        <v>3</v>
      </c>
      <c r="D517" t="s">
        <v>4</v>
      </c>
      <c r="E517" t="s">
        <v>4</v>
      </c>
      <c r="F517" t="s">
        <v>5</v>
      </c>
      <c r="G517" t="s">
        <v>17</v>
      </c>
      <c r="H517" t="s">
        <v>3051</v>
      </c>
      <c r="I517" s="2">
        <v>30</v>
      </c>
      <c r="J517" s="2">
        <v>0</v>
      </c>
      <c r="K517" s="2">
        <v>0</v>
      </c>
      <c r="L517" s="3">
        <v>45835</v>
      </c>
      <c r="M517" s="3">
        <v>45835</v>
      </c>
      <c r="N517" s="3"/>
      <c r="O517" t="s">
        <v>3052</v>
      </c>
      <c r="P517" t="s">
        <v>9</v>
      </c>
      <c r="Q517" s="4">
        <v>0.62067129629630002</v>
      </c>
      <c r="R517" t="s">
        <v>5</v>
      </c>
      <c r="S517" t="s">
        <v>4</v>
      </c>
      <c r="T517" t="s">
        <v>2928</v>
      </c>
      <c r="U517" t="s">
        <v>10</v>
      </c>
      <c r="V517" s="5">
        <v>0</v>
      </c>
      <c r="W517" s="5">
        <v>0</v>
      </c>
      <c r="X517" s="2">
        <v>0</v>
      </c>
      <c r="Y517" t="s">
        <v>4</v>
      </c>
      <c r="Z517" t="s">
        <v>4</v>
      </c>
      <c r="AA517" t="s">
        <v>4</v>
      </c>
      <c r="AB517" t="s">
        <v>4</v>
      </c>
    </row>
    <row r="518" spans="1:28" x14ac:dyDescent="0.2">
      <c r="A518" t="s">
        <v>285</v>
      </c>
      <c r="B518" t="s">
        <v>2</v>
      </c>
      <c r="C518" t="s">
        <v>3</v>
      </c>
      <c r="D518" t="s">
        <v>4</v>
      </c>
      <c r="E518" t="s">
        <v>4</v>
      </c>
      <c r="F518" t="s">
        <v>5</v>
      </c>
      <c r="G518" t="s">
        <v>17</v>
      </c>
      <c r="H518" t="s">
        <v>3051</v>
      </c>
      <c r="I518" s="2">
        <v>30</v>
      </c>
      <c r="J518" s="2">
        <v>0</v>
      </c>
      <c r="K518" s="2">
        <v>0</v>
      </c>
      <c r="L518" s="3">
        <v>45835</v>
      </c>
      <c r="M518" s="3">
        <v>45835</v>
      </c>
      <c r="N518" s="3"/>
      <c r="O518" t="s">
        <v>3053</v>
      </c>
      <c r="P518" t="s">
        <v>9</v>
      </c>
      <c r="Q518" s="4">
        <v>0.62067129629630002</v>
      </c>
      <c r="R518" t="s">
        <v>5</v>
      </c>
      <c r="S518" t="s">
        <v>4</v>
      </c>
      <c r="T518" t="s">
        <v>2928</v>
      </c>
      <c r="U518" t="s">
        <v>10</v>
      </c>
      <c r="V518" s="5">
        <v>0</v>
      </c>
      <c r="W518" s="5">
        <v>0</v>
      </c>
      <c r="X518" s="2">
        <v>0</v>
      </c>
      <c r="Y518" t="s">
        <v>4</v>
      </c>
      <c r="Z518" t="s">
        <v>4</v>
      </c>
      <c r="AA518" t="s">
        <v>4</v>
      </c>
      <c r="AB518" t="s">
        <v>4</v>
      </c>
    </row>
    <row r="519" spans="1:28" x14ac:dyDescent="0.2">
      <c r="A519" t="s">
        <v>491</v>
      </c>
      <c r="B519" t="s">
        <v>2</v>
      </c>
      <c r="C519" t="s">
        <v>3</v>
      </c>
      <c r="D519" t="s">
        <v>4</v>
      </c>
      <c r="E519" t="s">
        <v>4</v>
      </c>
      <c r="F519" t="s">
        <v>5</v>
      </c>
      <c r="G519" t="s">
        <v>17</v>
      </c>
      <c r="H519" t="s">
        <v>3054</v>
      </c>
      <c r="I519" s="2">
        <v>2160</v>
      </c>
      <c r="J519" s="2">
        <v>0</v>
      </c>
      <c r="K519" s="2">
        <v>0</v>
      </c>
      <c r="L519" s="3">
        <v>45859</v>
      </c>
      <c r="M519" s="3">
        <v>45859</v>
      </c>
      <c r="N519" s="3"/>
      <c r="O519" t="s">
        <v>3055</v>
      </c>
      <c r="P519" t="s">
        <v>9</v>
      </c>
      <c r="Q519" s="4">
        <v>0.82358796296296</v>
      </c>
      <c r="R519" t="s">
        <v>5</v>
      </c>
      <c r="S519" t="s">
        <v>4</v>
      </c>
      <c r="T519" t="s">
        <v>2261</v>
      </c>
      <c r="U519" t="s">
        <v>10</v>
      </c>
      <c r="V519" s="5">
        <v>0</v>
      </c>
      <c r="W519" s="5">
        <v>0</v>
      </c>
      <c r="X519" s="2">
        <v>0</v>
      </c>
      <c r="Y519" t="s">
        <v>4</v>
      </c>
      <c r="Z519" t="s">
        <v>4</v>
      </c>
      <c r="AA519" t="s">
        <v>4</v>
      </c>
      <c r="AB519" t="s">
        <v>4</v>
      </c>
    </row>
    <row r="520" spans="1:28" x14ac:dyDescent="0.2">
      <c r="A520" t="s">
        <v>491</v>
      </c>
      <c r="B520" t="s">
        <v>2</v>
      </c>
      <c r="C520" t="s">
        <v>3</v>
      </c>
      <c r="D520" t="s">
        <v>4</v>
      </c>
      <c r="E520" t="s">
        <v>4</v>
      </c>
      <c r="F520" t="s">
        <v>5</v>
      </c>
      <c r="G520" t="s">
        <v>17</v>
      </c>
      <c r="H520" t="s">
        <v>3054</v>
      </c>
      <c r="I520" s="2">
        <v>2160</v>
      </c>
      <c r="J520" s="2">
        <v>0</v>
      </c>
      <c r="K520" s="2">
        <v>0</v>
      </c>
      <c r="L520" s="3">
        <v>45859</v>
      </c>
      <c r="M520" s="3">
        <v>45859</v>
      </c>
      <c r="N520" s="3"/>
      <c r="O520" t="s">
        <v>3056</v>
      </c>
      <c r="P520" t="s">
        <v>9</v>
      </c>
      <c r="Q520" s="4">
        <v>0.82358796296296</v>
      </c>
      <c r="R520" t="s">
        <v>5</v>
      </c>
      <c r="S520" t="s">
        <v>4</v>
      </c>
      <c r="T520" t="s">
        <v>2261</v>
      </c>
      <c r="U520" t="s">
        <v>10</v>
      </c>
      <c r="V520" s="5">
        <v>0</v>
      </c>
      <c r="W520" s="5">
        <v>0</v>
      </c>
      <c r="X520" s="2">
        <v>0</v>
      </c>
      <c r="Y520" t="s">
        <v>4</v>
      </c>
      <c r="Z520" t="s">
        <v>4</v>
      </c>
      <c r="AA520" t="s">
        <v>4</v>
      </c>
      <c r="AB520" t="s">
        <v>4</v>
      </c>
    </row>
    <row r="521" spans="1:28" x14ac:dyDescent="0.2">
      <c r="A521" t="s">
        <v>1203</v>
      </c>
      <c r="B521" t="s">
        <v>2</v>
      </c>
      <c r="C521" t="s">
        <v>3</v>
      </c>
      <c r="D521" t="s">
        <v>4</v>
      </c>
      <c r="E521" t="s">
        <v>4</v>
      </c>
      <c r="F521" t="s">
        <v>5</v>
      </c>
      <c r="G521" t="s">
        <v>17</v>
      </c>
      <c r="H521" t="s">
        <v>3057</v>
      </c>
      <c r="I521" s="2">
        <v>1200</v>
      </c>
      <c r="J521" s="2">
        <v>0</v>
      </c>
      <c r="K521" s="2">
        <v>0</v>
      </c>
      <c r="L521" s="3">
        <v>45506</v>
      </c>
      <c r="M521" s="3">
        <v>45506</v>
      </c>
      <c r="N521" s="3"/>
      <c r="O521" t="s">
        <v>3058</v>
      </c>
      <c r="P521" t="s">
        <v>9</v>
      </c>
      <c r="Q521" s="4">
        <v>0.60221064814814995</v>
      </c>
      <c r="R521" t="s">
        <v>5</v>
      </c>
      <c r="S521" t="s">
        <v>4</v>
      </c>
      <c r="T521" t="s">
        <v>3059</v>
      </c>
      <c r="U521" t="s">
        <v>10</v>
      </c>
      <c r="V521" s="5">
        <v>0</v>
      </c>
      <c r="W521" s="5">
        <v>0</v>
      </c>
      <c r="X521" s="2">
        <v>0</v>
      </c>
      <c r="Y521" t="s">
        <v>4</v>
      </c>
      <c r="Z521" t="s">
        <v>4</v>
      </c>
      <c r="AA521" t="s">
        <v>4</v>
      </c>
      <c r="AB521" t="s">
        <v>4</v>
      </c>
    </row>
    <row r="522" spans="1:28" x14ac:dyDescent="0.2">
      <c r="A522" t="s">
        <v>1468</v>
      </c>
      <c r="B522" t="s">
        <v>2</v>
      </c>
      <c r="C522" t="s">
        <v>3</v>
      </c>
      <c r="D522" t="s">
        <v>4</v>
      </c>
      <c r="E522" t="s">
        <v>4</v>
      </c>
      <c r="F522" t="s">
        <v>5</v>
      </c>
      <c r="G522" t="s">
        <v>6</v>
      </c>
      <c r="H522" t="s">
        <v>3060</v>
      </c>
      <c r="I522" s="2">
        <v>38</v>
      </c>
      <c r="J522" s="2">
        <v>0</v>
      </c>
      <c r="K522" s="2">
        <v>0</v>
      </c>
      <c r="L522" s="3">
        <v>45814</v>
      </c>
      <c r="M522" s="3">
        <v>45814</v>
      </c>
      <c r="N522" s="3"/>
      <c r="O522" t="s">
        <v>3061</v>
      </c>
      <c r="P522" t="s">
        <v>9</v>
      </c>
      <c r="Q522" s="4">
        <v>0.65354166666667002</v>
      </c>
      <c r="R522" t="s">
        <v>5</v>
      </c>
      <c r="S522" t="s">
        <v>4</v>
      </c>
      <c r="T522" t="s">
        <v>3062</v>
      </c>
      <c r="U522" t="s">
        <v>10</v>
      </c>
      <c r="V522" s="5">
        <v>0</v>
      </c>
      <c r="W522" s="5">
        <v>0</v>
      </c>
      <c r="X522" s="2">
        <v>0</v>
      </c>
      <c r="Y522" t="s">
        <v>4</v>
      </c>
      <c r="Z522" t="s">
        <v>4</v>
      </c>
      <c r="AA522" t="s">
        <v>4</v>
      </c>
      <c r="AB522" t="s">
        <v>4</v>
      </c>
    </row>
    <row r="523" spans="1:28" x14ac:dyDescent="0.2">
      <c r="A523" t="s">
        <v>1468</v>
      </c>
      <c r="B523" t="s">
        <v>2</v>
      </c>
      <c r="C523" t="s">
        <v>3</v>
      </c>
      <c r="D523" t="s">
        <v>4</v>
      </c>
      <c r="E523" t="s">
        <v>4</v>
      </c>
      <c r="F523" t="s">
        <v>5</v>
      </c>
      <c r="G523" t="s">
        <v>6</v>
      </c>
      <c r="H523" t="s">
        <v>3060</v>
      </c>
      <c r="I523" s="2">
        <v>37</v>
      </c>
      <c r="J523" s="2">
        <v>0</v>
      </c>
      <c r="K523" s="2">
        <v>0</v>
      </c>
      <c r="L523" s="3">
        <v>45851</v>
      </c>
      <c r="M523" s="3">
        <v>45851</v>
      </c>
      <c r="N523" s="3"/>
      <c r="O523" t="s">
        <v>3063</v>
      </c>
      <c r="P523" t="s">
        <v>9</v>
      </c>
      <c r="Q523" s="4">
        <v>0.65354166666667002</v>
      </c>
      <c r="R523" t="s">
        <v>5</v>
      </c>
      <c r="S523" t="s">
        <v>4</v>
      </c>
      <c r="T523" t="s">
        <v>2747</v>
      </c>
      <c r="U523" t="s">
        <v>10</v>
      </c>
      <c r="V523" s="5">
        <v>0</v>
      </c>
      <c r="W523" s="5">
        <v>0</v>
      </c>
      <c r="X523" s="2">
        <v>0</v>
      </c>
      <c r="Y523" t="s">
        <v>4</v>
      </c>
      <c r="Z523" t="s">
        <v>4</v>
      </c>
      <c r="AA523" t="s">
        <v>4</v>
      </c>
      <c r="AB523" t="s">
        <v>4</v>
      </c>
    </row>
    <row r="524" spans="1:28" x14ac:dyDescent="0.2">
      <c r="A524" t="s">
        <v>1139</v>
      </c>
      <c r="B524" t="s">
        <v>2</v>
      </c>
      <c r="C524" t="s">
        <v>3</v>
      </c>
      <c r="D524" t="s">
        <v>4</v>
      </c>
      <c r="E524" t="s">
        <v>4</v>
      </c>
      <c r="F524" t="s">
        <v>5</v>
      </c>
      <c r="G524" t="s">
        <v>6</v>
      </c>
      <c r="H524" t="s">
        <v>3064</v>
      </c>
      <c r="I524" s="2">
        <v>432</v>
      </c>
      <c r="J524" s="2">
        <v>0</v>
      </c>
      <c r="K524" s="2">
        <v>0</v>
      </c>
      <c r="L524" s="3">
        <v>45844</v>
      </c>
      <c r="M524" s="3">
        <v>45844</v>
      </c>
      <c r="N524" s="3"/>
      <c r="O524" t="s">
        <v>3065</v>
      </c>
      <c r="P524" t="s">
        <v>9</v>
      </c>
      <c r="Q524" s="4">
        <v>0.53293981481481001</v>
      </c>
      <c r="R524" t="s">
        <v>5</v>
      </c>
      <c r="S524" t="s">
        <v>4</v>
      </c>
      <c r="T524" t="s">
        <v>2792</v>
      </c>
      <c r="U524" t="s">
        <v>10</v>
      </c>
      <c r="V524" s="5">
        <v>0</v>
      </c>
      <c r="W524" s="5">
        <v>0</v>
      </c>
      <c r="X524" s="2">
        <v>0</v>
      </c>
      <c r="Y524" t="s">
        <v>4</v>
      </c>
      <c r="Z524" t="s">
        <v>4</v>
      </c>
      <c r="AA524" t="s">
        <v>4</v>
      </c>
      <c r="AB524" t="s">
        <v>4</v>
      </c>
    </row>
    <row r="525" spans="1:28" x14ac:dyDescent="0.2">
      <c r="A525" t="s">
        <v>1139</v>
      </c>
      <c r="B525" t="s">
        <v>2</v>
      </c>
      <c r="C525" t="s">
        <v>3</v>
      </c>
      <c r="D525" t="s">
        <v>4</v>
      </c>
      <c r="E525" t="s">
        <v>4</v>
      </c>
      <c r="F525" t="s">
        <v>5</v>
      </c>
      <c r="G525" t="s">
        <v>6</v>
      </c>
      <c r="H525" t="s">
        <v>3064</v>
      </c>
      <c r="I525" s="2">
        <v>432</v>
      </c>
      <c r="J525" s="2">
        <v>0</v>
      </c>
      <c r="K525" s="2">
        <v>0</v>
      </c>
      <c r="L525" s="3">
        <v>45844</v>
      </c>
      <c r="M525" s="3">
        <v>45844</v>
      </c>
      <c r="N525" s="3"/>
      <c r="O525" t="s">
        <v>3066</v>
      </c>
      <c r="P525" t="s">
        <v>9</v>
      </c>
      <c r="Q525" s="4">
        <v>0.53293981481481001</v>
      </c>
      <c r="R525" t="s">
        <v>5</v>
      </c>
      <c r="S525" t="s">
        <v>4</v>
      </c>
      <c r="T525" t="s">
        <v>2792</v>
      </c>
      <c r="U525" t="s">
        <v>10</v>
      </c>
      <c r="V525" s="5">
        <v>0</v>
      </c>
      <c r="W525" s="5">
        <v>0</v>
      </c>
      <c r="X525" s="2">
        <v>0</v>
      </c>
      <c r="Y525" t="s">
        <v>4</v>
      </c>
      <c r="Z525" t="s">
        <v>4</v>
      </c>
      <c r="AA525" t="s">
        <v>4</v>
      </c>
      <c r="AB525" t="s">
        <v>4</v>
      </c>
    </row>
    <row r="526" spans="1:28" x14ac:dyDescent="0.2">
      <c r="A526" t="s">
        <v>1822</v>
      </c>
      <c r="B526" t="s">
        <v>2</v>
      </c>
      <c r="C526" t="s">
        <v>3</v>
      </c>
      <c r="D526" t="s">
        <v>4</v>
      </c>
      <c r="E526" t="s">
        <v>4</v>
      </c>
      <c r="F526" t="s">
        <v>5</v>
      </c>
      <c r="G526" t="s">
        <v>6</v>
      </c>
      <c r="H526" t="s">
        <v>3067</v>
      </c>
      <c r="I526" s="2">
        <v>480</v>
      </c>
      <c r="J526" s="2">
        <v>0</v>
      </c>
      <c r="K526" s="2">
        <v>0</v>
      </c>
      <c r="L526" s="3">
        <v>45855</v>
      </c>
      <c r="M526" s="3">
        <v>45855</v>
      </c>
      <c r="N526" s="3"/>
      <c r="O526" t="s">
        <v>3068</v>
      </c>
      <c r="P526" t="s">
        <v>9</v>
      </c>
      <c r="Q526" s="4">
        <v>0.75420138888888999</v>
      </c>
      <c r="R526" t="s">
        <v>5</v>
      </c>
      <c r="S526" t="s">
        <v>4</v>
      </c>
      <c r="T526" t="s">
        <v>2350</v>
      </c>
      <c r="U526" t="s">
        <v>10</v>
      </c>
      <c r="V526" s="5">
        <v>0</v>
      </c>
      <c r="W526" s="5">
        <v>0</v>
      </c>
      <c r="X526" s="2">
        <v>0</v>
      </c>
      <c r="Y526" t="s">
        <v>4</v>
      </c>
      <c r="Z526" t="s">
        <v>4</v>
      </c>
      <c r="AA526" t="s">
        <v>4</v>
      </c>
      <c r="AB526" t="s">
        <v>4</v>
      </c>
    </row>
    <row r="527" spans="1:28" x14ac:dyDescent="0.2">
      <c r="A527" t="s">
        <v>1822</v>
      </c>
      <c r="B527" t="s">
        <v>2</v>
      </c>
      <c r="C527" t="s">
        <v>3</v>
      </c>
      <c r="D527" t="s">
        <v>4</v>
      </c>
      <c r="E527" t="s">
        <v>4</v>
      </c>
      <c r="F527" t="s">
        <v>5</v>
      </c>
      <c r="G527" t="s">
        <v>6</v>
      </c>
      <c r="H527" t="s">
        <v>3067</v>
      </c>
      <c r="I527" s="2">
        <v>480</v>
      </c>
      <c r="J527" s="2">
        <v>0</v>
      </c>
      <c r="K527" s="2">
        <v>0</v>
      </c>
      <c r="L527" s="3">
        <v>45855</v>
      </c>
      <c r="M527" s="3">
        <v>45855</v>
      </c>
      <c r="N527" s="3"/>
      <c r="O527" t="s">
        <v>3069</v>
      </c>
      <c r="P527" t="s">
        <v>9</v>
      </c>
      <c r="Q527" s="4">
        <v>0.75420138888888999</v>
      </c>
      <c r="R527" t="s">
        <v>5</v>
      </c>
      <c r="S527" t="s">
        <v>4</v>
      </c>
      <c r="T527" t="s">
        <v>2350</v>
      </c>
      <c r="U527" t="s">
        <v>10</v>
      </c>
      <c r="V527" s="5">
        <v>0</v>
      </c>
      <c r="W527" s="5">
        <v>0</v>
      </c>
      <c r="X527" s="2">
        <v>0</v>
      </c>
      <c r="Y527" t="s">
        <v>4</v>
      </c>
      <c r="Z527" t="s">
        <v>4</v>
      </c>
      <c r="AA527" t="s">
        <v>4</v>
      </c>
      <c r="AB527" t="s">
        <v>4</v>
      </c>
    </row>
    <row r="528" spans="1:28" x14ac:dyDescent="0.2">
      <c r="A528" t="s">
        <v>1471</v>
      </c>
      <c r="B528" t="s">
        <v>2</v>
      </c>
      <c r="C528" t="s">
        <v>3</v>
      </c>
      <c r="D528" t="s">
        <v>4</v>
      </c>
      <c r="E528" t="s">
        <v>4</v>
      </c>
      <c r="F528" t="s">
        <v>5</v>
      </c>
      <c r="G528" t="s">
        <v>6</v>
      </c>
      <c r="H528" t="s">
        <v>3070</v>
      </c>
      <c r="I528" s="2">
        <v>60</v>
      </c>
      <c r="J528" s="2">
        <v>0</v>
      </c>
      <c r="K528" s="2">
        <v>0</v>
      </c>
      <c r="L528" s="3">
        <v>45859</v>
      </c>
      <c r="M528" s="3">
        <v>45859</v>
      </c>
      <c r="N528" s="3"/>
      <c r="O528" t="s">
        <v>3071</v>
      </c>
      <c r="P528" t="s">
        <v>9</v>
      </c>
      <c r="Q528" s="4">
        <v>0.81467592592592997</v>
      </c>
      <c r="R528" t="s">
        <v>5</v>
      </c>
      <c r="S528" t="s">
        <v>4</v>
      </c>
      <c r="T528" t="s">
        <v>2261</v>
      </c>
      <c r="U528" t="s">
        <v>10</v>
      </c>
      <c r="V528" s="5">
        <v>0</v>
      </c>
      <c r="W528" s="5">
        <v>0</v>
      </c>
      <c r="X528" s="2">
        <v>0</v>
      </c>
      <c r="Y528" t="s">
        <v>4</v>
      </c>
      <c r="Z528" t="s">
        <v>4</v>
      </c>
      <c r="AA528" t="s">
        <v>4</v>
      </c>
      <c r="AB528" t="s">
        <v>4</v>
      </c>
    </row>
    <row r="529" spans="1:28" x14ac:dyDescent="0.2">
      <c r="A529" t="s">
        <v>1139</v>
      </c>
      <c r="B529" t="s">
        <v>2</v>
      </c>
      <c r="C529" t="s">
        <v>3</v>
      </c>
      <c r="D529" t="s">
        <v>4</v>
      </c>
      <c r="E529" t="s">
        <v>4</v>
      </c>
      <c r="F529" t="s">
        <v>5</v>
      </c>
      <c r="G529" t="s">
        <v>6</v>
      </c>
      <c r="H529" t="s">
        <v>3072</v>
      </c>
      <c r="I529" s="2">
        <v>432</v>
      </c>
      <c r="J529" s="2">
        <v>0</v>
      </c>
      <c r="K529" s="2">
        <v>0</v>
      </c>
      <c r="L529" s="3">
        <v>45832</v>
      </c>
      <c r="M529" s="3">
        <v>45832</v>
      </c>
      <c r="N529" s="3"/>
      <c r="O529" t="s">
        <v>3073</v>
      </c>
      <c r="P529" t="s">
        <v>9</v>
      </c>
      <c r="Q529" s="4">
        <v>0.60930555555555999</v>
      </c>
      <c r="R529" t="s">
        <v>5</v>
      </c>
      <c r="S529" t="s">
        <v>4</v>
      </c>
      <c r="T529" t="s">
        <v>2665</v>
      </c>
      <c r="U529" t="s">
        <v>10</v>
      </c>
      <c r="V529" s="5">
        <v>0</v>
      </c>
      <c r="W529" s="5">
        <v>0</v>
      </c>
      <c r="X529" s="2">
        <v>0</v>
      </c>
      <c r="Y529" t="s">
        <v>4</v>
      </c>
      <c r="Z529" t="s">
        <v>4</v>
      </c>
      <c r="AA529" t="s">
        <v>4</v>
      </c>
      <c r="AB529" t="s">
        <v>4</v>
      </c>
    </row>
    <row r="530" spans="1:28" x14ac:dyDescent="0.2">
      <c r="A530" t="s">
        <v>1139</v>
      </c>
      <c r="B530" t="s">
        <v>2</v>
      </c>
      <c r="C530" t="s">
        <v>3</v>
      </c>
      <c r="D530" t="s">
        <v>4</v>
      </c>
      <c r="E530" t="s">
        <v>4</v>
      </c>
      <c r="F530" t="s">
        <v>5</v>
      </c>
      <c r="G530" t="s">
        <v>6</v>
      </c>
      <c r="H530" t="s">
        <v>3072</v>
      </c>
      <c r="I530" s="2">
        <v>432</v>
      </c>
      <c r="J530" s="2">
        <v>0</v>
      </c>
      <c r="K530" s="2">
        <v>0</v>
      </c>
      <c r="L530" s="3">
        <v>45832</v>
      </c>
      <c r="M530" s="3">
        <v>45832</v>
      </c>
      <c r="N530" s="3"/>
      <c r="O530" t="s">
        <v>3074</v>
      </c>
      <c r="P530" t="s">
        <v>9</v>
      </c>
      <c r="Q530" s="4">
        <v>0.60930555555555999</v>
      </c>
      <c r="R530" t="s">
        <v>5</v>
      </c>
      <c r="S530" t="s">
        <v>4</v>
      </c>
      <c r="T530" t="s">
        <v>2665</v>
      </c>
      <c r="U530" t="s">
        <v>10</v>
      </c>
      <c r="V530" s="5">
        <v>0</v>
      </c>
      <c r="W530" s="5">
        <v>0</v>
      </c>
      <c r="X530" s="2">
        <v>0</v>
      </c>
      <c r="Y530" t="s">
        <v>4</v>
      </c>
      <c r="Z530" t="s">
        <v>4</v>
      </c>
      <c r="AA530" t="s">
        <v>4</v>
      </c>
      <c r="AB530" t="s">
        <v>4</v>
      </c>
    </row>
    <row r="531" spans="1:28" x14ac:dyDescent="0.2">
      <c r="A531" t="s">
        <v>2053</v>
      </c>
      <c r="B531" t="s">
        <v>2</v>
      </c>
      <c r="C531" t="s">
        <v>3</v>
      </c>
      <c r="D531" t="s">
        <v>4</v>
      </c>
      <c r="E531" t="s">
        <v>4</v>
      </c>
      <c r="F531" t="s">
        <v>5</v>
      </c>
      <c r="G531" t="s">
        <v>6</v>
      </c>
      <c r="H531" t="s">
        <v>3075</v>
      </c>
      <c r="I531" s="2">
        <v>650</v>
      </c>
      <c r="J531" s="2">
        <v>0</v>
      </c>
      <c r="K531" s="2">
        <v>0</v>
      </c>
      <c r="L531" s="3">
        <v>45851</v>
      </c>
      <c r="M531" s="3">
        <v>45851</v>
      </c>
      <c r="N531" s="3"/>
      <c r="O531" t="s">
        <v>3076</v>
      </c>
      <c r="P531" t="s">
        <v>9</v>
      </c>
      <c r="Q531" s="4">
        <v>0.45702546296295998</v>
      </c>
      <c r="R531" t="s">
        <v>5</v>
      </c>
      <c r="S531" t="s">
        <v>4</v>
      </c>
      <c r="T531" t="s">
        <v>2747</v>
      </c>
      <c r="U531" t="s">
        <v>10</v>
      </c>
      <c r="V531" s="5">
        <v>0</v>
      </c>
      <c r="W531" s="5">
        <v>0</v>
      </c>
      <c r="X531" s="2">
        <v>0</v>
      </c>
      <c r="Y531" t="s">
        <v>4</v>
      </c>
      <c r="Z531" t="s">
        <v>4</v>
      </c>
      <c r="AA531" t="s">
        <v>4</v>
      </c>
      <c r="AB531" t="s">
        <v>4</v>
      </c>
    </row>
    <row r="532" spans="1:28" x14ac:dyDescent="0.2">
      <c r="A532" t="s">
        <v>1139</v>
      </c>
      <c r="B532" t="s">
        <v>2</v>
      </c>
      <c r="C532" t="s">
        <v>3</v>
      </c>
      <c r="D532" t="s">
        <v>4</v>
      </c>
      <c r="E532" t="s">
        <v>4</v>
      </c>
      <c r="F532" t="s">
        <v>5</v>
      </c>
      <c r="G532" t="s">
        <v>6</v>
      </c>
      <c r="H532" t="s">
        <v>3077</v>
      </c>
      <c r="I532" s="2">
        <v>432</v>
      </c>
      <c r="J532" s="2">
        <v>0</v>
      </c>
      <c r="K532" s="2">
        <v>0</v>
      </c>
      <c r="L532" s="3">
        <v>45848</v>
      </c>
      <c r="M532" s="3">
        <v>45848</v>
      </c>
      <c r="N532" s="3"/>
      <c r="O532" t="s">
        <v>3078</v>
      </c>
      <c r="P532" t="s">
        <v>9</v>
      </c>
      <c r="Q532" s="4">
        <v>0.41740740740741</v>
      </c>
      <c r="R532" t="s">
        <v>5</v>
      </c>
      <c r="S532" t="s">
        <v>4</v>
      </c>
      <c r="T532" t="s">
        <v>2580</v>
      </c>
      <c r="U532" t="s">
        <v>10</v>
      </c>
      <c r="V532" s="5">
        <v>0</v>
      </c>
      <c r="W532" s="5">
        <v>0</v>
      </c>
      <c r="X532" s="2">
        <v>0</v>
      </c>
      <c r="Y532" t="s">
        <v>4</v>
      </c>
      <c r="Z532" t="s">
        <v>4</v>
      </c>
      <c r="AA532" t="s">
        <v>4</v>
      </c>
      <c r="AB532" t="s">
        <v>4</v>
      </c>
    </row>
    <row r="533" spans="1:28" x14ac:dyDescent="0.2">
      <c r="A533" t="s">
        <v>1139</v>
      </c>
      <c r="B533" t="s">
        <v>2</v>
      </c>
      <c r="C533" t="s">
        <v>3</v>
      </c>
      <c r="D533" t="s">
        <v>4</v>
      </c>
      <c r="E533" t="s">
        <v>4</v>
      </c>
      <c r="F533" t="s">
        <v>5</v>
      </c>
      <c r="G533" t="s">
        <v>6</v>
      </c>
      <c r="H533" t="s">
        <v>3077</v>
      </c>
      <c r="I533" s="2">
        <v>432</v>
      </c>
      <c r="J533" s="2">
        <v>0</v>
      </c>
      <c r="K533" s="2">
        <v>0</v>
      </c>
      <c r="L533" s="3">
        <v>45848</v>
      </c>
      <c r="M533" s="3">
        <v>45848</v>
      </c>
      <c r="N533" s="3"/>
      <c r="O533" t="s">
        <v>3079</v>
      </c>
      <c r="P533" t="s">
        <v>9</v>
      </c>
      <c r="Q533" s="4">
        <v>0.41740740740741</v>
      </c>
      <c r="R533" t="s">
        <v>5</v>
      </c>
      <c r="S533" t="s">
        <v>4</v>
      </c>
      <c r="T533" t="s">
        <v>2580</v>
      </c>
      <c r="U533" t="s">
        <v>10</v>
      </c>
      <c r="V533" s="5">
        <v>0</v>
      </c>
      <c r="W533" s="5">
        <v>0</v>
      </c>
      <c r="X533" s="2">
        <v>0</v>
      </c>
      <c r="Y533" t="s">
        <v>4</v>
      </c>
      <c r="Z533" t="s">
        <v>4</v>
      </c>
      <c r="AA533" t="s">
        <v>4</v>
      </c>
      <c r="AB533" t="s">
        <v>4</v>
      </c>
    </row>
    <row r="534" spans="1:28" x14ac:dyDescent="0.2">
      <c r="A534" t="s">
        <v>285</v>
      </c>
      <c r="B534" t="s">
        <v>2</v>
      </c>
      <c r="C534" t="s">
        <v>3</v>
      </c>
      <c r="D534" t="s">
        <v>4</v>
      </c>
      <c r="E534" t="s">
        <v>4</v>
      </c>
      <c r="F534" t="s">
        <v>5</v>
      </c>
      <c r="G534" t="s">
        <v>21</v>
      </c>
      <c r="H534" t="s">
        <v>3080</v>
      </c>
      <c r="I534" s="2">
        <v>30</v>
      </c>
      <c r="J534" s="2">
        <v>0</v>
      </c>
      <c r="K534" s="2">
        <v>0</v>
      </c>
      <c r="L534" s="3">
        <v>45835</v>
      </c>
      <c r="M534" s="3">
        <v>45835</v>
      </c>
      <c r="N534" s="3"/>
      <c r="O534" t="s">
        <v>3081</v>
      </c>
      <c r="P534" t="s">
        <v>9</v>
      </c>
      <c r="Q534" s="4">
        <v>0.61545138888888995</v>
      </c>
      <c r="R534" t="s">
        <v>5</v>
      </c>
      <c r="S534" t="s">
        <v>4</v>
      </c>
      <c r="T534" t="s">
        <v>2928</v>
      </c>
      <c r="U534" t="s">
        <v>10</v>
      </c>
      <c r="V534" s="5">
        <v>0</v>
      </c>
      <c r="W534" s="5">
        <v>0</v>
      </c>
      <c r="X534" s="2">
        <v>0</v>
      </c>
      <c r="Y534" t="s">
        <v>4</v>
      </c>
      <c r="Z534" t="s">
        <v>4</v>
      </c>
      <c r="AA534" t="s">
        <v>4</v>
      </c>
      <c r="AB534" t="s">
        <v>4</v>
      </c>
    </row>
    <row r="535" spans="1:28" x14ac:dyDescent="0.2">
      <c r="A535" t="s">
        <v>285</v>
      </c>
      <c r="B535" t="s">
        <v>2</v>
      </c>
      <c r="C535" t="s">
        <v>3</v>
      </c>
      <c r="D535" t="s">
        <v>4</v>
      </c>
      <c r="E535" t="s">
        <v>4</v>
      </c>
      <c r="F535" t="s">
        <v>5</v>
      </c>
      <c r="G535" t="s">
        <v>21</v>
      </c>
      <c r="H535" t="s">
        <v>3080</v>
      </c>
      <c r="I535" s="2">
        <v>30</v>
      </c>
      <c r="J535" s="2">
        <v>0</v>
      </c>
      <c r="K535" s="2">
        <v>0</v>
      </c>
      <c r="L535" s="3">
        <v>45835</v>
      </c>
      <c r="M535" s="3">
        <v>45835</v>
      </c>
      <c r="N535" s="3"/>
      <c r="O535" t="s">
        <v>3082</v>
      </c>
      <c r="P535" t="s">
        <v>9</v>
      </c>
      <c r="Q535" s="4">
        <v>0.61545138888888995</v>
      </c>
      <c r="R535" t="s">
        <v>5</v>
      </c>
      <c r="S535" t="s">
        <v>4</v>
      </c>
      <c r="T535" t="s">
        <v>2928</v>
      </c>
      <c r="U535" t="s">
        <v>10</v>
      </c>
      <c r="V535" s="5">
        <v>0</v>
      </c>
      <c r="W535" s="5">
        <v>0</v>
      </c>
      <c r="X535" s="2">
        <v>0</v>
      </c>
      <c r="Y535" t="s">
        <v>4</v>
      </c>
      <c r="Z535" t="s">
        <v>4</v>
      </c>
      <c r="AA535" t="s">
        <v>4</v>
      </c>
      <c r="AB535" t="s">
        <v>4</v>
      </c>
    </row>
    <row r="536" spans="1:28" x14ac:dyDescent="0.2">
      <c r="A536" t="s">
        <v>1145</v>
      </c>
      <c r="B536" t="s">
        <v>2</v>
      </c>
      <c r="C536" t="s">
        <v>3</v>
      </c>
      <c r="D536" t="s">
        <v>4</v>
      </c>
      <c r="E536" t="s">
        <v>4</v>
      </c>
      <c r="F536" t="s">
        <v>5</v>
      </c>
      <c r="G536" t="s">
        <v>6</v>
      </c>
      <c r="H536" t="s">
        <v>3083</v>
      </c>
      <c r="I536" s="2">
        <v>450</v>
      </c>
      <c r="J536" s="2">
        <v>0</v>
      </c>
      <c r="K536" s="2">
        <v>0</v>
      </c>
      <c r="L536" s="3">
        <v>45779</v>
      </c>
      <c r="M536" s="3">
        <v>45779</v>
      </c>
      <c r="N536" s="3"/>
      <c r="O536" t="s">
        <v>3084</v>
      </c>
      <c r="P536" t="s">
        <v>9</v>
      </c>
      <c r="Q536" s="4">
        <v>0.94708333333332995</v>
      </c>
      <c r="R536" t="s">
        <v>5</v>
      </c>
      <c r="S536" t="s">
        <v>4</v>
      </c>
      <c r="T536" t="s">
        <v>2775</v>
      </c>
      <c r="U536" t="s">
        <v>10</v>
      </c>
      <c r="V536" s="5">
        <v>0</v>
      </c>
      <c r="W536" s="5">
        <v>0</v>
      </c>
      <c r="X536" s="2">
        <v>0</v>
      </c>
      <c r="Y536" t="s">
        <v>4</v>
      </c>
      <c r="Z536" t="s">
        <v>4</v>
      </c>
      <c r="AA536" t="s">
        <v>4</v>
      </c>
      <c r="AB536" t="s">
        <v>4</v>
      </c>
    </row>
    <row r="537" spans="1:28" x14ac:dyDescent="0.2">
      <c r="A537" t="s">
        <v>715</v>
      </c>
      <c r="B537" t="s">
        <v>2</v>
      </c>
      <c r="C537" t="s">
        <v>3</v>
      </c>
      <c r="D537" t="s">
        <v>4</v>
      </c>
      <c r="E537" t="s">
        <v>4</v>
      </c>
      <c r="F537" t="s">
        <v>5</v>
      </c>
      <c r="G537" t="s">
        <v>21</v>
      </c>
      <c r="H537" t="s">
        <v>3085</v>
      </c>
      <c r="I537" s="2">
        <v>88</v>
      </c>
      <c r="J537" s="2">
        <v>0</v>
      </c>
      <c r="K537" s="2">
        <v>0</v>
      </c>
      <c r="L537" s="3">
        <v>45855</v>
      </c>
      <c r="M537" s="3">
        <v>45855</v>
      </c>
      <c r="N537" s="3"/>
      <c r="O537" t="s">
        <v>3086</v>
      </c>
      <c r="P537" t="s">
        <v>9</v>
      </c>
      <c r="Q537" s="4">
        <v>0.95499999999999996</v>
      </c>
      <c r="R537" t="s">
        <v>5</v>
      </c>
      <c r="S537" t="s">
        <v>4</v>
      </c>
      <c r="T537" t="s">
        <v>2350</v>
      </c>
      <c r="U537" t="s">
        <v>10</v>
      </c>
      <c r="V537" s="5">
        <v>0</v>
      </c>
      <c r="W537" s="5">
        <v>0</v>
      </c>
      <c r="X537" s="2">
        <v>0</v>
      </c>
      <c r="Y537" t="s">
        <v>4</v>
      </c>
      <c r="Z537" t="s">
        <v>4</v>
      </c>
      <c r="AA537" t="s">
        <v>4</v>
      </c>
      <c r="AB537" t="s">
        <v>4</v>
      </c>
    </row>
    <row r="538" spans="1:28" x14ac:dyDescent="0.2">
      <c r="A538" t="s">
        <v>715</v>
      </c>
      <c r="B538" t="s">
        <v>2</v>
      </c>
      <c r="C538" t="s">
        <v>3</v>
      </c>
      <c r="D538" t="s">
        <v>4</v>
      </c>
      <c r="E538" t="s">
        <v>4</v>
      </c>
      <c r="F538" t="s">
        <v>5</v>
      </c>
      <c r="G538" t="s">
        <v>21</v>
      </c>
      <c r="H538" t="s">
        <v>3085</v>
      </c>
      <c r="I538" s="2">
        <v>88</v>
      </c>
      <c r="J538" s="2">
        <v>0</v>
      </c>
      <c r="K538" s="2">
        <v>0</v>
      </c>
      <c r="L538" s="3">
        <v>45855</v>
      </c>
      <c r="M538" s="3">
        <v>45855</v>
      </c>
      <c r="N538" s="3"/>
      <c r="O538" t="s">
        <v>3087</v>
      </c>
      <c r="P538" t="s">
        <v>9</v>
      </c>
      <c r="Q538" s="4">
        <v>0.95499999999999996</v>
      </c>
      <c r="R538" t="s">
        <v>5</v>
      </c>
      <c r="S538" t="s">
        <v>4</v>
      </c>
      <c r="T538" t="s">
        <v>2350</v>
      </c>
      <c r="U538" t="s">
        <v>10</v>
      </c>
      <c r="V538" s="5">
        <v>0</v>
      </c>
      <c r="W538" s="5">
        <v>0</v>
      </c>
      <c r="X538" s="2">
        <v>0</v>
      </c>
      <c r="Y538" t="s">
        <v>4</v>
      </c>
      <c r="Z538" t="s">
        <v>4</v>
      </c>
      <c r="AA538" t="s">
        <v>4</v>
      </c>
      <c r="AB538" t="s">
        <v>4</v>
      </c>
    </row>
    <row r="539" spans="1:28" x14ac:dyDescent="0.2">
      <c r="A539" t="s">
        <v>285</v>
      </c>
      <c r="B539" t="s">
        <v>2</v>
      </c>
      <c r="C539" t="s">
        <v>3</v>
      </c>
      <c r="D539" t="s">
        <v>4</v>
      </c>
      <c r="E539" t="s">
        <v>4</v>
      </c>
      <c r="F539" t="s">
        <v>5</v>
      </c>
      <c r="G539" t="s">
        <v>17</v>
      </c>
      <c r="H539" t="s">
        <v>3088</v>
      </c>
      <c r="I539" s="2">
        <v>30</v>
      </c>
      <c r="J539" s="2">
        <v>0</v>
      </c>
      <c r="K539" s="2">
        <v>0</v>
      </c>
      <c r="L539" s="3">
        <v>45835</v>
      </c>
      <c r="M539" s="3">
        <v>45835</v>
      </c>
      <c r="N539" s="3"/>
      <c r="O539" t="s">
        <v>3089</v>
      </c>
      <c r="P539" t="s">
        <v>9</v>
      </c>
      <c r="Q539" s="4">
        <v>0.62141203703703995</v>
      </c>
      <c r="R539" t="s">
        <v>5</v>
      </c>
      <c r="S539" t="s">
        <v>4</v>
      </c>
      <c r="T539" t="s">
        <v>2928</v>
      </c>
      <c r="U539" t="s">
        <v>10</v>
      </c>
      <c r="V539" s="5">
        <v>0</v>
      </c>
      <c r="W539" s="5">
        <v>0</v>
      </c>
      <c r="X539" s="2">
        <v>0</v>
      </c>
      <c r="Y539" t="s">
        <v>4</v>
      </c>
      <c r="Z539" t="s">
        <v>4</v>
      </c>
      <c r="AA539" t="s">
        <v>4</v>
      </c>
      <c r="AB539" t="s">
        <v>4</v>
      </c>
    </row>
    <row r="540" spans="1:28" x14ac:dyDescent="0.2">
      <c r="A540" t="s">
        <v>285</v>
      </c>
      <c r="B540" t="s">
        <v>2</v>
      </c>
      <c r="C540" t="s">
        <v>3</v>
      </c>
      <c r="D540" t="s">
        <v>4</v>
      </c>
      <c r="E540" t="s">
        <v>4</v>
      </c>
      <c r="F540" t="s">
        <v>5</v>
      </c>
      <c r="G540" t="s">
        <v>17</v>
      </c>
      <c r="H540" t="s">
        <v>3088</v>
      </c>
      <c r="I540" s="2">
        <v>30</v>
      </c>
      <c r="J540" s="2">
        <v>0</v>
      </c>
      <c r="K540" s="2">
        <v>0</v>
      </c>
      <c r="L540" s="3">
        <v>45835</v>
      </c>
      <c r="M540" s="3">
        <v>45835</v>
      </c>
      <c r="N540" s="3"/>
      <c r="O540" t="s">
        <v>3090</v>
      </c>
      <c r="P540" t="s">
        <v>9</v>
      </c>
      <c r="Q540" s="4">
        <v>0.62141203703703995</v>
      </c>
      <c r="R540" t="s">
        <v>5</v>
      </c>
      <c r="S540" t="s">
        <v>4</v>
      </c>
      <c r="T540" t="s">
        <v>2928</v>
      </c>
      <c r="U540" t="s">
        <v>10</v>
      </c>
      <c r="V540" s="5">
        <v>0</v>
      </c>
      <c r="W540" s="5">
        <v>0</v>
      </c>
      <c r="X540" s="2">
        <v>0</v>
      </c>
      <c r="Y540" t="s">
        <v>4</v>
      </c>
      <c r="Z540" t="s">
        <v>4</v>
      </c>
      <c r="AA540" t="s">
        <v>4</v>
      </c>
      <c r="AB540" t="s">
        <v>4</v>
      </c>
    </row>
    <row r="541" spans="1:28" x14ac:dyDescent="0.2">
      <c r="A541" t="s">
        <v>518</v>
      </c>
      <c r="B541" t="s">
        <v>2</v>
      </c>
      <c r="C541" t="s">
        <v>3</v>
      </c>
      <c r="D541" t="s">
        <v>4</v>
      </c>
      <c r="E541" t="s">
        <v>4</v>
      </c>
      <c r="F541" t="s">
        <v>5</v>
      </c>
      <c r="G541" t="s">
        <v>17</v>
      </c>
      <c r="H541" t="s">
        <v>3091</v>
      </c>
      <c r="I541" s="2">
        <v>2000</v>
      </c>
      <c r="J541" s="2">
        <v>0</v>
      </c>
      <c r="K541" s="2">
        <v>0</v>
      </c>
      <c r="L541" s="3">
        <v>45860</v>
      </c>
      <c r="M541" s="3">
        <v>45860</v>
      </c>
      <c r="N541" s="3"/>
      <c r="O541" t="s">
        <v>3092</v>
      </c>
      <c r="P541" t="s">
        <v>9</v>
      </c>
      <c r="Q541" s="4">
        <v>0.46202546296295999</v>
      </c>
      <c r="R541" t="s">
        <v>5</v>
      </c>
      <c r="S541" t="s">
        <v>4</v>
      </c>
      <c r="T541" t="s">
        <v>2256</v>
      </c>
      <c r="U541" t="s">
        <v>10</v>
      </c>
      <c r="V541" s="5">
        <v>0</v>
      </c>
      <c r="W541" s="5">
        <v>0</v>
      </c>
      <c r="X541" s="2">
        <v>0</v>
      </c>
      <c r="Y541" t="s">
        <v>4</v>
      </c>
      <c r="Z541" t="s">
        <v>4</v>
      </c>
      <c r="AA541" t="s">
        <v>4</v>
      </c>
      <c r="AB541" t="s">
        <v>4</v>
      </c>
    </row>
    <row r="542" spans="1:28" x14ac:dyDescent="0.2">
      <c r="A542" t="s">
        <v>1275</v>
      </c>
      <c r="B542" t="s">
        <v>2</v>
      </c>
      <c r="C542" t="s">
        <v>3</v>
      </c>
      <c r="D542" t="s">
        <v>4</v>
      </c>
      <c r="E542" t="s">
        <v>4</v>
      </c>
      <c r="F542" t="s">
        <v>5</v>
      </c>
      <c r="G542" t="s">
        <v>17</v>
      </c>
      <c r="H542" t="s">
        <v>3093</v>
      </c>
      <c r="I542" s="2">
        <v>4500</v>
      </c>
      <c r="J542" s="2">
        <v>0</v>
      </c>
      <c r="K542" s="2">
        <v>0</v>
      </c>
      <c r="L542" s="3">
        <v>45854</v>
      </c>
      <c r="M542" s="3">
        <v>45854</v>
      </c>
      <c r="N542" s="3"/>
      <c r="O542" t="s">
        <v>3094</v>
      </c>
      <c r="P542" t="s">
        <v>9</v>
      </c>
      <c r="Q542" s="4">
        <v>0.47458333333333003</v>
      </c>
      <c r="R542" t="s">
        <v>5</v>
      </c>
      <c r="S542" t="s">
        <v>4</v>
      </c>
      <c r="T542" t="s">
        <v>2299</v>
      </c>
      <c r="U542" t="s">
        <v>10</v>
      </c>
      <c r="V542" s="5">
        <v>0</v>
      </c>
      <c r="W542" s="5">
        <v>0</v>
      </c>
      <c r="X542" s="2">
        <v>0</v>
      </c>
      <c r="Y542" t="s">
        <v>4</v>
      </c>
      <c r="Z542" t="s">
        <v>4</v>
      </c>
      <c r="AA542" t="s">
        <v>4</v>
      </c>
      <c r="AB542" t="s">
        <v>4</v>
      </c>
    </row>
    <row r="543" spans="1:28" x14ac:dyDescent="0.2">
      <c r="A543" t="s">
        <v>491</v>
      </c>
      <c r="B543" t="s">
        <v>2</v>
      </c>
      <c r="C543" t="s">
        <v>3</v>
      </c>
      <c r="D543" t="s">
        <v>4</v>
      </c>
      <c r="E543" t="s">
        <v>4</v>
      </c>
      <c r="F543" t="s">
        <v>5</v>
      </c>
      <c r="G543" t="s">
        <v>17</v>
      </c>
      <c r="H543" t="s">
        <v>3095</v>
      </c>
      <c r="I543" s="2">
        <v>1440</v>
      </c>
      <c r="J543" s="2">
        <v>0</v>
      </c>
      <c r="K543" s="2">
        <v>0</v>
      </c>
      <c r="L543" s="3">
        <v>45855</v>
      </c>
      <c r="M543" s="3">
        <v>45855</v>
      </c>
      <c r="N543" s="3"/>
      <c r="O543" t="s">
        <v>3096</v>
      </c>
      <c r="P543" t="s">
        <v>9</v>
      </c>
      <c r="Q543" s="4">
        <v>0.57592592592592995</v>
      </c>
      <c r="R543" t="s">
        <v>5</v>
      </c>
      <c r="S543" t="s">
        <v>4</v>
      </c>
      <c r="T543" t="s">
        <v>2350</v>
      </c>
      <c r="U543" t="s">
        <v>10</v>
      </c>
      <c r="V543" s="5">
        <v>0</v>
      </c>
      <c r="W543" s="5">
        <v>0</v>
      </c>
      <c r="X543" s="2">
        <v>0</v>
      </c>
      <c r="Y543" t="s">
        <v>4</v>
      </c>
      <c r="Z543" t="s">
        <v>4</v>
      </c>
      <c r="AA543" t="s">
        <v>4</v>
      </c>
      <c r="AB543" t="s">
        <v>4</v>
      </c>
    </row>
    <row r="544" spans="1:28" x14ac:dyDescent="0.2">
      <c r="A544" t="s">
        <v>491</v>
      </c>
      <c r="B544" t="s">
        <v>2</v>
      </c>
      <c r="C544" t="s">
        <v>3</v>
      </c>
      <c r="D544" t="s">
        <v>4</v>
      </c>
      <c r="E544" t="s">
        <v>4</v>
      </c>
      <c r="F544" t="s">
        <v>5</v>
      </c>
      <c r="G544" t="s">
        <v>17</v>
      </c>
      <c r="H544" t="s">
        <v>3095</v>
      </c>
      <c r="I544" s="2">
        <v>1440</v>
      </c>
      <c r="J544" s="2">
        <v>0</v>
      </c>
      <c r="K544" s="2">
        <v>0</v>
      </c>
      <c r="L544" s="3">
        <v>45855</v>
      </c>
      <c r="M544" s="3">
        <v>45855</v>
      </c>
      <c r="N544" s="3"/>
      <c r="O544" t="s">
        <v>3097</v>
      </c>
      <c r="P544" t="s">
        <v>9</v>
      </c>
      <c r="Q544" s="4">
        <v>0.57592592592592995</v>
      </c>
      <c r="R544" t="s">
        <v>5</v>
      </c>
      <c r="S544" t="s">
        <v>4</v>
      </c>
      <c r="T544" t="s">
        <v>2350</v>
      </c>
      <c r="U544" t="s">
        <v>10</v>
      </c>
      <c r="V544" s="5">
        <v>0</v>
      </c>
      <c r="W544" s="5">
        <v>0</v>
      </c>
      <c r="X544" s="2">
        <v>0</v>
      </c>
      <c r="Y544" t="s">
        <v>4</v>
      </c>
      <c r="Z544" t="s">
        <v>4</v>
      </c>
      <c r="AA544" t="s">
        <v>4</v>
      </c>
      <c r="AB544" t="s">
        <v>4</v>
      </c>
    </row>
    <row r="545" spans="1:28" x14ac:dyDescent="0.2">
      <c r="A545" t="s">
        <v>1164</v>
      </c>
      <c r="B545" t="s">
        <v>2</v>
      </c>
      <c r="C545" t="s">
        <v>3</v>
      </c>
      <c r="D545" t="s">
        <v>4</v>
      </c>
      <c r="E545" t="s">
        <v>4</v>
      </c>
      <c r="F545" t="s">
        <v>5</v>
      </c>
      <c r="G545" t="s">
        <v>17</v>
      </c>
      <c r="H545" t="s">
        <v>3098</v>
      </c>
      <c r="I545" s="2">
        <v>10000</v>
      </c>
      <c r="J545" s="2">
        <v>0</v>
      </c>
      <c r="K545" s="2">
        <v>0</v>
      </c>
      <c r="L545" s="3">
        <v>45855</v>
      </c>
      <c r="M545" s="3">
        <v>45855</v>
      </c>
      <c r="N545" s="3"/>
      <c r="O545" t="s">
        <v>3099</v>
      </c>
      <c r="P545" t="s">
        <v>9</v>
      </c>
      <c r="Q545" s="4">
        <v>0.87765046296296001</v>
      </c>
      <c r="R545" t="s">
        <v>5</v>
      </c>
      <c r="S545" t="s">
        <v>4</v>
      </c>
      <c r="T545" t="s">
        <v>2350</v>
      </c>
      <c r="U545" t="s">
        <v>10</v>
      </c>
      <c r="V545" s="5">
        <v>0</v>
      </c>
      <c r="W545" s="5">
        <v>0</v>
      </c>
      <c r="X545" s="2">
        <v>0</v>
      </c>
      <c r="Y545" t="s">
        <v>4</v>
      </c>
      <c r="Z545" t="s">
        <v>4</v>
      </c>
      <c r="AA545" t="s">
        <v>4</v>
      </c>
      <c r="AB545" t="s">
        <v>4</v>
      </c>
    </row>
    <row r="546" spans="1:28" x14ac:dyDescent="0.2">
      <c r="A546" t="s">
        <v>31</v>
      </c>
      <c r="B546" t="s">
        <v>2</v>
      </c>
      <c r="C546" t="s">
        <v>3</v>
      </c>
      <c r="D546" t="s">
        <v>4</v>
      </c>
      <c r="E546" t="s">
        <v>4</v>
      </c>
      <c r="F546" t="s">
        <v>5</v>
      </c>
      <c r="G546" t="s">
        <v>17</v>
      </c>
      <c r="H546" t="s">
        <v>33</v>
      </c>
      <c r="I546" s="2">
        <v>147</v>
      </c>
      <c r="J546" s="2">
        <v>0</v>
      </c>
      <c r="K546" s="2">
        <v>0</v>
      </c>
      <c r="L546" s="3">
        <v>45851</v>
      </c>
      <c r="M546" s="3">
        <v>45851</v>
      </c>
      <c r="N546" s="3"/>
      <c r="O546" t="s">
        <v>34</v>
      </c>
      <c r="P546" t="s">
        <v>9</v>
      </c>
      <c r="Q546" s="4">
        <v>0.56351851851851997</v>
      </c>
      <c r="R546" t="s">
        <v>5</v>
      </c>
      <c r="S546" t="s">
        <v>4</v>
      </c>
      <c r="T546" t="s">
        <v>2747</v>
      </c>
      <c r="U546" t="s">
        <v>35</v>
      </c>
      <c r="V546" s="5">
        <v>0</v>
      </c>
      <c r="W546" s="5">
        <v>0</v>
      </c>
      <c r="X546" s="2">
        <v>0</v>
      </c>
      <c r="Y546" t="s">
        <v>4</v>
      </c>
      <c r="Z546" t="s">
        <v>4</v>
      </c>
      <c r="AA546" t="s">
        <v>4</v>
      </c>
      <c r="AB546" t="s">
        <v>4</v>
      </c>
    </row>
    <row r="547" spans="1:28" x14ac:dyDescent="0.2">
      <c r="A547" t="s">
        <v>31</v>
      </c>
      <c r="B547" t="s">
        <v>2</v>
      </c>
      <c r="C547" t="s">
        <v>3</v>
      </c>
      <c r="D547" t="s">
        <v>4</v>
      </c>
      <c r="E547" t="s">
        <v>4</v>
      </c>
      <c r="F547" t="s">
        <v>5</v>
      </c>
      <c r="G547" t="s">
        <v>17</v>
      </c>
      <c r="H547" t="s">
        <v>33</v>
      </c>
      <c r="I547" s="2">
        <v>147</v>
      </c>
      <c r="J547" s="2">
        <v>0</v>
      </c>
      <c r="K547" s="2">
        <v>0</v>
      </c>
      <c r="L547" s="3">
        <v>45851</v>
      </c>
      <c r="M547" s="3">
        <v>45851</v>
      </c>
      <c r="N547" s="3"/>
      <c r="O547" t="s">
        <v>36</v>
      </c>
      <c r="P547" t="s">
        <v>9</v>
      </c>
      <c r="Q547" s="4">
        <v>0.56351851851851997</v>
      </c>
      <c r="R547" t="s">
        <v>5</v>
      </c>
      <c r="S547" t="s">
        <v>4</v>
      </c>
      <c r="T547" t="s">
        <v>2747</v>
      </c>
      <c r="U547" t="s">
        <v>35</v>
      </c>
      <c r="V547" s="5">
        <v>0</v>
      </c>
      <c r="W547" s="5">
        <v>0</v>
      </c>
      <c r="X547" s="2">
        <v>0</v>
      </c>
      <c r="Y547" t="s">
        <v>4</v>
      </c>
      <c r="Z547" t="s">
        <v>4</v>
      </c>
      <c r="AA547" t="s">
        <v>4</v>
      </c>
      <c r="AB547" t="s">
        <v>4</v>
      </c>
    </row>
    <row r="548" spans="1:28" x14ac:dyDescent="0.2">
      <c r="A548" t="s">
        <v>1566</v>
      </c>
      <c r="B548" t="s">
        <v>2</v>
      </c>
      <c r="C548" t="s">
        <v>3</v>
      </c>
      <c r="D548" t="s">
        <v>4</v>
      </c>
      <c r="E548" t="s">
        <v>4</v>
      </c>
      <c r="F548" t="s">
        <v>5</v>
      </c>
      <c r="G548" t="s">
        <v>6</v>
      </c>
      <c r="H548" t="s">
        <v>3100</v>
      </c>
      <c r="I548" s="2">
        <v>300</v>
      </c>
      <c r="J548" s="2">
        <v>0</v>
      </c>
      <c r="K548" s="2">
        <v>0</v>
      </c>
      <c r="L548" s="3">
        <v>45856</v>
      </c>
      <c r="M548" s="3">
        <v>45856</v>
      </c>
      <c r="N548" s="3"/>
      <c r="O548" t="s">
        <v>3101</v>
      </c>
      <c r="P548" t="s">
        <v>9</v>
      </c>
      <c r="Q548" s="4">
        <v>0.80715277777778005</v>
      </c>
      <c r="R548" t="s">
        <v>5</v>
      </c>
      <c r="S548" t="s">
        <v>4</v>
      </c>
      <c r="T548" t="s">
        <v>2260</v>
      </c>
      <c r="U548" t="s">
        <v>10</v>
      </c>
      <c r="V548" s="5">
        <v>0</v>
      </c>
      <c r="W548" s="5">
        <v>0</v>
      </c>
      <c r="X548" s="2">
        <v>0</v>
      </c>
      <c r="Y548" t="s">
        <v>4</v>
      </c>
      <c r="Z548" t="s">
        <v>4</v>
      </c>
      <c r="AA548" t="s">
        <v>4</v>
      </c>
      <c r="AB548" t="s">
        <v>4</v>
      </c>
    </row>
    <row r="549" spans="1:28" x14ac:dyDescent="0.2">
      <c r="A549" t="s">
        <v>1566</v>
      </c>
      <c r="B549" t="s">
        <v>2</v>
      </c>
      <c r="C549" t="s">
        <v>3</v>
      </c>
      <c r="D549" t="s">
        <v>4</v>
      </c>
      <c r="E549" t="s">
        <v>4</v>
      </c>
      <c r="F549" t="s">
        <v>5</v>
      </c>
      <c r="G549" t="s">
        <v>6</v>
      </c>
      <c r="H549" t="s">
        <v>3100</v>
      </c>
      <c r="I549" s="2">
        <v>300</v>
      </c>
      <c r="J549" s="2">
        <v>0</v>
      </c>
      <c r="K549" s="2">
        <v>0</v>
      </c>
      <c r="L549" s="3">
        <v>45856</v>
      </c>
      <c r="M549" s="3">
        <v>45856</v>
      </c>
      <c r="N549" s="3"/>
      <c r="O549" t="s">
        <v>3102</v>
      </c>
      <c r="P549" t="s">
        <v>9</v>
      </c>
      <c r="Q549" s="4">
        <v>0.80715277777778005</v>
      </c>
      <c r="R549" t="s">
        <v>5</v>
      </c>
      <c r="S549" t="s">
        <v>4</v>
      </c>
      <c r="T549" t="s">
        <v>2260</v>
      </c>
      <c r="U549" t="s">
        <v>10</v>
      </c>
      <c r="V549" s="5">
        <v>0</v>
      </c>
      <c r="W549" s="5">
        <v>0</v>
      </c>
      <c r="X549" s="2">
        <v>0</v>
      </c>
      <c r="Y549" t="s">
        <v>4</v>
      </c>
      <c r="Z549" t="s">
        <v>4</v>
      </c>
      <c r="AA549" t="s">
        <v>4</v>
      </c>
      <c r="AB549" t="s">
        <v>4</v>
      </c>
    </row>
    <row r="550" spans="1:28" x14ac:dyDescent="0.2">
      <c r="A550" t="s">
        <v>1913</v>
      </c>
      <c r="B550" t="s">
        <v>2</v>
      </c>
      <c r="C550" t="s">
        <v>3</v>
      </c>
      <c r="D550" t="s">
        <v>4</v>
      </c>
      <c r="E550" t="s">
        <v>4</v>
      </c>
      <c r="F550" t="s">
        <v>5</v>
      </c>
      <c r="G550" t="s">
        <v>6</v>
      </c>
      <c r="H550" t="s">
        <v>3103</v>
      </c>
      <c r="I550" s="2">
        <v>420</v>
      </c>
      <c r="J550" s="2">
        <v>0</v>
      </c>
      <c r="K550" s="2">
        <v>0</v>
      </c>
      <c r="L550" s="3">
        <v>45825</v>
      </c>
      <c r="M550" s="3">
        <v>45825</v>
      </c>
      <c r="N550" s="3"/>
      <c r="O550" t="s">
        <v>3104</v>
      </c>
      <c r="P550" t="s">
        <v>9</v>
      </c>
      <c r="Q550" s="4">
        <v>0.6191087962963</v>
      </c>
      <c r="R550" t="s">
        <v>5</v>
      </c>
      <c r="S550" t="s">
        <v>4</v>
      </c>
      <c r="T550" t="s">
        <v>3105</v>
      </c>
      <c r="U550" t="s">
        <v>10</v>
      </c>
      <c r="V550" s="5">
        <v>0</v>
      </c>
      <c r="W550" s="5">
        <v>0</v>
      </c>
      <c r="X550" s="2">
        <v>0</v>
      </c>
      <c r="Y550" t="s">
        <v>4</v>
      </c>
      <c r="Z550" t="s">
        <v>4</v>
      </c>
      <c r="AA550" t="s">
        <v>4</v>
      </c>
      <c r="AB550" t="s">
        <v>4</v>
      </c>
    </row>
    <row r="551" spans="1:28" x14ac:dyDescent="0.2">
      <c r="A551" t="s">
        <v>1913</v>
      </c>
      <c r="B551" t="s">
        <v>2</v>
      </c>
      <c r="C551" t="s">
        <v>3</v>
      </c>
      <c r="D551" t="s">
        <v>4</v>
      </c>
      <c r="E551" t="s">
        <v>4</v>
      </c>
      <c r="F551" t="s">
        <v>5</v>
      </c>
      <c r="G551" t="s">
        <v>6</v>
      </c>
      <c r="H551" t="s">
        <v>3103</v>
      </c>
      <c r="I551" s="2">
        <v>420</v>
      </c>
      <c r="J551" s="2">
        <v>0</v>
      </c>
      <c r="K551" s="2">
        <v>0</v>
      </c>
      <c r="L551" s="3">
        <v>45825</v>
      </c>
      <c r="M551" s="3">
        <v>45825</v>
      </c>
      <c r="N551" s="3"/>
      <c r="O551" t="s">
        <v>3106</v>
      </c>
      <c r="P551" t="s">
        <v>9</v>
      </c>
      <c r="Q551" s="4">
        <v>0.6191087962963</v>
      </c>
      <c r="R551" t="s">
        <v>5</v>
      </c>
      <c r="S551" t="s">
        <v>4</v>
      </c>
      <c r="T551" t="s">
        <v>3105</v>
      </c>
      <c r="U551" t="s">
        <v>10</v>
      </c>
      <c r="V551" s="5">
        <v>0</v>
      </c>
      <c r="W551" s="5">
        <v>0</v>
      </c>
      <c r="X551" s="2">
        <v>0</v>
      </c>
      <c r="Y551" t="s">
        <v>4</v>
      </c>
      <c r="Z551" t="s">
        <v>4</v>
      </c>
      <c r="AA551" t="s">
        <v>4</v>
      </c>
      <c r="AB551" t="s">
        <v>4</v>
      </c>
    </row>
    <row r="552" spans="1:28" x14ac:dyDescent="0.2">
      <c r="A552" t="s">
        <v>1035</v>
      </c>
      <c r="B552" t="s">
        <v>2</v>
      </c>
      <c r="C552" t="s">
        <v>3</v>
      </c>
      <c r="D552" t="s">
        <v>4</v>
      </c>
      <c r="E552" t="s">
        <v>4</v>
      </c>
      <c r="F552" t="s">
        <v>5</v>
      </c>
      <c r="G552" t="s">
        <v>6</v>
      </c>
      <c r="H552" t="s">
        <v>3107</v>
      </c>
      <c r="I552" s="2">
        <v>270</v>
      </c>
      <c r="J552" s="2">
        <v>0</v>
      </c>
      <c r="K552" s="2">
        <v>0</v>
      </c>
      <c r="L552" s="3">
        <v>45855</v>
      </c>
      <c r="M552" s="3">
        <v>45855</v>
      </c>
      <c r="N552" s="3"/>
      <c r="O552" t="s">
        <v>3108</v>
      </c>
      <c r="P552" t="s">
        <v>9</v>
      </c>
      <c r="Q552" s="4">
        <v>0.57001157407406999</v>
      </c>
      <c r="R552" t="s">
        <v>5</v>
      </c>
      <c r="S552" t="s">
        <v>4</v>
      </c>
      <c r="T552" t="s">
        <v>2350</v>
      </c>
      <c r="U552" t="s">
        <v>10</v>
      </c>
      <c r="V552" s="5">
        <v>0</v>
      </c>
      <c r="W552" s="5">
        <v>0</v>
      </c>
      <c r="X552" s="2">
        <v>0</v>
      </c>
      <c r="Y552" t="s">
        <v>4</v>
      </c>
      <c r="Z552" t="s">
        <v>4</v>
      </c>
      <c r="AA552" t="s">
        <v>4</v>
      </c>
      <c r="AB552" t="s">
        <v>4</v>
      </c>
    </row>
    <row r="553" spans="1:28" x14ac:dyDescent="0.2">
      <c r="A553" t="s">
        <v>1035</v>
      </c>
      <c r="B553" t="s">
        <v>2</v>
      </c>
      <c r="C553" t="s">
        <v>3</v>
      </c>
      <c r="D553" t="s">
        <v>4</v>
      </c>
      <c r="E553" t="s">
        <v>4</v>
      </c>
      <c r="F553" t="s">
        <v>5</v>
      </c>
      <c r="G553" t="s">
        <v>6</v>
      </c>
      <c r="H553" t="s">
        <v>3107</v>
      </c>
      <c r="I553" s="2">
        <v>270</v>
      </c>
      <c r="J553" s="2">
        <v>0</v>
      </c>
      <c r="K553" s="2">
        <v>0</v>
      </c>
      <c r="L553" s="3">
        <v>45855</v>
      </c>
      <c r="M553" s="3">
        <v>45855</v>
      </c>
      <c r="N553" s="3"/>
      <c r="O553" t="s">
        <v>3109</v>
      </c>
      <c r="P553" t="s">
        <v>9</v>
      </c>
      <c r="Q553" s="4">
        <v>0.57001157407406999</v>
      </c>
      <c r="R553" t="s">
        <v>5</v>
      </c>
      <c r="S553" t="s">
        <v>4</v>
      </c>
      <c r="T553" t="s">
        <v>2350</v>
      </c>
      <c r="U553" t="s">
        <v>10</v>
      </c>
      <c r="V553" s="5">
        <v>0</v>
      </c>
      <c r="W553" s="5">
        <v>0</v>
      </c>
      <c r="X553" s="2">
        <v>0</v>
      </c>
      <c r="Y553" t="s">
        <v>4</v>
      </c>
      <c r="Z553" t="s">
        <v>4</v>
      </c>
      <c r="AA553" t="s">
        <v>4</v>
      </c>
      <c r="AB553" t="s">
        <v>4</v>
      </c>
    </row>
    <row r="554" spans="1:28" x14ac:dyDescent="0.2">
      <c r="A554" t="s">
        <v>1135</v>
      </c>
      <c r="B554" t="s">
        <v>2</v>
      </c>
      <c r="C554" t="s">
        <v>3</v>
      </c>
      <c r="D554" t="s">
        <v>4</v>
      </c>
      <c r="E554" t="s">
        <v>4</v>
      </c>
      <c r="F554" t="s">
        <v>5</v>
      </c>
      <c r="G554" t="s">
        <v>6</v>
      </c>
      <c r="H554" t="s">
        <v>3110</v>
      </c>
      <c r="I554" s="2">
        <v>480</v>
      </c>
      <c r="J554" s="2">
        <v>0</v>
      </c>
      <c r="K554" s="2">
        <v>0</v>
      </c>
      <c r="L554" s="3">
        <v>45850</v>
      </c>
      <c r="M554" s="3">
        <v>45850</v>
      </c>
      <c r="N554" s="3"/>
      <c r="O554" t="s">
        <v>3111</v>
      </c>
      <c r="P554" t="s">
        <v>9</v>
      </c>
      <c r="Q554" s="4">
        <v>0.92226851851851999</v>
      </c>
      <c r="R554" t="s">
        <v>5</v>
      </c>
      <c r="S554" t="s">
        <v>4</v>
      </c>
      <c r="T554" t="s">
        <v>2680</v>
      </c>
      <c r="U554" t="s">
        <v>10</v>
      </c>
      <c r="V554" s="5">
        <v>0</v>
      </c>
      <c r="W554" s="5">
        <v>0</v>
      </c>
      <c r="X554" s="2">
        <v>0</v>
      </c>
      <c r="Y554" t="s">
        <v>4</v>
      </c>
      <c r="Z554" t="s">
        <v>4</v>
      </c>
      <c r="AA554" t="s">
        <v>4</v>
      </c>
      <c r="AB554" t="s">
        <v>4</v>
      </c>
    </row>
    <row r="555" spans="1:28" x14ac:dyDescent="0.2">
      <c r="A555" t="s">
        <v>1135</v>
      </c>
      <c r="B555" t="s">
        <v>2</v>
      </c>
      <c r="C555" t="s">
        <v>3</v>
      </c>
      <c r="D555" t="s">
        <v>4</v>
      </c>
      <c r="E555" t="s">
        <v>4</v>
      </c>
      <c r="F555" t="s">
        <v>5</v>
      </c>
      <c r="G555" t="s">
        <v>6</v>
      </c>
      <c r="H555" t="s">
        <v>3110</v>
      </c>
      <c r="I555" s="2">
        <v>480</v>
      </c>
      <c r="J555" s="2">
        <v>0</v>
      </c>
      <c r="K555" s="2">
        <v>0</v>
      </c>
      <c r="L555" s="3">
        <v>45850</v>
      </c>
      <c r="M555" s="3">
        <v>45850</v>
      </c>
      <c r="N555" s="3"/>
      <c r="O555" t="s">
        <v>3112</v>
      </c>
      <c r="P555" t="s">
        <v>9</v>
      </c>
      <c r="Q555" s="4">
        <v>0.92226851851851999</v>
      </c>
      <c r="R555" t="s">
        <v>5</v>
      </c>
      <c r="S555" t="s">
        <v>4</v>
      </c>
      <c r="T555" t="s">
        <v>2680</v>
      </c>
      <c r="U555" t="s">
        <v>10</v>
      </c>
      <c r="V555" s="5">
        <v>0</v>
      </c>
      <c r="W555" s="5">
        <v>0</v>
      </c>
      <c r="X555" s="2">
        <v>0</v>
      </c>
      <c r="Y555" t="s">
        <v>4</v>
      </c>
      <c r="Z555" t="s">
        <v>4</v>
      </c>
      <c r="AA555" t="s">
        <v>4</v>
      </c>
      <c r="AB555" t="s">
        <v>4</v>
      </c>
    </row>
    <row r="556" spans="1:28" x14ac:dyDescent="0.2">
      <c r="A556" t="s">
        <v>686</v>
      </c>
      <c r="B556" t="s">
        <v>2</v>
      </c>
      <c r="C556" t="s">
        <v>3</v>
      </c>
      <c r="D556" t="s">
        <v>4</v>
      </c>
      <c r="E556" t="s">
        <v>4</v>
      </c>
      <c r="F556" t="s">
        <v>5</v>
      </c>
      <c r="G556" t="s">
        <v>6</v>
      </c>
      <c r="H556" t="s">
        <v>3113</v>
      </c>
      <c r="I556" s="2">
        <v>0</v>
      </c>
      <c r="J556" s="2">
        <v>70</v>
      </c>
      <c r="K556" s="2">
        <v>0</v>
      </c>
      <c r="L556" s="3">
        <v>45857</v>
      </c>
      <c r="M556" s="3">
        <v>45857</v>
      </c>
      <c r="N556" s="3"/>
      <c r="O556" t="s">
        <v>3114</v>
      </c>
      <c r="P556" t="s">
        <v>9</v>
      </c>
      <c r="Q556" s="4">
        <v>0.77312499999999995</v>
      </c>
      <c r="R556" t="s">
        <v>5</v>
      </c>
      <c r="S556" t="s">
        <v>4</v>
      </c>
      <c r="T556" t="s">
        <v>2262</v>
      </c>
      <c r="U556" t="s">
        <v>10</v>
      </c>
      <c r="V556" s="5">
        <v>0</v>
      </c>
      <c r="W556" s="5">
        <v>0</v>
      </c>
      <c r="X556" s="2">
        <v>0</v>
      </c>
      <c r="Y556" t="s">
        <v>4</v>
      </c>
      <c r="Z556" t="s">
        <v>4</v>
      </c>
      <c r="AA556" t="s">
        <v>4</v>
      </c>
      <c r="AB556" t="s">
        <v>4</v>
      </c>
    </row>
    <row r="557" spans="1:28" x14ac:dyDescent="0.2">
      <c r="A557" t="s">
        <v>1209</v>
      </c>
      <c r="B557" t="s">
        <v>2</v>
      </c>
      <c r="C557" t="s">
        <v>3</v>
      </c>
      <c r="D557" t="s">
        <v>4</v>
      </c>
      <c r="E557" t="s">
        <v>4</v>
      </c>
      <c r="F557" t="s">
        <v>5</v>
      </c>
      <c r="G557" t="s">
        <v>6</v>
      </c>
      <c r="H557" t="s">
        <v>3115</v>
      </c>
      <c r="I557" s="2">
        <v>600</v>
      </c>
      <c r="J557" s="2">
        <v>0</v>
      </c>
      <c r="K557" s="2">
        <v>0</v>
      </c>
      <c r="L557" s="3">
        <v>45598</v>
      </c>
      <c r="M557" s="3">
        <v>45598</v>
      </c>
      <c r="N557" s="3"/>
      <c r="O557" t="s">
        <v>3116</v>
      </c>
      <c r="P557" t="s">
        <v>9</v>
      </c>
      <c r="Q557" s="4">
        <v>0.80101851851852002</v>
      </c>
      <c r="R557" t="s">
        <v>5</v>
      </c>
      <c r="S557" t="s">
        <v>4</v>
      </c>
      <c r="T557" t="s">
        <v>2675</v>
      </c>
      <c r="U557" t="s">
        <v>10</v>
      </c>
      <c r="V557" s="5">
        <v>0</v>
      </c>
      <c r="W557" s="5">
        <v>0</v>
      </c>
      <c r="X557" s="2">
        <v>0</v>
      </c>
      <c r="Y557" t="s">
        <v>4</v>
      </c>
      <c r="Z557" t="s">
        <v>4</v>
      </c>
      <c r="AA557" t="s">
        <v>4</v>
      </c>
      <c r="AB557" t="s">
        <v>4</v>
      </c>
    </row>
    <row r="558" spans="1:28" x14ac:dyDescent="0.2">
      <c r="A558" t="s">
        <v>662</v>
      </c>
      <c r="B558" t="s">
        <v>2</v>
      </c>
      <c r="C558" t="s">
        <v>3</v>
      </c>
      <c r="D558" t="s">
        <v>4</v>
      </c>
      <c r="E558" t="s">
        <v>4</v>
      </c>
      <c r="F558" t="s">
        <v>5</v>
      </c>
      <c r="G558" t="s">
        <v>6</v>
      </c>
      <c r="H558" t="s">
        <v>3117</v>
      </c>
      <c r="I558" s="2">
        <v>270</v>
      </c>
      <c r="J558" s="2">
        <v>0</v>
      </c>
      <c r="K558" s="2">
        <v>0</v>
      </c>
      <c r="L558" s="3">
        <v>45857</v>
      </c>
      <c r="M558" s="3">
        <v>45857</v>
      </c>
      <c r="N558" s="3"/>
      <c r="O558" t="s">
        <v>3118</v>
      </c>
      <c r="P558" t="s">
        <v>9</v>
      </c>
      <c r="Q558" s="4">
        <v>0.50626157407407002</v>
      </c>
      <c r="R558" t="s">
        <v>5</v>
      </c>
      <c r="S558" t="s">
        <v>4</v>
      </c>
      <c r="T558" t="s">
        <v>2262</v>
      </c>
      <c r="U558" t="s">
        <v>10</v>
      </c>
      <c r="V558" s="5">
        <v>0</v>
      </c>
      <c r="W558" s="5">
        <v>0</v>
      </c>
      <c r="X558" s="2">
        <v>0</v>
      </c>
      <c r="Y558" t="s">
        <v>4</v>
      </c>
      <c r="Z558" t="s">
        <v>4</v>
      </c>
      <c r="AA558" t="s">
        <v>4</v>
      </c>
      <c r="AB558" t="s">
        <v>4</v>
      </c>
    </row>
    <row r="559" spans="1:28" x14ac:dyDescent="0.2">
      <c r="A559" t="s">
        <v>662</v>
      </c>
      <c r="B559" t="s">
        <v>2</v>
      </c>
      <c r="C559" t="s">
        <v>3</v>
      </c>
      <c r="D559" t="s">
        <v>4</v>
      </c>
      <c r="E559" t="s">
        <v>4</v>
      </c>
      <c r="F559" t="s">
        <v>5</v>
      </c>
      <c r="G559" t="s">
        <v>6</v>
      </c>
      <c r="H559" t="s">
        <v>3117</v>
      </c>
      <c r="I559" s="2">
        <v>270</v>
      </c>
      <c r="J559" s="2">
        <v>0</v>
      </c>
      <c r="K559" s="2">
        <v>0</v>
      </c>
      <c r="L559" s="3">
        <v>45857</v>
      </c>
      <c r="M559" s="3">
        <v>45857</v>
      </c>
      <c r="N559" s="3"/>
      <c r="O559" t="s">
        <v>3119</v>
      </c>
      <c r="P559" t="s">
        <v>9</v>
      </c>
      <c r="Q559" s="4">
        <v>0.50626157407407002</v>
      </c>
      <c r="R559" t="s">
        <v>5</v>
      </c>
      <c r="S559" t="s">
        <v>4</v>
      </c>
      <c r="T559" t="s">
        <v>2262</v>
      </c>
      <c r="U559" t="s">
        <v>10</v>
      </c>
      <c r="V559" s="5">
        <v>0</v>
      </c>
      <c r="W559" s="5">
        <v>0</v>
      </c>
      <c r="X559" s="2">
        <v>0</v>
      </c>
      <c r="Y559" t="s">
        <v>4</v>
      </c>
      <c r="Z559" t="s">
        <v>4</v>
      </c>
      <c r="AA559" t="s">
        <v>4</v>
      </c>
      <c r="AB559" t="s">
        <v>4</v>
      </c>
    </row>
    <row r="560" spans="1:28" x14ac:dyDescent="0.2">
      <c r="A560" t="s">
        <v>1135</v>
      </c>
      <c r="B560" t="s">
        <v>2</v>
      </c>
      <c r="C560" t="s">
        <v>3</v>
      </c>
      <c r="D560" t="s">
        <v>4</v>
      </c>
      <c r="E560" t="s">
        <v>4</v>
      </c>
      <c r="F560" t="s">
        <v>5</v>
      </c>
      <c r="G560" t="s">
        <v>21</v>
      </c>
      <c r="H560" t="s">
        <v>3120</v>
      </c>
      <c r="I560" s="2">
        <v>480</v>
      </c>
      <c r="J560" s="2">
        <v>0</v>
      </c>
      <c r="K560" s="2">
        <v>0</v>
      </c>
      <c r="L560" s="3">
        <v>45822</v>
      </c>
      <c r="M560" s="3">
        <v>45822</v>
      </c>
      <c r="N560" s="3"/>
      <c r="O560" t="s">
        <v>3121</v>
      </c>
      <c r="P560" t="s">
        <v>9</v>
      </c>
      <c r="Q560" s="4">
        <v>0.86064814814815005</v>
      </c>
      <c r="R560" t="s">
        <v>5</v>
      </c>
      <c r="S560" t="s">
        <v>4</v>
      </c>
      <c r="T560" t="s">
        <v>3122</v>
      </c>
      <c r="U560" t="s">
        <v>10</v>
      </c>
      <c r="V560" s="5">
        <v>0</v>
      </c>
      <c r="W560" s="5">
        <v>0</v>
      </c>
      <c r="X560" s="2">
        <v>0</v>
      </c>
      <c r="Y560" t="s">
        <v>4</v>
      </c>
      <c r="Z560" t="s">
        <v>4</v>
      </c>
      <c r="AA560" t="s">
        <v>4</v>
      </c>
      <c r="AB560" t="s">
        <v>4</v>
      </c>
    </row>
    <row r="561" spans="1:28" x14ac:dyDescent="0.2">
      <c r="A561" t="s">
        <v>1135</v>
      </c>
      <c r="B561" t="s">
        <v>2</v>
      </c>
      <c r="C561" t="s">
        <v>3</v>
      </c>
      <c r="D561" t="s">
        <v>4</v>
      </c>
      <c r="E561" t="s">
        <v>4</v>
      </c>
      <c r="F561" t="s">
        <v>5</v>
      </c>
      <c r="G561" t="s">
        <v>21</v>
      </c>
      <c r="H561" t="s">
        <v>3120</v>
      </c>
      <c r="I561" s="2">
        <v>480</v>
      </c>
      <c r="J561" s="2">
        <v>0</v>
      </c>
      <c r="K561" s="2">
        <v>0</v>
      </c>
      <c r="L561" s="3">
        <v>45822</v>
      </c>
      <c r="M561" s="3">
        <v>45822</v>
      </c>
      <c r="N561" s="3"/>
      <c r="O561" t="s">
        <v>3123</v>
      </c>
      <c r="P561" t="s">
        <v>9</v>
      </c>
      <c r="Q561" s="4">
        <v>0.86064814814815005</v>
      </c>
      <c r="R561" t="s">
        <v>5</v>
      </c>
      <c r="S561" t="s">
        <v>4</v>
      </c>
      <c r="T561" t="s">
        <v>3122</v>
      </c>
      <c r="U561" t="s">
        <v>10</v>
      </c>
      <c r="V561" s="5">
        <v>0</v>
      </c>
      <c r="W561" s="5">
        <v>0</v>
      </c>
      <c r="X561" s="2">
        <v>0</v>
      </c>
      <c r="Y561" t="s">
        <v>4</v>
      </c>
      <c r="Z561" t="s">
        <v>4</v>
      </c>
      <c r="AA561" t="s">
        <v>4</v>
      </c>
      <c r="AB561" t="s">
        <v>4</v>
      </c>
    </row>
    <row r="562" spans="1:28" x14ac:dyDescent="0.2">
      <c r="A562" t="s">
        <v>1139</v>
      </c>
      <c r="B562" t="s">
        <v>2</v>
      </c>
      <c r="C562" t="s">
        <v>3</v>
      </c>
      <c r="D562" t="s">
        <v>4</v>
      </c>
      <c r="E562" t="s">
        <v>4</v>
      </c>
      <c r="F562" t="s">
        <v>5</v>
      </c>
      <c r="G562" t="s">
        <v>6</v>
      </c>
      <c r="H562" t="s">
        <v>3124</v>
      </c>
      <c r="I562" s="2">
        <v>432</v>
      </c>
      <c r="J562" s="2">
        <v>0</v>
      </c>
      <c r="K562" s="2">
        <v>0</v>
      </c>
      <c r="L562" s="3">
        <v>45832</v>
      </c>
      <c r="M562" s="3">
        <v>45832</v>
      </c>
      <c r="N562" s="3"/>
      <c r="O562" t="s">
        <v>3125</v>
      </c>
      <c r="P562" t="s">
        <v>9</v>
      </c>
      <c r="Q562" s="4">
        <v>0.43408564814814998</v>
      </c>
      <c r="R562" t="s">
        <v>5</v>
      </c>
      <c r="S562" t="s">
        <v>4</v>
      </c>
      <c r="T562" t="s">
        <v>2665</v>
      </c>
      <c r="U562" t="s">
        <v>10</v>
      </c>
      <c r="V562" s="5">
        <v>0</v>
      </c>
      <c r="W562" s="5">
        <v>0</v>
      </c>
      <c r="X562" s="2">
        <v>0</v>
      </c>
      <c r="Y562" t="s">
        <v>4</v>
      </c>
      <c r="Z562" t="s">
        <v>4</v>
      </c>
      <c r="AA562" t="s">
        <v>4</v>
      </c>
      <c r="AB562" t="s">
        <v>4</v>
      </c>
    </row>
    <row r="563" spans="1:28" x14ac:dyDescent="0.2">
      <c r="A563" t="s">
        <v>331</v>
      </c>
      <c r="B563" t="s">
        <v>2</v>
      </c>
      <c r="C563" t="s">
        <v>3</v>
      </c>
      <c r="D563" t="s">
        <v>4</v>
      </c>
      <c r="E563" t="s">
        <v>4</v>
      </c>
      <c r="F563" t="s">
        <v>5</v>
      </c>
      <c r="G563" t="s">
        <v>21</v>
      </c>
      <c r="H563" t="s">
        <v>3126</v>
      </c>
      <c r="I563" s="2">
        <v>1260</v>
      </c>
      <c r="J563" s="2">
        <v>0</v>
      </c>
      <c r="K563" s="2">
        <v>0</v>
      </c>
      <c r="L563" s="3">
        <v>45839</v>
      </c>
      <c r="M563" s="3">
        <v>45839</v>
      </c>
      <c r="N563" s="3"/>
      <c r="O563" t="s">
        <v>3127</v>
      </c>
      <c r="P563" t="s">
        <v>9</v>
      </c>
      <c r="Q563" s="4">
        <v>0.81663194444443998</v>
      </c>
      <c r="R563" t="s">
        <v>5</v>
      </c>
      <c r="S563" t="s">
        <v>4</v>
      </c>
      <c r="T563" t="s">
        <v>2312</v>
      </c>
      <c r="U563" t="s">
        <v>10</v>
      </c>
      <c r="V563" s="5">
        <v>0</v>
      </c>
      <c r="W563" s="5">
        <v>0</v>
      </c>
      <c r="X563" s="2">
        <v>0</v>
      </c>
      <c r="Y563" t="s">
        <v>4</v>
      </c>
      <c r="Z563" t="s">
        <v>4</v>
      </c>
      <c r="AA563" t="s">
        <v>4</v>
      </c>
      <c r="AB563" t="s">
        <v>4</v>
      </c>
    </row>
    <row r="564" spans="1:28" x14ac:dyDescent="0.2">
      <c r="A564" t="s">
        <v>479</v>
      </c>
      <c r="B564" t="s">
        <v>2</v>
      </c>
      <c r="C564" t="s">
        <v>3</v>
      </c>
      <c r="D564" t="s">
        <v>4</v>
      </c>
      <c r="E564" t="s">
        <v>4</v>
      </c>
      <c r="F564" t="s">
        <v>5</v>
      </c>
      <c r="G564" t="s">
        <v>17</v>
      </c>
      <c r="H564" t="s">
        <v>3128</v>
      </c>
      <c r="I564" s="2">
        <v>960</v>
      </c>
      <c r="J564" s="2">
        <v>0</v>
      </c>
      <c r="K564" s="2">
        <v>0</v>
      </c>
      <c r="L564" s="3">
        <v>45855</v>
      </c>
      <c r="M564" s="3">
        <v>45855</v>
      </c>
      <c r="N564" s="3"/>
      <c r="O564" t="s">
        <v>3129</v>
      </c>
      <c r="P564" t="s">
        <v>9</v>
      </c>
      <c r="Q564" s="4">
        <v>0.77490740740741004</v>
      </c>
      <c r="R564" t="s">
        <v>5</v>
      </c>
      <c r="S564" t="s">
        <v>4</v>
      </c>
      <c r="T564" t="s">
        <v>2350</v>
      </c>
      <c r="U564" t="s">
        <v>10</v>
      </c>
      <c r="V564" s="5">
        <v>0</v>
      </c>
      <c r="W564" s="5">
        <v>0</v>
      </c>
      <c r="X564" s="2">
        <v>0</v>
      </c>
      <c r="Y564" t="s">
        <v>4</v>
      </c>
      <c r="Z564" t="s">
        <v>4</v>
      </c>
      <c r="AA564" t="s">
        <v>4</v>
      </c>
      <c r="AB564" t="s">
        <v>4</v>
      </c>
    </row>
    <row r="565" spans="1:28" x14ac:dyDescent="0.2">
      <c r="A565" t="s">
        <v>296</v>
      </c>
      <c r="B565" t="s">
        <v>2</v>
      </c>
      <c r="C565" t="s">
        <v>3</v>
      </c>
      <c r="D565" t="s">
        <v>4</v>
      </c>
      <c r="E565" t="s">
        <v>4</v>
      </c>
      <c r="F565" t="s">
        <v>5</v>
      </c>
      <c r="G565" t="s">
        <v>17</v>
      </c>
      <c r="H565" t="s">
        <v>3130</v>
      </c>
      <c r="I565" s="2">
        <v>700</v>
      </c>
      <c r="J565" s="2">
        <v>0</v>
      </c>
      <c r="K565" s="2">
        <v>0</v>
      </c>
      <c r="L565" s="3">
        <v>45852</v>
      </c>
      <c r="M565" s="3">
        <v>45852</v>
      </c>
      <c r="N565" s="3"/>
      <c r="O565" t="s">
        <v>3131</v>
      </c>
      <c r="P565" t="s">
        <v>9</v>
      </c>
      <c r="Q565" s="4">
        <v>0.80342592592592998</v>
      </c>
      <c r="R565" t="s">
        <v>5</v>
      </c>
      <c r="S565" t="s">
        <v>4</v>
      </c>
      <c r="T565" t="s">
        <v>2669</v>
      </c>
      <c r="U565" t="s">
        <v>10</v>
      </c>
      <c r="V565" s="5">
        <v>0</v>
      </c>
      <c r="W565" s="5">
        <v>0</v>
      </c>
      <c r="X565" s="2">
        <v>0</v>
      </c>
      <c r="Y565" t="s">
        <v>4</v>
      </c>
      <c r="Z565" t="s">
        <v>4</v>
      </c>
      <c r="AA565" t="s">
        <v>4</v>
      </c>
      <c r="AB565" t="s">
        <v>4</v>
      </c>
    </row>
    <row r="566" spans="1:28" x14ac:dyDescent="0.2">
      <c r="A566" t="s">
        <v>296</v>
      </c>
      <c r="B566" t="s">
        <v>2</v>
      </c>
      <c r="C566" t="s">
        <v>3</v>
      </c>
      <c r="D566" t="s">
        <v>4</v>
      </c>
      <c r="E566" t="s">
        <v>4</v>
      </c>
      <c r="F566" t="s">
        <v>5</v>
      </c>
      <c r="G566" t="s">
        <v>17</v>
      </c>
      <c r="H566" t="s">
        <v>3130</v>
      </c>
      <c r="I566" s="2">
        <v>700</v>
      </c>
      <c r="J566" s="2">
        <v>0</v>
      </c>
      <c r="K566" s="2">
        <v>0</v>
      </c>
      <c r="L566" s="3">
        <v>45853</v>
      </c>
      <c r="M566" s="3">
        <v>45853</v>
      </c>
      <c r="N566" s="3"/>
      <c r="O566" t="s">
        <v>3132</v>
      </c>
      <c r="P566" t="s">
        <v>9</v>
      </c>
      <c r="Q566" s="4">
        <v>0.80342592592592998</v>
      </c>
      <c r="R566" t="s">
        <v>5</v>
      </c>
      <c r="S566" t="s">
        <v>4</v>
      </c>
      <c r="T566" t="s">
        <v>2272</v>
      </c>
      <c r="U566" t="s">
        <v>10</v>
      </c>
      <c r="V566" s="5">
        <v>0</v>
      </c>
      <c r="W566" s="5">
        <v>0</v>
      </c>
      <c r="X566" s="2">
        <v>0</v>
      </c>
      <c r="Y566" t="s">
        <v>4</v>
      </c>
      <c r="Z566" t="s">
        <v>4</v>
      </c>
      <c r="AA566" t="s">
        <v>4</v>
      </c>
      <c r="AB566" t="s">
        <v>4</v>
      </c>
    </row>
    <row r="567" spans="1:28" x14ac:dyDescent="0.2">
      <c r="A567" t="s">
        <v>817</v>
      </c>
      <c r="B567" t="s">
        <v>2</v>
      </c>
      <c r="C567" t="s">
        <v>3</v>
      </c>
      <c r="D567" t="s">
        <v>4</v>
      </c>
      <c r="E567" t="s">
        <v>4</v>
      </c>
      <c r="F567" t="s">
        <v>5</v>
      </c>
      <c r="G567" t="s">
        <v>17</v>
      </c>
      <c r="H567" t="s">
        <v>3133</v>
      </c>
      <c r="I567" s="2">
        <v>700</v>
      </c>
      <c r="J567" s="2">
        <v>0</v>
      </c>
      <c r="K567" s="2">
        <v>0</v>
      </c>
      <c r="L567" s="3">
        <v>45786</v>
      </c>
      <c r="M567" s="3">
        <v>45786</v>
      </c>
      <c r="N567" s="3"/>
      <c r="O567" t="s">
        <v>3134</v>
      </c>
      <c r="P567" t="s">
        <v>9</v>
      </c>
      <c r="Q567" s="4">
        <v>0.94819444444444001</v>
      </c>
      <c r="R567" t="s">
        <v>5</v>
      </c>
      <c r="S567" t="s">
        <v>4</v>
      </c>
      <c r="T567" t="s">
        <v>2922</v>
      </c>
      <c r="U567" t="s">
        <v>10</v>
      </c>
      <c r="V567" s="5">
        <v>0</v>
      </c>
      <c r="W567" s="5">
        <v>0</v>
      </c>
      <c r="X567" s="2">
        <v>0</v>
      </c>
      <c r="Y567" t="s">
        <v>2351</v>
      </c>
      <c r="Z567" t="s">
        <v>2351</v>
      </c>
      <c r="AA567" t="s">
        <v>2351</v>
      </c>
      <c r="AB567" t="s">
        <v>2351</v>
      </c>
    </row>
    <row r="568" spans="1:28" x14ac:dyDescent="0.2">
      <c r="A568" t="s">
        <v>817</v>
      </c>
      <c r="B568" t="s">
        <v>2</v>
      </c>
      <c r="C568" t="s">
        <v>3</v>
      </c>
      <c r="D568" t="s">
        <v>4</v>
      </c>
      <c r="E568" t="s">
        <v>4</v>
      </c>
      <c r="F568" t="s">
        <v>5</v>
      </c>
      <c r="G568" t="s">
        <v>17</v>
      </c>
      <c r="H568" t="s">
        <v>3133</v>
      </c>
      <c r="I568" s="2">
        <v>700</v>
      </c>
      <c r="J568" s="2">
        <v>0</v>
      </c>
      <c r="K568" s="2">
        <v>0</v>
      </c>
      <c r="L568" s="3">
        <v>45786</v>
      </c>
      <c r="M568" s="3">
        <v>45786</v>
      </c>
      <c r="N568" s="3"/>
      <c r="O568" t="s">
        <v>3135</v>
      </c>
      <c r="P568" t="s">
        <v>9</v>
      </c>
      <c r="Q568" s="4">
        <v>0.94819444444444001</v>
      </c>
      <c r="R568" t="s">
        <v>5</v>
      </c>
      <c r="S568" t="s">
        <v>4</v>
      </c>
      <c r="T568" t="s">
        <v>2922</v>
      </c>
      <c r="U568" t="s">
        <v>10</v>
      </c>
      <c r="V568" s="5">
        <v>0</v>
      </c>
      <c r="W568" s="5">
        <v>0</v>
      </c>
      <c r="X568" s="2">
        <v>0</v>
      </c>
      <c r="Y568" t="s">
        <v>2351</v>
      </c>
      <c r="Z568" t="s">
        <v>2351</v>
      </c>
      <c r="AA568" t="s">
        <v>2351</v>
      </c>
      <c r="AB568" t="s">
        <v>2351</v>
      </c>
    </row>
    <row r="569" spans="1:28" x14ac:dyDescent="0.2">
      <c r="A569" t="s">
        <v>389</v>
      </c>
      <c r="B569" t="s">
        <v>2</v>
      </c>
      <c r="C569" t="s">
        <v>3</v>
      </c>
      <c r="D569" t="s">
        <v>4</v>
      </c>
      <c r="E569" t="s">
        <v>4</v>
      </c>
      <c r="F569" t="s">
        <v>5</v>
      </c>
      <c r="G569" t="s">
        <v>17</v>
      </c>
      <c r="H569" t="s">
        <v>3136</v>
      </c>
      <c r="I569" s="2">
        <v>1680</v>
      </c>
      <c r="J569" s="2">
        <v>0</v>
      </c>
      <c r="K569" s="2">
        <v>0</v>
      </c>
      <c r="L569" s="3">
        <v>45854</v>
      </c>
      <c r="M569" s="3">
        <v>45854</v>
      </c>
      <c r="N569" s="3"/>
      <c r="O569" t="s">
        <v>3137</v>
      </c>
      <c r="P569" t="s">
        <v>9</v>
      </c>
      <c r="Q569" s="4">
        <v>0.56054398148147999</v>
      </c>
      <c r="R569" t="s">
        <v>5</v>
      </c>
      <c r="S569" t="s">
        <v>4</v>
      </c>
      <c r="T569" t="s">
        <v>2299</v>
      </c>
      <c r="U569" t="s">
        <v>10</v>
      </c>
      <c r="V569" s="5">
        <v>0</v>
      </c>
      <c r="W569" s="5">
        <v>0</v>
      </c>
      <c r="X569" s="2">
        <v>0</v>
      </c>
      <c r="Y569" t="s">
        <v>4</v>
      </c>
      <c r="Z569" t="s">
        <v>4</v>
      </c>
      <c r="AA569" t="s">
        <v>4</v>
      </c>
      <c r="AB569" t="s">
        <v>4</v>
      </c>
    </row>
    <row r="570" spans="1:28" x14ac:dyDescent="0.2">
      <c r="A570" t="s">
        <v>491</v>
      </c>
      <c r="B570" t="s">
        <v>2</v>
      </c>
      <c r="C570" t="s">
        <v>3</v>
      </c>
      <c r="D570" t="s">
        <v>4</v>
      </c>
      <c r="E570" t="s">
        <v>4</v>
      </c>
      <c r="F570" t="s">
        <v>5</v>
      </c>
      <c r="G570" t="s">
        <v>17</v>
      </c>
      <c r="H570" t="s">
        <v>3138</v>
      </c>
      <c r="I570" s="2">
        <v>2160</v>
      </c>
      <c r="J570" s="2">
        <v>0</v>
      </c>
      <c r="K570" s="2">
        <v>0</v>
      </c>
      <c r="L570" s="3">
        <v>45836</v>
      </c>
      <c r="M570" s="3">
        <v>45836</v>
      </c>
      <c r="N570" s="3"/>
      <c r="O570" t="s">
        <v>3139</v>
      </c>
      <c r="P570" t="s">
        <v>9</v>
      </c>
      <c r="Q570" s="4">
        <v>0.94656249999999997</v>
      </c>
      <c r="R570" t="s">
        <v>5</v>
      </c>
      <c r="S570" t="s">
        <v>4</v>
      </c>
      <c r="T570" t="s">
        <v>2316</v>
      </c>
      <c r="U570" t="s">
        <v>10</v>
      </c>
      <c r="V570" s="5">
        <v>0</v>
      </c>
      <c r="W570" s="5">
        <v>0</v>
      </c>
      <c r="X570" s="2">
        <v>0</v>
      </c>
      <c r="Y570" t="s">
        <v>4</v>
      </c>
      <c r="Z570" t="s">
        <v>4</v>
      </c>
      <c r="AA570" t="s">
        <v>4</v>
      </c>
      <c r="AB570" t="s">
        <v>4</v>
      </c>
    </row>
    <row r="571" spans="1:28" x14ac:dyDescent="0.2">
      <c r="A571" t="s">
        <v>491</v>
      </c>
      <c r="B571" t="s">
        <v>2</v>
      </c>
      <c r="C571" t="s">
        <v>3</v>
      </c>
      <c r="D571" t="s">
        <v>4</v>
      </c>
      <c r="E571" t="s">
        <v>4</v>
      </c>
      <c r="F571" t="s">
        <v>5</v>
      </c>
      <c r="G571" t="s">
        <v>17</v>
      </c>
      <c r="H571" t="s">
        <v>3138</v>
      </c>
      <c r="I571" s="2">
        <v>2160</v>
      </c>
      <c r="J571" s="2">
        <v>0</v>
      </c>
      <c r="K571" s="2">
        <v>0</v>
      </c>
      <c r="L571" s="3">
        <v>45836</v>
      </c>
      <c r="M571" s="3">
        <v>45836</v>
      </c>
      <c r="N571" s="3"/>
      <c r="O571" t="s">
        <v>3140</v>
      </c>
      <c r="P571" t="s">
        <v>9</v>
      </c>
      <c r="Q571" s="4">
        <v>0.94656249999999997</v>
      </c>
      <c r="R571" t="s">
        <v>5</v>
      </c>
      <c r="S571" t="s">
        <v>4</v>
      </c>
      <c r="T571" t="s">
        <v>2316</v>
      </c>
      <c r="U571" t="s">
        <v>10</v>
      </c>
      <c r="V571" s="5">
        <v>0</v>
      </c>
      <c r="W571" s="5">
        <v>0</v>
      </c>
      <c r="X571" s="2">
        <v>0</v>
      </c>
      <c r="Y571" t="s">
        <v>4</v>
      </c>
      <c r="Z571" t="s">
        <v>4</v>
      </c>
      <c r="AA571" t="s">
        <v>4</v>
      </c>
      <c r="AB571" t="s">
        <v>4</v>
      </c>
    </row>
    <row r="572" spans="1:28" x14ac:dyDescent="0.2">
      <c r="A572" t="s">
        <v>1870</v>
      </c>
      <c r="B572" t="s">
        <v>2</v>
      </c>
      <c r="C572" t="s">
        <v>3</v>
      </c>
      <c r="D572" t="s">
        <v>4</v>
      </c>
      <c r="E572" t="s">
        <v>4</v>
      </c>
      <c r="F572" t="s">
        <v>5</v>
      </c>
      <c r="G572" t="s">
        <v>17</v>
      </c>
      <c r="H572" t="s">
        <v>3141</v>
      </c>
      <c r="I572" s="2">
        <v>1000</v>
      </c>
      <c r="J572" s="2">
        <v>0</v>
      </c>
      <c r="K572" s="2">
        <v>0</v>
      </c>
      <c r="L572" s="3">
        <v>45803</v>
      </c>
      <c r="M572" s="3">
        <v>45803</v>
      </c>
      <c r="N572" s="3"/>
      <c r="O572" t="s">
        <v>3142</v>
      </c>
      <c r="P572" t="s">
        <v>9</v>
      </c>
      <c r="Q572" s="4">
        <v>0.89859953703703999</v>
      </c>
      <c r="R572" t="s">
        <v>5</v>
      </c>
      <c r="S572" t="s">
        <v>4</v>
      </c>
      <c r="T572" t="s">
        <v>2965</v>
      </c>
      <c r="U572" t="s">
        <v>10</v>
      </c>
      <c r="V572" s="5">
        <v>0</v>
      </c>
      <c r="W572" s="5">
        <v>0</v>
      </c>
      <c r="X572" s="2">
        <v>0</v>
      </c>
      <c r="Y572" t="s">
        <v>4</v>
      </c>
      <c r="Z572" t="s">
        <v>4</v>
      </c>
      <c r="AA572" t="s">
        <v>4</v>
      </c>
      <c r="AB572" t="s">
        <v>4</v>
      </c>
    </row>
    <row r="573" spans="1:28" x14ac:dyDescent="0.2">
      <c r="A573" t="s">
        <v>1870</v>
      </c>
      <c r="B573" t="s">
        <v>2</v>
      </c>
      <c r="C573" t="s">
        <v>3</v>
      </c>
      <c r="D573" t="s">
        <v>4</v>
      </c>
      <c r="E573" t="s">
        <v>4</v>
      </c>
      <c r="F573" t="s">
        <v>5</v>
      </c>
      <c r="G573" t="s">
        <v>17</v>
      </c>
      <c r="H573" t="s">
        <v>3141</v>
      </c>
      <c r="I573" s="2">
        <v>2000</v>
      </c>
      <c r="J573" s="2">
        <v>0</v>
      </c>
      <c r="K573" s="2">
        <v>0</v>
      </c>
      <c r="L573" s="3">
        <v>45759</v>
      </c>
      <c r="M573" s="3">
        <v>45759</v>
      </c>
      <c r="N573" s="3"/>
      <c r="O573" t="s">
        <v>3143</v>
      </c>
      <c r="P573" t="s">
        <v>9</v>
      </c>
      <c r="Q573" s="4">
        <v>0.89859953703703999</v>
      </c>
      <c r="R573" t="s">
        <v>5</v>
      </c>
      <c r="S573" t="s">
        <v>4</v>
      </c>
      <c r="T573" t="s">
        <v>3144</v>
      </c>
      <c r="U573" t="s">
        <v>10</v>
      </c>
      <c r="V573" s="5">
        <v>0</v>
      </c>
      <c r="W573" s="5">
        <v>0</v>
      </c>
      <c r="X573" s="2">
        <v>0</v>
      </c>
      <c r="Y573" t="s">
        <v>4</v>
      </c>
      <c r="Z573" t="s">
        <v>4</v>
      </c>
      <c r="AA573" t="s">
        <v>4</v>
      </c>
      <c r="AB573" t="s">
        <v>4</v>
      </c>
    </row>
    <row r="574" spans="1:28" x14ac:dyDescent="0.2">
      <c r="A574" t="s">
        <v>1205</v>
      </c>
      <c r="B574" t="s">
        <v>2</v>
      </c>
      <c r="C574" t="s">
        <v>3</v>
      </c>
      <c r="D574" t="s">
        <v>4</v>
      </c>
      <c r="E574" t="s">
        <v>4</v>
      </c>
      <c r="F574" t="s">
        <v>5</v>
      </c>
      <c r="G574" t="s">
        <v>6</v>
      </c>
      <c r="H574" t="s">
        <v>3145</v>
      </c>
      <c r="I574" s="2">
        <v>1120</v>
      </c>
      <c r="J574" s="2">
        <v>0</v>
      </c>
      <c r="K574" s="2">
        <v>0</v>
      </c>
      <c r="L574" s="3">
        <v>45727</v>
      </c>
      <c r="M574" s="3">
        <v>45800</v>
      </c>
      <c r="N574" s="3">
        <v>45800</v>
      </c>
      <c r="O574" t="s">
        <v>3146</v>
      </c>
      <c r="P574" t="s">
        <v>9</v>
      </c>
      <c r="Q574" s="4">
        <v>0.61987268518519001</v>
      </c>
      <c r="R574" t="s">
        <v>5</v>
      </c>
      <c r="S574" t="s">
        <v>4</v>
      </c>
      <c r="T574" t="s">
        <v>3147</v>
      </c>
      <c r="U574" t="s">
        <v>10</v>
      </c>
      <c r="V574" s="5">
        <v>0</v>
      </c>
      <c r="W574" s="5">
        <v>0</v>
      </c>
      <c r="X574" s="2">
        <v>0</v>
      </c>
      <c r="Y574" t="s">
        <v>4</v>
      </c>
      <c r="Z574" t="s">
        <v>4</v>
      </c>
      <c r="AA574" t="s">
        <v>4</v>
      </c>
      <c r="AB574" t="s">
        <v>4</v>
      </c>
    </row>
    <row r="575" spans="1:28" x14ac:dyDescent="0.2">
      <c r="A575" t="s">
        <v>1205</v>
      </c>
      <c r="B575" t="s">
        <v>2</v>
      </c>
      <c r="C575" t="s">
        <v>3</v>
      </c>
      <c r="D575" t="s">
        <v>4</v>
      </c>
      <c r="E575" t="s">
        <v>4</v>
      </c>
      <c r="F575" t="s">
        <v>5</v>
      </c>
      <c r="G575" t="s">
        <v>6</v>
      </c>
      <c r="H575" t="s">
        <v>3145</v>
      </c>
      <c r="I575" s="2">
        <v>120</v>
      </c>
      <c r="J575" s="2">
        <v>0</v>
      </c>
      <c r="K575" s="2">
        <v>0</v>
      </c>
      <c r="L575" s="3">
        <v>45695</v>
      </c>
      <c r="M575" s="3">
        <v>45695</v>
      </c>
      <c r="N575" s="3"/>
      <c r="O575" t="s">
        <v>3148</v>
      </c>
      <c r="P575" t="s">
        <v>9</v>
      </c>
      <c r="Q575" s="4">
        <v>0.61987268518519001</v>
      </c>
      <c r="R575" t="s">
        <v>5</v>
      </c>
      <c r="S575" t="s">
        <v>4</v>
      </c>
      <c r="T575" t="s">
        <v>3149</v>
      </c>
      <c r="U575" t="s">
        <v>10</v>
      </c>
      <c r="V575" s="5">
        <v>0</v>
      </c>
      <c r="W575" s="5">
        <v>0</v>
      </c>
      <c r="X575" s="2">
        <v>0</v>
      </c>
      <c r="Y575" t="s">
        <v>4</v>
      </c>
      <c r="Z575" t="s">
        <v>4</v>
      </c>
      <c r="AA575" t="s">
        <v>4</v>
      </c>
      <c r="AB575" t="s">
        <v>4</v>
      </c>
    </row>
    <row r="576" spans="1:28" x14ac:dyDescent="0.2">
      <c r="A576" t="s">
        <v>1818</v>
      </c>
      <c r="B576" t="s">
        <v>2</v>
      </c>
      <c r="C576" t="s">
        <v>3</v>
      </c>
      <c r="D576" t="s">
        <v>4</v>
      </c>
      <c r="E576" t="s">
        <v>4</v>
      </c>
      <c r="F576" t="s">
        <v>5</v>
      </c>
      <c r="G576" t="s">
        <v>6</v>
      </c>
      <c r="H576" t="s">
        <v>3150</v>
      </c>
      <c r="I576" s="2">
        <v>480</v>
      </c>
      <c r="J576" s="2">
        <v>0</v>
      </c>
      <c r="K576" s="2">
        <v>0</v>
      </c>
      <c r="L576" s="3">
        <v>45841</v>
      </c>
      <c r="M576" s="3">
        <v>45841</v>
      </c>
      <c r="N576" s="3"/>
      <c r="O576" t="s">
        <v>3151</v>
      </c>
      <c r="P576" t="s">
        <v>9</v>
      </c>
      <c r="Q576" s="4">
        <v>0.46895833333332998</v>
      </c>
      <c r="R576" t="s">
        <v>5</v>
      </c>
      <c r="S576" t="s">
        <v>4</v>
      </c>
      <c r="T576" t="s">
        <v>3152</v>
      </c>
      <c r="U576" t="s">
        <v>10</v>
      </c>
      <c r="V576" s="5">
        <v>0</v>
      </c>
      <c r="W576" s="5">
        <v>0</v>
      </c>
      <c r="X576" s="2">
        <v>0</v>
      </c>
      <c r="Y576" t="s">
        <v>4</v>
      </c>
      <c r="Z576" t="s">
        <v>4</v>
      </c>
      <c r="AA576" t="s">
        <v>4</v>
      </c>
      <c r="AB576" t="s">
        <v>4</v>
      </c>
    </row>
    <row r="577" spans="1:28" x14ac:dyDescent="0.2">
      <c r="A577" t="s">
        <v>327</v>
      </c>
      <c r="B577" t="s">
        <v>2</v>
      </c>
      <c r="C577" t="s">
        <v>3</v>
      </c>
      <c r="D577" t="s">
        <v>4</v>
      </c>
      <c r="E577" t="s">
        <v>4</v>
      </c>
      <c r="F577" t="s">
        <v>5</v>
      </c>
      <c r="G577" t="s">
        <v>6</v>
      </c>
      <c r="H577" t="s">
        <v>3153</v>
      </c>
      <c r="I577" s="2">
        <v>1260</v>
      </c>
      <c r="J577" s="2">
        <v>0</v>
      </c>
      <c r="K577" s="2">
        <v>0</v>
      </c>
      <c r="L577" s="3">
        <v>45839</v>
      </c>
      <c r="M577" s="3">
        <v>45839</v>
      </c>
      <c r="N577" s="3"/>
      <c r="O577" t="s">
        <v>3154</v>
      </c>
      <c r="P577" t="s">
        <v>9</v>
      </c>
      <c r="Q577" s="4">
        <v>0.79067129629629995</v>
      </c>
      <c r="R577" t="s">
        <v>5</v>
      </c>
      <c r="S577" t="s">
        <v>4</v>
      </c>
      <c r="T577" t="s">
        <v>2312</v>
      </c>
      <c r="U577" t="s">
        <v>10</v>
      </c>
      <c r="V577" s="5">
        <v>0</v>
      </c>
      <c r="W577" s="5">
        <v>0</v>
      </c>
      <c r="X577" s="2">
        <v>0</v>
      </c>
      <c r="Y577" t="s">
        <v>4</v>
      </c>
      <c r="Z577" t="s">
        <v>4</v>
      </c>
      <c r="AA577" t="s">
        <v>4</v>
      </c>
      <c r="AB577" t="s">
        <v>4</v>
      </c>
    </row>
    <row r="578" spans="1:28" x14ac:dyDescent="0.2">
      <c r="A578" t="s">
        <v>327</v>
      </c>
      <c r="B578" t="s">
        <v>2</v>
      </c>
      <c r="C578" t="s">
        <v>3</v>
      </c>
      <c r="D578" t="s">
        <v>4</v>
      </c>
      <c r="E578" t="s">
        <v>4</v>
      </c>
      <c r="F578" t="s">
        <v>5</v>
      </c>
      <c r="G578" t="s">
        <v>6</v>
      </c>
      <c r="H578" t="s">
        <v>3153</v>
      </c>
      <c r="I578" s="2">
        <v>1080</v>
      </c>
      <c r="J578" s="2">
        <v>0</v>
      </c>
      <c r="K578" s="2">
        <v>0</v>
      </c>
      <c r="L578" s="3">
        <v>45839</v>
      </c>
      <c r="M578" s="3">
        <v>45839</v>
      </c>
      <c r="N578" s="3"/>
      <c r="O578" t="s">
        <v>3155</v>
      </c>
      <c r="P578" t="s">
        <v>9</v>
      </c>
      <c r="Q578" s="4">
        <v>0.79067129629629995</v>
      </c>
      <c r="R578" t="s">
        <v>5</v>
      </c>
      <c r="S578" t="s">
        <v>4</v>
      </c>
      <c r="T578" t="s">
        <v>2312</v>
      </c>
      <c r="U578" t="s">
        <v>10</v>
      </c>
      <c r="V578" s="5">
        <v>0</v>
      </c>
      <c r="W578" s="5">
        <v>0</v>
      </c>
      <c r="X578" s="2">
        <v>0</v>
      </c>
      <c r="Y578" t="s">
        <v>4</v>
      </c>
      <c r="Z578" t="s">
        <v>4</v>
      </c>
      <c r="AA578" t="s">
        <v>4</v>
      </c>
      <c r="AB578" t="s">
        <v>4</v>
      </c>
    </row>
    <row r="579" spans="1:28" x14ac:dyDescent="0.2">
      <c r="A579" t="s">
        <v>1573</v>
      </c>
      <c r="B579" t="s">
        <v>2</v>
      </c>
      <c r="C579" t="s">
        <v>3</v>
      </c>
      <c r="D579" t="s">
        <v>4</v>
      </c>
      <c r="E579" t="s">
        <v>4</v>
      </c>
      <c r="F579" t="s">
        <v>5</v>
      </c>
      <c r="G579" t="s">
        <v>6</v>
      </c>
      <c r="H579" t="s">
        <v>3156</v>
      </c>
      <c r="I579" s="2">
        <v>45</v>
      </c>
      <c r="J579" s="2">
        <v>0</v>
      </c>
      <c r="K579" s="2">
        <v>0</v>
      </c>
      <c r="L579" s="3">
        <v>45859</v>
      </c>
      <c r="M579" s="3">
        <v>45859</v>
      </c>
      <c r="N579" s="3"/>
      <c r="O579" t="s">
        <v>3157</v>
      </c>
      <c r="P579" t="s">
        <v>9</v>
      </c>
      <c r="Q579" s="4">
        <v>0.46118055555555998</v>
      </c>
      <c r="R579" t="s">
        <v>5</v>
      </c>
      <c r="S579" t="s">
        <v>4</v>
      </c>
      <c r="T579" t="s">
        <v>2261</v>
      </c>
      <c r="U579" t="s">
        <v>10</v>
      </c>
      <c r="V579" s="5">
        <v>0</v>
      </c>
      <c r="W579" s="5">
        <v>0</v>
      </c>
      <c r="X579" s="2">
        <v>0</v>
      </c>
      <c r="Y579" t="s">
        <v>4</v>
      </c>
      <c r="Z579" t="s">
        <v>4</v>
      </c>
      <c r="AA579" t="s">
        <v>4</v>
      </c>
      <c r="AB579" t="s">
        <v>4</v>
      </c>
    </row>
    <row r="580" spans="1:28" x14ac:dyDescent="0.2">
      <c r="A580" t="s">
        <v>1035</v>
      </c>
      <c r="B580" t="s">
        <v>2</v>
      </c>
      <c r="C580" t="s">
        <v>3</v>
      </c>
      <c r="D580" t="s">
        <v>4</v>
      </c>
      <c r="E580" t="s">
        <v>4</v>
      </c>
      <c r="F580" t="s">
        <v>5</v>
      </c>
      <c r="G580" t="s">
        <v>6</v>
      </c>
      <c r="H580" t="s">
        <v>3158</v>
      </c>
      <c r="I580" s="2">
        <v>270</v>
      </c>
      <c r="J580" s="2">
        <v>0</v>
      </c>
      <c r="K580" s="2">
        <v>0</v>
      </c>
      <c r="L580" s="3">
        <v>45855</v>
      </c>
      <c r="M580" s="3">
        <v>45855</v>
      </c>
      <c r="N580" s="3"/>
      <c r="O580" t="s">
        <v>3159</v>
      </c>
      <c r="P580" t="s">
        <v>9</v>
      </c>
      <c r="Q580" s="4">
        <v>0.57019675925926006</v>
      </c>
      <c r="R580" t="s">
        <v>5</v>
      </c>
      <c r="S580" t="s">
        <v>4</v>
      </c>
      <c r="T580" t="s">
        <v>2350</v>
      </c>
      <c r="U580" t="s">
        <v>10</v>
      </c>
      <c r="V580" s="5">
        <v>0</v>
      </c>
      <c r="W580" s="5">
        <v>0</v>
      </c>
      <c r="X580" s="2">
        <v>0</v>
      </c>
      <c r="Y580" t="s">
        <v>4</v>
      </c>
      <c r="Z580" t="s">
        <v>4</v>
      </c>
      <c r="AA580" t="s">
        <v>4</v>
      </c>
      <c r="AB580" t="s">
        <v>4</v>
      </c>
    </row>
    <row r="581" spans="1:28" x14ac:dyDescent="0.2">
      <c r="A581" t="s">
        <v>1035</v>
      </c>
      <c r="B581" t="s">
        <v>2</v>
      </c>
      <c r="C581" t="s">
        <v>3</v>
      </c>
      <c r="D581" t="s">
        <v>4</v>
      </c>
      <c r="E581" t="s">
        <v>4</v>
      </c>
      <c r="F581" t="s">
        <v>5</v>
      </c>
      <c r="G581" t="s">
        <v>6</v>
      </c>
      <c r="H581" t="s">
        <v>3158</v>
      </c>
      <c r="I581" s="2">
        <v>270</v>
      </c>
      <c r="J581" s="2">
        <v>0</v>
      </c>
      <c r="K581" s="2">
        <v>0</v>
      </c>
      <c r="L581" s="3">
        <v>45855</v>
      </c>
      <c r="M581" s="3">
        <v>45855</v>
      </c>
      <c r="N581" s="3"/>
      <c r="O581" t="s">
        <v>3160</v>
      </c>
      <c r="P581" t="s">
        <v>9</v>
      </c>
      <c r="Q581" s="4">
        <v>0.57019675925926006</v>
      </c>
      <c r="R581" t="s">
        <v>5</v>
      </c>
      <c r="S581" t="s">
        <v>4</v>
      </c>
      <c r="T581" t="s">
        <v>2350</v>
      </c>
      <c r="U581" t="s">
        <v>10</v>
      </c>
      <c r="V581" s="5">
        <v>0</v>
      </c>
      <c r="W581" s="5">
        <v>0</v>
      </c>
      <c r="X581" s="2">
        <v>0</v>
      </c>
      <c r="Y581" t="s">
        <v>4</v>
      </c>
      <c r="Z581" t="s">
        <v>4</v>
      </c>
      <c r="AA581" t="s">
        <v>4</v>
      </c>
      <c r="AB581" t="s">
        <v>4</v>
      </c>
    </row>
    <row r="582" spans="1:28" x14ac:dyDescent="0.2">
      <c r="A582" t="s">
        <v>2008</v>
      </c>
      <c r="B582" t="s">
        <v>2</v>
      </c>
      <c r="C582" t="s">
        <v>3</v>
      </c>
      <c r="D582" t="s">
        <v>4</v>
      </c>
      <c r="E582" t="s">
        <v>4</v>
      </c>
      <c r="F582" t="s">
        <v>5</v>
      </c>
      <c r="G582" t="s">
        <v>6</v>
      </c>
      <c r="H582" t="s">
        <v>3161</v>
      </c>
      <c r="I582" s="2">
        <v>2520</v>
      </c>
      <c r="J582" s="2">
        <v>0</v>
      </c>
      <c r="K582" s="2">
        <v>0</v>
      </c>
      <c r="L582" s="3">
        <v>45839</v>
      </c>
      <c r="M582" s="3">
        <v>45839</v>
      </c>
      <c r="N582" s="3"/>
      <c r="O582" t="s">
        <v>3162</v>
      </c>
      <c r="P582" t="s">
        <v>9</v>
      </c>
      <c r="Q582" s="4">
        <v>0.88226851851851995</v>
      </c>
      <c r="R582" t="s">
        <v>5</v>
      </c>
      <c r="S582" t="s">
        <v>4</v>
      </c>
      <c r="T582" t="s">
        <v>2312</v>
      </c>
      <c r="U582" t="s">
        <v>10</v>
      </c>
      <c r="V582" s="5">
        <v>0</v>
      </c>
      <c r="W582" s="5">
        <v>0</v>
      </c>
      <c r="X582" s="2">
        <v>0</v>
      </c>
      <c r="Y582" t="s">
        <v>4</v>
      </c>
      <c r="Z582" t="s">
        <v>4</v>
      </c>
      <c r="AA582" t="s">
        <v>4</v>
      </c>
      <c r="AB582" t="s">
        <v>4</v>
      </c>
    </row>
    <row r="583" spans="1:28" x14ac:dyDescent="0.2">
      <c r="A583" t="s">
        <v>2008</v>
      </c>
      <c r="B583" t="s">
        <v>2</v>
      </c>
      <c r="C583" t="s">
        <v>3</v>
      </c>
      <c r="D583" t="s">
        <v>4</v>
      </c>
      <c r="E583" t="s">
        <v>4</v>
      </c>
      <c r="F583" t="s">
        <v>5</v>
      </c>
      <c r="G583" t="s">
        <v>6</v>
      </c>
      <c r="H583" t="s">
        <v>3161</v>
      </c>
      <c r="I583" s="2">
        <v>2520</v>
      </c>
      <c r="J583" s="2">
        <v>0</v>
      </c>
      <c r="K583" s="2">
        <v>0</v>
      </c>
      <c r="L583" s="3">
        <v>45839</v>
      </c>
      <c r="M583" s="3">
        <v>45839</v>
      </c>
      <c r="N583" s="3"/>
      <c r="O583" t="s">
        <v>3163</v>
      </c>
      <c r="P583" t="s">
        <v>9</v>
      </c>
      <c r="Q583" s="4">
        <v>0.88226851851851995</v>
      </c>
      <c r="R583" t="s">
        <v>5</v>
      </c>
      <c r="S583" t="s">
        <v>4</v>
      </c>
      <c r="T583" t="s">
        <v>2312</v>
      </c>
      <c r="U583" t="s">
        <v>10</v>
      </c>
      <c r="V583" s="5">
        <v>0</v>
      </c>
      <c r="W583" s="5">
        <v>0</v>
      </c>
      <c r="X583" s="2">
        <v>0</v>
      </c>
      <c r="Y583" t="s">
        <v>4</v>
      </c>
      <c r="Z583" t="s">
        <v>4</v>
      </c>
      <c r="AA583" t="s">
        <v>4</v>
      </c>
      <c r="AB583" t="s">
        <v>4</v>
      </c>
    </row>
    <row r="584" spans="1:28" x14ac:dyDescent="0.2">
      <c r="A584" t="s">
        <v>2088</v>
      </c>
      <c r="B584" t="s">
        <v>2</v>
      </c>
      <c r="C584" t="s">
        <v>3</v>
      </c>
      <c r="D584" t="s">
        <v>4</v>
      </c>
      <c r="E584" t="s">
        <v>4</v>
      </c>
      <c r="F584" t="s">
        <v>5</v>
      </c>
      <c r="G584" t="s">
        <v>6</v>
      </c>
      <c r="H584" t="s">
        <v>3164</v>
      </c>
      <c r="I584" s="2">
        <v>23400</v>
      </c>
      <c r="J584" s="2">
        <v>0</v>
      </c>
      <c r="K584" s="2">
        <v>0</v>
      </c>
      <c r="L584" s="3">
        <v>45850</v>
      </c>
      <c r="M584" s="3">
        <v>45850</v>
      </c>
      <c r="N584" s="3"/>
      <c r="O584" t="s">
        <v>3165</v>
      </c>
      <c r="P584" t="s">
        <v>9</v>
      </c>
      <c r="Q584" s="4">
        <v>0.47427083333332998</v>
      </c>
      <c r="R584" t="s">
        <v>5</v>
      </c>
      <c r="S584" t="s">
        <v>4</v>
      </c>
      <c r="T584" t="s">
        <v>2680</v>
      </c>
      <c r="U584" t="s">
        <v>10</v>
      </c>
      <c r="V584" s="5">
        <v>0</v>
      </c>
      <c r="W584" s="5">
        <v>0</v>
      </c>
      <c r="X584" s="2">
        <v>0</v>
      </c>
      <c r="Y584" t="s">
        <v>4</v>
      </c>
      <c r="Z584" t="s">
        <v>4</v>
      </c>
      <c r="AA584" t="s">
        <v>4</v>
      </c>
      <c r="AB584" t="s">
        <v>4</v>
      </c>
    </row>
    <row r="585" spans="1:28" x14ac:dyDescent="0.2">
      <c r="A585" t="s">
        <v>2088</v>
      </c>
      <c r="B585" t="s">
        <v>2</v>
      </c>
      <c r="C585" t="s">
        <v>3</v>
      </c>
      <c r="D585" t="s">
        <v>4</v>
      </c>
      <c r="E585" t="s">
        <v>4</v>
      </c>
      <c r="F585" t="s">
        <v>5</v>
      </c>
      <c r="G585" t="s">
        <v>6</v>
      </c>
      <c r="H585" t="s">
        <v>3164</v>
      </c>
      <c r="I585" s="2">
        <v>23400</v>
      </c>
      <c r="J585" s="2">
        <v>0</v>
      </c>
      <c r="K585" s="2">
        <v>0</v>
      </c>
      <c r="L585" s="3">
        <v>45854</v>
      </c>
      <c r="M585" s="3">
        <v>45854</v>
      </c>
      <c r="N585" s="3"/>
      <c r="O585" t="s">
        <v>3166</v>
      </c>
      <c r="P585" t="s">
        <v>9</v>
      </c>
      <c r="Q585" s="4">
        <v>0.47427083333332998</v>
      </c>
      <c r="R585" t="s">
        <v>5</v>
      </c>
      <c r="S585" t="s">
        <v>4</v>
      </c>
      <c r="T585" t="s">
        <v>2299</v>
      </c>
      <c r="U585" t="s">
        <v>10</v>
      </c>
      <c r="V585" s="5">
        <v>0</v>
      </c>
      <c r="W585" s="5">
        <v>0</v>
      </c>
      <c r="X585" s="2">
        <v>0</v>
      </c>
      <c r="Y585" t="s">
        <v>4</v>
      </c>
      <c r="Z585" t="s">
        <v>4</v>
      </c>
      <c r="AA585" t="s">
        <v>4</v>
      </c>
      <c r="AB585" t="s">
        <v>4</v>
      </c>
    </row>
    <row r="586" spans="1:28" x14ac:dyDescent="0.2">
      <c r="A586" t="s">
        <v>1952</v>
      </c>
      <c r="B586" t="s">
        <v>2</v>
      </c>
      <c r="C586" t="s">
        <v>3</v>
      </c>
      <c r="D586" t="s">
        <v>4</v>
      </c>
      <c r="E586" t="s">
        <v>4</v>
      </c>
      <c r="F586" t="s">
        <v>5</v>
      </c>
      <c r="G586" t="s">
        <v>21</v>
      </c>
      <c r="H586" t="s">
        <v>3167</v>
      </c>
      <c r="I586" s="2">
        <v>3900</v>
      </c>
      <c r="J586" s="2">
        <v>0</v>
      </c>
      <c r="K586" s="2">
        <v>0</v>
      </c>
      <c r="L586" s="3">
        <v>45785</v>
      </c>
      <c r="M586" s="3">
        <v>45785</v>
      </c>
      <c r="N586" s="3"/>
      <c r="O586" t="s">
        <v>3168</v>
      </c>
      <c r="P586" t="s">
        <v>9</v>
      </c>
      <c r="Q586" s="4">
        <v>0.57848379629629998</v>
      </c>
      <c r="R586" t="s">
        <v>5</v>
      </c>
      <c r="S586" t="s">
        <v>4</v>
      </c>
      <c r="T586" t="s">
        <v>2780</v>
      </c>
      <c r="U586" t="s">
        <v>10</v>
      </c>
      <c r="V586" s="5">
        <v>0</v>
      </c>
      <c r="W586" s="5">
        <v>0</v>
      </c>
      <c r="X586" s="2">
        <v>0</v>
      </c>
      <c r="Y586" t="s">
        <v>4</v>
      </c>
      <c r="Z586" t="s">
        <v>4</v>
      </c>
      <c r="AA586" t="s">
        <v>4</v>
      </c>
      <c r="AB586" t="s">
        <v>4</v>
      </c>
    </row>
    <row r="587" spans="1:28" x14ac:dyDescent="0.2">
      <c r="A587" t="s">
        <v>1550</v>
      </c>
      <c r="B587" t="s">
        <v>2</v>
      </c>
      <c r="C587" t="s">
        <v>3</v>
      </c>
      <c r="D587" t="s">
        <v>4</v>
      </c>
      <c r="E587" t="s">
        <v>4</v>
      </c>
      <c r="F587" t="s">
        <v>5</v>
      </c>
      <c r="G587" t="s">
        <v>6</v>
      </c>
      <c r="H587" t="s">
        <v>3169</v>
      </c>
      <c r="I587" s="2">
        <v>200</v>
      </c>
      <c r="J587" s="2">
        <v>0</v>
      </c>
      <c r="K587" s="2">
        <v>0</v>
      </c>
      <c r="L587" s="3">
        <v>45857</v>
      </c>
      <c r="M587" s="3">
        <v>45857</v>
      </c>
      <c r="N587" s="3"/>
      <c r="O587" t="s">
        <v>3170</v>
      </c>
      <c r="P587" t="s">
        <v>9</v>
      </c>
      <c r="Q587" s="4">
        <v>0.36891203703704001</v>
      </c>
      <c r="R587" t="s">
        <v>5</v>
      </c>
      <c r="S587" t="s">
        <v>4</v>
      </c>
      <c r="T587" t="s">
        <v>2262</v>
      </c>
      <c r="U587" t="s">
        <v>10</v>
      </c>
      <c r="V587" s="5">
        <v>0</v>
      </c>
      <c r="W587" s="5">
        <v>0</v>
      </c>
      <c r="X587" s="2">
        <v>0</v>
      </c>
      <c r="Y587" t="s">
        <v>4</v>
      </c>
      <c r="Z587" t="s">
        <v>4</v>
      </c>
      <c r="AA587" t="s">
        <v>4</v>
      </c>
      <c r="AB587" t="s">
        <v>4</v>
      </c>
    </row>
    <row r="588" spans="1:28" x14ac:dyDescent="0.2">
      <c r="A588" t="s">
        <v>1550</v>
      </c>
      <c r="B588" t="s">
        <v>2</v>
      </c>
      <c r="C588" t="s">
        <v>3</v>
      </c>
      <c r="D588" t="s">
        <v>4</v>
      </c>
      <c r="E588" t="s">
        <v>4</v>
      </c>
      <c r="F588" t="s">
        <v>5</v>
      </c>
      <c r="G588" t="s">
        <v>6</v>
      </c>
      <c r="H588" t="s">
        <v>3169</v>
      </c>
      <c r="I588" s="2">
        <v>220</v>
      </c>
      <c r="J588" s="2">
        <v>0</v>
      </c>
      <c r="K588" s="2">
        <v>0</v>
      </c>
      <c r="L588" s="3">
        <v>45854</v>
      </c>
      <c r="M588" s="3">
        <v>45854</v>
      </c>
      <c r="N588" s="3"/>
      <c r="O588" t="s">
        <v>3171</v>
      </c>
      <c r="P588" t="s">
        <v>9</v>
      </c>
      <c r="Q588" s="4">
        <v>0.36891203703704001</v>
      </c>
      <c r="R588" t="s">
        <v>5</v>
      </c>
      <c r="S588" t="s">
        <v>4</v>
      </c>
      <c r="T588" t="s">
        <v>2299</v>
      </c>
      <c r="U588" t="s">
        <v>10</v>
      </c>
      <c r="V588" s="5">
        <v>0</v>
      </c>
      <c r="W588" s="5">
        <v>0</v>
      </c>
      <c r="X588" s="2">
        <v>0</v>
      </c>
      <c r="Y588" t="s">
        <v>4</v>
      </c>
      <c r="Z588" t="s">
        <v>4</v>
      </c>
      <c r="AA588" t="s">
        <v>4</v>
      </c>
      <c r="AB588" t="s">
        <v>4</v>
      </c>
    </row>
    <row r="589" spans="1:28" x14ac:dyDescent="0.2">
      <c r="A589" t="s">
        <v>1818</v>
      </c>
      <c r="B589" t="s">
        <v>2</v>
      </c>
      <c r="C589" t="s">
        <v>3</v>
      </c>
      <c r="D589" t="s">
        <v>4</v>
      </c>
      <c r="E589" t="s">
        <v>4</v>
      </c>
      <c r="F589" t="s">
        <v>5</v>
      </c>
      <c r="G589" t="s">
        <v>21</v>
      </c>
      <c r="H589" t="s">
        <v>3172</v>
      </c>
      <c r="I589" s="2">
        <v>320</v>
      </c>
      <c r="J589" s="2">
        <v>0</v>
      </c>
      <c r="K589" s="2">
        <v>0</v>
      </c>
      <c r="L589" s="3">
        <v>45850</v>
      </c>
      <c r="M589" s="3">
        <v>45850</v>
      </c>
      <c r="N589" s="3"/>
      <c r="O589" t="s">
        <v>3173</v>
      </c>
      <c r="P589" t="s">
        <v>9</v>
      </c>
      <c r="Q589" s="4">
        <v>0.47340277777778</v>
      </c>
      <c r="R589" t="s">
        <v>5</v>
      </c>
      <c r="S589" t="s">
        <v>4</v>
      </c>
      <c r="T589" t="s">
        <v>2680</v>
      </c>
      <c r="U589" t="s">
        <v>10</v>
      </c>
      <c r="V589" s="5">
        <v>0</v>
      </c>
      <c r="W589" s="5">
        <v>0</v>
      </c>
      <c r="X589" s="2">
        <v>0</v>
      </c>
      <c r="Y589" t="s">
        <v>4</v>
      </c>
      <c r="Z589" t="s">
        <v>4</v>
      </c>
      <c r="AA589" t="s">
        <v>4</v>
      </c>
      <c r="AB589" t="s">
        <v>4</v>
      </c>
    </row>
    <row r="590" spans="1:28" x14ac:dyDescent="0.2">
      <c r="A590" t="s">
        <v>1818</v>
      </c>
      <c r="B590" t="s">
        <v>2</v>
      </c>
      <c r="C590" t="s">
        <v>3</v>
      </c>
      <c r="D590" t="s">
        <v>4</v>
      </c>
      <c r="E590" t="s">
        <v>4</v>
      </c>
      <c r="F590" t="s">
        <v>5</v>
      </c>
      <c r="G590" t="s">
        <v>21</v>
      </c>
      <c r="H590" t="s">
        <v>3172</v>
      </c>
      <c r="I590" s="2">
        <v>480</v>
      </c>
      <c r="J590" s="2">
        <v>0</v>
      </c>
      <c r="K590" s="2">
        <v>0</v>
      </c>
      <c r="L590" s="3">
        <v>45847</v>
      </c>
      <c r="M590" s="3">
        <v>45847</v>
      </c>
      <c r="N590" s="3"/>
      <c r="O590" t="s">
        <v>3174</v>
      </c>
      <c r="P590" t="s">
        <v>9</v>
      </c>
      <c r="Q590" s="4">
        <v>0.47340277777778</v>
      </c>
      <c r="R590" t="s">
        <v>5</v>
      </c>
      <c r="S590" t="s">
        <v>4</v>
      </c>
      <c r="T590" t="s">
        <v>2341</v>
      </c>
      <c r="U590" t="s">
        <v>10</v>
      </c>
      <c r="V590" s="5">
        <v>0</v>
      </c>
      <c r="W590" s="5">
        <v>0</v>
      </c>
      <c r="X590" s="2">
        <v>0</v>
      </c>
      <c r="Y590" t="s">
        <v>4</v>
      </c>
      <c r="Z590" t="s">
        <v>4</v>
      </c>
      <c r="AA590" t="s">
        <v>4</v>
      </c>
      <c r="AB590" t="s">
        <v>4</v>
      </c>
    </row>
    <row r="591" spans="1:28" x14ac:dyDescent="0.2">
      <c r="A591" t="s">
        <v>1471</v>
      </c>
      <c r="B591" t="s">
        <v>2</v>
      </c>
      <c r="C591" t="s">
        <v>3</v>
      </c>
      <c r="D591" t="s">
        <v>4</v>
      </c>
      <c r="E591" t="s">
        <v>4</v>
      </c>
      <c r="F591" t="s">
        <v>5</v>
      </c>
      <c r="G591" t="s">
        <v>17</v>
      </c>
      <c r="H591" t="s">
        <v>3175</v>
      </c>
      <c r="I591" s="2">
        <v>60</v>
      </c>
      <c r="J591" s="2">
        <v>0</v>
      </c>
      <c r="K591" s="2">
        <v>0</v>
      </c>
      <c r="L591" s="3">
        <v>45835</v>
      </c>
      <c r="M591" s="3">
        <v>45835</v>
      </c>
      <c r="N591" s="3"/>
      <c r="O591" t="s">
        <v>3176</v>
      </c>
      <c r="P591" t="s">
        <v>9</v>
      </c>
      <c r="Q591" s="4">
        <v>0.88380787037037001</v>
      </c>
      <c r="R591" t="s">
        <v>5</v>
      </c>
      <c r="S591" t="s">
        <v>4</v>
      </c>
      <c r="T591" t="s">
        <v>2928</v>
      </c>
      <c r="U591" t="s">
        <v>10</v>
      </c>
      <c r="V591" s="5">
        <v>0</v>
      </c>
      <c r="W591" s="5">
        <v>0</v>
      </c>
      <c r="X591" s="2">
        <v>0</v>
      </c>
      <c r="Y591" t="s">
        <v>4</v>
      </c>
      <c r="Z591" t="s">
        <v>4</v>
      </c>
      <c r="AA591" t="s">
        <v>2351</v>
      </c>
      <c r="AB591" t="s">
        <v>2351</v>
      </c>
    </row>
    <row r="592" spans="1:28" x14ac:dyDescent="0.2">
      <c r="A592" t="s">
        <v>1471</v>
      </c>
      <c r="B592" t="s">
        <v>2</v>
      </c>
      <c r="C592" t="s">
        <v>3</v>
      </c>
      <c r="D592" t="s">
        <v>4</v>
      </c>
      <c r="E592" t="s">
        <v>4</v>
      </c>
      <c r="F592" t="s">
        <v>5</v>
      </c>
      <c r="G592" t="s">
        <v>17</v>
      </c>
      <c r="H592" t="s">
        <v>3175</v>
      </c>
      <c r="I592" s="2">
        <v>60</v>
      </c>
      <c r="J592" s="2">
        <v>0</v>
      </c>
      <c r="K592" s="2">
        <v>0</v>
      </c>
      <c r="L592" s="3">
        <v>45855</v>
      </c>
      <c r="M592" s="3">
        <v>45855</v>
      </c>
      <c r="N592" s="3"/>
      <c r="O592" t="s">
        <v>3177</v>
      </c>
      <c r="P592" t="s">
        <v>9</v>
      </c>
      <c r="Q592" s="4">
        <v>0.88380787037037001</v>
      </c>
      <c r="R592" t="s">
        <v>5</v>
      </c>
      <c r="S592" t="s">
        <v>4</v>
      </c>
      <c r="T592" t="s">
        <v>2350</v>
      </c>
      <c r="U592" t="s">
        <v>10</v>
      </c>
      <c r="V592" s="5">
        <v>0</v>
      </c>
      <c r="W592" s="5">
        <v>0</v>
      </c>
      <c r="X592" s="2">
        <v>0</v>
      </c>
      <c r="Y592" t="s">
        <v>4</v>
      </c>
      <c r="Z592" t="s">
        <v>4</v>
      </c>
      <c r="AA592" t="s">
        <v>2351</v>
      </c>
      <c r="AB592" t="s">
        <v>2351</v>
      </c>
    </row>
    <row r="593" spans="1:28" x14ac:dyDescent="0.2">
      <c r="A593" t="s">
        <v>1139</v>
      </c>
      <c r="B593" t="s">
        <v>2</v>
      </c>
      <c r="C593" t="s">
        <v>3</v>
      </c>
      <c r="D593" t="s">
        <v>4</v>
      </c>
      <c r="E593" t="s">
        <v>4</v>
      </c>
      <c r="F593" t="s">
        <v>5</v>
      </c>
      <c r="G593" t="s">
        <v>17</v>
      </c>
      <c r="H593" t="s">
        <v>3178</v>
      </c>
      <c r="I593" s="2">
        <v>432</v>
      </c>
      <c r="J593" s="2">
        <v>0</v>
      </c>
      <c r="K593" s="2">
        <v>0</v>
      </c>
      <c r="L593" s="3">
        <v>45844</v>
      </c>
      <c r="M593" s="3">
        <v>45844</v>
      </c>
      <c r="N593" s="3"/>
      <c r="O593" t="s">
        <v>3179</v>
      </c>
      <c r="P593" t="s">
        <v>9</v>
      </c>
      <c r="Q593" s="4">
        <v>0.53333333333333</v>
      </c>
      <c r="R593" t="s">
        <v>5</v>
      </c>
      <c r="S593" t="s">
        <v>4</v>
      </c>
      <c r="T593" t="s">
        <v>2792</v>
      </c>
      <c r="U593" t="s">
        <v>10</v>
      </c>
      <c r="V593" s="5">
        <v>0</v>
      </c>
      <c r="W593" s="5">
        <v>0</v>
      </c>
      <c r="X593" s="2">
        <v>0</v>
      </c>
      <c r="Y593" t="s">
        <v>4</v>
      </c>
      <c r="Z593" t="s">
        <v>4</v>
      </c>
      <c r="AA593" t="s">
        <v>4</v>
      </c>
      <c r="AB593" t="s">
        <v>4</v>
      </c>
    </row>
    <row r="594" spans="1:28" x14ac:dyDescent="0.2">
      <c r="A594" t="s">
        <v>1139</v>
      </c>
      <c r="B594" t="s">
        <v>2</v>
      </c>
      <c r="C594" t="s">
        <v>3</v>
      </c>
      <c r="D594" t="s">
        <v>4</v>
      </c>
      <c r="E594" t="s">
        <v>4</v>
      </c>
      <c r="F594" t="s">
        <v>5</v>
      </c>
      <c r="G594" t="s">
        <v>17</v>
      </c>
      <c r="H594" t="s">
        <v>3178</v>
      </c>
      <c r="I594" s="2">
        <v>432</v>
      </c>
      <c r="J594" s="2">
        <v>0</v>
      </c>
      <c r="K594" s="2">
        <v>0</v>
      </c>
      <c r="L594" s="3">
        <v>45844</v>
      </c>
      <c r="M594" s="3">
        <v>45844</v>
      </c>
      <c r="N594" s="3"/>
      <c r="O594" t="s">
        <v>3180</v>
      </c>
      <c r="P594" t="s">
        <v>9</v>
      </c>
      <c r="Q594" s="4">
        <v>0.53333333333333</v>
      </c>
      <c r="R594" t="s">
        <v>5</v>
      </c>
      <c r="S594" t="s">
        <v>4</v>
      </c>
      <c r="T594" t="s">
        <v>2792</v>
      </c>
      <c r="U594" t="s">
        <v>10</v>
      </c>
      <c r="V594" s="5">
        <v>0</v>
      </c>
      <c r="W594" s="5">
        <v>0</v>
      </c>
      <c r="X594" s="2">
        <v>0</v>
      </c>
      <c r="Y594" t="s">
        <v>4</v>
      </c>
      <c r="Z594" t="s">
        <v>4</v>
      </c>
      <c r="AA594" t="s">
        <v>4</v>
      </c>
      <c r="AB594" t="s">
        <v>4</v>
      </c>
    </row>
    <row r="595" spans="1:28" x14ac:dyDescent="0.2">
      <c r="A595" t="s">
        <v>491</v>
      </c>
      <c r="B595" t="s">
        <v>2</v>
      </c>
      <c r="C595" t="s">
        <v>3</v>
      </c>
      <c r="D595" t="s">
        <v>4</v>
      </c>
      <c r="E595" t="s">
        <v>4</v>
      </c>
      <c r="F595" t="s">
        <v>5</v>
      </c>
      <c r="G595" t="s">
        <v>17</v>
      </c>
      <c r="H595" t="s">
        <v>3181</v>
      </c>
      <c r="I595" s="2">
        <v>2160</v>
      </c>
      <c r="J595" s="2">
        <v>0</v>
      </c>
      <c r="K595" s="2">
        <v>0</v>
      </c>
      <c r="L595" s="3">
        <v>45806</v>
      </c>
      <c r="M595" s="3">
        <v>45806</v>
      </c>
      <c r="N595" s="3"/>
      <c r="O595" t="s">
        <v>3182</v>
      </c>
      <c r="P595" t="s">
        <v>9</v>
      </c>
      <c r="Q595" s="4">
        <v>0.95584490740741002</v>
      </c>
      <c r="R595" t="s">
        <v>5</v>
      </c>
      <c r="S595" t="s">
        <v>4</v>
      </c>
      <c r="T595" t="s">
        <v>3183</v>
      </c>
      <c r="U595" t="s">
        <v>10</v>
      </c>
      <c r="V595" s="5">
        <v>0</v>
      </c>
      <c r="W595" s="5">
        <v>0</v>
      </c>
      <c r="X595" s="2">
        <v>0</v>
      </c>
      <c r="Y595" t="s">
        <v>4</v>
      </c>
      <c r="Z595" t="s">
        <v>4</v>
      </c>
      <c r="AA595" t="s">
        <v>4</v>
      </c>
      <c r="AB595" t="s">
        <v>4</v>
      </c>
    </row>
    <row r="596" spans="1:28" x14ac:dyDescent="0.2">
      <c r="A596" t="s">
        <v>491</v>
      </c>
      <c r="B596" t="s">
        <v>2</v>
      </c>
      <c r="C596" t="s">
        <v>3</v>
      </c>
      <c r="D596" t="s">
        <v>4</v>
      </c>
      <c r="E596" t="s">
        <v>4</v>
      </c>
      <c r="F596" t="s">
        <v>5</v>
      </c>
      <c r="G596" t="s">
        <v>17</v>
      </c>
      <c r="H596" t="s">
        <v>3181</v>
      </c>
      <c r="I596" s="2">
        <v>2160</v>
      </c>
      <c r="J596" s="2">
        <v>0</v>
      </c>
      <c r="K596" s="2">
        <v>0</v>
      </c>
      <c r="L596" s="3">
        <v>45806</v>
      </c>
      <c r="M596" s="3">
        <v>45806</v>
      </c>
      <c r="N596" s="3"/>
      <c r="O596" t="s">
        <v>3184</v>
      </c>
      <c r="P596" t="s">
        <v>9</v>
      </c>
      <c r="Q596" s="4">
        <v>0.95584490740741002</v>
      </c>
      <c r="R596" t="s">
        <v>5</v>
      </c>
      <c r="S596" t="s">
        <v>4</v>
      </c>
      <c r="T596" t="s">
        <v>3183</v>
      </c>
      <c r="U596" t="s">
        <v>10</v>
      </c>
      <c r="V596" s="5">
        <v>0</v>
      </c>
      <c r="W596" s="5">
        <v>0</v>
      </c>
      <c r="X596" s="2">
        <v>0</v>
      </c>
      <c r="Y596" t="s">
        <v>4</v>
      </c>
      <c r="Z596" t="s">
        <v>4</v>
      </c>
      <c r="AA596" t="s">
        <v>4</v>
      </c>
      <c r="AB596" t="s">
        <v>4</v>
      </c>
    </row>
    <row r="597" spans="1:28" x14ac:dyDescent="0.2">
      <c r="A597" t="s">
        <v>1139</v>
      </c>
      <c r="B597" t="s">
        <v>2</v>
      </c>
      <c r="C597" t="s">
        <v>3</v>
      </c>
      <c r="D597" t="s">
        <v>4</v>
      </c>
      <c r="E597" t="s">
        <v>4</v>
      </c>
      <c r="F597" t="s">
        <v>5</v>
      </c>
      <c r="G597" t="s">
        <v>17</v>
      </c>
      <c r="H597" t="s">
        <v>3185</v>
      </c>
      <c r="I597" s="2">
        <v>432</v>
      </c>
      <c r="J597" s="2">
        <v>0</v>
      </c>
      <c r="K597" s="2">
        <v>0</v>
      </c>
      <c r="L597" s="3">
        <v>45844</v>
      </c>
      <c r="M597" s="3">
        <v>45844</v>
      </c>
      <c r="N597" s="3"/>
      <c r="O597" t="s">
        <v>3186</v>
      </c>
      <c r="P597" t="s">
        <v>9</v>
      </c>
      <c r="Q597" s="4">
        <v>0.55747685185185003</v>
      </c>
      <c r="R597" t="s">
        <v>5</v>
      </c>
      <c r="S597" t="s">
        <v>4</v>
      </c>
      <c r="T597" t="s">
        <v>2792</v>
      </c>
      <c r="U597" t="s">
        <v>10</v>
      </c>
      <c r="V597" s="5">
        <v>0</v>
      </c>
      <c r="W597" s="5">
        <v>0</v>
      </c>
      <c r="X597" s="2">
        <v>0</v>
      </c>
      <c r="Y597" t="s">
        <v>4</v>
      </c>
      <c r="Z597" t="s">
        <v>4</v>
      </c>
      <c r="AA597" t="s">
        <v>4</v>
      </c>
      <c r="AB597" t="s">
        <v>4</v>
      </c>
    </row>
    <row r="598" spans="1:28" x14ac:dyDescent="0.2">
      <c r="A598" t="s">
        <v>1139</v>
      </c>
      <c r="B598" t="s">
        <v>2</v>
      </c>
      <c r="C598" t="s">
        <v>3</v>
      </c>
      <c r="D598" t="s">
        <v>4</v>
      </c>
      <c r="E598" t="s">
        <v>4</v>
      </c>
      <c r="F598" t="s">
        <v>5</v>
      </c>
      <c r="G598" t="s">
        <v>17</v>
      </c>
      <c r="H598" t="s">
        <v>3185</v>
      </c>
      <c r="I598" s="2">
        <v>432</v>
      </c>
      <c r="J598" s="2">
        <v>0</v>
      </c>
      <c r="K598" s="2">
        <v>0</v>
      </c>
      <c r="L598" s="3">
        <v>45844</v>
      </c>
      <c r="M598" s="3">
        <v>45844</v>
      </c>
      <c r="N598" s="3"/>
      <c r="O598" t="s">
        <v>3187</v>
      </c>
      <c r="P598" t="s">
        <v>9</v>
      </c>
      <c r="Q598" s="4">
        <v>0.55747685185185003</v>
      </c>
      <c r="R598" t="s">
        <v>5</v>
      </c>
      <c r="S598" t="s">
        <v>4</v>
      </c>
      <c r="T598" t="s">
        <v>2792</v>
      </c>
      <c r="U598" t="s">
        <v>10</v>
      </c>
      <c r="V598" s="5">
        <v>0</v>
      </c>
      <c r="W598" s="5">
        <v>0</v>
      </c>
      <c r="X598" s="2">
        <v>0</v>
      </c>
      <c r="Y598" t="s">
        <v>4</v>
      </c>
      <c r="Z598" t="s">
        <v>4</v>
      </c>
      <c r="AA598" t="s">
        <v>4</v>
      </c>
      <c r="AB598" t="s">
        <v>4</v>
      </c>
    </row>
    <row r="599" spans="1:28" x14ac:dyDescent="0.2">
      <c r="A599" t="s">
        <v>491</v>
      </c>
      <c r="B599" t="s">
        <v>2</v>
      </c>
      <c r="C599" t="s">
        <v>3</v>
      </c>
      <c r="D599" t="s">
        <v>4</v>
      </c>
      <c r="E599" t="s">
        <v>4</v>
      </c>
      <c r="F599" t="s">
        <v>5</v>
      </c>
      <c r="G599" t="s">
        <v>17</v>
      </c>
      <c r="H599" t="s">
        <v>3188</v>
      </c>
      <c r="I599" s="2">
        <v>2160</v>
      </c>
      <c r="J599" s="2">
        <v>0</v>
      </c>
      <c r="K599" s="2">
        <v>0</v>
      </c>
      <c r="L599" s="3">
        <v>45851</v>
      </c>
      <c r="M599" s="3">
        <v>45851</v>
      </c>
      <c r="N599" s="3"/>
      <c r="O599" t="s">
        <v>3189</v>
      </c>
      <c r="P599" t="s">
        <v>9</v>
      </c>
      <c r="Q599" s="4">
        <v>0.52069444444444002</v>
      </c>
      <c r="R599" t="s">
        <v>5</v>
      </c>
      <c r="S599" t="s">
        <v>4</v>
      </c>
      <c r="T599" t="s">
        <v>2747</v>
      </c>
      <c r="U599" t="s">
        <v>10</v>
      </c>
      <c r="V599" s="5">
        <v>0</v>
      </c>
      <c r="W599" s="5">
        <v>0</v>
      </c>
      <c r="X599" s="2">
        <v>0</v>
      </c>
      <c r="Y599" t="s">
        <v>4</v>
      </c>
      <c r="Z599" t="s">
        <v>4</v>
      </c>
      <c r="AA599" t="s">
        <v>4</v>
      </c>
      <c r="AB599" t="s">
        <v>4</v>
      </c>
    </row>
    <row r="600" spans="1:28" x14ac:dyDescent="0.2">
      <c r="A600" t="s">
        <v>491</v>
      </c>
      <c r="B600" t="s">
        <v>2</v>
      </c>
      <c r="C600" t="s">
        <v>3</v>
      </c>
      <c r="D600" t="s">
        <v>4</v>
      </c>
      <c r="E600" t="s">
        <v>4</v>
      </c>
      <c r="F600" t="s">
        <v>5</v>
      </c>
      <c r="G600" t="s">
        <v>17</v>
      </c>
      <c r="H600" t="s">
        <v>3188</v>
      </c>
      <c r="I600" s="2">
        <v>2160</v>
      </c>
      <c r="J600" s="2">
        <v>0</v>
      </c>
      <c r="K600" s="2">
        <v>0</v>
      </c>
      <c r="L600" s="3">
        <v>45851</v>
      </c>
      <c r="M600" s="3">
        <v>45851</v>
      </c>
      <c r="N600" s="3"/>
      <c r="O600" t="s">
        <v>3190</v>
      </c>
      <c r="P600" t="s">
        <v>9</v>
      </c>
      <c r="Q600" s="4">
        <v>0.52069444444444002</v>
      </c>
      <c r="R600" t="s">
        <v>5</v>
      </c>
      <c r="S600" t="s">
        <v>4</v>
      </c>
      <c r="T600" t="s">
        <v>2747</v>
      </c>
      <c r="U600" t="s">
        <v>10</v>
      </c>
      <c r="V600" s="5">
        <v>0</v>
      </c>
      <c r="W600" s="5">
        <v>0</v>
      </c>
      <c r="X600" s="2">
        <v>0</v>
      </c>
      <c r="Y600" t="s">
        <v>4</v>
      </c>
      <c r="Z600" t="s">
        <v>4</v>
      </c>
      <c r="AA600" t="s">
        <v>4</v>
      </c>
      <c r="AB600" t="s">
        <v>4</v>
      </c>
    </row>
    <row r="601" spans="1:28" x14ac:dyDescent="0.2">
      <c r="A601" t="s">
        <v>641</v>
      </c>
      <c r="B601" t="s">
        <v>2</v>
      </c>
      <c r="C601" t="s">
        <v>3</v>
      </c>
      <c r="D601" t="s">
        <v>4</v>
      </c>
      <c r="E601" t="s">
        <v>4</v>
      </c>
      <c r="F601" t="s">
        <v>5</v>
      </c>
      <c r="G601" t="s">
        <v>6</v>
      </c>
      <c r="H601" t="s">
        <v>3191</v>
      </c>
      <c r="I601" s="2">
        <v>2304</v>
      </c>
      <c r="J601" s="2">
        <v>0</v>
      </c>
      <c r="K601" s="2">
        <v>0</v>
      </c>
      <c r="L601" s="3">
        <v>45858</v>
      </c>
      <c r="M601" s="3">
        <v>45858</v>
      </c>
      <c r="N601" s="3"/>
      <c r="O601" t="s">
        <v>3192</v>
      </c>
      <c r="P601" t="s">
        <v>9</v>
      </c>
      <c r="Q601" s="4">
        <v>0.54244212962963001</v>
      </c>
      <c r="R601" t="s">
        <v>5</v>
      </c>
      <c r="S601" t="s">
        <v>4</v>
      </c>
      <c r="T601" t="s">
        <v>2337</v>
      </c>
      <c r="U601" t="s">
        <v>10</v>
      </c>
      <c r="V601" s="5">
        <v>0</v>
      </c>
      <c r="W601" s="5">
        <v>0</v>
      </c>
      <c r="X601" s="2">
        <v>0</v>
      </c>
      <c r="Y601" t="s">
        <v>4</v>
      </c>
      <c r="Z601" t="s">
        <v>4</v>
      </c>
      <c r="AA601" t="s">
        <v>4</v>
      </c>
      <c r="AB601" t="s">
        <v>4</v>
      </c>
    </row>
    <row r="602" spans="1:28" x14ac:dyDescent="0.2">
      <c r="A602" t="s">
        <v>641</v>
      </c>
      <c r="B602" t="s">
        <v>2</v>
      </c>
      <c r="C602" t="s">
        <v>3</v>
      </c>
      <c r="D602" t="s">
        <v>4</v>
      </c>
      <c r="E602" t="s">
        <v>4</v>
      </c>
      <c r="F602" t="s">
        <v>5</v>
      </c>
      <c r="G602" t="s">
        <v>6</v>
      </c>
      <c r="H602" t="s">
        <v>3191</v>
      </c>
      <c r="I602" s="2">
        <v>2304</v>
      </c>
      <c r="J602" s="2">
        <v>0</v>
      </c>
      <c r="K602" s="2">
        <v>0</v>
      </c>
      <c r="L602" s="3">
        <v>45824</v>
      </c>
      <c r="M602" s="3">
        <v>45824</v>
      </c>
      <c r="N602" s="3"/>
      <c r="O602" t="s">
        <v>3193</v>
      </c>
      <c r="P602" t="s">
        <v>9</v>
      </c>
      <c r="Q602" s="4">
        <v>0.54244212962963001</v>
      </c>
      <c r="R602" t="s">
        <v>5</v>
      </c>
      <c r="S602" t="s">
        <v>4</v>
      </c>
      <c r="T602" t="s">
        <v>2691</v>
      </c>
      <c r="U602" t="s">
        <v>10</v>
      </c>
      <c r="V602" s="5">
        <v>0</v>
      </c>
      <c r="W602" s="5">
        <v>0</v>
      </c>
      <c r="X602" s="2">
        <v>0</v>
      </c>
      <c r="Y602" t="s">
        <v>4</v>
      </c>
      <c r="Z602" t="s">
        <v>4</v>
      </c>
      <c r="AA602" t="s">
        <v>4</v>
      </c>
      <c r="AB602" t="s">
        <v>4</v>
      </c>
    </row>
    <row r="603" spans="1:28" x14ac:dyDescent="0.2">
      <c r="A603" t="s">
        <v>662</v>
      </c>
      <c r="B603" t="s">
        <v>2</v>
      </c>
      <c r="C603" t="s">
        <v>3</v>
      </c>
      <c r="D603" t="s">
        <v>4</v>
      </c>
      <c r="E603" t="s">
        <v>4</v>
      </c>
      <c r="F603" t="s">
        <v>5</v>
      </c>
      <c r="G603" t="s">
        <v>6</v>
      </c>
      <c r="H603" t="s">
        <v>3194</v>
      </c>
      <c r="I603" s="2">
        <v>270</v>
      </c>
      <c r="J603" s="2">
        <v>0</v>
      </c>
      <c r="K603" s="2">
        <v>0</v>
      </c>
      <c r="L603" s="3">
        <v>45857</v>
      </c>
      <c r="M603" s="3">
        <v>45857</v>
      </c>
      <c r="N603" s="3"/>
      <c r="O603" t="s">
        <v>3195</v>
      </c>
      <c r="P603" t="s">
        <v>9</v>
      </c>
      <c r="Q603" s="4">
        <v>0.50702546296296003</v>
      </c>
      <c r="R603" t="s">
        <v>5</v>
      </c>
      <c r="S603" t="s">
        <v>4</v>
      </c>
      <c r="T603" t="s">
        <v>2262</v>
      </c>
      <c r="U603" t="s">
        <v>10</v>
      </c>
      <c r="V603" s="5">
        <v>0</v>
      </c>
      <c r="W603" s="5">
        <v>0</v>
      </c>
      <c r="X603" s="2">
        <v>0</v>
      </c>
      <c r="Y603" t="s">
        <v>4</v>
      </c>
      <c r="Z603" t="s">
        <v>4</v>
      </c>
      <c r="AA603" t="s">
        <v>4</v>
      </c>
      <c r="AB603" t="s">
        <v>4</v>
      </c>
    </row>
    <row r="604" spans="1:28" x14ac:dyDescent="0.2">
      <c r="A604" t="s">
        <v>718</v>
      </c>
      <c r="B604" t="s">
        <v>2</v>
      </c>
      <c r="C604" t="s">
        <v>3</v>
      </c>
      <c r="D604" t="s">
        <v>4</v>
      </c>
      <c r="E604" t="s">
        <v>4</v>
      </c>
      <c r="F604" t="s">
        <v>5</v>
      </c>
      <c r="G604" t="s">
        <v>6</v>
      </c>
      <c r="H604" t="s">
        <v>3196</v>
      </c>
      <c r="I604" s="2">
        <v>26</v>
      </c>
      <c r="J604" s="2">
        <v>0</v>
      </c>
      <c r="K604" s="2">
        <v>0</v>
      </c>
      <c r="L604" s="3">
        <v>45820</v>
      </c>
      <c r="M604" s="3">
        <v>45820</v>
      </c>
      <c r="N604" s="3"/>
      <c r="O604" t="s">
        <v>3197</v>
      </c>
      <c r="P604" t="s">
        <v>9</v>
      </c>
      <c r="Q604" s="4">
        <v>0.51266203703704005</v>
      </c>
      <c r="R604" t="s">
        <v>5</v>
      </c>
      <c r="S604" t="s">
        <v>4</v>
      </c>
      <c r="T604" t="s">
        <v>3198</v>
      </c>
      <c r="U604" t="s">
        <v>10</v>
      </c>
      <c r="V604" s="5">
        <v>0</v>
      </c>
      <c r="W604" s="5">
        <v>0</v>
      </c>
      <c r="X604" s="2">
        <v>0</v>
      </c>
      <c r="Y604" t="s">
        <v>4</v>
      </c>
      <c r="Z604" t="s">
        <v>4</v>
      </c>
      <c r="AA604" t="s">
        <v>4</v>
      </c>
      <c r="AB604" t="s">
        <v>4</v>
      </c>
    </row>
    <row r="605" spans="1:28" x14ac:dyDescent="0.2">
      <c r="A605" t="s">
        <v>718</v>
      </c>
      <c r="B605" t="s">
        <v>2</v>
      </c>
      <c r="C605" t="s">
        <v>3</v>
      </c>
      <c r="D605" t="s">
        <v>4</v>
      </c>
      <c r="E605" t="s">
        <v>4</v>
      </c>
      <c r="F605" t="s">
        <v>5</v>
      </c>
      <c r="G605" t="s">
        <v>6</v>
      </c>
      <c r="H605" t="s">
        <v>3196</v>
      </c>
      <c r="I605" s="2">
        <v>84</v>
      </c>
      <c r="J605" s="2">
        <v>0</v>
      </c>
      <c r="K605" s="2">
        <v>0</v>
      </c>
      <c r="L605" s="3">
        <v>45827</v>
      </c>
      <c r="M605" s="3">
        <v>45827</v>
      </c>
      <c r="N605" s="3"/>
      <c r="O605" t="s">
        <v>3199</v>
      </c>
      <c r="P605" t="s">
        <v>9</v>
      </c>
      <c r="Q605" s="4">
        <v>0.51266203703704005</v>
      </c>
      <c r="R605" t="s">
        <v>5</v>
      </c>
      <c r="S605" t="s">
        <v>4</v>
      </c>
      <c r="T605" t="s">
        <v>2327</v>
      </c>
      <c r="U605" t="s">
        <v>10</v>
      </c>
      <c r="V605" s="5">
        <v>0</v>
      </c>
      <c r="W605" s="5">
        <v>0</v>
      </c>
      <c r="X605" s="2">
        <v>0</v>
      </c>
      <c r="Y605" t="s">
        <v>4</v>
      </c>
      <c r="Z605" t="s">
        <v>4</v>
      </c>
      <c r="AA605" t="s">
        <v>4</v>
      </c>
      <c r="AB605" t="s">
        <v>4</v>
      </c>
    </row>
    <row r="606" spans="1:28" x14ac:dyDescent="0.2">
      <c r="A606" t="s">
        <v>1139</v>
      </c>
      <c r="B606" t="s">
        <v>2</v>
      </c>
      <c r="C606" t="s">
        <v>3</v>
      </c>
      <c r="D606" t="s">
        <v>4</v>
      </c>
      <c r="E606" t="s">
        <v>4</v>
      </c>
      <c r="F606" t="s">
        <v>5</v>
      </c>
      <c r="G606" t="s">
        <v>6</v>
      </c>
      <c r="H606" t="s">
        <v>3200</v>
      </c>
      <c r="I606" s="2">
        <v>432</v>
      </c>
      <c r="J606" s="2">
        <v>0</v>
      </c>
      <c r="K606" s="2">
        <v>0</v>
      </c>
      <c r="L606" s="3">
        <v>45832</v>
      </c>
      <c r="M606" s="3">
        <v>45832</v>
      </c>
      <c r="N606" s="3"/>
      <c r="O606" t="s">
        <v>3201</v>
      </c>
      <c r="P606" t="s">
        <v>9</v>
      </c>
      <c r="Q606" s="4">
        <v>0.60913194444443997</v>
      </c>
      <c r="R606" t="s">
        <v>5</v>
      </c>
      <c r="S606" t="s">
        <v>4</v>
      </c>
      <c r="T606" t="s">
        <v>2665</v>
      </c>
      <c r="U606" t="s">
        <v>10</v>
      </c>
      <c r="V606" s="5">
        <v>0</v>
      </c>
      <c r="W606" s="5">
        <v>0</v>
      </c>
      <c r="X606" s="2">
        <v>0</v>
      </c>
      <c r="Y606" t="s">
        <v>4</v>
      </c>
      <c r="Z606" t="s">
        <v>4</v>
      </c>
      <c r="AA606" t="s">
        <v>4</v>
      </c>
      <c r="AB606" t="s">
        <v>4</v>
      </c>
    </row>
    <row r="607" spans="1:28" x14ac:dyDescent="0.2">
      <c r="A607" t="s">
        <v>1139</v>
      </c>
      <c r="B607" t="s">
        <v>2</v>
      </c>
      <c r="C607" t="s">
        <v>3</v>
      </c>
      <c r="D607" t="s">
        <v>4</v>
      </c>
      <c r="E607" t="s">
        <v>4</v>
      </c>
      <c r="F607" t="s">
        <v>5</v>
      </c>
      <c r="G607" t="s">
        <v>6</v>
      </c>
      <c r="H607" t="s">
        <v>3200</v>
      </c>
      <c r="I607" s="2">
        <v>432</v>
      </c>
      <c r="J607" s="2">
        <v>0</v>
      </c>
      <c r="K607" s="2">
        <v>0</v>
      </c>
      <c r="L607" s="3">
        <v>45832</v>
      </c>
      <c r="M607" s="3">
        <v>45832</v>
      </c>
      <c r="N607" s="3"/>
      <c r="O607" t="s">
        <v>3202</v>
      </c>
      <c r="P607" t="s">
        <v>9</v>
      </c>
      <c r="Q607" s="4">
        <v>0.60913194444443997</v>
      </c>
      <c r="R607" t="s">
        <v>5</v>
      </c>
      <c r="S607" t="s">
        <v>4</v>
      </c>
      <c r="T607" t="s">
        <v>2665</v>
      </c>
      <c r="U607" t="s">
        <v>10</v>
      </c>
      <c r="V607" s="5">
        <v>0</v>
      </c>
      <c r="W607" s="5">
        <v>0</v>
      </c>
      <c r="X607" s="2">
        <v>0</v>
      </c>
      <c r="Y607" t="s">
        <v>4</v>
      </c>
      <c r="Z607" t="s">
        <v>4</v>
      </c>
      <c r="AA607" t="s">
        <v>4</v>
      </c>
      <c r="AB607" t="s">
        <v>4</v>
      </c>
    </row>
    <row r="608" spans="1:28" x14ac:dyDescent="0.2">
      <c r="A608" t="s">
        <v>662</v>
      </c>
      <c r="B608" t="s">
        <v>2</v>
      </c>
      <c r="C608" t="s">
        <v>3</v>
      </c>
      <c r="D608" t="s">
        <v>4</v>
      </c>
      <c r="E608" t="s">
        <v>4</v>
      </c>
      <c r="F608" t="s">
        <v>5</v>
      </c>
      <c r="G608" t="s">
        <v>6</v>
      </c>
      <c r="H608" t="s">
        <v>3203</v>
      </c>
      <c r="I608" s="2">
        <v>270</v>
      </c>
      <c r="J608" s="2">
        <v>0</v>
      </c>
      <c r="K608" s="2">
        <v>0</v>
      </c>
      <c r="L608" s="3">
        <v>45843</v>
      </c>
      <c r="M608" s="3">
        <v>45843</v>
      </c>
      <c r="N608" s="3"/>
      <c r="O608" t="s">
        <v>3204</v>
      </c>
      <c r="P608" t="s">
        <v>9</v>
      </c>
      <c r="Q608" s="4">
        <v>0.56711805555556005</v>
      </c>
      <c r="R608" t="s">
        <v>5</v>
      </c>
      <c r="S608" t="s">
        <v>4</v>
      </c>
      <c r="T608" t="s">
        <v>2783</v>
      </c>
      <c r="U608" t="s">
        <v>10</v>
      </c>
      <c r="V608" s="5">
        <v>0</v>
      </c>
      <c r="W608" s="5">
        <v>0</v>
      </c>
      <c r="X608" s="2">
        <v>0</v>
      </c>
      <c r="Y608" t="s">
        <v>4</v>
      </c>
      <c r="Z608" t="s">
        <v>4</v>
      </c>
      <c r="AA608" t="s">
        <v>4</v>
      </c>
      <c r="AB608" t="s">
        <v>4</v>
      </c>
    </row>
    <row r="609" spans="1:28" x14ac:dyDescent="0.2">
      <c r="A609" t="s">
        <v>662</v>
      </c>
      <c r="B609" t="s">
        <v>2</v>
      </c>
      <c r="C609" t="s">
        <v>3</v>
      </c>
      <c r="D609" t="s">
        <v>4</v>
      </c>
      <c r="E609" t="s">
        <v>4</v>
      </c>
      <c r="F609" t="s">
        <v>5</v>
      </c>
      <c r="G609" t="s">
        <v>6</v>
      </c>
      <c r="H609" t="s">
        <v>3203</v>
      </c>
      <c r="I609" s="2">
        <v>270</v>
      </c>
      <c r="J609" s="2">
        <v>0</v>
      </c>
      <c r="K609" s="2">
        <v>0</v>
      </c>
      <c r="L609" s="3">
        <v>45843</v>
      </c>
      <c r="M609" s="3">
        <v>45843</v>
      </c>
      <c r="N609" s="3"/>
      <c r="O609" t="s">
        <v>3205</v>
      </c>
      <c r="P609" t="s">
        <v>9</v>
      </c>
      <c r="Q609" s="4">
        <v>0.56711805555556005</v>
      </c>
      <c r="R609" t="s">
        <v>5</v>
      </c>
      <c r="S609" t="s">
        <v>4</v>
      </c>
      <c r="T609" t="s">
        <v>2783</v>
      </c>
      <c r="U609" t="s">
        <v>10</v>
      </c>
      <c r="V609" s="5">
        <v>0</v>
      </c>
      <c r="W609" s="5">
        <v>0</v>
      </c>
      <c r="X609" s="2">
        <v>0</v>
      </c>
      <c r="Y609" t="s">
        <v>4</v>
      </c>
      <c r="Z609" t="s">
        <v>4</v>
      </c>
      <c r="AA609" t="s">
        <v>4</v>
      </c>
      <c r="AB609" t="s">
        <v>4</v>
      </c>
    </row>
    <row r="610" spans="1:28" x14ac:dyDescent="0.2">
      <c r="A610" t="s">
        <v>2039</v>
      </c>
      <c r="B610" t="s">
        <v>2</v>
      </c>
      <c r="C610" t="s">
        <v>3</v>
      </c>
      <c r="D610" t="s">
        <v>4</v>
      </c>
      <c r="E610" t="s">
        <v>4</v>
      </c>
      <c r="F610" t="s">
        <v>5</v>
      </c>
      <c r="G610" t="s">
        <v>6</v>
      </c>
      <c r="H610" t="s">
        <v>3206</v>
      </c>
      <c r="I610" s="2">
        <v>0</v>
      </c>
      <c r="J610" s="2">
        <v>108</v>
      </c>
      <c r="K610" s="2">
        <v>0</v>
      </c>
      <c r="L610" s="3">
        <v>45860</v>
      </c>
      <c r="M610" s="3">
        <v>45860</v>
      </c>
      <c r="N610" s="3"/>
      <c r="O610" t="s">
        <v>3207</v>
      </c>
      <c r="P610" t="s">
        <v>9</v>
      </c>
      <c r="Q610" s="4">
        <v>0.37476851851852</v>
      </c>
      <c r="R610" t="s">
        <v>5</v>
      </c>
      <c r="S610" t="s">
        <v>4</v>
      </c>
      <c r="T610" t="s">
        <v>2256</v>
      </c>
      <c r="U610" t="s">
        <v>10</v>
      </c>
      <c r="V610" s="5">
        <v>0</v>
      </c>
      <c r="W610" s="5">
        <v>0</v>
      </c>
      <c r="X610" s="2">
        <v>0</v>
      </c>
      <c r="Y610" t="s">
        <v>4</v>
      </c>
      <c r="Z610" t="s">
        <v>4</v>
      </c>
      <c r="AA610" t="s">
        <v>4</v>
      </c>
      <c r="AB610" t="s">
        <v>4</v>
      </c>
    </row>
    <row r="611" spans="1:28" x14ac:dyDescent="0.2">
      <c r="A611" t="s">
        <v>2039</v>
      </c>
      <c r="B611" t="s">
        <v>2</v>
      </c>
      <c r="C611" t="s">
        <v>3</v>
      </c>
      <c r="D611" t="s">
        <v>4</v>
      </c>
      <c r="E611" t="s">
        <v>4</v>
      </c>
      <c r="F611" t="s">
        <v>5</v>
      </c>
      <c r="G611" t="s">
        <v>6</v>
      </c>
      <c r="H611" t="s">
        <v>3206</v>
      </c>
      <c r="I611" s="2">
        <v>0</v>
      </c>
      <c r="J611" s="2">
        <v>108</v>
      </c>
      <c r="K611" s="2">
        <v>0</v>
      </c>
      <c r="L611" s="3">
        <v>45860</v>
      </c>
      <c r="M611" s="3">
        <v>45860</v>
      </c>
      <c r="N611" s="3"/>
      <c r="O611" t="s">
        <v>3208</v>
      </c>
      <c r="P611" t="s">
        <v>9</v>
      </c>
      <c r="Q611" s="4">
        <v>0.37476851851852</v>
      </c>
      <c r="R611" t="s">
        <v>5</v>
      </c>
      <c r="S611" t="s">
        <v>4</v>
      </c>
      <c r="T611" t="s">
        <v>2256</v>
      </c>
      <c r="U611" t="s">
        <v>10</v>
      </c>
      <c r="V611" s="5">
        <v>0</v>
      </c>
      <c r="W611" s="5">
        <v>0</v>
      </c>
      <c r="X611" s="2">
        <v>0</v>
      </c>
      <c r="Y611" t="s">
        <v>4</v>
      </c>
      <c r="Z611" t="s">
        <v>4</v>
      </c>
      <c r="AA611" t="s">
        <v>4</v>
      </c>
      <c r="AB611" t="s">
        <v>4</v>
      </c>
    </row>
    <row r="612" spans="1:28" x14ac:dyDescent="0.2">
      <c r="A612" t="s">
        <v>288</v>
      </c>
      <c r="B612" t="s">
        <v>2</v>
      </c>
      <c r="C612" t="s">
        <v>3</v>
      </c>
      <c r="D612" t="s">
        <v>4</v>
      </c>
      <c r="E612" t="s">
        <v>4</v>
      </c>
      <c r="F612" t="s">
        <v>5</v>
      </c>
      <c r="G612" t="s">
        <v>6</v>
      </c>
      <c r="H612" t="s">
        <v>3209</v>
      </c>
      <c r="I612" s="2">
        <v>2080</v>
      </c>
      <c r="J612" s="2">
        <v>0</v>
      </c>
      <c r="K612" s="2">
        <v>0</v>
      </c>
      <c r="L612" s="3">
        <v>45855</v>
      </c>
      <c r="M612" s="3">
        <v>45855</v>
      </c>
      <c r="N612" s="3"/>
      <c r="O612" t="s">
        <v>3210</v>
      </c>
      <c r="P612" t="s">
        <v>9</v>
      </c>
      <c r="Q612" s="4">
        <v>0.32937499999999997</v>
      </c>
      <c r="R612" t="s">
        <v>5</v>
      </c>
      <c r="S612" t="s">
        <v>4</v>
      </c>
      <c r="T612" t="s">
        <v>2350</v>
      </c>
      <c r="U612" t="s">
        <v>10</v>
      </c>
      <c r="V612" s="5">
        <v>0</v>
      </c>
      <c r="W612" s="5">
        <v>0</v>
      </c>
      <c r="X612" s="2">
        <v>0</v>
      </c>
      <c r="Y612" t="s">
        <v>4</v>
      </c>
      <c r="Z612" t="s">
        <v>4</v>
      </c>
      <c r="AA612" t="s">
        <v>4</v>
      </c>
      <c r="AB612" t="s">
        <v>4</v>
      </c>
    </row>
    <row r="613" spans="1:28" x14ac:dyDescent="0.2">
      <c r="A613" t="s">
        <v>1139</v>
      </c>
      <c r="B613" t="s">
        <v>2</v>
      </c>
      <c r="C613" t="s">
        <v>3</v>
      </c>
      <c r="D613" t="s">
        <v>4</v>
      </c>
      <c r="E613" t="s">
        <v>4</v>
      </c>
      <c r="F613" t="s">
        <v>5</v>
      </c>
      <c r="G613" t="s">
        <v>6</v>
      </c>
      <c r="H613" t="s">
        <v>3211</v>
      </c>
      <c r="I613" s="2">
        <v>432</v>
      </c>
      <c r="J613" s="2">
        <v>0</v>
      </c>
      <c r="K613" s="2">
        <v>0</v>
      </c>
      <c r="L613" s="3">
        <v>45834</v>
      </c>
      <c r="M613" s="3">
        <v>45834</v>
      </c>
      <c r="N613" s="3"/>
      <c r="O613" t="s">
        <v>3212</v>
      </c>
      <c r="P613" t="s">
        <v>9</v>
      </c>
      <c r="Q613" s="4">
        <v>0.48449074074074</v>
      </c>
      <c r="R613" t="s">
        <v>5</v>
      </c>
      <c r="S613" t="s">
        <v>4</v>
      </c>
      <c r="T613" t="s">
        <v>2817</v>
      </c>
      <c r="U613" t="s">
        <v>10</v>
      </c>
      <c r="V613" s="5">
        <v>0</v>
      </c>
      <c r="W613" s="5">
        <v>0</v>
      </c>
      <c r="X613" s="2">
        <v>0</v>
      </c>
      <c r="Y613" t="s">
        <v>4</v>
      </c>
      <c r="Z613" t="s">
        <v>4</v>
      </c>
      <c r="AA613" t="s">
        <v>4</v>
      </c>
      <c r="AB613" t="s">
        <v>4</v>
      </c>
    </row>
    <row r="614" spans="1:28" x14ac:dyDescent="0.2">
      <c r="A614" t="s">
        <v>1139</v>
      </c>
      <c r="B614" t="s">
        <v>2</v>
      </c>
      <c r="C614" t="s">
        <v>3</v>
      </c>
      <c r="D614" t="s">
        <v>4</v>
      </c>
      <c r="E614" t="s">
        <v>4</v>
      </c>
      <c r="F614" t="s">
        <v>5</v>
      </c>
      <c r="G614" t="s">
        <v>6</v>
      </c>
      <c r="H614" t="s">
        <v>3211</v>
      </c>
      <c r="I614" s="2">
        <v>432</v>
      </c>
      <c r="J614" s="2">
        <v>0</v>
      </c>
      <c r="K614" s="2">
        <v>0</v>
      </c>
      <c r="L614" s="3">
        <v>45844</v>
      </c>
      <c r="M614" s="3">
        <v>45844</v>
      </c>
      <c r="N614" s="3"/>
      <c r="O614" t="s">
        <v>3213</v>
      </c>
      <c r="P614" t="s">
        <v>9</v>
      </c>
      <c r="Q614" s="4">
        <v>0.48449074074074</v>
      </c>
      <c r="R614" t="s">
        <v>5</v>
      </c>
      <c r="S614" t="s">
        <v>4</v>
      </c>
      <c r="T614" t="s">
        <v>2792</v>
      </c>
      <c r="U614" t="s">
        <v>10</v>
      </c>
      <c r="V614" s="5">
        <v>0</v>
      </c>
      <c r="W614" s="5">
        <v>0</v>
      </c>
      <c r="X614" s="2">
        <v>0</v>
      </c>
      <c r="Y614" t="s">
        <v>4</v>
      </c>
      <c r="Z614" t="s">
        <v>4</v>
      </c>
      <c r="AA614" t="s">
        <v>4</v>
      </c>
      <c r="AB614" t="s">
        <v>4</v>
      </c>
    </row>
    <row r="615" spans="1:28" x14ac:dyDescent="0.2">
      <c r="A615" t="s">
        <v>2043</v>
      </c>
      <c r="B615" t="s">
        <v>2</v>
      </c>
      <c r="C615" t="s">
        <v>3</v>
      </c>
      <c r="D615" t="s">
        <v>4</v>
      </c>
      <c r="E615" t="s">
        <v>4</v>
      </c>
      <c r="F615" t="s">
        <v>5</v>
      </c>
      <c r="G615" t="s">
        <v>21</v>
      </c>
      <c r="H615" t="s">
        <v>3214</v>
      </c>
      <c r="I615" s="2">
        <v>108</v>
      </c>
      <c r="J615" s="2">
        <v>0</v>
      </c>
      <c r="K615" s="2">
        <v>0</v>
      </c>
      <c r="L615" s="3">
        <v>45849</v>
      </c>
      <c r="M615" s="3">
        <v>45849</v>
      </c>
      <c r="N615" s="3"/>
      <c r="O615" t="s">
        <v>3215</v>
      </c>
      <c r="P615" t="s">
        <v>9</v>
      </c>
      <c r="Q615" s="4">
        <v>0.57217592592593003</v>
      </c>
      <c r="R615" t="s">
        <v>5</v>
      </c>
      <c r="S615" t="s">
        <v>4</v>
      </c>
      <c r="T615" t="s">
        <v>2321</v>
      </c>
      <c r="U615" t="s">
        <v>10</v>
      </c>
      <c r="V615" s="5">
        <v>0</v>
      </c>
      <c r="W615" s="5">
        <v>0</v>
      </c>
      <c r="X615" s="2">
        <v>0</v>
      </c>
      <c r="Y615" t="s">
        <v>4</v>
      </c>
      <c r="Z615" t="s">
        <v>4</v>
      </c>
      <c r="AA615" t="s">
        <v>4</v>
      </c>
      <c r="AB615" t="s">
        <v>4</v>
      </c>
    </row>
    <row r="616" spans="1:28" x14ac:dyDescent="0.2">
      <c r="A616" t="s">
        <v>2043</v>
      </c>
      <c r="B616" t="s">
        <v>2</v>
      </c>
      <c r="C616" t="s">
        <v>3</v>
      </c>
      <c r="D616" t="s">
        <v>4</v>
      </c>
      <c r="E616" t="s">
        <v>4</v>
      </c>
      <c r="F616" t="s">
        <v>5</v>
      </c>
      <c r="G616" t="s">
        <v>21</v>
      </c>
      <c r="H616" t="s">
        <v>3214</v>
      </c>
      <c r="I616" s="2">
        <v>108</v>
      </c>
      <c r="J616" s="2">
        <v>0</v>
      </c>
      <c r="K616" s="2">
        <v>0</v>
      </c>
      <c r="L616" s="3">
        <v>45849</v>
      </c>
      <c r="M616" s="3">
        <v>45849</v>
      </c>
      <c r="N616" s="3"/>
      <c r="O616" t="s">
        <v>3216</v>
      </c>
      <c r="P616" t="s">
        <v>9</v>
      </c>
      <c r="Q616" s="4">
        <v>0.57217592592593003</v>
      </c>
      <c r="R616" t="s">
        <v>5</v>
      </c>
      <c r="S616" t="s">
        <v>4</v>
      </c>
      <c r="T616" t="s">
        <v>2321</v>
      </c>
      <c r="U616" t="s">
        <v>10</v>
      </c>
      <c r="V616" s="5">
        <v>0</v>
      </c>
      <c r="W616" s="5">
        <v>0</v>
      </c>
      <c r="X616" s="2">
        <v>0</v>
      </c>
      <c r="Y616" t="s">
        <v>4</v>
      </c>
      <c r="Z616" t="s">
        <v>4</v>
      </c>
      <c r="AA616" t="s">
        <v>4</v>
      </c>
      <c r="AB616" t="s">
        <v>4</v>
      </c>
    </row>
    <row r="617" spans="1:28" x14ac:dyDescent="0.2">
      <c r="A617" t="s">
        <v>659</v>
      </c>
      <c r="B617" t="s">
        <v>2</v>
      </c>
      <c r="C617" t="s">
        <v>3</v>
      </c>
      <c r="D617" t="s">
        <v>4</v>
      </c>
      <c r="E617" t="s">
        <v>4</v>
      </c>
      <c r="F617" t="s">
        <v>5</v>
      </c>
      <c r="G617" t="s">
        <v>6</v>
      </c>
      <c r="H617" t="s">
        <v>3217</v>
      </c>
      <c r="I617" s="2">
        <v>1110</v>
      </c>
      <c r="J617" s="2">
        <v>0</v>
      </c>
      <c r="K617" s="2">
        <v>0</v>
      </c>
      <c r="L617" s="3">
        <v>45857</v>
      </c>
      <c r="M617" s="3">
        <v>45857</v>
      </c>
      <c r="N617" s="3"/>
      <c r="O617" t="s">
        <v>3218</v>
      </c>
      <c r="P617" t="s">
        <v>9</v>
      </c>
      <c r="Q617" s="4">
        <v>0.52409722222221999</v>
      </c>
      <c r="R617" t="s">
        <v>5</v>
      </c>
      <c r="S617" t="s">
        <v>4</v>
      </c>
      <c r="T617" t="s">
        <v>2262</v>
      </c>
      <c r="U617" t="s">
        <v>10</v>
      </c>
      <c r="V617" s="5">
        <v>0</v>
      </c>
      <c r="W617" s="5">
        <v>0</v>
      </c>
      <c r="X617" s="2">
        <v>0</v>
      </c>
      <c r="Y617" t="s">
        <v>4</v>
      </c>
      <c r="Z617" t="s">
        <v>4</v>
      </c>
      <c r="AA617" t="s">
        <v>4</v>
      </c>
      <c r="AB617" t="s">
        <v>4</v>
      </c>
    </row>
    <row r="618" spans="1:28" x14ac:dyDescent="0.2">
      <c r="A618" t="s">
        <v>659</v>
      </c>
      <c r="B618" t="s">
        <v>2</v>
      </c>
      <c r="C618" t="s">
        <v>3</v>
      </c>
      <c r="D618" t="s">
        <v>4</v>
      </c>
      <c r="E618" t="s">
        <v>4</v>
      </c>
      <c r="F618" t="s">
        <v>5</v>
      </c>
      <c r="G618" t="s">
        <v>6</v>
      </c>
      <c r="H618" t="s">
        <v>3217</v>
      </c>
      <c r="I618" s="2">
        <v>1110</v>
      </c>
      <c r="J618" s="2">
        <v>0</v>
      </c>
      <c r="K618" s="2">
        <v>0</v>
      </c>
      <c r="L618" s="3">
        <v>45857</v>
      </c>
      <c r="M618" s="3">
        <v>45857</v>
      </c>
      <c r="N618" s="3"/>
      <c r="O618" t="s">
        <v>3219</v>
      </c>
      <c r="P618" t="s">
        <v>9</v>
      </c>
      <c r="Q618" s="4">
        <v>0.52409722222221999</v>
      </c>
      <c r="R618" t="s">
        <v>5</v>
      </c>
      <c r="S618" t="s">
        <v>4</v>
      </c>
      <c r="T618" t="s">
        <v>2262</v>
      </c>
      <c r="U618" t="s">
        <v>10</v>
      </c>
      <c r="V618" s="5">
        <v>0</v>
      </c>
      <c r="W618" s="5">
        <v>0</v>
      </c>
      <c r="X618" s="2">
        <v>0</v>
      </c>
      <c r="Y618" t="s">
        <v>4</v>
      </c>
      <c r="Z618" t="s">
        <v>4</v>
      </c>
      <c r="AA618" t="s">
        <v>4</v>
      </c>
      <c r="AB618" t="s">
        <v>4</v>
      </c>
    </row>
    <row r="619" spans="1:28" x14ac:dyDescent="0.2">
      <c r="A619" t="s">
        <v>1275</v>
      </c>
      <c r="B619" t="s">
        <v>2</v>
      </c>
      <c r="C619" t="s">
        <v>3</v>
      </c>
      <c r="D619" t="s">
        <v>4</v>
      </c>
      <c r="E619" t="s">
        <v>4</v>
      </c>
      <c r="F619" t="s">
        <v>5</v>
      </c>
      <c r="G619" t="s">
        <v>21</v>
      </c>
      <c r="H619" t="s">
        <v>3220</v>
      </c>
      <c r="I619" s="2">
        <v>6250</v>
      </c>
      <c r="J619" s="2">
        <v>0</v>
      </c>
      <c r="K619" s="2">
        <v>0</v>
      </c>
      <c r="L619" s="3">
        <v>45843</v>
      </c>
      <c r="M619" s="3">
        <v>45843</v>
      </c>
      <c r="N619" s="3"/>
      <c r="O619" t="s">
        <v>3221</v>
      </c>
      <c r="P619" t="s">
        <v>9</v>
      </c>
      <c r="Q619" s="4">
        <v>0.54716435185184997</v>
      </c>
      <c r="R619" t="s">
        <v>5</v>
      </c>
      <c r="S619" t="s">
        <v>4</v>
      </c>
      <c r="T619" t="s">
        <v>2783</v>
      </c>
      <c r="U619" t="s">
        <v>10</v>
      </c>
      <c r="V619" s="5">
        <v>0</v>
      </c>
      <c r="W619" s="5">
        <v>0</v>
      </c>
      <c r="X619" s="2">
        <v>0</v>
      </c>
      <c r="Y619" t="s">
        <v>4</v>
      </c>
      <c r="Z619" t="s">
        <v>4</v>
      </c>
      <c r="AA619" t="s">
        <v>4</v>
      </c>
      <c r="AB619" t="s">
        <v>4</v>
      </c>
    </row>
    <row r="620" spans="1:28" x14ac:dyDescent="0.2">
      <c r="A620" t="s">
        <v>1275</v>
      </c>
      <c r="B620" t="s">
        <v>2</v>
      </c>
      <c r="C620" t="s">
        <v>3</v>
      </c>
      <c r="D620" t="s">
        <v>4</v>
      </c>
      <c r="E620" t="s">
        <v>4</v>
      </c>
      <c r="F620" t="s">
        <v>5</v>
      </c>
      <c r="G620" t="s">
        <v>21</v>
      </c>
      <c r="H620" t="s">
        <v>3220</v>
      </c>
      <c r="I620" s="2">
        <v>2500</v>
      </c>
      <c r="J620" s="2">
        <v>0</v>
      </c>
      <c r="K620" s="2">
        <v>0</v>
      </c>
      <c r="L620" s="3">
        <v>45843</v>
      </c>
      <c r="M620" s="3">
        <v>45843</v>
      </c>
      <c r="N620" s="3"/>
      <c r="O620" t="s">
        <v>3222</v>
      </c>
      <c r="P620" t="s">
        <v>9</v>
      </c>
      <c r="Q620" s="4">
        <v>0.54716435185184997</v>
      </c>
      <c r="R620" t="s">
        <v>5</v>
      </c>
      <c r="S620" t="s">
        <v>4</v>
      </c>
      <c r="T620" t="s">
        <v>2783</v>
      </c>
      <c r="U620" t="s">
        <v>10</v>
      </c>
      <c r="V620" s="5">
        <v>0</v>
      </c>
      <c r="W620" s="5">
        <v>0</v>
      </c>
      <c r="X620" s="2">
        <v>0</v>
      </c>
      <c r="Y620" t="s">
        <v>4</v>
      </c>
      <c r="Z620" t="s">
        <v>4</v>
      </c>
      <c r="AA620" t="s">
        <v>4</v>
      </c>
      <c r="AB620" t="s">
        <v>4</v>
      </c>
    </row>
    <row r="621" spans="1:28" x14ac:dyDescent="0.2">
      <c r="A621" t="s">
        <v>702</v>
      </c>
      <c r="B621" t="s">
        <v>2</v>
      </c>
      <c r="C621" t="s">
        <v>3</v>
      </c>
      <c r="D621" t="s">
        <v>4</v>
      </c>
      <c r="E621" t="s">
        <v>4</v>
      </c>
      <c r="F621" t="s">
        <v>5</v>
      </c>
      <c r="G621" t="s">
        <v>17</v>
      </c>
      <c r="H621" t="s">
        <v>3223</v>
      </c>
      <c r="I621" s="2">
        <v>70</v>
      </c>
      <c r="J621" s="2">
        <v>0</v>
      </c>
      <c r="K621" s="2">
        <v>0</v>
      </c>
      <c r="L621" s="3">
        <v>45855</v>
      </c>
      <c r="M621" s="3">
        <v>45855</v>
      </c>
      <c r="N621" s="3"/>
      <c r="O621" t="s">
        <v>3224</v>
      </c>
      <c r="P621" t="s">
        <v>9</v>
      </c>
      <c r="Q621" s="4">
        <v>0.44783564814815002</v>
      </c>
      <c r="R621" t="s">
        <v>5</v>
      </c>
      <c r="S621" t="s">
        <v>4</v>
      </c>
      <c r="T621" t="s">
        <v>2350</v>
      </c>
      <c r="U621" t="s">
        <v>10</v>
      </c>
      <c r="V621" s="5">
        <v>0</v>
      </c>
      <c r="W621" s="5">
        <v>0</v>
      </c>
      <c r="X621" s="2">
        <v>0</v>
      </c>
      <c r="Y621" t="s">
        <v>4</v>
      </c>
      <c r="Z621" t="s">
        <v>4</v>
      </c>
      <c r="AA621" t="s">
        <v>4</v>
      </c>
      <c r="AB621" t="s">
        <v>4</v>
      </c>
    </row>
    <row r="622" spans="1:28" x14ac:dyDescent="0.2">
      <c r="A622" t="s">
        <v>31</v>
      </c>
      <c r="B622" t="s">
        <v>2</v>
      </c>
      <c r="C622" t="s">
        <v>3</v>
      </c>
      <c r="D622" t="s">
        <v>4</v>
      </c>
      <c r="E622" t="s">
        <v>4</v>
      </c>
      <c r="F622" t="s">
        <v>5</v>
      </c>
      <c r="G622" t="s">
        <v>17</v>
      </c>
      <c r="H622" t="s">
        <v>37</v>
      </c>
      <c r="I622" s="2">
        <v>147</v>
      </c>
      <c r="J622" s="2">
        <v>0</v>
      </c>
      <c r="K622" s="2">
        <v>0</v>
      </c>
      <c r="L622" s="3">
        <v>45850</v>
      </c>
      <c r="M622" s="3">
        <v>45850</v>
      </c>
      <c r="N622" s="3"/>
      <c r="O622" t="s">
        <v>39</v>
      </c>
      <c r="P622" t="s">
        <v>9</v>
      </c>
      <c r="Q622" s="4">
        <v>0.90454861111110996</v>
      </c>
      <c r="R622" t="s">
        <v>5</v>
      </c>
      <c r="S622" t="s">
        <v>4</v>
      </c>
      <c r="T622" t="s">
        <v>2680</v>
      </c>
      <c r="U622" t="s">
        <v>35</v>
      </c>
      <c r="V622" s="5">
        <v>0</v>
      </c>
      <c r="W622" s="5">
        <v>0</v>
      </c>
      <c r="X622" s="2">
        <v>0</v>
      </c>
      <c r="Y622" t="s">
        <v>4</v>
      </c>
      <c r="Z622" t="s">
        <v>4</v>
      </c>
      <c r="AA622" t="s">
        <v>4</v>
      </c>
      <c r="AB622" t="s">
        <v>4</v>
      </c>
    </row>
    <row r="623" spans="1:28" x14ac:dyDescent="0.2">
      <c r="A623" t="s">
        <v>31</v>
      </c>
      <c r="B623" t="s">
        <v>2</v>
      </c>
      <c r="C623" t="s">
        <v>3</v>
      </c>
      <c r="D623" t="s">
        <v>4</v>
      </c>
      <c r="E623" t="s">
        <v>4</v>
      </c>
      <c r="F623" t="s">
        <v>5</v>
      </c>
      <c r="G623" t="s">
        <v>17</v>
      </c>
      <c r="H623" t="s">
        <v>37</v>
      </c>
      <c r="I623" s="2">
        <v>147</v>
      </c>
      <c r="J623" s="2">
        <v>0</v>
      </c>
      <c r="K623" s="2">
        <v>0</v>
      </c>
      <c r="L623" s="3">
        <v>45850</v>
      </c>
      <c r="M623" s="3">
        <v>45850</v>
      </c>
      <c r="N623" s="3"/>
      <c r="O623" t="s">
        <v>38</v>
      </c>
      <c r="P623" t="s">
        <v>9</v>
      </c>
      <c r="Q623" s="4">
        <v>0.90454861111110996</v>
      </c>
      <c r="R623" t="s">
        <v>5</v>
      </c>
      <c r="S623" t="s">
        <v>4</v>
      </c>
      <c r="T623" t="s">
        <v>2680</v>
      </c>
      <c r="U623" t="s">
        <v>35</v>
      </c>
      <c r="V623" s="5">
        <v>0</v>
      </c>
      <c r="W623" s="5">
        <v>0</v>
      </c>
      <c r="X623" s="2">
        <v>0</v>
      </c>
      <c r="Y623" t="s">
        <v>4</v>
      </c>
      <c r="Z623" t="s">
        <v>4</v>
      </c>
      <c r="AA623" t="s">
        <v>4</v>
      </c>
      <c r="AB623" t="s">
        <v>4</v>
      </c>
    </row>
    <row r="624" spans="1:28" x14ac:dyDescent="0.2">
      <c r="A624" t="s">
        <v>491</v>
      </c>
      <c r="B624" t="s">
        <v>2</v>
      </c>
      <c r="C624" t="s">
        <v>3</v>
      </c>
      <c r="D624" t="s">
        <v>4</v>
      </c>
      <c r="E624" t="s">
        <v>4</v>
      </c>
      <c r="F624" t="s">
        <v>5</v>
      </c>
      <c r="G624" t="s">
        <v>17</v>
      </c>
      <c r="H624" t="s">
        <v>3225</v>
      </c>
      <c r="I624" s="2">
        <v>1440</v>
      </c>
      <c r="J624" s="2">
        <v>0</v>
      </c>
      <c r="K624" s="2">
        <v>0</v>
      </c>
      <c r="L624" s="3">
        <v>45836</v>
      </c>
      <c r="M624" s="3">
        <v>45836</v>
      </c>
      <c r="N624" s="3"/>
      <c r="O624" t="s">
        <v>3226</v>
      </c>
      <c r="P624" t="s">
        <v>9</v>
      </c>
      <c r="Q624" s="4">
        <v>0.95795138888888998</v>
      </c>
      <c r="R624" t="s">
        <v>5</v>
      </c>
      <c r="S624" t="s">
        <v>4</v>
      </c>
      <c r="T624" t="s">
        <v>2316</v>
      </c>
      <c r="U624" t="s">
        <v>10</v>
      </c>
      <c r="V624" s="5">
        <v>0</v>
      </c>
      <c r="W624" s="5">
        <v>0</v>
      </c>
      <c r="X624" s="2">
        <v>0</v>
      </c>
      <c r="Y624" t="s">
        <v>4</v>
      </c>
      <c r="Z624" t="s">
        <v>4</v>
      </c>
      <c r="AA624" t="s">
        <v>4</v>
      </c>
      <c r="AB624" t="s">
        <v>4</v>
      </c>
    </row>
    <row r="625" spans="1:28" x14ac:dyDescent="0.2">
      <c r="A625" t="s">
        <v>491</v>
      </c>
      <c r="B625" t="s">
        <v>2</v>
      </c>
      <c r="C625" t="s">
        <v>3</v>
      </c>
      <c r="D625" t="s">
        <v>4</v>
      </c>
      <c r="E625" t="s">
        <v>4</v>
      </c>
      <c r="F625" t="s">
        <v>5</v>
      </c>
      <c r="G625" t="s">
        <v>17</v>
      </c>
      <c r="H625" t="s">
        <v>3225</v>
      </c>
      <c r="I625" s="2">
        <v>2160</v>
      </c>
      <c r="J625" s="2">
        <v>0</v>
      </c>
      <c r="K625" s="2">
        <v>0</v>
      </c>
      <c r="L625" s="3">
        <v>45836</v>
      </c>
      <c r="M625" s="3">
        <v>45836</v>
      </c>
      <c r="N625" s="3"/>
      <c r="O625" t="s">
        <v>3227</v>
      </c>
      <c r="P625" t="s">
        <v>9</v>
      </c>
      <c r="Q625" s="4">
        <v>0.95795138888888998</v>
      </c>
      <c r="R625" t="s">
        <v>5</v>
      </c>
      <c r="S625" t="s">
        <v>4</v>
      </c>
      <c r="T625" t="s">
        <v>2316</v>
      </c>
      <c r="U625" t="s">
        <v>10</v>
      </c>
      <c r="V625" s="5">
        <v>0</v>
      </c>
      <c r="W625" s="5">
        <v>0</v>
      </c>
      <c r="X625" s="2">
        <v>0</v>
      </c>
      <c r="Y625" t="s">
        <v>4</v>
      </c>
      <c r="Z625" t="s">
        <v>4</v>
      </c>
      <c r="AA625" t="s">
        <v>4</v>
      </c>
      <c r="AB625" t="s">
        <v>4</v>
      </c>
    </row>
    <row r="626" spans="1:28" x14ac:dyDescent="0.2">
      <c r="A626" t="s">
        <v>1952</v>
      </c>
      <c r="B626" t="s">
        <v>2</v>
      </c>
      <c r="C626" t="s">
        <v>3</v>
      </c>
      <c r="D626" t="s">
        <v>4</v>
      </c>
      <c r="E626" t="s">
        <v>4</v>
      </c>
      <c r="F626" t="s">
        <v>5</v>
      </c>
      <c r="G626" t="s">
        <v>17</v>
      </c>
      <c r="H626" t="s">
        <v>3228</v>
      </c>
      <c r="I626" s="2">
        <v>13050</v>
      </c>
      <c r="J626" s="2">
        <v>0</v>
      </c>
      <c r="K626" s="2">
        <v>0</v>
      </c>
      <c r="L626" s="3">
        <v>45703</v>
      </c>
      <c r="M626" s="3">
        <v>45703</v>
      </c>
      <c r="N626" s="3">
        <v>45703</v>
      </c>
      <c r="O626" t="s">
        <v>3229</v>
      </c>
      <c r="P626" t="s">
        <v>9</v>
      </c>
      <c r="Q626" s="4">
        <v>0.43739583333332999</v>
      </c>
      <c r="R626" t="s">
        <v>5</v>
      </c>
      <c r="S626" t="s">
        <v>4</v>
      </c>
      <c r="T626" t="s">
        <v>3230</v>
      </c>
      <c r="U626" t="s">
        <v>10</v>
      </c>
      <c r="V626" s="5">
        <v>0</v>
      </c>
      <c r="W626" s="5">
        <v>0</v>
      </c>
      <c r="X626" s="2">
        <v>0</v>
      </c>
      <c r="Y626" t="s">
        <v>4</v>
      </c>
      <c r="Z626" t="s">
        <v>4</v>
      </c>
      <c r="AA626" t="s">
        <v>4</v>
      </c>
      <c r="AB626" t="s">
        <v>4</v>
      </c>
    </row>
    <row r="627" spans="1:28" x14ac:dyDescent="0.2">
      <c r="A627" t="s">
        <v>1952</v>
      </c>
      <c r="B627" t="s">
        <v>2</v>
      </c>
      <c r="C627" t="s">
        <v>3</v>
      </c>
      <c r="D627" t="s">
        <v>4</v>
      </c>
      <c r="E627" t="s">
        <v>4</v>
      </c>
      <c r="F627" t="s">
        <v>5</v>
      </c>
      <c r="G627" t="s">
        <v>17</v>
      </c>
      <c r="H627" t="s">
        <v>3228</v>
      </c>
      <c r="I627" s="2">
        <v>3600</v>
      </c>
      <c r="J627" s="2">
        <v>0</v>
      </c>
      <c r="K627" s="2">
        <v>0</v>
      </c>
      <c r="L627" s="3">
        <v>45853</v>
      </c>
      <c r="M627" s="3">
        <v>45854</v>
      </c>
      <c r="N627" s="3">
        <v>45854</v>
      </c>
      <c r="O627" t="s">
        <v>3231</v>
      </c>
      <c r="P627" t="s">
        <v>9</v>
      </c>
      <c r="Q627" s="4">
        <v>0.43739583333332999</v>
      </c>
      <c r="R627" t="s">
        <v>5</v>
      </c>
      <c r="S627" t="s">
        <v>4</v>
      </c>
      <c r="T627" t="s">
        <v>2272</v>
      </c>
      <c r="U627" t="s">
        <v>10</v>
      </c>
      <c r="V627" s="5">
        <v>0</v>
      </c>
      <c r="W627" s="5">
        <v>0</v>
      </c>
      <c r="X627" s="2">
        <v>0</v>
      </c>
      <c r="Y627" t="s">
        <v>4</v>
      </c>
      <c r="Z627" t="s">
        <v>4</v>
      </c>
      <c r="AA627" t="s">
        <v>4</v>
      </c>
      <c r="AB627" t="s">
        <v>4</v>
      </c>
    </row>
    <row r="628" spans="1:28" x14ac:dyDescent="0.2">
      <c r="A628" t="s">
        <v>491</v>
      </c>
      <c r="B628" t="s">
        <v>2</v>
      </c>
      <c r="C628" t="s">
        <v>3</v>
      </c>
      <c r="D628" t="s">
        <v>4</v>
      </c>
      <c r="E628" t="s">
        <v>4</v>
      </c>
      <c r="F628" t="s">
        <v>5</v>
      </c>
      <c r="G628" t="s">
        <v>17</v>
      </c>
      <c r="H628" t="s">
        <v>3232</v>
      </c>
      <c r="I628" s="2">
        <v>2160</v>
      </c>
      <c r="J628" s="2">
        <v>0</v>
      </c>
      <c r="K628" s="2">
        <v>0</v>
      </c>
      <c r="L628" s="3">
        <v>45806</v>
      </c>
      <c r="M628" s="3">
        <v>45806</v>
      </c>
      <c r="N628" s="3"/>
      <c r="O628" t="s">
        <v>3233</v>
      </c>
      <c r="P628" t="s">
        <v>9</v>
      </c>
      <c r="Q628" s="4">
        <v>0.95622685185184997</v>
      </c>
      <c r="R628" t="s">
        <v>5</v>
      </c>
      <c r="S628" t="s">
        <v>4</v>
      </c>
      <c r="T628" t="s">
        <v>3183</v>
      </c>
      <c r="U628" t="s">
        <v>10</v>
      </c>
      <c r="V628" s="5">
        <v>0</v>
      </c>
      <c r="W628" s="5">
        <v>0</v>
      </c>
      <c r="X628" s="2">
        <v>0</v>
      </c>
      <c r="Y628" t="s">
        <v>4</v>
      </c>
      <c r="Z628" t="s">
        <v>4</v>
      </c>
      <c r="AA628" t="s">
        <v>4</v>
      </c>
      <c r="AB628" t="s">
        <v>4</v>
      </c>
    </row>
    <row r="629" spans="1:28" x14ac:dyDescent="0.2">
      <c r="A629" t="s">
        <v>491</v>
      </c>
      <c r="B629" t="s">
        <v>2</v>
      </c>
      <c r="C629" t="s">
        <v>3</v>
      </c>
      <c r="D629" t="s">
        <v>4</v>
      </c>
      <c r="E629" t="s">
        <v>4</v>
      </c>
      <c r="F629" t="s">
        <v>5</v>
      </c>
      <c r="G629" t="s">
        <v>17</v>
      </c>
      <c r="H629" t="s">
        <v>3232</v>
      </c>
      <c r="I629" s="2">
        <v>2160</v>
      </c>
      <c r="J629" s="2">
        <v>0</v>
      </c>
      <c r="K629" s="2">
        <v>0</v>
      </c>
      <c r="L629" s="3">
        <v>45806</v>
      </c>
      <c r="M629" s="3">
        <v>45806</v>
      </c>
      <c r="N629" s="3"/>
      <c r="O629" t="s">
        <v>3234</v>
      </c>
      <c r="P629" t="s">
        <v>9</v>
      </c>
      <c r="Q629" s="4">
        <v>0.95622685185184997</v>
      </c>
      <c r="R629" t="s">
        <v>5</v>
      </c>
      <c r="S629" t="s">
        <v>4</v>
      </c>
      <c r="T629" t="s">
        <v>3183</v>
      </c>
      <c r="U629" t="s">
        <v>10</v>
      </c>
      <c r="V629" s="5">
        <v>0</v>
      </c>
      <c r="W629" s="5">
        <v>0</v>
      </c>
      <c r="X629" s="2">
        <v>0</v>
      </c>
      <c r="Y629" t="s">
        <v>4</v>
      </c>
      <c r="Z629" t="s">
        <v>4</v>
      </c>
      <c r="AA629" t="s">
        <v>4</v>
      </c>
      <c r="AB629" t="s">
        <v>4</v>
      </c>
    </row>
    <row r="630" spans="1:28" x14ac:dyDescent="0.2">
      <c r="A630" t="s">
        <v>1905</v>
      </c>
      <c r="B630" t="s">
        <v>2</v>
      </c>
      <c r="C630" t="s">
        <v>3</v>
      </c>
      <c r="D630" t="s">
        <v>4</v>
      </c>
      <c r="E630" t="s">
        <v>4</v>
      </c>
      <c r="F630" t="s">
        <v>5</v>
      </c>
      <c r="G630" t="s">
        <v>6</v>
      </c>
      <c r="H630" t="s">
        <v>3235</v>
      </c>
      <c r="I630" s="2">
        <v>3750</v>
      </c>
      <c r="J630" s="2">
        <v>0</v>
      </c>
      <c r="K630" s="2">
        <v>0</v>
      </c>
      <c r="L630" s="3">
        <v>45859</v>
      </c>
      <c r="M630" s="3">
        <v>45859</v>
      </c>
      <c r="N630" s="3"/>
      <c r="O630" t="s">
        <v>3236</v>
      </c>
      <c r="P630" t="s">
        <v>9</v>
      </c>
      <c r="Q630" s="4">
        <v>0.63144675925925997</v>
      </c>
      <c r="R630" t="s">
        <v>5</v>
      </c>
      <c r="S630" t="s">
        <v>4</v>
      </c>
      <c r="T630" t="s">
        <v>2261</v>
      </c>
      <c r="U630" t="s">
        <v>10</v>
      </c>
      <c r="V630" s="5">
        <v>0</v>
      </c>
      <c r="W630" s="5">
        <v>0</v>
      </c>
      <c r="X630" s="2">
        <v>0</v>
      </c>
      <c r="Y630" t="s">
        <v>4</v>
      </c>
      <c r="Z630" t="s">
        <v>4</v>
      </c>
      <c r="AA630" t="s">
        <v>4</v>
      </c>
      <c r="AB630" t="s">
        <v>4</v>
      </c>
    </row>
    <row r="631" spans="1:28" x14ac:dyDescent="0.2">
      <c r="A631" t="s">
        <v>1135</v>
      </c>
      <c r="B631" t="s">
        <v>2</v>
      </c>
      <c r="C631" t="s">
        <v>3</v>
      </c>
      <c r="D631" t="s">
        <v>4</v>
      </c>
      <c r="E631" t="s">
        <v>4</v>
      </c>
      <c r="F631" t="s">
        <v>5</v>
      </c>
      <c r="G631" t="s">
        <v>6</v>
      </c>
      <c r="H631" t="s">
        <v>3237</v>
      </c>
      <c r="I631" s="2">
        <v>480</v>
      </c>
      <c r="J631" s="2">
        <v>0</v>
      </c>
      <c r="K631" s="2">
        <v>0</v>
      </c>
      <c r="L631" s="3">
        <v>45851</v>
      </c>
      <c r="M631" s="3">
        <v>45851</v>
      </c>
      <c r="N631" s="3"/>
      <c r="O631" t="s">
        <v>3238</v>
      </c>
      <c r="P631" t="s">
        <v>9</v>
      </c>
      <c r="Q631" s="4">
        <v>0.77240740740740998</v>
      </c>
      <c r="R631" t="s">
        <v>5</v>
      </c>
      <c r="S631" t="s">
        <v>4</v>
      </c>
      <c r="T631" t="s">
        <v>2747</v>
      </c>
      <c r="U631" t="s">
        <v>10</v>
      </c>
      <c r="V631" s="5">
        <v>0</v>
      </c>
      <c r="W631" s="5">
        <v>0</v>
      </c>
      <c r="X631" s="2">
        <v>0</v>
      </c>
      <c r="Y631" t="s">
        <v>4</v>
      </c>
      <c r="Z631" t="s">
        <v>4</v>
      </c>
      <c r="AA631" t="s">
        <v>4</v>
      </c>
      <c r="AB631" t="s">
        <v>4</v>
      </c>
    </row>
    <row r="632" spans="1:28" x14ac:dyDescent="0.2">
      <c r="A632" t="s">
        <v>1135</v>
      </c>
      <c r="B632" t="s">
        <v>2</v>
      </c>
      <c r="C632" t="s">
        <v>3</v>
      </c>
      <c r="D632" t="s">
        <v>4</v>
      </c>
      <c r="E632" t="s">
        <v>4</v>
      </c>
      <c r="F632" t="s">
        <v>5</v>
      </c>
      <c r="G632" t="s">
        <v>6</v>
      </c>
      <c r="H632" t="s">
        <v>3237</v>
      </c>
      <c r="I632" s="2">
        <v>480</v>
      </c>
      <c r="J632" s="2">
        <v>0</v>
      </c>
      <c r="K632" s="2">
        <v>0</v>
      </c>
      <c r="L632" s="3">
        <v>45857</v>
      </c>
      <c r="M632" s="3">
        <v>45857</v>
      </c>
      <c r="N632" s="3"/>
      <c r="O632" t="s">
        <v>3239</v>
      </c>
      <c r="P632" t="s">
        <v>9</v>
      </c>
      <c r="Q632" s="4">
        <v>0.77240740740740998</v>
      </c>
      <c r="R632" t="s">
        <v>5</v>
      </c>
      <c r="S632" t="s">
        <v>4</v>
      </c>
      <c r="T632" t="s">
        <v>2262</v>
      </c>
      <c r="U632" t="s">
        <v>10</v>
      </c>
      <c r="V632" s="5">
        <v>0</v>
      </c>
      <c r="W632" s="5">
        <v>0</v>
      </c>
      <c r="X632" s="2">
        <v>0</v>
      </c>
      <c r="Y632" t="s">
        <v>4</v>
      </c>
      <c r="Z632" t="s">
        <v>4</v>
      </c>
      <c r="AA632" t="s">
        <v>4</v>
      </c>
      <c r="AB632" t="s">
        <v>4</v>
      </c>
    </row>
    <row r="633" spans="1:28" x14ac:dyDescent="0.2">
      <c r="A633" t="s">
        <v>2120</v>
      </c>
      <c r="B633" t="s">
        <v>2</v>
      </c>
      <c r="C633" t="s">
        <v>3</v>
      </c>
      <c r="D633" t="s">
        <v>4</v>
      </c>
      <c r="E633" t="s">
        <v>4</v>
      </c>
      <c r="F633" t="s">
        <v>5</v>
      </c>
      <c r="G633" t="s">
        <v>6</v>
      </c>
      <c r="H633" t="s">
        <v>3240</v>
      </c>
      <c r="I633" s="2">
        <v>30000</v>
      </c>
      <c r="J633" s="2">
        <v>0</v>
      </c>
      <c r="K633" s="2">
        <v>0</v>
      </c>
      <c r="L633" s="3">
        <v>45829</v>
      </c>
      <c r="M633" s="3">
        <v>45829</v>
      </c>
      <c r="N633" s="3"/>
      <c r="O633" t="s">
        <v>3241</v>
      </c>
      <c r="P633" t="s">
        <v>9</v>
      </c>
      <c r="Q633" s="4">
        <v>0.94988425925926001</v>
      </c>
      <c r="R633" t="s">
        <v>5</v>
      </c>
      <c r="S633" t="s">
        <v>4</v>
      </c>
      <c r="T633" t="s">
        <v>3242</v>
      </c>
      <c r="U633" t="s">
        <v>10</v>
      </c>
      <c r="V633" s="5">
        <v>0</v>
      </c>
      <c r="W633" s="5">
        <v>0</v>
      </c>
      <c r="X633" s="2">
        <v>0</v>
      </c>
      <c r="Y633" t="s">
        <v>4</v>
      </c>
      <c r="Z633" t="s">
        <v>4</v>
      </c>
      <c r="AA633" t="s">
        <v>4</v>
      </c>
      <c r="AB633" t="s">
        <v>4</v>
      </c>
    </row>
    <row r="634" spans="1:28" x14ac:dyDescent="0.2">
      <c r="A634" t="s">
        <v>659</v>
      </c>
      <c r="B634" t="s">
        <v>2</v>
      </c>
      <c r="C634" t="s">
        <v>3</v>
      </c>
      <c r="D634" t="s">
        <v>4</v>
      </c>
      <c r="E634" t="s">
        <v>4</v>
      </c>
      <c r="F634" t="s">
        <v>5</v>
      </c>
      <c r="G634" t="s">
        <v>6</v>
      </c>
      <c r="H634" t="s">
        <v>3243</v>
      </c>
      <c r="I634" s="2">
        <v>1110</v>
      </c>
      <c r="J634" s="2">
        <v>0</v>
      </c>
      <c r="K634" s="2">
        <v>0</v>
      </c>
      <c r="L634" s="3">
        <v>45857</v>
      </c>
      <c r="M634" s="3">
        <v>45857</v>
      </c>
      <c r="N634" s="3"/>
      <c r="O634" t="s">
        <v>3244</v>
      </c>
      <c r="P634" t="s">
        <v>9</v>
      </c>
      <c r="Q634" s="4">
        <v>0.52434027777778003</v>
      </c>
      <c r="R634" t="s">
        <v>5</v>
      </c>
      <c r="S634" t="s">
        <v>4</v>
      </c>
      <c r="T634" t="s">
        <v>2262</v>
      </c>
      <c r="U634" t="s">
        <v>10</v>
      </c>
      <c r="V634" s="5">
        <v>0</v>
      </c>
      <c r="W634" s="5">
        <v>0</v>
      </c>
      <c r="X634" s="2">
        <v>0</v>
      </c>
      <c r="Y634" t="s">
        <v>4</v>
      </c>
      <c r="Z634" t="s">
        <v>4</v>
      </c>
      <c r="AA634" t="s">
        <v>4</v>
      </c>
      <c r="AB634" t="s">
        <v>4</v>
      </c>
    </row>
    <row r="635" spans="1:28" x14ac:dyDescent="0.2">
      <c r="A635" t="s">
        <v>525</v>
      </c>
      <c r="B635" t="s">
        <v>2</v>
      </c>
      <c r="C635" t="s">
        <v>3</v>
      </c>
      <c r="D635" t="s">
        <v>4</v>
      </c>
      <c r="E635" t="s">
        <v>4</v>
      </c>
      <c r="F635" t="s">
        <v>5</v>
      </c>
      <c r="G635" t="s">
        <v>6</v>
      </c>
      <c r="H635" t="s">
        <v>3245</v>
      </c>
      <c r="I635" s="2">
        <v>510</v>
      </c>
      <c r="J635" s="2">
        <v>0</v>
      </c>
      <c r="K635" s="2">
        <v>0</v>
      </c>
      <c r="L635" s="3">
        <v>45847</v>
      </c>
      <c r="M635" s="3">
        <v>45847</v>
      </c>
      <c r="N635" s="3"/>
      <c r="O635" t="s">
        <v>3246</v>
      </c>
      <c r="P635" t="s">
        <v>9</v>
      </c>
      <c r="Q635" s="4">
        <v>0.37104166666666999</v>
      </c>
      <c r="R635" t="s">
        <v>5</v>
      </c>
      <c r="S635" t="s">
        <v>4</v>
      </c>
      <c r="T635" t="s">
        <v>2341</v>
      </c>
      <c r="U635" t="s">
        <v>10</v>
      </c>
      <c r="V635" s="5">
        <v>0</v>
      </c>
      <c r="W635" s="5">
        <v>0</v>
      </c>
      <c r="X635" s="2">
        <v>0</v>
      </c>
      <c r="Y635" t="s">
        <v>4</v>
      </c>
      <c r="Z635" t="s">
        <v>4</v>
      </c>
      <c r="AA635" t="s">
        <v>4</v>
      </c>
      <c r="AB635" t="s">
        <v>4</v>
      </c>
    </row>
    <row r="636" spans="1:28" x14ac:dyDescent="0.2">
      <c r="A636" t="s">
        <v>1054</v>
      </c>
      <c r="B636" t="s">
        <v>2</v>
      </c>
      <c r="C636" t="s">
        <v>3</v>
      </c>
      <c r="D636" t="s">
        <v>4</v>
      </c>
      <c r="E636" t="s">
        <v>4</v>
      </c>
      <c r="F636" t="s">
        <v>5</v>
      </c>
      <c r="G636" t="s">
        <v>6</v>
      </c>
      <c r="H636" t="s">
        <v>3247</v>
      </c>
      <c r="I636" s="2">
        <v>1320</v>
      </c>
      <c r="J636" s="2">
        <v>0</v>
      </c>
      <c r="K636" s="2">
        <v>0</v>
      </c>
      <c r="L636" s="3">
        <v>45854</v>
      </c>
      <c r="M636" s="3">
        <v>45854</v>
      </c>
      <c r="N636" s="3"/>
      <c r="O636" t="s">
        <v>3248</v>
      </c>
      <c r="P636" t="s">
        <v>9</v>
      </c>
      <c r="Q636" s="4">
        <v>0.47524305555556001</v>
      </c>
      <c r="R636" t="s">
        <v>5</v>
      </c>
      <c r="S636" t="s">
        <v>4</v>
      </c>
      <c r="T636" t="s">
        <v>2299</v>
      </c>
      <c r="U636" t="s">
        <v>10</v>
      </c>
      <c r="V636" s="5">
        <v>0</v>
      </c>
      <c r="W636" s="5">
        <v>0</v>
      </c>
      <c r="X636" s="2">
        <v>0</v>
      </c>
      <c r="Y636" t="s">
        <v>4</v>
      </c>
      <c r="Z636" t="s">
        <v>4</v>
      </c>
      <c r="AA636" t="s">
        <v>4</v>
      </c>
      <c r="AB636" t="s">
        <v>4</v>
      </c>
    </row>
    <row r="637" spans="1:28" x14ac:dyDescent="0.2">
      <c r="A637" t="s">
        <v>1054</v>
      </c>
      <c r="B637" t="s">
        <v>2</v>
      </c>
      <c r="C637" t="s">
        <v>3</v>
      </c>
      <c r="D637" t="s">
        <v>4</v>
      </c>
      <c r="E637" t="s">
        <v>4</v>
      </c>
      <c r="F637" t="s">
        <v>5</v>
      </c>
      <c r="G637" t="s">
        <v>6</v>
      </c>
      <c r="H637" t="s">
        <v>3247</v>
      </c>
      <c r="I637" s="2">
        <v>176</v>
      </c>
      <c r="J637" s="2">
        <v>0</v>
      </c>
      <c r="K637" s="2">
        <v>0</v>
      </c>
      <c r="L637" s="3">
        <v>45852</v>
      </c>
      <c r="M637" s="3">
        <v>45852</v>
      </c>
      <c r="N637" s="3"/>
      <c r="O637" t="s">
        <v>3249</v>
      </c>
      <c r="P637" t="s">
        <v>9</v>
      </c>
      <c r="Q637" s="4">
        <v>0.47524305555556001</v>
      </c>
      <c r="R637" t="s">
        <v>5</v>
      </c>
      <c r="S637" t="s">
        <v>4</v>
      </c>
      <c r="T637" t="s">
        <v>2669</v>
      </c>
      <c r="U637" t="s">
        <v>10</v>
      </c>
      <c r="V637" s="5">
        <v>0</v>
      </c>
      <c r="W637" s="5">
        <v>0</v>
      </c>
      <c r="X637" s="2">
        <v>0</v>
      </c>
      <c r="Y637" t="s">
        <v>4</v>
      </c>
      <c r="Z637" t="s">
        <v>4</v>
      </c>
      <c r="AA637" t="s">
        <v>4</v>
      </c>
      <c r="AB637" t="s">
        <v>4</v>
      </c>
    </row>
    <row r="638" spans="1:28" x14ac:dyDescent="0.2">
      <c r="A638" t="s">
        <v>641</v>
      </c>
      <c r="B638" t="s">
        <v>2</v>
      </c>
      <c r="C638" t="s">
        <v>3</v>
      </c>
      <c r="D638" t="s">
        <v>4</v>
      </c>
      <c r="E638" t="s">
        <v>4</v>
      </c>
      <c r="F638" t="s">
        <v>5</v>
      </c>
      <c r="G638" t="s">
        <v>6</v>
      </c>
      <c r="H638" t="s">
        <v>3250</v>
      </c>
      <c r="I638" s="2">
        <v>2304</v>
      </c>
      <c r="J638" s="2">
        <v>0</v>
      </c>
      <c r="K638" s="2">
        <v>0</v>
      </c>
      <c r="L638" s="3">
        <v>45802</v>
      </c>
      <c r="M638" s="3">
        <v>45802</v>
      </c>
      <c r="N638" s="3"/>
      <c r="O638" t="s">
        <v>3251</v>
      </c>
      <c r="P638" t="s">
        <v>9</v>
      </c>
      <c r="Q638" s="4">
        <v>0.58050925925926</v>
      </c>
      <c r="R638" t="s">
        <v>5</v>
      </c>
      <c r="S638" t="s">
        <v>4</v>
      </c>
      <c r="T638" t="s">
        <v>3252</v>
      </c>
      <c r="U638" t="s">
        <v>10</v>
      </c>
      <c r="V638" s="5">
        <v>0</v>
      </c>
      <c r="W638" s="5">
        <v>0</v>
      </c>
      <c r="X638" s="2">
        <v>0</v>
      </c>
      <c r="Y638" t="s">
        <v>4</v>
      </c>
      <c r="Z638" t="s">
        <v>4</v>
      </c>
      <c r="AA638" t="s">
        <v>4</v>
      </c>
      <c r="AB638" t="s">
        <v>4</v>
      </c>
    </row>
    <row r="639" spans="1:28" x14ac:dyDescent="0.2">
      <c r="A639" t="s">
        <v>641</v>
      </c>
      <c r="B639" t="s">
        <v>2</v>
      </c>
      <c r="C639" t="s">
        <v>3</v>
      </c>
      <c r="D639" t="s">
        <v>4</v>
      </c>
      <c r="E639" t="s">
        <v>4</v>
      </c>
      <c r="F639" t="s">
        <v>5</v>
      </c>
      <c r="G639" t="s">
        <v>6</v>
      </c>
      <c r="H639" t="s">
        <v>3250</v>
      </c>
      <c r="I639" s="2">
        <v>1152</v>
      </c>
      <c r="J639" s="2">
        <v>0</v>
      </c>
      <c r="K639" s="2">
        <v>0</v>
      </c>
      <c r="L639" s="3">
        <v>45802</v>
      </c>
      <c r="M639" s="3">
        <v>45802</v>
      </c>
      <c r="N639" s="3"/>
      <c r="O639" t="s">
        <v>3253</v>
      </c>
      <c r="P639" t="s">
        <v>9</v>
      </c>
      <c r="Q639" s="4">
        <v>0.58050925925926</v>
      </c>
      <c r="R639" t="s">
        <v>5</v>
      </c>
      <c r="S639" t="s">
        <v>4</v>
      </c>
      <c r="T639" t="s">
        <v>3252</v>
      </c>
      <c r="U639" t="s">
        <v>10</v>
      </c>
      <c r="V639" s="5">
        <v>0</v>
      </c>
      <c r="W639" s="5">
        <v>0</v>
      </c>
      <c r="X639" s="2">
        <v>0</v>
      </c>
      <c r="Y639" t="s">
        <v>4</v>
      </c>
      <c r="Z639" t="s">
        <v>4</v>
      </c>
      <c r="AA639" t="s">
        <v>4</v>
      </c>
      <c r="AB639" t="s">
        <v>4</v>
      </c>
    </row>
    <row r="640" spans="1:28" x14ac:dyDescent="0.2">
      <c r="A640" t="s">
        <v>2251</v>
      </c>
      <c r="B640" t="s">
        <v>4</v>
      </c>
      <c r="C640" t="s">
        <v>4</v>
      </c>
      <c r="D640" t="s">
        <v>4</v>
      </c>
      <c r="E640" t="s">
        <v>4</v>
      </c>
      <c r="F640" t="s">
        <v>5</v>
      </c>
      <c r="G640" t="s">
        <v>6</v>
      </c>
      <c r="H640" t="s">
        <v>3254</v>
      </c>
      <c r="I640" s="5">
        <v>0</v>
      </c>
      <c r="J640" s="5">
        <v>0</v>
      </c>
      <c r="K640" s="5">
        <v>0</v>
      </c>
      <c r="L640" s="3"/>
      <c r="M640" s="3"/>
      <c r="N640" s="3"/>
      <c r="O640" t="s">
        <v>4</v>
      </c>
      <c r="P640" t="s">
        <v>9</v>
      </c>
      <c r="Q640" s="4">
        <v>0.46038194444444003</v>
      </c>
      <c r="R640" t="s">
        <v>4</v>
      </c>
      <c r="S640" t="s">
        <v>4</v>
      </c>
      <c r="T640" t="s">
        <v>2256</v>
      </c>
      <c r="U640" t="s">
        <v>4</v>
      </c>
      <c r="V640" s="5">
        <v>0</v>
      </c>
      <c r="W640" s="5">
        <v>0</v>
      </c>
      <c r="X640" s="2">
        <v>0</v>
      </c>
      <c r="Y640" t="s">
        <v>4</v>
      </c>
      <c r="Z640" t="s">
        <v>4</v>
      </c>
      <c r="AA640" t="s">
        <v>4</v>
      </c>
      <c r="AB640" t="s">
        <v>4</v>
      </c>
    </row>
    <row r="641" spans="1:28" x14ac:dyDescent="0.2">
      <c r="A641" t="s">
        <v>1275</v>
      </c>
      <c r="B641" t="s">
        <v>2</v>
      </c>
      <c r="C641" t="s">
        <v>3</v>
      </c>
      <c r="D641" t="s">
        <v>4</v>
      </c>
      <c r="E641" t="s">
        <v>4</v>
      </c>
      <c r="F641" t="s">
        <v>5</v>
      </c>
      <c r="G641" t="s">
        <v>21</v>
      </c>
      <c r="H641" t="s">
        <v>3255</v>
      </c>
      <c r="I641" s="2">
        <v>6250</v>
      </c>
      <c r="J641" s="2">
        <v>0</v>
      </c>
      <c r="K641" s="2">
        <v>0</v>
      </c>
      <c r="L641" s="3">
        <v>45850</v>
      </c>
      <c r="M641" s="3">
        <v>45850</v>
      </c>
      <c r="N641" s="3"/>
      <c r="O641" t="s">
        <v>3256</v>
      </c>
      <c r="P641" t="s">
        <v>9</v>
      </c>
      <c r="Q641" s="4">
        <v>0.62826388888888995</v>
      </c>
      <c r="R641" t="s">
        <v>5</v>
      </c>
      <c r="S641" t="s">
        <v>4</v>
      </c>
      <c r="T641" t="s">
        <v>2680</v>
      </c>
      <c r="U641" t="s">
        <v>10</v>
      </c>
      <c r="V641" s="5">
        <v>0</v>
      </c>
      <c r="W641" s="5">
        <v>0</v>
      </c>
      <c r="X641" s="2">
        <v>0</v>
      </c>
      <c r="Y641" t="s">
        <v>4</v>
      </c>
      <c r="Z641" t="s">
        <v>4</v>
      </c>
      <c r="AA641" t="s">
        <v>4</v>
      </c>
      <c r="AB641" t="s">
        <v>4</v>
      </c>
    </row>
    <row r="642" spans="1:28" x14ac:dyDescent="0.2">
      <c r="A642" t="s">
        <v>1275</v>
      </c>
      <c r="B642" t="s">
        <v>2</v>
      </c>
      <c r="C642" t="s">
        <v>3</v>
      </c>
      <c r="D642" t="s">
        <v>4</v>
      </c>
      <c r="E642" t="s">
        <v>4</v>
      </c>
      <c r="F642" t="s">
        <v>5</v>
      </c>
      <c r="G642" t="s">
        <v>21</v>
      </c>
      <c r="H642" t="s">
        <v>3255</v>
      </c>
      <c r="I642" s="2">
        <v>6250</v>
      </c>
      <c r="J642" s="2">
        <v>0</v>
      </c>
      <c r="K642" s="2">
        <v>0</v>
      </c>
      <c r="L642" s="3">
        <v>45847</v>
      </c>
      <c r="M642" s="3">
        <v>45847</v>
      </c>
      <c r="N642" s="3"/>
      <c r="O642" t="s">
        <v>3257</v>
      </c>
      <c r="P642" t="s">
        <v>9</v>
      </c>
      <c r="Q642" s="4">
        <v>0.62826388888888995</v>
      </c>
      <c r="R642" t="s">
        <v>5</v>
      </c>
      <c r="S642" t="s">
        <v>4</v>
      </c>
      <c r="T642" t="s">
        <v>2341</v>
      </c>
      <c r="U642" t="s">
        <v>10</v>
      </c>
      <c r="V642" s="5">
        <v>0</v>
      </c>
      <c r="W642" s="5">
        <v>0</v>
      </c>
      <c r="X642" s="2">
        <v>0</v>
      </c>
      <c r="Y642" t="s">
        <v>4</v>
      </c>
      <c r="Z642" t="s">
        <v>4</v>
      </c>
      <c r="AA642" t="s">
        <v>4</v>
      </c>
      <c r="AB642" t="s">
        <v>4</v>
      </c>
    </row>
    <row r="643" spans="1:28" x14ac:dyDescent="0.2">
      <c r="A643" t="s">
        <v>2251</v>
      </c>
      <c r="B643" t="s">
        <v>4</v>
      </c>
      <c r="C643" t="s">
        <v>4</v>
      </c>
      <c r="D643" t="s">
        <v>4</v>
      </c>
      <c r="E643" t="s">
        <v>4</v>
      </c>
      <c r="F643" t="s">
        <v>5</v>
      </c>
      <c r="G643" t="s">
        <v>6</v>
      </c>
      <c r="H643" t="s">
        <v>3258</v>
      </c>
      <c r="I643" s="5">
        <v>0</v>
      </c>
      <c r="J643" s="5">
        <v>0</v>
      </c>
      <c r="K643" s="5">
        <v>0</v>
      </c>
      <c r="L643" s="3"/>
      <c r="M643" s="3"/>
      <c r="N643" s="3"/>
      <c r="O643" t="s">
        <v>4</v>
      </c>
      <c r="P643" t="s">
        <v>9</v>
      </c>
      <c r="Q643" s="4">
        <v>0.42995370370370001</v>
      </c>
      <c r="R643" t="s">
        <v>4</v>
      </c>
      <c r="S643" t="s">
        <v>4</v>
      </c>
      <c r="T643" t="s">
        <v>2256</v>
      </c>
      <c r="U643" t="s">
        <v>4</v>
      </c>
      <c r="V643" s="5">
        <v>0</v>
      </c>
      <c r="W643" s="5">
        <v>0</v>
      </c>
      <c r="X643" s="2">
        <v>0</v>
      </c>
      <c r="Y643" t="s">
        <v>4</v>
      </c>
      <c r="Z643" t="s">
        <v>4</v>
      </c>
      <c r="AA643" t="s">
        <v>4</v>
      </c>
      <c r="AB643" t="s">
        <v>4</v>
      </c>
    </row>
    <row r="644" spans="1:28" x14ac:dyDescent="0.2">
      <c r="A644" t="s">
        <v>1905</v>
      </c>
      <c r="B644" t="s">
        <v>2</v>
      </c>
      <c r="C644" t="s">
        <v>3</v>
      </c>
      <c r="D644" t="s">
        <v>4</v>
      </c>
      <c r="E644" t="s">
        <v>4</v>
      </c>
      <c r="F644" t="s">
        <v>5</v>
      </c>
      <c r="G644" t="s">
        <v>21</v>
      </c>
      <c r="H644" t="s">
        <v>3259</v>
      </c>
      <c r="I644" s="2">
        <v>3750</v>
      </c>
      <c r="J644" s="2">
        <v>0</v>
      </c>
      <c r="K644" s="2">
        <v>0</v>
      </c>
      <c r="L644" s="3">
        <v>45859</v>
      </c>
      <c r="M644" s="3">
        <v>45859</v>
      </c>
      <c r="N644" s="3"/>
      <c r="O644" t="s">
        <v>3260</v>
      </c>
      <c r="P644" t="s">
        <v>9</v>
      </c>
      <c r="Q644" s="4">
        <v>0.83767361111111005</v>
      </c>
      <c r="R644" t="s">
        <v>5</v>
      </c>
      <c r="S644" t="s">
        <v>4</v>
      </c>
      <c r="T644" t="s">
        <v>2261</v>
      </c>
      <c r="U644" t="s">
        <v>10</v>
      </c>
      <c r="V644" s="5">
        <v>0</v>
      </c>
      <c r="W644" s="5">
        <v>0</v>
      </c>
      <c r="X644" s="2">
        <v>0</v>
      </c>
      <c r="Y644" t="s">
        <v>4</v>
      </c>
      <c r="Z644" t="s">
        <v>4</v>
      </c>
      <c r="AA644" t="s">
        <v>4</v>
      </c>
      <c r="AB644" t="s">
        <v>4</v>
      </c>
    </row>
    <row r="645" spans="1:28" x14ac:dyDescent="0.2">
      <c r="A645" t="s">
        <v>1462</v>
      </c>
      <c r="B645" t="s">
        <v>2</v>
      </c>
      <c r="C645" t="s">
        <v>3</v>
      </c>
      <c r="D645" t="s">
        <v>4</v>
      </c>
      <c r="E645" t="s">
        <v>4</v>
      </c>
      <c r="F645" t="s">
        <v>5</v>
      </c>
      <c r="G645" t="s">
        <v>17</v>
      </c>
      <c r="H645" t="s">
        <v>3261</v>
      </c>
      <c r="I645" s="2">
        <v>72</v>
      </c>
      <c r="J645" s="2">
        <v>0</v>
      </c>
      <c r="K645" s="2">
        <v>0</v>
      </c>
      <c r="L645" s="3">
        <v>45845</v>
      </c>
      <c r="M645" s="3">
        <v>45845</v>
      </c>
      <c r="N645" s="3"/>
      <c r="O645" t="s">
        <v>3262</v>
      </c>
      <c r="P645" t="s">
        <v>9</v>
      </c>
      <c r="Q645" s="4">
        <v>0.87575231481480997</v>
      </c>
      <c r="R645" t="s">
        <v>5</v>
      </c>
      <c r="S645" t="s">
        <v>4</v>
      </c>
      <c r="T645" t="s">
        <v>2701</v>
      </c>
      <c r="U645" t="s">
        <v>10</v>
      </c>
      <c r="V645" s="5">
        <v>0</v>
      </c>
      <c r="W645" s="5">
        <v>0</v>
      </c>
      <c r="X645" s="2">
        <v>0</v>
      </c>
      <c r="Y645" t="s">
        <v>4</v>
      </c>
      <c r="Z645" t="s">
        <v>4</v>
      </c>
      <c r="AA645" t="s">
        <v>4</v>
      </c>
      <c r="AB645" t="s">
        <v>4</v>
      </c>
    </row>
    <row r="646" spans="1:28" x14ac:dyDescent="0.2">
      <c r="A646" t="s">
        <v>1462</v>
      </c>
      <c r="B646" t="s">
        <v>2</v>
      </c>
      <c r="C646" t="s">
        <v>3</v>
      </c>
      <c r="D646" t="s">
        <v>4</v>
      </c>
      <c r="E646" t="s">
        <v>4</v>
      </c>
      <c r="F646" t="s">
        <v>5</v>
      </c>
      <c r="G646" t="s">
        <v>17</v>
      </c>
      <c r="H646" t="s">
        <v>3261</v>
      </c>
      <c r="I646" s="2">
        <v>72</v>
      </c>
      <c r="J646" s="2">
        <v>0</v>
      </c>
      <c r="K646" s="2">
        <v>0</v>
      </c>
      <c r="L646" s="3">
        <v>45845</v>
      </c>
      <c r="M646" s="3">
        <v>45845</v>
      </c>
      <c r="N646" s="3"/>
      <c r="O646" t="s">
        <v>3263</v>
      </c>
      <c r="P646" t="s">
        <v>9</v>
      </c>
      <c r="Q646" s="4">
        <v>0.87575231481480997</v>
      </c>
      <c r="R646" t="s">
        <v>5</v>
      </c>
      <c r="S646" t="s">
        <v>4</v>
      </c>
      <c r="T646" t="s">
        <v>2701</v>
      </c>
      <c r="U646" t="s">
        <v>10</v>
      </c>
      <c r="V646" s="5">
        <v>0</v>
      </c>
      <c r="W646" s="5">
        <v>0</v>
      </c>
      <c r="X646" s="2">
        <v>0</v>
      </c>
      <c r="Y646" t="s">
        <v>4</v>
      </c>
      <c r="Z646" t="s">
        <v>4</v>
      </c>
      <c r="AA646" t="s">
        <v>4</v>
      </c>
      <c r="AB646" t="s">
        <v>4</v>
      </c>
    </row>
    <row r="647" spans="1:28" x14ac:dyDescent="0.2">
      <c r="A647" t="s">
        <v>491</v>
      </c>
      <c r="B647" t="s">
        <v>2</v>
      </c>
      <c r="C647" t="s">
        <v>3</v>
      </c>
      <c r="D647" t="s">
        <v>4</v>
      </c>
      <c r="E647" t="s">
        <v>4</v>
      </c>
      <c r="F647" t="s">
        <v>5</v>
      </c>
      <c r="G647" t="s">
        <v>17</v>
      </c>
      <c r="H647" t="s">
        <v>3264</v>
      </c>
      <c r="I647" s="2">
        <v>2160</v>
      </c>
      <c r="J647" s="2">
        <v>0</v>
      </c>
      <c r="K647" s="2">
        <v>0</v>
      </c>
      <c r="L647" s="3">
        <v>45806</v>
      </c>
      <c r="M647" s="3">
        <v>45806</v>
      </c>
      <c r="N647" s="3"/>
      <c r="O647" t="s">
        <v>3265</v>
      </c>
      <c r="P647" t="s">
        <v>9</v>
      </c>
      <c r="Q647" s="4">
        <v>0.95657407407407002</v>
      </c>
      <c r="R647" t="s">
        <v>5</v>
      </c>
      <c r="S647" t="s">
        <v>4</v>
      </c>
      <c r="T647" t="s">
        <v>3183</v>
      </c>
      <c r="U647" t="s">
        <v>10</v>
      </c>
      <c r="V647" s="5">
        <v>0</v>
      </c>
      <c r="W647" s="5">
        <v>0</v>
      </c>
      <c r="X647" s="2">
        <v>0</v>
      </c>
      <c r="Y647" t="s">
        <v>4</v>
      </c>
      <c r="Z647" t="s">
        <v>4</v>
      </c>
      <c r="AA647" t="s">
        <v>4</v>
      </c>
      <c r="AB647" t="s">
        <v>4</v>
      </c>
    </row>
    <row r="648" spans="1:28" x14ac:dyDescent="0.2">
      <c r="A648" t="s">
        <v>491</v>
      </c>
      <c r="B648" t="s">
        <v>2</v>
      </c>
      <c r="C648" t="s">
        <v>3</v>
      </c>
      <c r="D648" t="s">
        <v>4</v>
      </c>
      <c r="E648" t="s">
        <v>4</v>
      </c>
      <c r="F648" t="s">
        <v>5</v>
      </c>
      <c r="G648" t="s">
        <v>17</v>
      </c>
      <c r="H648" t="s">
        <v>3264</v>
      </c>
      <c r="I648" s="2">
        <v>2160</v>
      </c>
      <c r="J648" s="2">
        <v>0</v>
      </c>
      <c r="K648" s="2">
        <v>0</v>
      </c>
      <c r="L648" s="3">
        <v>45806</v>
      </c>
      <c r="M648" s="3">
        <v>45806</v>
      </c>
      <c r="N648" s="3"/>
      <c r="O648" t="s">
        <v>3266</v>
      </c>
      <c r="P648" t="s">
        <v>9</v>
      </c>
      <c r="Q648" s="4">
        <v>0.95657407407407002</v>
      </c>
      <c r="R648" t="s">
        <v>5</v>
      </c>
      <c r="S648" t="s">
        <v>4</v>
      </c>
      <c r="T648" t="s">
        <v>3183</v>
      </c>
      <c r="U648" t="s">
        <v>10</v>
      </c>
      <c r="V648" s="5">
        <v>0</v>
      </c>
      <c r="W648" s="5">
        <v>0</v>
      </c>
      <c r="X648" s="2">
        <v>0</v>
      </c>
      <c r="Y648" t="s">
        <v>4</v>
      </c>
      <c r="Z648" t="s">
        <v>4</v>
      </c>
      <c r="AA648" t="s">
        <v>4</v>
      </c>
      <c r="AB648" t="s">
        <v>4</v>
      </c>
    </row>
    <row r="649" spans="1:28" x14ac:dyDescent="0.2">
      <c r="A649" t="s">
        <v>491</v>
      </c>
      <c r="B649" t="s">
        <v>2</v>
      </c>
      <c r="C649" t="s">
        <v>3</v>
      </c>
      <c r="D649" t="s">
        <v>4</v>
      </c>
      <c r="E649" t="s">
        <v>4</v>
      </c>
      <c r="F649" t="s">
        <v>5</v>
      </c>
      <c r="G649" t="s">
        <v>17</v>
      </c>
      <c r="H649" t="s">
        <v>3267</v>
      </c>
      <c r="I649" s="2">
        <v>2160</v>
      </c>
      <c r="J649" s="2">
        <v>0</v>
      </c>
      <c r="K649" s="2">
        <v>0</v>
      </c>
      <c r="L649" s="3">
        <v>45806</v>
      </c>
      <c r="M649" s="3">
        <v>45806</v>
      </c>
      <c r="N649" s="3"/>
      <c r="O649" t="s">
        <v>3268</v>
      </c>
      <c r="P649" t="s">
        <v>9</v>
      </c>
      <c r="Q649" s="4">
        <v>0.95746527777778001</v>
      </c>
      <c r="R649" t="s">
        <v>5</v>
      </c>
      <c r="S649" t="s">
        <v>4</v>
      </c>
      <c r="T649" t="s">
        <v>3183</v>
      </c>
      <c r="U649" t="s">
        <v>10</v>
      </c>
      <c r="V649" s="5">
        <v>0</v>
      </c>
      <c r="W649" s="5">
        <v>0</v>
      </c>
      <c r="X649" s="2">
        <v>0</v>
      </c>
      <c r="Y649" t="s">
        <v>4</v>
      </c>
      <c r="Z649" t="s">
        <v>4</v>
      </c>
      <c r="AA649" t="s">
        <v>4</v>
      </c>
      <c r="AB649" t="s">
        <v>4</v>
      </c>
    </row>
    <row r="650" spans="1:28" x14ac:dyDescent="0.2">
      <c r="A650" t="s">
        <v>491</v>
      </c>
      <c r="B650" t="s">
        <v>2</v>
      </c>
      <c r="C650" t="s">
        <v>3</v>
      </c>
      <c r="D650" t="s">
        <v>4</v>
      </c>
      <c r="E650" t="s">
        <v>4</v>
      </c>
      <c r="F650" t="s">
        <v>5</v>
      </c>
      <c r="G650" t="s">
        <v>17</v>
      </c>
      <c r="H650" t="s">
        <v>3267</v>
      </c>
      <c r="I650" s="2">
        <v>2160</v>
      </c>
      <c r="J650" s="2">
        <v>0</v>
      </c>
      <c r="K650" s="2">
        <v>0</v>
      </c>
      <c r="L650" s="3">
        <v>45806</v>
      </c>
      <c r="M650" s="3">
        <v>45806</v>
      </c>
      <c r="N650" s="3"/>
      <c r="O650" t="s">
        <v>3269</v>
      </c>
      <c r="P650" t="s">
        <v>9</v>
      </c>
      <c r="Q650" s="4">
        <v>0.95746527777778001</v>
      </c>
      <c r="R650" t="s">
        <v>5</v>
      </c>
      <c r="S650" t="s">
        <v>4</v>
      </c>
      <c r="T650" t="s">
        <v>3183</v>
      </c>
      <c r="U650" t="s">
        <v>10</v>
      </c>
      <c r="V650" s="5">
        <v>0</v>
      </c>
      <c r="W650" s="5">
        <v>0</v>
      </c>
      <c r="X650" s="2">
        <v>0</v>
      </c>
      <c r="Y650" t="s">
        <v>4</v>
      </c>
      <c r="Z650" t="s">
        <v>4</v>
      </c>
      <c r="AA650" t="s">
        <v>4</v>
      </c>
      <c r="AB650" t="s">
        <v>4</v>
      </c>
    </row>
    <row r="651" spans="1:28" x14ac:dyDescent="0.2">
      <c r="A651" t="s">
        <v>482</v>
      </c>
      <c r="B651" t="s">
        <v>2</v>
      </c>
      <c r="C651" t="s">
        <v>3</v>
      </c>
      <c r="D651" t="s">
        <v>4</v>
      </c>
      <c r="E651" t="s">
        <v>4</v>
      </c>
      <c r="F651" t="s">
        <v>5</v>
      </c>
      <c r="G651" t="s">
        <v>17</v>
      </c>
      <c r="H651" t="s">
        <v>3270</v>
      </c>
      <c r="I651" s="2">
        <v>1320</v>
      </c>
      <c r="J651" s="2">
        <v>0</v>
      </c>
      <c r="K651" s="2">
        <v>0</v>
      </c>
      <c r="L651" s="3">
        <v>45851</v>
      </c>
      <c r="M651" s="3">
        <v>45855</v>
      </c>
      <c r="N651" s="3">
        <v>45855</v>
      </c>
      <c r="O651" t="s">
        <v>3271</v>
      </c>
      <c r="P651" t="s">
        <v>9</v>
      </c>
      <c r="Q651" s="4">
        <v>0.36414351851852</v>
      </c>
      <c r="R651" t="s">
        <v>5</v>
      </c>
      <c r="S651" t="s">
        <v>4</v>
      </c>
      <c r="T651" t="s">
        <v>2747</v>
      </c>
      <c r="U651" t="s">
        <v>10</v>
      </c>
      <c r="V651" s="5">
        <v>0</v>
      </c>
      <c r="W651" s="5">
        <v>0</v>
      </c>
      <c r="X651" s="2">
        <v>0</v>
      </c>
      <c r="Y651" t="s">
        <v>4</v>
      </c>
      <c r="Z651" t="s">
        <v>4</v>
      </c>
      <c r="AA651" t="s">
        <v>4</v>
      </c>
      <c r="AB651" t="s">
        <v>4</v>
      </c>
    </row>
    <row r="652" spans="1:28" x14ac:dyDescent="0.2">
      <c r="A652" t="s">
        <v>482</v>
      </c>
      <c r="B652" t="s">
        <v>2</v>
      </c>
      <c r="C652" t="s">
        <v>3</v>
      </c>
      <c r="D652" t="s">
        <v>4</v>
      </c>
      <c r="E652" t="s">
        <v>4</v>
      </c>
      <c r="F652" t="s">
        <v>5</v>
      </c>
      <c r="G652" t="s">
        <v>17</v>
      </c>
      <c r="H652" t="s">
        <v>3270</v>
      </c>
      <c r="I652" s="2">
        <v>2160</v>
      </c>
      <c r="J652" s="2">
        <v>0</v>
      </c>
      <c r="K652" s="2">
        <v>0</v>
      </c>
      <c r="L652" s="3">
        <v>45849</v>
      </c>
      <c r="M652" s="3">
        <v>45849</v>
      </c>
      <c r="N652" s="3"/>
      <c r="O652" t="s">
        <v>3272</v>
      </c>
      <c r="P652" t="s">
        <v>9</v>
      </c>
      <c r="Q652" s="4">
        <v>0.36414351851852</v>
      </c>
      <c r="R652" t="s">
        <v>5</v>
      </c>
      <c r="S652" t="s">
        <v>4</v>
      </c>
      <c r="T652" t="s">
        <v>2321</v>
      </c>
      <c r="U652" t="s">
        <v>10</v>
      </c>
      <c r="V652" s="5">
        <v>0</v>
      </c>
      <c r="W652" s="5">
        <v>0</v>
      </c>
      <c r="X652" s="2">
        <v>0</v>
      </c>
      <c r="Y652" t="s">
        <v>4</v>
      </c>
      <c r="Z652" t="s">
        <v>4</v>
      </c>
      <c r="AA652" t="s">
        <v>4</v>
      </c>
      <c r="AB652" t="s">
        <v>4</v>
      </c>
    </row>
    <row r="653" spans="1:28" x14ac:dyDescent="0.2">
      <c r="A653" t="s">
        <v>285</v>
      </c>
      <c r="B653" t="s">
        <v>2</v>
      </c>
      <c r="C653" t="s">
        <v>3</v>
      </c>
      <c r="D653" t="s">
        <v>4</v>
      </c>
      <c r="E653" t="s">
        <v>4</v>
      </c>
      <c r="F653" t="s">
        <v>5</v>
      </c>
      <c r="G653" t="s">
        <v>17</v>
      </c>
      <c r="H653" t="s">
        <v>3273</v>
      </c>
      <c r="I653" s="2">
        <v>30</v>
      </c>
      <c r="J653" s="2">
        <v>0</v>
      </c>
      <c r="K653" s="2">
        <v>0</v>
      </c>
      <c r="L653" s="3">
        <v>45835</v>
      </c>
      <c r="M653" s="3">
        <v>45835</v>
      </c>
      <c r="N653" s="3"/>
      <c r="O653" t="s">
        <v>3274</v>
      </c>
      <c r="P653" t="s">
        <v>9</v>
      </c>
      <c r="Q653" s="4">
        <v>0.62273148148148005</v>
      </c>
      <c r="R653" t="s">
        <v>5</v>
      </c>
      <c r="S653" t="s">
        <v>4</v>
      </c>
      <c r="T653" t="s">
        <v>2928</v>
      </c>
      <c r="U653" t="s">
        <v>10</v>
      </c>
      <c r="V653" s="5">
        <v>0</v>
      </c>
      <c r="W653" s="5">
        <v>0</v>
      </c>
      <c r="X653" s="2">
        <v>0</v>
      </c>
      <c r="Y653" t="s">
        <v>4</v>
      </c>
      <c r="Z653" t="s">
        <v>4</v>
      </c>
      <c r="AA653" t="s">
        <v>4</v>
      </c>
      <c r="AB653" t="s">
        <v>4</v>
      </c>
    </row>
    <row r="654" spans="1:28" x14ac:dyDescent="0.2">
      <c r="A654" t="s">
        <v>285</v>
      </c>
      <c r="B654" t="s">
        <v>2</v>
      </c>
      <c r="C654" t="s">
        <v>3</v>
      </c>
      <c r="D654" t="s">
        <v>4</v>
      </c>
      <c r="E654" t="s">
        <v>4</v>
      </c>
      <c r="F654" t="s">
        <v>5</v>
      </c>
      <c r="G654" t="s">
        <v>17</v>
      </c>
      <c r="H654" t="s">
        <v>3273</v>
      </c>
      <c r="I654" s="2">
        <v>30</v>
      </c>
      <c r="J654" s="2">
        <v>0</v>
      </c>
      <c r="K654" s="2">
        <v>0</v>
      </c>
      <c r="L654" s="3">
        <v>45835</v>
      </c>
      <c r="M654" s="3">
        <v>45835</v>
      </c>
      <c r="N654" s="3"/>
      <c r="O654" t="s">
        <v>3275</v>
      </c>
      <c r="P654" t="s">
        <v>9</v>
      </c>
      <c r="Q654" s="4">
        <v>0.62273148148148005</v>
      </c>
      <c r="R654" t="s">
        <v>5</v>
      </c>
      <c r="S654" t="s">
        <v>4</v>
      </c>
      <c r="T654" t="s">
        <v>2928</v>
      </c>
      <c r="U654" t="s">
        <v>10</v>
      </c>
      <c r="V654" s="5">
        <v>0</v>
      </c>
      <c r="W654" s="5">
        <v>0</v>
      </c>
      <c r="X654" s="2">
        <v>0</v>
      </c>
      <c r="Y654" t="s">
        <v>4</v>
      </c>
      <c r="Z654" t="s">
        <v>4</v>
      </c>
      <c r="AA654" t="s">
        <v>4</v>
      </c>
      <c r="AB654" t="s">
        <v>4</v>
      </c>
    </row>
    <row r="655" spans="1:28" x14ac:dyDescent="0.2">
      <c r="A655" t="s">
        <v>2043</v>
      </c>
      <c r="B655" t="s">
        <v>2</v>
      </c>
      <c r="C655" t="s">
        <v>3</v>
      </c>
      <c r="D655" t="s">
        <v>4</v>
      </c>
      <c r="E655" t="s">
        <v>4</v>
      </c>
      <c r="F655" t="s">
        <v>5</v>
      </c>
      <c r="G655" t="s">
        <v>6</v>
      </c>
      <c r="H655" t="s">
        <v>3276</v>
      </c>
      <c r="I655" s="2">
        <v>108</v>
      </c>
      <c r="J655" s="2">
        <v>0</v>
      </c>
      <c r="K655" s="2">
        <v>0</v>
      </c>
      <c r="L655" s="3">
        <v>45859</v>
      </c>
      <c r="M655" s="3">
        <v>45859</v>
      </c>
      <c r="N655" s="3"/>
      <c r="O655" t="s">
        <v>3277</v>
      </c>
      <c r="P655" t="s">
        <v>9</v>
      </c>
      <c r="Q655" s="4">
        <v>0.80548611111111001</v>
      </c>
      <c r="R655" t="s">
        <v>5</v>
      </c>
      <c r="S655" t="s">
        <v>4</v>
      </c>
      <c r="T655" t="s">
        <v>2261</v>
      </c>
      <c r="U655" t="s">
        <v>10</v>
      </c>
      <c r="V655" s="5">
        <v>0</v>
      </c>
      <c r="W655" s="5">
        <v>0</v>
      </c>
      <c r="X655" s="2">
        <v>0</v>
      </c>
      <c r="Y655" t="s">
        <v>4</v>
      </c>
      <c r="Z655" t="s">
        <v>4</v>
      </c>
      <c r="AA655" t="s">
        <v>4</v>
      </c>
      <c r="AB655" t="s">
        <v>4</v>
      </c>
    </row>
    <row r="656" spans="1:28" x14ac:dyDescent="0.2">
      <c r="A656" t="s">
        <v>2043</v>
      </c>
      <c r="B656" t="s">
        <v>2</v>
      </c>
      <c r="C656" t="s">
        <v>3</v>
      </c>
      <c r="D656" t="s">
        <v>4</v>
      </c>
      <c r="E656" t="s">
        <v>4</v>
      </c>
      <c r="F656" t="s">
        <v>5</v>
      </c>
      <c r="G656" t="s">
        <v>6</v>
      </c>
      <c r="H656" t="s">
        <v>3276</v>
      </c>
      <c r="I656" s="2">
        <v>108</v>
      </c>
      <c r="J656" s="2">
        <v>0</v>
      </c>
      <c r="K656" s="2">
        <v>0</v>
      </c>
      <c r="L656" s="3">
        <v>45859</v>
      </c>
      <c r="M656" s="3">
        <v>45859</v>
      </c>
      <c r="N656" s="3"/>
      <c r="O656" t="s">
        <v>3278</v>
      </c>
      <c r="P656" t="s">
        <v>9</v>
      </c>
      <c r="Q656" s="4">
        <v>0.80548611111111001</v>
      </c>
      <c r="R656" t="s">
        <v>5</v>
      </c>
      <c r="S656" t="s">
        <v>4</v>
      </c>
      <c r="T656" t="s">
        <v>2261</v>
      </c>
      <c r="U656" t="s">
        <v>10</v>
      </c>
      <c r="V656" s="5">
        <v>0</v>
      </c>
      <c r="W656" s="5">
        <v>0</v>
      </c>
      <c r="X656" s="2">
        <v>0</v>
      </c>
      <c r="Y656" t="s">
        <v>4</v>
      </c>
      <c r="Z656" t="s">
        <v>4</v>
      </c>
      <c r="AA656" t="s">
        <v>4</v>
      </c>
      <c r="AB656" t="s">
        <v>4</v>
      </c>
    </row>
    <row r="657" spans="1:28" x14ac:dyDescent="0.2">
      <c r="A657" t="s">
        <v>491</v>
      </c>
      <c r="B657" t="s">
        <v>2</v>
      </c>
      <c r="C657" t="s">
        <v>3</v>
      </c>
      <c r="D657" t="s">
        <v>4</v>
      </c>
      <c r="E657" t="s">
        <v>4</v>
      </c>
      <c r="F657" t="s">
        <v>5</v>
      </c>
      <c r="G657" t="s">
        <v>17</v>
      </c>
      <c r="H657" t="s">
        <v>3279</v>
      </c>
      <c r="I657" s="2">
        <v>1440</v>
      </c>
      <c r="J657" s="2">
        <v>0</v>
      </c>
      <c r="K657" s="2">
        <v>0</v>
      </c>
      <c r="L657" s="3">
        <v>45806</v>
      </c>
      <c r="M657" s="3">
        <v>45806</v>
      </c>
      <c r="N657" s="3"/>
      <c r="O657" t="s">
        <v>3280</v>
      </c>
      <c r="P657" t="s">
        <v>9</v>
      </c>
      <c r="Q657" s="4">
        <v>0.96096064814814997</v>
      </c>
      <c r="R657" t="s">
        <v>5</v>
      </c>
      <c r="S657" t="s">
        <v>4</v>
      </c>
      <c r="T657" t="s">
        <v>3183</v>
      </c>
      <c r="U657" t="s">
        <v>10</v>
      </c>
      <c r="V657" s="5">
        <v>0</v>
      </c>
      <c r="W657" s="5">
        <v>0</v>
      </c>
      <c r="X657" s="2">
        <v>0</v>
      </c>
      <c r="Y657" t="s">
        <v>4</v>
      </c>
      <c r="Z657" t="s">
        <v>4</v>
      </c>
      <c r="AA657" t="s">
        <v>4</v>
      </c>
      <c r="AB657" t="s">
        <v>4</v>
      </c>
    </row>
    <row r="658" spans="1:28" x14ac:dyDescent="0.2">
      <c r="A658" t="s">
        <v>491</v>
      </c>
      <c r="B658" t="s">
        <v>2</v>
      </c>
      <c r="C658" t="s">
        <v>3</v>
      </c>
      <c r="D658" t="s">
        <v>4</v>
      </c>
      <c r="E658" t="s">
        <v>4</v>
      </c>
      <c r="F658" t="s">
        <v>5</v>
      </c>
      <c r="G658" t="s">
        <v>17</v>
      </c>
      <c r="H658" t="s">
        <v>3279</v>
      </c>
      <c r="I658" s="2">
        <v>2160</v>
      </c>
      <c r="J658" s="2">
        <v>0</v>
      </c>
      <c r="K658" s="2">
        <v>0</v>
      </c>
      <c r="L658" s="3">
        <v>45806</v>
      </c>
      <c r="M658" s="3">
        <v>45806</v>
      </c>
      <c r="N658" s="3"/>
      <c r="O658" t="s">
        <v>3281</v>
      </c>
      <c r="P658" t="s">
        <v>9</v>
      </c>
      <c r="Q658" s="4">
        <v>0.96096064814814997</v>
      </c>
      <c r="R658" t="s">
        <v>5</v>
      </c>
      <c r="S658" t="s">
        <v>4</v>
      </c>
      <c r="T658" t="s">
        <v>3183</v>
      </c>
      <c r="U658" t="s">
        <v>10</v>
      </c>
      <c r="V658" s="5">
        <v>0</v>
      </c>
      <c r="W658" s="5">
        <v>0</v>
      </c>
      <c r="X658" s="2">
        <v>0</v>
      </c>
      <c r="Y658" t="s">
        <v>4</v>
      </c>
      <c r="Z658" t="s">
        <v>4</v>
      </c>
      <c r="AA658" t="s">
        <v>4</v>
      </c>
      <c r="AB658" t="s">
        <v>4</v>
      </c>
    </row>
    <row r="659" spans="1:28" x14ac:dyDescent="0.2">
      <c r="A659" t="s">
        <v>1145</v>
      </c>
      <c r="B659" t="s">
        <v>2</v>
      </c>
      <c r="C659" t="s">
        <v>3</v>
      </c>
      <c r="D659" t="s">
        <v>4</v>
      </c>
      <c r="E659" t="s">
        <v>4</v>
      </c>
      <c r="F659" t="s">
        <v>5</v>
      </c>
      <c r="G659" t="s">
        <v>6</v>
      </c>
      <c r="H659" t="s">
        <v>3282</v>
      </c>
      <c r="I659" s="2">
        <v>450</v>
      </c>
      <c r="J659" s="2">
        <v>0</v>
      </c>
      <c r="K659" s="2">
        <v>0</v>
      </c>
      <c r="L659" s="3">
        <v>45686</v>
      </c>
      <c r="M659" s="3">
        <v>45686</v>
      </c>
      <c r="N659" s="3"/>
      <c r="O659" t="s">
        <v>3283</v>
      </c>
      <c r="P659" t="s">
        <v>9</v>
      </c>
      <c r="Q659" s="4">
        <v>0.36719907407406999</v>
      </c>
      <c r="R659" t="s">
        <v>5</v>
      </c>
      <c r="S659" t="s">
        <v>4</v>
      </c>
      <c r="T659" t="s">
        <v>2718</v>
      </c>
      <c r="U659" t="s">
        <v>10</v>
      </c>
      <c r="V659" s="5">
        <v>0</v>
      </c>
      <c r="W659" s="5">
        <v>0</v>
      </c>
      <c r="X659" s="2">
        <v>0</v>
      </c>
      <c r="Y659" t="s">
        <v>4</v>
      </c>
      <c r="Z659" t="s">
        <v>4</v>
      </c>
      <c r="AA659" t="s">
        <v>4</v>
      </c>
      <c r="AB659" t="s">
        <v>4</v>
      </c>
    </row>
    <row r="660" spans="1:28" x14ac:dyDescent="0.2">
      <c r="A660" t="s">
        <v>1145</v>
      </c>
      <c r="B660" t="s">
        <v>2</v>
      </c>
      <c r="C660" t="s">
        <v>3</v>
      </c>
      <c r="D660" t="s">
        <v>4</v>
      </c>
      <c r="E660" t="s">
        <v>4</v>
      </c>
      <c r="F660" t="s">
        <v>5</v>
      </c>
      <c r="G660" t="s">
        <v>6</v>
      </c>
      <c r="H660" t="s">
        <v>3282</v>
      </c>
      <c r="I660" s="2">
        <v>450</v>
      </c>
      <c r="J660" s="2">
        <v>0</v>
      </c>
      <c r="K660" s="2">
        <v>0</v>
      </c>
      <c r="L660" s="3">
        <v>45686</v>
      </c>
      <c r="M660" s="3">
        <v>45686</v>
      </c>
      <c r="N660" s="3"/>
      <c r="O660" t="s">
        <v>3284</v>
      </c>
      <c r="P660" t="s">
        <v>9</v>
      </c>
      <c r="Q660" s="4">
        <v>0.36719907407406999</v>
      </c>
      <c r="R660" t="s">
        <v>5</v>
      </c>
      <c r="S660" t="s">
        <v>4</v>
      </c>
      <c r="T660" t="s">
        <v>2718</v>
      </c>
      <c r="U660" t="s">
        <v>10</v>
      </c>
      <c r="V660" s="5">
        <v>0</v>
      </c>
      <c r="W660" s="5">
        <v>0</v>
      </c>
      <c r="X660" s="2">
        <v>0</v>
      </c>
      <c r="Y660" t="s">
        <v>4</v>
      </c>
      <c r="Z660" t="s">
        <v>4</v>
      </c>
      <c r="AA660" t="s">
        <v>4</v>
      </c>
      <c r="AB660" t="s">
        <v>4</v>
      </c>
    </row>
    <row r="661" spans="1:28" x14ac:dyDescent="0.2">
      <c r="A661" t="s">
        <v>1544</v>
      </c>
      <c r="B661" t="s">
        <v>2</v>
      </c>
      <c r="C661" t="s">
        <v>3</v>
      </c>
      <c r="D661" t="s">
        <v>4</v>
      </c>
      <c r="E661" t="s">
        <v>4</v>
      </c>
      <c r="F661" t="s">
        <v>5</v>
      </c>
      <c r="G661" t="s">
        <v>6</v>
      </c>
      <c r="H661" t="s">
        <v>3285</v>
      </c>
      <c r="I661" s="2">
        <v>140</v>
      </c>
      <c r="J661" s="2">
        <v>0</v>
      </c>
      <c r="K661" s="2">
        <v>0</v>
      </c>
      <c r="L661" s="3">
        <v>45846</v>
      </c>
      <c r="M661" s="3">
        <v>45846</v>
      </c>
      <c r="N661" s="3"/>
      <c r="O661" t="s">
        <v>3286</v>
      </c>
      <c r="P661" t="s">
        <v>9</v>
      </c>
      <c r="Q661" s="4">
        <v>0.71255787037036999</v>
      </c>
      <c r="R661" t="s">
        <v>5</v>
      </c>
      <c r="S661" t="s">
        <v>4</v>
      </c>
      <c r="T661" t="s">
        <v>2318</v>
      </c>
      <c r="U661" t="s">
        <v>10</v>
      </c>
      <c r="V661" s="5">
        <v>0</v>
      </c>
      <c r="W661" s="5">
        <v>0</v>
      </c>
      <c r="X661" s="2">
        <v>0</v>
      </c>
      <c r="Y661" t="s">
        <v>4</v>
      </c>
      <c r="Z661" t="s">
        <v>4</v>
      </c>
      <c r="AA661" t="s">
        <v>4</v>
      </c>
      <c r="AB661" t="s">
        <v>4</v>
      </c>
    </row>
    <row r="662" spans="1:28" x14ac:dyDescent="0.2">
      <c r="A662" t="s">
        <v>620</v>
      </c>
      <c r="B662" t="s">
        <v>2</v>
      </c>
      <c r="C662" t="s">
        <v>3</v>
      </c>
      <c r="D662" t="s">
        <v>4</v>
      </c>
      <c r="E662" t="s">
        <v>4</v>
      </c>
      <c r="F662" t="s">
        <v>5</v>
      </c>
      <c r="G662" t="s">
        <v>6</v>
      </c>
      <c r="H662" t="s">
        <v>3287</v>
      </c>
      <c r="I662" s="2">
        <v>5250</v>
      </c>
      <c r="J662" s="2">
        <v>0</v>
      </c>
      <c r="K662" s="2">
        <v>0</v>
      </c>
      <c r="L662" s="3">
        <v>45851</v>
      </c>
      <c r="M662" s="3">
        <v>45851</v>
      </c>
      <c r="N662" s="3"/>
      <c r="O662" t="s">
        <v>3288</v>
      </c>
      <c r="P662" t="s">
        <v>9</v>
      </c>
      <c r="Q662" s="4">
        <v>0.60498842592593005</v>
      </c>
      <c r="R662" t="s">
        <v>5</v>
      </c>
      <c r="S662" t="s">
        <v>4</v>
      </c>
      <c r="T662" t="s">
        <v>2747</v>
      </c>
      <c r="U662" t="s">
        <v>10</v>
      </c>
      <c r="V662" s="5">
        <v>0</v>
      </c>
      <c r="W662" s="5">
        <v>0</v>
      </c>
      <c r="X662" s="2">
        <v>0</v>
      </c>
      <c r="Y662" t="s">
        <v>4</v>
      </c>
      <c r="Z662" t="s">
        <v>4</v>
      </c>
      <c r="AA662" t="s">
        <v>4</v>
      </c>
      <c r="AB662" t="s">
        <v>4</v>
      </c>
    </row>
    <row r="663" spans="1:28" x14ac:dyDescent="0.2">
      <c r="A663" t="s">
        <v>620</v>
      </c>
      <c r="B663" t="s">
        <v>2</v>
      </c>
      <c r="C663" t="s">
        <v>3</v>
      </c>
      <c r="D663" t="s">
        <v>4</v>
      </c>
      <c r="E663" t="s">
        <v>4</v>
      </c>
      <c r="F663" t="s">
        <v>5</v>
      </c>
      <c r="G663" t="s">
        <v>6</v>
      </c>
      <c r="H663" t="s">
        <v>3287</v>
      </c>
      <c r="I663" s="2">
        <v>5250</v>
      </c>
      <c r="J663" s="2">
        <v>0</v>
      </c>
      <c r="K663" s="2">
        <v>0</v>
      </c>
      <c r="L663" s="3">
        <v>45851</v>
      </c>
      <c r="M663" s="3">
        <v>45851</v>
      </c>
      <c r="N663" s="3"/>
      <c r="O663" t="s">
        <v>3289</v>
      </c>
      <c r="P663" t="s">
        <v>9</v>
      </c>
      <c r="Q663" s="4">
        <v>0.60498842592593005</v>
      </c>
      <c r="R663" t="s">
        <v>5</v>
      </c>
      <c r="S663" t="s">
        <v>4</v>
      </c>
      <c r="T663" t="s">
        <v>2747</v>
      </c>
      <c r="U663" t="s">
        <v>10</v>
      </c>
      <c r="V663" s="5">
        <v>0</v>
      </c>
      <c r="W663" s="5">
        <v>0</v>
      </c>
      <c r="X663" s="2">
        <v>0</v>
      </c>
      <c r="Y663" t="s">
        <v>4</v>
      </c>
      <c r="Z663" t="s">
        <v>4</v>
      </c>
      <c r="AA663" t="s">
        <v>4</v>
      </c>
      <c r="AB663" t="s">
        <v>4</v>
      </c>
    </row>
    <row r="664" spans="1:28" x14ac:dyDescent="0.2">
      <c r="A664" t="s">
        <v>659</v>
      </c>
      <c r="B664" t="s">
        <v>2</v>
      </c>
      <c r="C664" t="s">
        <v>3</v>
      </c>
      <c r="D664" t="s">
        <v>4</v>
      </c>
      <c r="E664" t="s">
        <v>4</v>
      </c>
      <c r="F664" t="s">
        <v>5</v>
      </c>
      <c r="G664" t="s">
        <v>6</v>
      </c>
      <c r="H664" t="s">
        <v>3290</v>
      </c>
      <c r="I664" s="2">
        <v>1110</v>
      </c>
      <c r="J664" s="2">
        <v>0</v>
      </c>
      <c r="K664" s="2">
        <v>0</v>
      </c>
      <c r="L664" s="3">
        <v>45843</v>
      </c>
      <c r="M664" s="3">
        <v>45854</v>
      </c>
      <c r="N664" s="3">
        <v>45854</v>
      </c>
      <c r="O664" t="s">
        <v>3291</v>
      </c>
      <c r="P664" t="s">
        <v>9</v>
      </c>
      <c r="Q664" s="4">
        <v>0.52366898148148</v>
      </c>
      <c r="R664" t="s">
        <v>5</v>
      </c>
      <c r="S664" t="s">
        <v>4</v>
      </c>
      <c r="T664" t="s">
        <v>2783</v>
      </c>
      <c r="U664" t="s">
        <v>10</v>
      </c>
      <c r="V664" s="5">
        <v>0</v>
      </c>
      <c r="W664" s="5">
        <v>0</v>
      </c>
      <c r="X664" s="2">
        <v>0</v>
      </c>
      <c r="Y664" t="s">
        <v>4</v>
      </c>
      <c r="Z664" t="s">
        <v>4</v>
      </c>
      <c r="AA664" t="s">
        <v>4</v>
      </c>
      <c r="AB664" t="s">
        <v>4</v>
      </c>
    </row>
    <row r="665" spans="1:28" x14ac:dyDescent="0.2">
      <c r="A665" t="s">
        <v>659</v>
      </c>
      <c r="B665" t="s">
        <v>2</v>
      </c>
      <c r="C665" t="s">
        <v>3</v>
      </c>
      <c r="D665" t="s">
        <v>4</v>
      </c>
      <c r="E665" t="s">
        <v>4</v>
      </c>
      <c r="F665" t="s">
        <v>5</v>
      </c>
      <c r="G665" t="s">
        <v>6</v>
      </c>
      <c r="H665" t="s">
        <v>3290</v>
      </c>
      <c r="I665" s="2">
        <v>296</v>
      </c>
      <c r="J665" s="2">
        <v>0</v>
      </c>
      <c r="K665" s="2">
        <v>0</v>
      </c>
      <c r="L665" s="3">
        <v>45857</v>
      </c>
      <c r="M665" s="3">
        <v>45857</v>
      </c>
      <c r="N665" s="3"/>
      <c r="O665" t="s">
        <v>3292</v>
      </c>
      <c r="P665" t="s">
        <v>9</v>
      </c>
      <c r="Q665" s="4">
        <v>0.52366898148148</v>
      </c>
      <c r="R665" t="s">
        <v>5</v>
      </c>
      <c r="S665" t="s">
        <v>4</v>
      </c>
      <c r="T665" t="s">
        <v>2262</v>
      </c>
      <c r="U665" t="s">
        <v>10</v>
      </c>
      <c r="V665" s="5">
        <v>0</v>
      </c>
      <c r="W665" s="5">
        <v>0</v>
      </c>
      <c r="X665" s="2">
        <v>0</v>
      </c>
      <c r="Y665" t="s">
        <v>4</v>
      </c>
      <c r="Z665" t="s">
        <v>4</v>
      </c>
      <c r="AA665" t="s">
        <v>4</v>
      </c>
      <c r="AB665" t="s">
        <v>4</v>
      </c>
    </row>
    <row r="666" spans="1:28" x14ac:dyDescent="0.2">
      <c r="A666" t="s">
        <v>730</v>
      </c>
      <c r="B666" t="s">
        <v>2</v>
      </c>
      <c r="C666" t="s">
        <v>3</v>
      </c>
      <c r="D666" t="s">
        <v>4</v>
      </c>
      <c r="E666" t="s">
        <v>4</v>
      </c>
      <c r="F666" t="s">
        <v>5</v>
      </c>
      <c r="G666" t="s">
        <v>6</v>
      </c>
      <c r="H666" t="s">
        <v>3293</v>
      </c>
      <c r="I666" s="2">
        <v>1260</v>
      </c>
      <c r="J666" s="2">
        <v>0</v>
      </c>
      <c r="K666" s="2">
        <v>0</v>
      </c>
      <c r="L666" s="3">
        <v>45854</v>
      </c>
      <c r="M666" s="3">
        <v>45854</v>
      </c>
      <c r="N666" s="3"/>
      <c r="O666" t="s">
        <v>3294</v>
      </c>
      <c r="P666" t="s">
        <v>9</v>
      </c>
      <c r="Q666" s="4">
        <v>0.53847222222222002</v>
      </c>
      <c r="R666" t="s">
        <v>5</v>
      </c>
      <c r="S666" t="s">
        <v>4</v>
      </c>
      <c r="T666" t="s">
        <v>2299</v>
      </c>
      <c r="U666" t="s">
        <v>10</v>
      </c>
      <c r="V666" s="5">
        <v>0</v>
      </c>
      <c r="W666" s="5">
        <v>0</v>
      </c>
      <c r="X666" s="2">
        <v>0</v>
      </c>
      <c r="Y666" t="s">
        <v>4</v>
      </c>
      <c r="Z666" t="s">
        <v>4</v>
      </c>
      <c r="AA666" t="s">
        <v>4</v>
      </c>
      <c r="AB666" t="s">
        <v>4</v>
      </c>
    </row>
    <row r="667" spans="1:28" x14ac:dyDescent="0.2">
      <c r="A667" t="s">
        <v>730</v>
      </c>
      <c r="B667" t="s">
        <v>2</v>
      </c>
      <c r="C667" t="s">
        <v>3</v>
      </c>
      <c r="D667" t="s">
        <v>4</v>
      </c>
      <c r="E667" t="s">
        <v>4</v>
      </c>
      <c r="F667" t="s">
        <v>5</v>
      </c>
      <c r="G667" t="s">
        <v>6</v>
      </c>
      <c r="H667" t="s">
        <v>3293</v>
      </c>
      <c r="I667" s="2">
        <v>1260</v>
      </c>
      <c r="J667" s="2">
        <v>0</v>
      </c>
      <c r="K667" s="2">
        <v>0</v>
      </c>
      <c r="L667" s="3">
        <v>45847</v>
      </c>
      <c r="M667" s="3">
        <v>45847</v>
      </c>
      <c r="N667" s="3"/>
      <c r="O667" t="s">
        <v>3295</v>
      </c>
      <c r="P667" t="s">
        <v>9</v>
      </c>
      <c r="Q667" s="4">
        <v>0.53847222222222002</v>
      </c>
      <c r="R667" t="s">
        <v>5</v>
      </c>
      <c r="S667" t="s">
        <v>4</v>
      </c>
      <c r="T667" t="s">
        <v>2341</v>
      </c>
      <c r="U667" t="s">
        <v>10</v>
      </c>
      <c r="V667" s="5">
        <v>0</v>
      </c>
      <c r="W667" s="5">
        <v>0</v>
      </c>
      <c r="X667" s="2">
        <v>0</v>
      </c>
      <c r="Y667" t="s">
        <v>4</v>
      </c>
      <c r="Z667" t="s">
        <v>4</v>
      </c>
      <c r="AA667" t="s">
        <v>4</v>
      </c>
      <c r="AB667" t="s">
        <v>4</v>
      </c>
    </row>
    <row r="668" spans="1:28" x14ac:dyDescent="0.2">
      <c r="A668" t="s">
        <v>268</v>
      </c>
      <c r="B668" t="s">
        <v>2</v>
      </c>
      <c r="C668" t="s">
        <v>3</v>
      </c>
      <c r="D668" t="s">
        <v>4</v>
      </c>
      <c r="E668" t="s">
        <v>4</v>
      </c>
      <c r="F668" t="s">
        <v>5</v>
      </c>
      <c r="G668" t="s">
        <v>6</v>
      </c>
      <c r="H668" t="s">
        <v>3296</v>
      </c>
      <c r="I668" s="2">
        <v>902</v>
      </c>
      <c r="J668" s="2">
        <v>0</v>
      </c>
      <c r="K668" s="2">
        <v>0</v>
      </c>
      <c r="L668" s="3">
        <v>45843</v>
      </c>
      <c r="M668" s="3">
        <v>45843</v>
      </c>
      <c r="N668" s="3"/>
      <c r="O668" t="s">
        <v>3297</v>
      </c>
      <c r="P668" t="s">
        <v>9</v>
      </c>
      <c r="Q668" s="4">
        <v>0.99427083333333</v>
      </c>
      <c r="R668" t="s">
        <v>5</v>
      </c>
      <c r="S668" t="s">
        <v>4</v>
      </c>
      <c r="T668" t="s">
        <v>2783</v>
      </c>
      <c r="U668" t="s">
        <v>10</v>
      </c>
      <c r="V668" s="5">
        <v>0</v>
      </c>
      <c r="W668" s="5">
        <v>0</v>
      </c>
      <c r="X668" s="2">
        <v>0</v>
      </c>
      <c r="Y668" t="s">
        <v>4</v>
      </c>
      <c r="Z668" t="s">
        <v>4</v>
      </c>
      <c r="AA668" t="s">
        <v>4</v>
      </c>
      <c r="AB668" t="s">
        <v>4</v>
      </c>
    </row>
    <row r="669" spans="1:28" x14ac:dyDescent="0.2">
      <c r="A669" t="s">
        <v>1046</v>
      </c>
      <c r="B669" t="s">
        <v>2</v>
      </c>
      <c r="C669" t="s">
        <v>3</v>
      </c>
      <c r="D669" t="s">
        <v>4</v>
      </c>
      <c r="E669" t="s">
        <v>4</v>
      </c>
      <c r="F669" t="s">
        <v>5</v>
      </c>
      <c r="G669" t="s">
        <v>21</v>
      </c>
      <c r="H669" t="s">
        <v>3298</v>
      </c>
      <c r="I669" s="2">
        <v>5400</v>
      </c>
      <c r="J669" s="2">
        <v>0</v>
      </c>
      <c r="K669" s="2">
        <v>0</v>
      </c>
      <c r="L669" s="3">
        <v>45851</v>
      </c>
      <c r="M669" s="3">
        <v>45851</v>
      </c>
      <c r="N669" s="3"/>
      <c r="O669" t="s">
        <v>3299</v>
      </c>
      <c r="P669" t="s">
        <v>9</v>
      </c>
      <c r="Q669" s="4">
        <v>0.5722337962963</v>
      </c>
      <c r="R669" t="s">
        <v>5</v>
      </c>
      <c r="S669" t="s">
        <v>4</v>
      </c>
      <c r="T669" t="s">
        <v>2747</v>
      </c>
      <c r="U669" t="s">
        <v>10</v>
      </c>
      <c r="V669" s="5">
        <v>0</v>
      </c>
      <c r="W669" s="5">
        <v>0</v>
      </c>
      <c r="X669" s="2">
        <v>0</v>
      </c>
      <c r="Y669" t="s">
        <v>4</v>
      </c>
      <c r="Z669" t="s">
        <v>4</v>
      </c>
      <c r="AA669" t="s">
        <v>4</v>
      </c>
      <c r="AB669" t="s">
        <v>4</v>
      </c>
    </row>
    <row r="670" spans="1:28" x14ac:dyDescent="0.2">
      <c r="A670" t="s">
        <v>1046</v>
      </c>
      <c r="B670" t="s">
        <v>2</v>
      </c>
      <c r="C670" t="s">
        <v>3</v>
      </c>
      <c r="D670" t="s">
        <v>4</v>
      </c>
      <c r="E670" t="s">
        <v>4</v>
      </c>
      <c r="F670" t="s">
        <v>5</v>
      </c>
      <c r="G670" t="s">
        <v>21</v>
      </c>
      <c r="H670" t="s">
        <v>3298</v>
      </c>
      <c r="I670" s="2">
        <v>5400</v>
      </c>
      <c r="J670" s="2">
        <v>0</v>
      </c>
      <c r="K670" s="2">
        <v>0</v>
      </c>
      <c r="L670" s="3">
        <v>45851</v>
      </c>
      <c r="M670" s="3">
        <v>45851</v>
      </c>
      <c r="N670" s="3"/>
      <c r="O670" t="s">
        <v>3300</v>
      </c>
      <c r="P670" t="s">
        <v>9</v>
      </c>
      <c r="Q670" s="4">
        <v>0.5722337962963</v>
      </c>
      <c r="R670" t="s">
        <v>5</v>
      </c>
      <c r="S670" t="s">
        <v>4</v>
      </c>
      <c r="T670" t="s">
        <v>2747</v>
      </c>
      <c r="U670" t="s">
        <v>10</v>
      </c>
      <c r="V670" s="5">
        <v>0</v>
      </c>
      <c r="W670" s="5">
        <v>0</v>
      </c>
      <c r="X670" s="2">
        <v>0</v>
      </c>
      <c r="Y670" t="s">
        <v>4</v>
      </c>
      <c r="Z670" t="s">
        <v>4</v>
      </c>
      <c r="AA670" t="s">
        <v>4</v>
      </c>
      <c r="AB670" t="s">
        <v>4</v>
      </c>
    </row>
    <row r="671" spans="1:28" x14ac:dyDescent="0.2">
      <c r="A671" t="s">
        <v>1046</v>
      </c>
      <c r="B671" t="s">
        <v>2</v>
      </c>
      <c r="C671" t="s">
        <v>3</v>
      </c>
      <c r="D671" t="s">
        <v>4</v>
      </c>
      <c r="E671" t="s">
        <v>4</v>
      </c>
      <c r="F671" t="s">
        <v>5</v>
      </c>
      <c r="G671" t="s">
        <v>6</v>
      </c>
      <c r="H671" t="s">
        <v>3301</v>
      </c>
      <c r="I671" s="2">
        <v>5184</v>
      </c>
      <c r="J671" s="2">
        <v>0</v>
      </c>
      <c r="K671" s="2">
        <v>0</v>
      </c>
      <c r="L671" s="3">
        <v>45750</v>
      </c>
      <c r="M671" s="3">
        <v>45750</v>
      </c>
      <c r="N671" s="3"/>
      <c r="O671" t="s">
        <v>3302</v>
      </c>
      <c r="P671" t="s">
        <v>9</v>
      </c>
      <c r="Q671" s="4">
        <v>0.88350694444444</v>
      </c>
      <c r="R671" t="s">
        <v>5</v>
      </c>
      <c r="S671" t="s">
        <v>4</v>
      </c>
      <c r="T671" t="s">
        <v>3303</v>
      </c>
      <c r="U671" t="s">
        <v>10</v>
      </c>
      <c r="V671" s="5">
        <v>0</v>
      </c>
      <c r="W671" s="5">
        <v>0</v>
      </c>
      <c r="X671" s="2">
        <v>0</v>
      </c>
      <c r="Y671" t="s">
        <v>4</v>
      </c>
      <c r="Z671" t="s">
        <v>4</v>
      </c>
      <c r="AA671" t="s">
        <v>4</v>
      </c>
      <c r="AB671" t="s">
        <v>4</v>
      </c>
    </row>
    <row r="672" spans="1:28" x14ac:dyDescent="0.2">
      <c r="A672" t="s">
        <v>641</v>
      </c>
      <c r="B672" t="s">
        <v>2</v>
      </c>
      <c r="C672" t="s">
        <v>3</v>
      </c>
      <c r="D672" t="s">
        <v>4</v>
      </c>
      <c r="E672" t="s">
        <v>4</v>
      </c>
      <c r="F672" t="s">
        <v>5</v>
      </c>
      <c r="G672" t="s">
        <v>21</v>
      </c>
      <c r="H672" t="s">
        <v>3304</v>
      </c>
      <c r="I672" s="2">
        <v>2304</v>
      </c>
      <c r="J672" s="2">
        <v>0</v>
      </c>
      <c r="K672" s="2">
        <v>0</v>
      </c>
      <c r="L672" s="3">
        <v>45785</v>
      </c>
      <c r="M672" s="3">
        <v>45785</v>
      </c>
      <c r="N672" s="3"/>
      <c r="O672" t="s">
        <v>3305</v>
      </c>
      <c r="P672" t="s">
        <v>9</v>
      </c>
      <c r="Q672" s="4">
        <v>0.40423611111111002</v>
      </c>
      <c r="R672" t="s">
        <v>5</v>
      </c>
      <c r="S672" t="s">
        <v>4</v>
      </c>
      <c r="T672" t="s">
        <v>2780</v>
      </c>
      <c r="U672" t="s">
        <v>10</v>
      </c>
      <c r="V672" s="5">
        <v>0</v>
      </c>
      <c r="W672" s="5">
        <v>0</v>
      </c>
      <c r="X672" s="2">
        <v>0</v>
      </c>
      <c r="Y672" t="s">
        <v>4</v>
      </c>
      <c r="Z672" t="s">
        <v>4</v>
      </c>
      <c r="AA672" t="s">
        <v>4</v>
      </c>
      <c r="AB672" t="s">
        <v>4</v>
      </c>
    </row>
    <row r="673" spans="1:28" x14ac:dyDescent="0.2">
      <c r="A673" t="s">
        <v>641</v>
      </c>
      <c r="B673" t="s">
        <v>2</v>
      </c>
      <c r="C673" t="s">
        <v>3</v>
      </c>
      <c r="D673" t="s">
        <v>4</v>
      </c>
      <c r="E673" t="s">
        <v>4</v>
      </c>
      <c r="F673" t="s">
        <v>5</v>
      </c>
      <c r="G673" t="s">
        <v>21</v>
      </c>
      <c r="H673" t="s">
        <v>3304</v>
      </c>
      <c r="I673" s="2">
        <v>2304</v>
      </c>
      <c r="J673" s="2">
        <v>0</v>
      </c>
      <c r="K673" s="2">
        <v>0</v>
      </c>
      <c r="L673" s="3">
        <v>45785</v>
      </c>
      <c r="M673" s="3">
        <v>45785</v>
      </c>
      <c r="N673" s="3"/>
      <c r="O673" t="s">
        <v>3306</v>
      </c>
      <c r="P673" t="s">
        <v>9</v>
      </c>
      <c r="Q673" s="4">
        <v>0.40423611111111002</v>
      </c>
      <c r="R673" t="s">
        <v>5</v>
      </c>
      <c r="S673" t="s">
        <v>4</v>
      </c>
      <c r="T673" t="s">
        <v>2780</v>
      </c>
      <c r="U673" t="s">
        <v>10</v>
      </c>
      <c r="V673" s="5">
        <v>0</v>
      </c>
      <c r="W673" s="5">
        <v>0</v>
      </c>
      <c r="X673" s="2">
        <v>0</v>
      </c>
      <c r="Y673" t="s">
        <v>4</v>
      </c>
      <c r="Z673" t="s">
        <v>4</v>
      </c>
      <c r="AA673" t="s">
        <v>4</v>
      </c>
      <c r="AB673" t="s">
        <v>4</v>
      </c>
    </row>
    <row r="674" spans="1:28" x14ac:dyDescent="0.2">
      <c r="A674" t="s">
        <v>635</v>
      </c>
      <c r="B674" t="s">
        <v>2</v>
      </c>
      <c r="C674" t="s">
        <v>3</v>
      </c>
      <c r="D674" t="s">
        <v>4</v>
      </c>
      <c r="E674" t="s">
        <v>4</v>
      </c>
      <c r="F674" t="s">
        <v>5</v>
      </c>
      <c r="G674" t="s">
        <v>6</v>
      </c>
      <c r="H674" t="s">
        <v>3307</v>
      </c>
      <c r="I674" s="2">
        <v>800</v>
      </c>
      <c r="J674" s="2">
        <v>0</v>
      </c>
      <c r="K674" s="2">
        <v>0</v>
      </c>
      <c r="L674" s="3">
        <v>45768</v>
      </c>
      <c r="M674" s="3">
        <v>45768</v>
      </c>
      <c r="N674" s="3"/>
      <c r="O674" t="s">
        <v>3308</v>
      </c>
      <c r="P674" t="s">
        <v>9</v>
      </c>
      <c r="Q674" s="4">
        <v>0.42384259259259</v>
      </c>
      <c r="R674" t="s">
        <v>5</v>
      </c>
      <c r="S674" t="s">
        <v>4</v>
      </c>
      <c r="T674" t="s">
        <v>2777</v>
      </c>
      <c r="U674" t="s">
        <v>10</v>
      </c>
      <c r="V674" s="5">
        <v>0</v>
      </c>
      <c r="W674" s="5">
        <v>0</v>
      </c>
      <c r="X674" s="2">
        <v>0</v>
      </c>
      <c r="Y674" t="s">
        <v>4</v>
      </c>
      <c r="Z674" t="s">
        <v>4</v>
      </c>
      <c r="AA674" t="s">
        <v>4</v>
      </c>
      <c r="AB674" t="s">
        <v>4</v>
      </c>
    </row>
    <row r="675" spans="1:28" x14ac:dyDescent="0.2">
      <c r="A675" t="s">
        <v>635</v>
      </c>
      <c r="B675" t="s">
        <v>2</v>
      </c>
      <c r="C675" t="s">
        <v>3</v>
      </c>
      <c r="D675" t="s">
        <v>4</v>
      </c>
      <c r="E675" t="s">
        <v>4</v>
      </c>
      <c r="F675" t="s">
        <v>5</v>
      </c>
      <c r="G675" t="s">
        <v>6</v>
      </c>
      <c r="H675" t="s">
        <v>3307</v>
      </c>
      <c r="I675" s="2">
        <v>800</v>
      </c>
      <c r="J675" s="2">
        <v>0</v>
      </c>
      <c r="K675" s="2">
        <v>0</v>
      </c>
      <c r="L675" s="3">
        <v>45768</v>
      </c>
      <c r="M675" s="3">
        <v>45768</v>
      </c>
      <c r="N675" s="3"/>
      <c r="O675" t="s">
        <v>3309</v>
      </c>
      <c r="P675" t="s">
        <v>9</v>
      </c>
      <c r="Q675" s="4">
        <v>0.42384259259259</v>
      </c>
      <c r="R675" t="s">
        <v>5</v>
      </c>
      <c r="S675" t="s">
        <v>4</v>
      </c>
      <c r="T675" t="s">
        <v>2777</v>
      </c>
      <c r="U675" t="s">
        <v>10</v>
      </c>
      <c r="V675" s="5">
        <v>0</v>
      </c>
      <c r="W675" s="5">
        <v>0</v>
      </c>
      <c r="X675" s="2">
        <v>0</v>
      </c>
      <c r="Y675" t="s">
        <v>4</v>
      </c>
      <c r="Z675" t="s">
        <v>4</v>
      </c>
      <c r="AA675" t="s">
        <v>4</v>
      </c>
      <c r="AB675" t="s">
        <v>4</v>
      </c>
    </row>
    <row r="676" spans="1:28" x14ac:dyDescent="0.2">
      <c r="A676" t="s">
        <v>532</v>
      </c>
      <c r="B676" t="s">
        <v>2</v>
      </c>
      <c r="C676" t="s">
        <v>3</v>
      </c>
      <c r="D676" t="s">
        <v>4</v>
      </c>
      <c r="E676" t="s">
        <v>4</v>
      </c>
      <c r="F676" t="s">
        <v>5</v>
      </c>
      <c r="G676" t="s">
        <v>6</v>
      </c>
      <c r="H676" t="s">
        <v>3310</v>
      </c>
      <c r="I676" s="2">
        <v>510</v>
      </c>
      <c r="J676" s="2">
        <v>0</v>
      </c>
      <c r="K676" s="2">
        <v>0</v>
      </c>
      <c r="L676" s="3">
        <v>45849</v>
      </c>
      <c r="M676" s="3">
        <v>45849</v>
      </c>
      <c r="N676" s="3"/>
      <c r="O676" t="s">
        <v>3311</v>
      </c>
      <c r="P676" t="s">
        <v>9</v>
      </c>
      <c r="Q676" s="4">
        <v>0.56606481481480997</v>
      </c>
      <c r="R676" t="s">
        <v>5</v>
      </c>
      <c r="S676" t="s">
        <v>4</v>
      </c>
      <c r="T676" t="s">
        <v>2321</v>
      </c>
      <c r="U676" t="s">
        <v>10</v>
      </c>
      <c r="V676" s="5">
        <v>0</v>
      </c>
      <c r="W676" s="5">
        <v>0</v>
      </c>
      <c r="X676" s="2">
        <v>0</v>
      </c>
      <c r="Y676" t="s">
        <v>4</v>
      </c>
      <c r="Z676" t="s">
        <v>4</v>
      </c>
      <c r="AA676" t="s">
        <v>4</v>
      </c>
      <c r="AB676" t="s">
        <v>4</v>
      </c>
    </row>
    <row r="677" spans="1:28" x14ac:dyDescent="0.2">
      <c r="A677" t="s">
        <v>1343</v>
      </c>
      <c r="B677" t="s">
        <v>2</v>
      </c>
      <c r="C677" t="s">
        <v>3</v>
      </c>
      <c r="D677" t="s">
        <v>4</v>
      </c>
      <c r="E677" t="s">
        <v>4</v>
      </c>
      <c r="F677" t="s">
        <v>5</v>
      </c>
      <c r="G677" t="s">
        <v>6</v>
      </c>
      <c r="H677" t="s">
        <v>3312</v>
      </c>
      <c r="I677" s="2">
        <v>1000</v>
      </c>
      <c r="J677" s="2">
        <v>0</v>
      </c>
      <c r="K677" s="2">
        <v>0</v>
      </c>
      <c r="L677" s="3">
        <v>45847</v>
      </c>
      <c r="M677" s="3">
        <v>45847</v>
      </c>
      <c r="N677" s="3"/>
      <c r="O677" t="s">
        <v>3313</v>
      </c>
      <c r="P677" t="s">
        <v>9</v>
      </c>
      <c r="Q677" s="4">
        <v>0.62100694444444005</v>
      </c>
      <c r="R677" t="s">
        <v>5</v>
      </c>
      <c r="S677" t="s">
        <v>4</v>
      </c>
      <c r="T677" t="s">
        <v>2341</v>
      </c>
      <c r="U677" t="s">
        <v>10</v>
      </c>
      <c r="V677" s="5">
        <v>0</v>
      </c>
      <c r="W677" s="5">
        <v>0</v>
      </c>
      <c r="X677" s="2">
        <v>0</v>
      </c>
      <c r="Y677" t="s">
        <v>4</v>
      </c>
      <c r="Z677" t="s">
        <v>4</v>
      </c>
      <c r="AA677" t="s">
        <v>4</v>
      </c>
      <c r="AB677" t="s">
        <v>4</v>
      </c>
    </row>
    <row r="678" spans="1:28" x14ac:dyDescent="0.2">
      <c r="A678" t="s">
        <v>544</v>
      </c>
      <c r="B678" t="s">
        <v>2</v>
      </c>
      <c r="C678" t="s">
        <v>3</v>
      </c>
      <c r="D678" t="s">
        <v>4</v>
      </c>
      <c r="E678" t="s">
        <v>4</v>
      </c>
      <c r="F678" t="s">
        <v>5</v>
      </c>
      <c r="G678" t="s">
        <v>6</v>
      </c>
      <c r="H678" t="s">
        <v>3314</v>
      </c>
      <c r="I678" s="2">
        <v>34</v>
      </c>
      <c r="J678" s="2">
        <v>0</v>
      </c>
      <c r="K678" s="2">
        <v>0</v>
      </c>
      <c r="L678" s="3">
        <v>45852</v>
      </c>
      <c r="M678" s="3">
        <v>45852</v>
      </c>
      <c r="N678" s="3"/>
      <c r="O678" t="s">
        <v>3315</v>
      </c>
      <c r="P678" t="s">
        <v>9</v>
      </c>
      <c r="Q678" s="4">
        <v>0.89542824074074001</v>
      </c>
      <c r="R678" t="s">
        <v>5</v>
      </c>
      <c r="S678" t="s">
        <v>4</v>
      </c>
      <c r="T678" t="s">
        <v>2669</v>
      </c>
      <c r="U678" t="s">
        <v>10</v>
      </c>
      <c r="V678" s="5">
        <v>0</v>
      </c>
      <c r="W678" s="5">
        <v>0</v>
      </c>
      <c r="X678" s="2">
        <v>0</v>
      </c>
      <c r="Y678" t="s">
        <v>4</v>
      </c>
      <c r="Z678" t="s">
        <v>4</v>
      </c>
      <c r="AA678" t="s">
        <v>4</v>
      </c>
      <c r="AB678" t="s">
        <v>4</v>
      </c>
    </row>
    <row r="679" spans="1:28" x14ac:dyDescent="0.2">
      <c r="A679" t="s">
        <v>544</v>
      </c>
      <c r="B679" t="s">
        <v>2</v>
      </c>
      <c r="C679" t="s">
        <v>3</v>
      </c>
      <c r="D679" t="s">
        <v>4</v>
      </c>
      <c r="E679" t="s">
        <v>4</v>
      </c>
      <c r="F679" t="s">
        <v>5</v>
      </c>
      <c r="G679" t="s">
        <v>6</v>
      </c>
      <c r="H679" t="s">
        <v>3314</v>
      </c>
      <c r="I679" s="2">
        <v>510</v>
      </c>
      <c r="J679" s="2">
        <v>0</v>
      </c>
      <c r="K679" s="2">
        <v>0</v>
      </c>
      <c r="L679" s="3">
        <v>45852</v>
      </c>
      <c r="M679" s="3">
        <v>45852</v>
      </c>
      <c r="N679" s="3"/>
      <c r="O679" t="s">
        <v>3316</v>
      </c>
      <c r="P679" t="s">
        <v>9</v>
      </c>
      <c r="Q679" s="4">
        <v>0.89542824074074001</v>
      </c>
      <c r="R679" t="s">
        <v>5</v>
      </c>
      <c r="S679" t="s">
        <v>4</v>
      </c>
      <c r="T679" t="s">
        <v>2669</v>
      </c>
      <c r="U679" t="s">
        <v>10</v>
      </c>
      <c r="V679" s="5">
        <v>0</v>
      </c>
      <c r="W679" s="5">
        <v>0</v>
      </c>
      <c r="X679" s="2">
        <v>0</v>
      </c>
      <c r="Y679" t="s">
        <v>4</v>
      </c>
      <c r="Z679" t="s">
        <v>4</v>
      </c>
      <c r="AA679" t="s">
        <v>4</v>
      </c>
      <c r="AB679" t="s">
        <v>4</v>
      </c>
    </row>
    <row r="680" spans="1:28" x14ac:dyDescent="0.2">
      <c r="A680" t="s">
        <v>268</v>
      </c>
      <c r="B680" t="s">
        <v>2</v>
      </c>
      <c r="C680" t="s">
        <v>3</v>
      </c>
      <c r="D680" t="s">
        <v>4</v>
      </c>
      <c r="E680" t="s">
        <v>4</v>
      </c>
      <c r="F680" t="s">
        <v>5</v>
      </c>
      <c r="G680" t="s">
        <v>21</v>
      </c>
      <c r="H680" t="s">
        <v>3317</v>
      </c>
      <c r="I680" s="2">
        <v>1010</v>
      </c>
      <c r="J680" s="2">
        <v>0</v>
      </c>
      <c r="K680" s="2">
        <v>0</v>
      </c>
      <c r="L680" s="3">
        <v>45836</v>
      </c>
      <c r="M680" s="3">
        <v>45851</v>
      </c>
      <c r="N680" s="3">
        <v>45851</v>
      </c>
      <c r="O680" t="s">
        <v>3318</v>
      </c>
      <c r="P680" t="s">
        <v>9</v>
      </c>
      <c r="Q680" s="4">
        <v>0.57589120370369995</v>
      </c>
      <c r="R680" t="s">
        <v>5</v>
      </c>
      <c r="S680" t="s">
        <v>4</v>
      </c>
      <c r="T680" t="s">
        <v>2316</v>
      </c>
      <c r="U680" t="s">
        <v>10</v>
      </c>
      <c r="V680" s="5">
        <v>0</v>
      </c>
      <c r="W680" s="5">
        <v>0</v>
      </c>
      <c r="X680" s="2">
        <v>0</v>
      </c>
      <c r="Y680" t="s">
        <v>4</v>
      </c>
      <c r="Z680" t="s">
        <v>4</v>
      </c>
      <c r="AA680" t="s">
        <v>4</v>
      </c>
      <c r="AB680" t="s">
        <v>4</v>
      </c>
    </row>
    <row r="681" spans="1:28" x14ac:dyDescent="0.2">
      <c r="A681" t="s">
        <v>268</v>
      </c>
      <c r="B681" t="s">
        <v>2</v>
      </c>
      <c r="C681" t="s">
        <v>3</v>
      </c>
      <c r="D681" t="s">
        <v>4</v>
      </c>
      <c r="E681" t="s">
        <v>4</v>
      </c>
      <c r="F681" t="s">
        <v>5</v>
      </c>
      <c r="G681" t="s">
        <v>21</v>
      </c>
      <c r="H681" t="s">
        <v>3317</v>
      </c>
      <c r="I681" s="2">
        <v>1230</v>
      </c>
      <c r="J681" s="2">
        <v>0</v>
      </c>
      <c r="K681" s="2">
        <v>0</v>
      </c>
      <c r="L681" s="3">
        <v>45836</v>
      </c>
      <c r="M681" s="3">
        <v>45836</v>
      </c>
      <c r="N681" s="3"/>
      <c r="O681" t="s">
        <v>3319</v>
      </c>
      <c r="P681" t="s">
        <v>9</v>
      </c>
      <c r="Q681" s="4">
        <v>0.57589120370369995</v>
      </c>
      <c r="R681" t="s">
        <v>5</v>
      </c>
      <c r="S681" t="s">
        <v>4</v>
      </c>
      <c r="T681" t="s">
        <v>2316</v>
      </c>
      <c r="U681" t="s">
        <v>10</v>
      </c>
      <c r="V681" s="5">
        <v>0</v>
      </c>
      <c r="W681" s="5">
        <v>0</v>
      </c>
      <c r="X681" s="2">
        <v>0</v>
      </c>
      <c r="Y681" t="s">
        <v>4</v>
      </c>
      <c r="Z681" t="s">
        <v>4</v>
      </c>
      <c r="AA681" t="s">
        <v>4</v>
      </c>
      <c r="AB681" t="s">
        <v>4</v>
      </c>
    </row>
    <row r="682" spans="1:28" x14ac:dyDescent="0.2">
      <c r="A682" t="s">
        <v>1139</v>
      </c>
      <c r="B682" t="s">
        <v>2</v>
      </c>
      <c r="C682" t="s">
        <v>3</v>
      </c>
      <c r="D682" t="s">
        <v>4</v>
      </c>
      <c r="E682" t="s">
        <v>4</v>
      </c>
      <c r="F682" t="s">
        <v>5</v>
      </c>
      <c r="G682" t="s">
        <v>21</v>
      </c>
      <c r="H682" t="s">
        <v>3320</v>
      </c>
      <c r="I682" s="2">
        <v>432</v>
      </c>
      <c r="J682" s="2">
        <v>0</v>
      </c>
      <c r="K682" s="2">
        <v>0</v>
      </c>
      <c r="L682" s="3">
        <v>45832</v>
      </c>
      <c r="M682" s="3">
        <v>45832</v>
      </c>
      <c r="N682" s="3"/>
      <c r="O682" t="s">
        <v>3321</v>
      </c>
      <c r="P682" t="s">
        <v>9</v>
      </c>
      <c r="Q682" s="4">
        <v>0.46958333333333002</v>
      </c>
      <c r="R682" t="s">
        <v>5</v>
      </c>
      <c r="S682" t="s">
        <v>4</v>
      </c>
      <c r="T682" t="s">
        <v>2665</v>
      </c>
      <c r="U682" t="s">
        <v>10</v>
      </c>
      <c r="V682" s="5">
        <v>0</v>
      </c>
      <c r="W682" s="5">
        <v>0</v>
      </c>
      <c r="X682" s="2">
        <v>0</v>
      </c>
      <c r="Y682" t="s">
        <v>4</v>
      </c>
      <c r="Z682" t="s">
        <v>4</v>
      </c>
      <c r="AA682" t="s">
        <v>4</v>
      </c>
      <c r="AB682" t="s">
        <v>4</v>
      </c>
    </row>
    <row r="683" spans="1:28" x14ac:dyDescent="0.2">
      <c r="A683" t="s">
        <v>1139</v>
      </c>
      <c r="B683" t="s">
        <v>2</v>
      </c>
      <c r="C683" t="s">
        <v>3</v>
      </c>
      <c r="D683" t="s">
        <v>4</v>
      </c>
      <c r="E683" t="s">
        <v>4</v>
      </c>
      <c r="F683" t="s">
        <v>5</v>
      </c>
      <c r="G683" t="s">
        <v>21</v>
      </c>
      <c r="H683" t="s">
        <v>3320</v>
      </c>
      <c r="I683" s="2">
        <v>432</v>
      </c>
      <c r="J683" s="2">
        <v>0</v>
      </c>
      <c r="K683" s="2">
        <v>0</v>
      </c>
      <c r="L683" s="3">
        <v>45832</v>
      </c>
      <c r="M683" s="3">
        <v>45832</v>
      </c>
      <c r="N683" s="3"/>
      <c r="O683" t="s">
        <v>3322</v>
      </c>
      <c r="P683" t="s">
        <v>9</v>
      </c>
      <c r="Q683" s="4">
        <v>0.46958333333333002</v>
      </c>
      <c r="R683" t="s">
        <v>5</v>
      </c>
      <c r="S683" t="s">
        <v>4</v>
      </c>
      <c r="T683" t="s">
        <v>2665</v>
      </c>
      <c r="U683" t="s">
        <v>10</v>
      </c>
      <c r="V683" s="5">
        <v>0</v>
      </c>
      <c r="W683" s="5">
        <v>0</v>
      </c>
      <c r="X683" s="2">
        <v>0</v>
      </c>
      <c r="Y683" t="s">
        <v>4</v>
      </c>
      <c r="Z683" t="s">
        <v>4</v>
      </c>
      <c r="AA683" t="s">
        <v>4</v>
      </c>
      <c r="AB683" t="s">
        <v>4</v>
      </c>
    </row>
    <row r="684" spans="1:28" x14ac:dyDescent="0.2">
      <c r="A684" t="s">
        <v>2251</v>
      </c>
      <c r="B684" t="s">
        <v>4</v>
      </c>
      <c r="C684" t="s">
        <v>4</v>
      </c>
      <c r="D684" t="s">
        <v>4</v>
      </c>
      <c r="E684" t="s">
        <v>4</v>
      </c>
      <c r="F684" t="s">
        <v>5</v>
      </c>
      <c r="G684" t="s">
        <v>21</v>
      </c>
      <c r="H684" t="s">
        <v>3323</v>
      </c>
      <c r="I684" s="5">
        <v>0</v>
      </c>
      <c r="J684" s="5">
        <v>0</v>
      </c>
      <c r="K684" s="5">
        <v>0</v>
      </c>
      <c r="L684" s="3"/>
      <c r="M684" s="3"/>
      <c r="N684" s="3"/>
      <c r="O684" t="s">
        <v>4</v>
      </c>
      <c r="P684" t="s">
        <v>9</v>
      </c>
      <c r="Q684" s="4">
        <v>0.36893518518518997</v>
      </c>
      <c r="R684" t="s">
        <v>4</v>
      </c>
      <c r="S684" t="s">
        <v>4</v>
      </c>
      <c r="T684" t="s">
        <v>2256</v>
      </c>
      <c r="U684" t="s">
        <v>4</v>
      </c>
      <c r="V684" s="5">
        <v>0</v>
      </c>
      <c r="W684" s="5">
        <v>0</v>
      </c>
      <c r="X684" s="2">
        <v>0</v>
      </c>
      <c r="Y684" t="s">
        <v>4</v>
      </c>
      <c r="Z684" t="s">
        <v>4</v>
      </c>
      <c r="AA684" t="s">
        <v>4</v>
      </c>
      <c r="AB684" t="s">
        <v>4</v>
      </c>
    </row>
    <row r="685" spans="1:28" x14ac:dyDescent="0.2">
      <c r="A685" t="s">
        <v>1873</v>
      </c>
      <c r="B685" t="s">
        <v>2</v>
      </c>
      <c r="C685" t="s">
        <v>3</v>
      </c>
      <c r="D685" t="s">
        <v>4</v>
      </c>
      <c r="E685" t="s">
        <v>4</v>
      </c>
      <c r="F685" t="s">
        <v>5</v>
      </c>
      <c r="G685" t="s">
        <v>21</v>
      </c>
      <c r="H685" t="s">
        <v>3324</v>
      </c>
      <c r="I685" s="2">
        <v>7200</v>
      </c>
      <c r="J685" s="2">
        <v>0</v>
      </c>
      <c r="K685" s="2">
        <v>0</v>
      </c>
      <c r="L685" s="3">
        <v>45832</v>
      </c>
      <c r="M685" s="3">
        <v>45832</v>
      </c>
      <c r="N685" s="3"/>
      <c r="O685" t="s">
        <v>3325</v>
      </c>
      <c r="P685" t="s">
        <v>9</v>
      </c>
      <c r="Q685" s="4">
        <v>0.60177083333333004</v>
      </c>
      <c r="R685" t="s">
        <v>5</v>
      </c>
      <c r="S685" t="s">
        <v>4</v>
      </c>
      <c r="T685" t="s">
        <v>2665</v>
      </c>
      <c r="U685" t="s">
        <v>10</v>
      </c>
      <c r="V685" s="5">
        <v>0</v>
      </c>
      <c r="W685" s="5">
        <v>0</v>
      </c>
      <c r="X685" s="2">
        <v>0</v>
      </c>
      <c r="Y685" t="s">
        <v>4</v>
      </c>
      <c r="Z685" t="s">
        <v>4</v>
      </c>
      <c r="AA685" t="s">
        <v>4</v>
      </c>
      <c r="AB685" t="s">
        <v>4</v>
      </c>
    </row>
    <row r="686" spans="1:28" x14ac:dyDescent="0.2">
      <c r="A686" t="s">
        <v>1982</v>
      </c>
      <c r="B686" t="s">
        <v>2</v>
      </c>
      <c r="C686" t="s">
        <v>3</v>
      </c>
      <c r="D686" t="s">
        <v>4</v>
      </c>
      <c r="E686" t="s">
        <v>4</v>
      </c>
      <c r="F686" t="s">
        <v>5</v>
      </c>
      <c r="G686" t="s">
        <v>6</v>
      </c>
      <c r="H686" t="s">
        <v>3326</v>
      </c>
      <c r="I686" s="2">
        <v>3360</v>
      </c>
      <c r="J686" s="2">
        <v>0</v>
      </c>
      <c r="K686" s="2">
        <v>0</v>
      </c>
      <c r="L686" s="3">
        <v>45808</v>
      </c>
      <c r="M686" s="3">
        <v>45808</v>
      </c>
      <c r="N686" s="3"/>
      <c r="O686" t="s">
        <v>3327</v>
      </c>
      <c r="P686" t="s">
        <v>9</v>
      </c>
      <c r="Q686" s="4">
        <v>0.93369212962963</v>
      </c>
      <c r="R686" t="s">
        <v>5</v>
      </c>
      <c r="S686" t="s">
        <v>4</v>
      </c>
      <c r="T686" t="s">
        <v>3328</v>
      </c>
      <c r="U686" t="s">
        <v>10</v>
      </c>
      <c r="V686" s="5">
        <v>0</v>
      </c>
      <c r="W686" s="5">
        <v>0</v>
      </c>
      <c r="X686" s="2">
        <v>0</v>
      </c>
      <c r="Y686" t="s">
        <v>4</v>
      </c>
      <c r="Z686" t="s">
        <v>4</v>
      </c>
      <c r="AA686" t="s">
        <v>4</v>
      </c>
      <c r="AB686" t="s">
        <v>4</v>
      </c>
    </row>
    <row r="687" spans="1:28" x14ac:dyDescent="0.2">
      <c r="A687" t="s">
        <v>1982</v>
      </c>
      <c r="B687" t="s">
        <v>2</v>
      </c>
      <c r="C687" t="s">
        <v>3</v>
      </c>
      <c r="D687" t="s">
        <v>4</v>
      </c>
      <c r="E687" t="s">
        <v>4</v>
      </c>
      <c r="F687" t="s">
        <v>5</v>
      </c>
      <c r="G687" t="s">
        <v>6</v>
      </c>
      <c r="H687" t="s">
        <v>3326</v>
      </c>
      <c r="I687" s="2">
        <v>3360</v>
      </c>
      <c r="J687" s="2">
        <v>0</v>
      </c>
      <c r="K687" s="2">
        <v>0</v>
      </c>
      <c r="L687" s="3">
        <v>45808</v>
      </c>
      <c r="M687" s="3">
        <v>45808</v>
      </c>
      <c r="N687" s="3"/>
      <c r="O687" t="s">
        <v>3329</v>
      </c>
      <c r="P687" t="s">
        <v>9</v>
      </c>
      <c r="Q687" s="4">
        <v>0.93369212962963</v>
      </c>
      <c r="R687" t="s">
        <v>5</v>
      </c>
      <c r="S687" t="s">
        <v>4</v>
      </c>
      <c r="T687" t="s">
        <v>3328</v>
      </c>
      <c r="U687" t="s">
        <v>10</v>
      </c>
      <c r="V687" s="5">
        <v>0</v>
      </c>
      <c r="W687" s="5">
        <v>0</v>
      </c>
      <c r="X687" s="2">
        <v>0</v>
      </c>
      <c r="Y687" t="s">
        <v>4</v>
      </c>
      <c r="Z687" t="s">
        <v>4</v>
      </c>
      <c r="AA687" t="s">
        <v>4</v>
      </c>
      <c r="AB687" t="s">
        <v>4</v>
      </c>
    </row>
    <row r="688" spans="1:28" x14ac:dyDescent="0.2">
      <c r="A688" t="s">
        <v>1139</v>
      </c>
      <c r="B688" t="s">
        <v>2</v>
      </c>
      <c r="C688" t="s">
        <v>3</v>
      </c>
      <c r="D688" t="s">
        <v>4</v>
      </c>
      <c r="E688" t="s">
        <v>4</v>
      </c>
      <c r="F688" t="s">
        <v>5</v>
      </c>
      <c r="G688" t="s">
        <v>6</v>
      </c>
      <c r="H688" t="s">
        <v>3330</v>
      </c>
      <c r="I688" s="2">
        <v>432</v>
      </c>
      <c r="J688" s="2">
        <v>0</v>
      </c>
      <c r="K688" s="2">
        <v>0</v>
      </c>
      <c r="L688" s="3">
        <v>45848</v>
      </c>
      <c r="M688" s="3">
        <v>45848</v>
      </c>
      <c r="N688" s="3"/>
      <c r="O688" t="s">
        <v>3331</v>
      </c>
      <c r="P688" t="s">
        <v>9</v>
      </c>
      <c r="Q688" s="4">
        <v>0.41756944444444</v>
      </c>
      <c r="R688" t="s">
        <v>5</v>
      </c>
      <c r="S688" t="s">
        <v>4</v>
      </c>
      <c r="T688" t="s">
        <v>2580</v>
      </c>
      <c r="U688" t="s">
        <v>10</v>
      </c>
      <c r="V688" s="5">
        <v>0</v>
      </c>
      <c r="W688" s="5">
        <v>0</v>
      </c>
      <c r="X688" s="2">
        <v>0</v>
      </c>
      <c r="Y688" t="s">
        <v>4</v>
      </c>
      <c r="Z688" t="s">
        <v>4</v>
      </c>
      <c r="AA688" t="s">
        <v>4</v>
      </c>
      <c r="AB688" t="s">
        <v>4</v>
      </c>
    </row>
    <row r="689" spans="1:28" x14ac:dyDescent="0.2">
      <c r="A689" t="s">
        <v>1139</v>
      </c>
      <c r="B689" t="s">
        <v>2</v>
      </c>
      <c r="C689" t="s">
        <v>3</v>
      </c>
      <c r="D689" t="s">
        <v>4</v>
      </c>
      <c r="E689" t="s">
        <v>4</v>
      </c>
      <c r="F689" t="s">
        <v>5</v>
      </c>
      <c r="G689" t="s">
        <v>6</v>
      </c>
      <c r="H689" t="s">
        <v>3330</v>
      </c>
      <c r="I689" s="2">
        <v>432</v>
      </c>
      <c r="J689" s="2">
        <v>0</v>
      </c>
      <c r="K689" s="2">
        <v>0</v>
      </c>
      <c r="L689" s="3">
        <v>45848</v>
      </c>
      <c r="M689" s="3">
        <v>45848</v>
      </c>
      <c r="N689" s="3"/>
      <c r="O689" t="s">
        <v>3332</v>
      </c>
      <c r="P689" t="s">
        <v>9</v>
      </c>
      <c r="Q689" s="4">
        <v>0.41756944444444</v>
      </c>
      <c r="R689" t="s">
        <v>5</v>
      </c>
      <c r="S689" t="s">
        <v>4</v>
      </c>
      <c r="T689" t="s">
        <v>2580</v>
      </c>
      <c r="U689" t="s">
        <v>10</v>
      </c>
      <c r="V689" s="5">
        <v>0</v>
      </c>
      <c r="W689" s="5">
        <v>0</v>
      </c>
      <c r="X689" s="2">
        <v>0</v>
      </c>
      <c r="Y689" t="s">
        <v>4</v>
      </c>
      <c r="Z689" t="s">
        <v>4</v>
      </c>
      <c r="AA689" t="s">
        <v>4</v>
      </c>
      <c r="AB689" t="s">
        <v>4</v>
      </c>
    </row>
    <row r="690" spans="1:28" x14ac:dyDescent="0.2">
      <c r="A690" t="s">
        <v>1139</v>
      </c>
      <c r="B690" t="s">
        <v>2</v>
      </c>
      <c r="C690" t="s">
        <v>3</v>
      </c>
      <c r="D690" t="s">
        <v>4</v>
      </c>
      <c r="E690" t="s">
        <v>4</v>
      </c>
      <c r="F690" t="s">
        <v>5</v>
      </c>
      <c r="G690" t="s">
        <v>6</v>
      </c>
      <c r="H690" t="s">
        <v>3333</v>
      </c>
      <c r="I690" s="2">
        <v>432</v>
      </c>
      <c r="J690" s="2">
        <v>0</v>
      </c>
      <c r="K690" s="2">
        <v>0</v>
      </c>
      <c r="L690" s="3">
        <v>45844</v>
      </c>
      <c r="M690" s="3">
        <v>45844</v>
      </c>
      <c r="N690" s="3"/>
      <c r="O690" t="s">
        <v>3334</v>
      </c>
      <c r="P690" t="s">
        <v>9</v>
      </c>
      <c r="Q690" s="4">
        <v>0.55714120370370002</v>
      </c>
      <c r="R690" t="s">
        <v>5</v>
      </c>
      <c r="S690" t="s">
        <v>4</v>
      </c>
      <c r="T690" t="s">
        <v>2792</v>
      </c>
      <c r="U690" t="s">
        <v>10</v>
      </c>
      <c r="V690" s="5">
        <v>0</v>
      </c>
      <c r="W690" s="5">
        <v>0</v>
      </c>
      <c r="X690" s="2">
        <v>0</v>
      </c>
      <c r="Y690" t="s">
        <v>4</v>
      </c>
      <c r="Z690" t="s">
        <v>4</v>
      </c>
      <c r="AA690" t="s">
        <v>4</v>
      </c>
      <c r="AB690" t="s">
        <v>4</v>
      </c>
    </row>
    <row r="691" spans="1:28" x14ac:dyDescent="0.2">
      <c r="A691" t="s">
        <v>1139</v>
      </c>
      <c r="B691" t="s">
        <v>2</v>
      </c>
      <c r="C691" t="s">
        <v>3</v>
      </c>
      <c r="D691" t="s">
        <v>4</v>
      </c>
      <c r="E691" t="s">
        <v>4</v>
      </c>
      <c r="F691" t="s">
        <v>5</v>
      </c>
      <c r="G691" t="s">
        <v>6</v>
      </c>
      <c r="H691" t="s">
        <v>3333</v>
      </c>
      <c r="I691" s="2">
        <v>432</v>
      </c>
      <c r="J691" s="2">
        <v>0</v>
      </c>
      <c r="K691" s="2">
        <v>0</v>
      </c>
      <c r="L691" s="3">
        <v>45844</v>
      </c>
      <c r="M691" s="3">
        <v>45844</v>
      </c>
      <c r="N691" s="3"/>
      <c r="O691" t="s">
        <v>3335</v>
      </c>
      <c r="P691" t="s">
        <v>9</v>
      </c>
      <c r="Q691" s="4">
        <v>0.55714120370370002</v>
      </c>
      <c r="R691" t="s">
        <v>5</v>
      </c>
      <c r="S691" t="s">
        <v>4</v>
      </c>
      <c r="T691" t="s">
        <v>2792</v>
      </c>
      <c r="U691" t="s">
        <v>10</v>
      </c>
      <c r="V691" s="5">
        <v>0</v>
      </c>
      <c r="W691" s="5">
        <v>0</v>
      </c>
      <c r="X691" s="2">
        <v>0</v>
      </c>
      <c r="Y691" t="s">
        <v>4</v>
      </c>
      <c r="Z691" t="s">
        <v>4</v>
      </c>
      <c r="AA691" t="s">
        <v>4</v>
      </c>
      <c r="AB691" t="s">
        <v>4</v>
      </c>
    </row>
    <row r="692" spans="1:28" x14ac:dyDescent="0.2">
      <c r="A692" t="s">
        <v>1462</v>
      </c>
      <c r="B692" t="s">
        <v>2</v>
      </c>
      <c r="C692" t="s">
        <v>3</v>
      </c>
      <c r="D692" t="s">
        <v>4</v>
      </c>
      <c r="E692" t="s">
        <v>4</v>
      </c>
      <c r="F692" t="s">
        <v>5</v>
      </c>
      <c r="G692" t="s">
        <v>6</v>
      </c>
      <c r="H692" t="s">
        <v>3336</v>
      </c>
      <c r="I692" s="2">
        <v>72</v>
      </c>
      <c r="J692" s="2">
        <v>0</v>
      </c>
      <c r="K692" s="2">
        <v>0</v>
      </c>
      <c r="L692" s="3">
        <v>45850</v>
      </c>
      <c r="M692" s="3">
        <v>45850</v>
      </c>
      <c r="N692" s="3"/>
      <c r="O692" t="s">
        <v>3337</v>
      </c>
      <c r="P692" t="s">
        <v>9</v>
      </c>
      <c r="Q692" s="4">
        <v>0.58570601851852</v>
      </c>
      <c r="R692" t="s">
        <v>5</v>
      </c>
      <c r="S692" t="s">
        <v>4</v>
      </c>
      <c r="T692" t="s">
        <v>2680</v>
      </c>
      <c r="U692" t="s">
        <v>10</v>
      </c>
      <c r="V692" s="5">
        <v>0</v>
      </c>
      <c r="W692" s="5">
        <v>0</v>
      </c>
      <c r="X692" s="2">
        <v>0</v>
      </c>
      <c r="Y692" t="s">
        <v>4</v>
      </c>
      <c r="Z692" t="s">
        <v>4</v>
      </c>
      <c r="AA692" t="s">
        <v>4</v>
      </c>
      <c r="AB692" t="s">
        <v>4</v>
      </c>
    </row>
    <row r="693" spans="1:28" x14ac:dyDescent="0.2">
      <c r="A693" t="s">
        <v>1462</v>
      </c>
      <c r="B693" t="s">
        <v>2</v>
      </c>
      <c r="C693" t="s">
        <v>3</v>
      </c>
      <c r="D693" t="s">
        <v>4</v>
      </c>
      <c r="E693" t="s">
        <v>4</v>
      </c>
      <c r="F693" t="s">
        <v>5</v>
      </c>
      <c r="G693" t="s">
        <v>6</v>
      </c>
      <c r="H693" t="s">
        <v>3336</v>
      </c>
      <c r="I693" s="2">
        <v>72</v>
      </c>
      <c r="J693" s="2">
        <v>0</v>
      </c>
      <c r="K693" s="2">
        <v>0</v>
      </c>
      <c r="L693" s="3">
        <v>45850</v>
      </c>
      <c r="M693" s="3">
        <v>45850</v>
      </c>
      <c r="N693" s="3"/>
      <c r="O693" t="s">
        <v>3338</v>
      </c>
      <c r="P693" t="s">
        <v>9</v>
      </c>
      <c r="Q693" s="4">
        <v>0.58570601851852</v>
      </c>
      <c r="R693" t="s">
        <v>5</v>
      </c>
      <c r="S693" t="s">
        <v>4</v>
      </c>
      <c r="T693" t="s">
        <v>2680</v>
      </c>
      <c r="U693" t="s">
        <v>10</v>
      </c>
      <c r="V693" s="5">
        <v>0</v>
      </c>
      <c r="W693" s="5">
        <v>0</v>
      </c>
      <c r="X693" s="2">
        <v>0</v>
      </c>
      <c r="Y693" t="s">
        <v>4</v>
      </c>
      <c r="Z693" t="s">
        <v>4</v>
      </c>
      <c r="AA693" t="s">
        <v>4</v>
      </c>
      <c r="AB693" t="s">
        <v>4</v>
      </c>
    </row>
    <row r="694" spans="1:28" x14ac:dyDescent="0.2">
      <c r="A694" t="s">
        <v>715</v>
      </c>
      <c r="B694" t="s">
        <v>2</v>
      </c>
      <c r="C694" t="s">
        <v>3</v>
      </c>
      <c r="D694" t="s">
        <v>4</v>
      </c>
      <c r="E694" t="s">
        <v>4</v>
      </c>
      <c r="F694" t="s">
        <v>5</v>
      </c>
      <c r="G694" t="s">
        <v>21</v>
      </c>
      <c r="H694" t="s">
        <v>3339</v>
      </c>
      <c r="I694" s="2">
        <v>88</v>
      </c>
      <c r="J694" s="2">
        <v>0</v>
      </c>
      <c r="K694" s="2">
        <v>0</v>
      </c>
      <c r="L694" s="3">
        <v>45855</v>
      </c>
      <c r="M694" s="3">
        <v>45855</v>
      </c>
      <c r="N694" s="3"/>
      <c r="O694" t="s">
        <v>3340</v>
      </c>
      <c r="P694" t="s">
        <v>9</v>
      </c>
      <c r="Q694" s="4">
        <v>0.95582175925926005</v>
      </c>
      <c r="R694" t="s">
        <v>5</v>
      </c>
      <c r="S694" t="s">
        <v>4</v>
      </c>
      <c r="T694" t="s">
        <v>2350</v>
      </c>
      <c r="U694" t="s">
        <v>10</v>
      </c>
      <c r="V694" s="5">
        <v>0</v>
      </c>
      <c r="W694" s="5">
        <v>0</v>
      </c>
      <c r="X694" s="2">
        <v>0</v>
      </c>
      <c r="Y694" t="s">
        <v>4</v>
      </c>
      <c r="Z694" t="s">
        <v>4</v>
      </c>
      <c r="AA694" t="s">
        <v>4</v>
      </c>
      <c r="AB694" t="s">
        <v>4</v>
      </c>
    </row>
    <row r="695" spans="1:28" x14ac:dyDescent="0.2">
      <c r="A695" t="s">
        <v>715</v>
      </c>
      <c r="B695" t="s">
        <v>2</v>
      </c>
      <c r="C695" t="s">
        <v>3</v>
      </c>
      <c r="D695" t="s">
        <v>4</v>
      </c>
      <c r="E695" t="s">
        <v>4</v>
      </c>
      <c r="F695" t="s">
        <v>5</v>
      </c>
      <c r="G695" t="s">
        <v>21</v>
      </c>
      <c r="H695" t="s">
        <v>3339</v>
      </c>
      <c r="I695" s="2">
        <v>88</v>
      </c>
      <c r="J695" s="2">
        <v>0</v>
      </c>
      <c r="K695" s="2">
        <v>0</v>
      </c>
      <c r="L695" s="3">
        <v>45855</v>
      </c>
      <c r="M695" s="3">
        <v>45855</v>
      </c>
      <c r="N695" s="3"/>
      <c r="O695" t="s">
        <v>3341</v>
      </c>
      <c r="P695" t="s">
        <v>9</v>
      </c>
      <c r="Q695" s="4">
        <v>0.95582175925926005</v>
      </c>
      <c r="R695" t="s">
        <v>5</v>
      </c>
      <c r="S695" t="s">
        <v>4</v>
      </c>
      <c r="T695" t="s">
        <v>2350</v>
      </c>
      <c r="U695" t="s">
        <v>10</v>
      </c>
      <c r="V695" s="5">
        <v>0</v>
      </c>
      <c r="W695" s="5">
        <v>0</v>
      </c>
      <c r="X695" s="2">
        <v>0</v>
      </c>
      <c r="Y695" t="s">
        <v>4</v>
      </c>
      <c r="Z695" t="s">
        <v>4</v>
      </c>
      <c r="AA695" t="s">
        <v>4</v>
      </c>
      <c r="AB695" t="s">
        <v>4</v>
      </c>
    </row>
    <row r="696" spans="1:28" x14ac:dyDescent="0.2">
      <c r="A696" t="s">
        <v>1462</v>
      </c>
      <c r="B696" t="s">
        <v>2</v>
      </c>
      <c r="C696" t="s">
        <v>3</v>
      </c>
      <c r="D696" t="s">
        <v>4</v>
      </c>
      <c r="E696" t="s">
        <v>4</v>
      </c>
      <c r="F696" t="s">
        <v>5</v>
      </c>
      <c r="G696" t="s">
        <v>21</v>
      </c>
      <c r="H696" t="s">
        <v>3342</v>
      </c>
      <c r="I696" s="2">
        <v>9</v>
      </c>
      <c r="J696" s="2">
        <v>0</v>
      </c>
      <c r="K696" s="2">
        <v>0</v>
      </c>
      <c r="L696" s="3">
        <v>45853</v>
      </c>
      <c r="M696" s="3">
        <v>45853</v>
      </c>
      <c r="N696" s="3"/>
      <c r="O696" t="s">
        <v>3343</v>
      </c>
      <c r="P696" t="s">
        <v>9</v>
      </c>
      <c r="Q696" s="4">
        <v>0.78127314814814997</v>
      </c>
      <c r="R696" t="s">
        <v>5</v>
      </c>
      <c r="S696" t="s">
        <v>4</v>
      </c>
      <c r="T696" t="s">
        <v>2272</v>
      </c>
      <c r="U696" t="s">
        <v>10</v>
      </c>
      <c r="V696" s="5">
        <v>0</v>
      </c>
      <c r="W696" s="5">
        <v>0</v>
      </c>
      <c r="X696" s="2">
        <v>0</v>
      </c>
      <c r="Y696" t="s">
        <v>4</v>
      </c>
      <c r="Z696" t="s">
        <v>4</v>
      </c>
      <c r="AA696" t="s">
        <v>4</v>
      </c>
      <c r="AB696" t="s">
        <v>4</v>
      </c>
    </row>
    <row r="697" spans="1:28" x14ac:dyDescent="0.2">
      <c r="A697" t="s">
        <v>1922</v>
      </c>
      <c r="B697" t="s">
        <v>2</v>
      </c>
      <c r="C697" t="s">
        <v>3</v>
      </c>
      <c r="D697" t="s">
        <v>4</v>
      </c>
      <c r="E697" t="s">
        <v>4</v>
      </c>
      <c r="F697" t="s">
        <v>5</v>
      </c>
      <c r="G697" t="s">
        <v>21</v>
      </c>
      <c r="H697" t="s">
        <v>3344</v>
      </c>
      <c r="I697" s="2">
        <v>330</v>
      </c>
      <c r="J697" s="2">
        <v>0</v>
      </c>
      <c r="K697" s="2">
        <v>0</v>
      </c>
      <c r="L697" s="3">
        <v>45850</v>
      </c>
      <c r="M697" s="3">
        <v>45850</v>
      </c>
      <c r="N697" s="3"/>
      <c r="O697" t="s">
        <v>3345</v>
      </c>
      <c r="P697" t="s">
        <v>9</v>
      </c>
      <c r="Q697" s="4">
        <v>0.54254629629630002</v>
      </c>
      <c r="R697" t="s">
        <v>5</v>
      </c>
      <c r="S697" t="s">
        <v>4</v>
      </c>
      <c r="T697" t="s">
        <v>2680</v>
      </c>
      <c r="U697" t="s">
        <v>10</v>
      </c>
      <c r="V697" s="5">
        <v>0</v>
      </c>
      <c r="W697" s="5">
        <v>0</v>
      </c>
      <c r="X697" s="2">
        <v>0</v>
      </c>
      <c r="Y697" t="s">
        <v>4</v>
      </c>
      <c r="Z697" t="s">
        <v>4</v>
      </c>
      <c r="AA697" t="s">
        <v>4</v>
      </c>
      <c r="AB697" t="s">
        <v>4</v>
      </c>
    </row>
    <row r="698" spans="1:28" x14ac:dyDescent="0.2">
      <c r="A698" t="s">
        <v>1922</v>
      </c>
      <c r="B698" t="s">
        <v>2</v>
      </c>
      <c r="C698" t="s">
        <v>3</v>
      </c>
      <c r="D698" t="s">
        <v>4</v>
      </c>
      <c r="E698" t="s">
        <v>4</v>
      </c>
      <c r="F698" t="s">
        <v>5</v>
      </c>
      <c r="G698" t="s">
        <v>21</v>
      </c>
      <c r="H698" t="s">
        <v>3344</v>
      </c>
      <c r="I698" s="2">
        <v>330</v>
      </c>
      <c r="J698" s="2">
        <v>0</v>
      </c>
      <c r="K698" s="2">
        <v>0</v>
      </c>
      <c r="L698" s="3">
        <v>45857</v>
      </c>
      <c r="M698" s="3">
        <v>45857</v>
      </c>
      <c r="N698" s="3"/>
      <c r="O698" t="s">
        <v>3346</v>
      </c>
      <c r="P698" t="s">
        <v>9</v>
      </c>
      <c r="Q698" s="4">
        <v>0.54254629629630002</v>
      </c>
      <c r="R698" t="s">
        <v>5</v>
      </c>
      <c r="S698" t="s">
        <v>4</v>
      </c>
      <c r="T698" t="s">
        <v>2262</v>
      </c>
      <c r="U698" t="s">
        <v>10</v>
      </c>
      <c r="V698" s="5">
        <v>0</v>
      </c>
      <c r="W698" s="5">
        <v>0</v>
      </c>
      <c r="X698" s="2">
        <v>0</v>
      </c>
      <c r="Y698" t="s">
        <v>4</v>
      </c>
      <c r="Z698" t="s">
        <v>4</v>
      </c>
      <c r="AA698" t="s">
        <v>4</v>
      </c>
      <c r="AB698" t="s">
        <v>4</v>
      </c>
    </row>
    <row r="699" spans="1:28" x14ac:dyDescent="0.2">
      <c r="A699" t="s">
        <v>1046</v>
      </c>
      <c r="B699" t="s">
        <v>2</v>
      </c>
      <c r="C699" t="s">
        <v>3</v>
      </c>
      <c r="D699" t="s">
        <v>4</v>
      </c>
      <c r="E699" t="s">
        <v>4</v>
      </c>
      <c r="F699" t="s">
        <v>5</v>
      </c>
      <c r="G699" t="s">
        <v>21</v>
      </c>
      <c r="H699" t="s">
        <v>3347</v>
      </c>
      <c r="I699" s="2">
        <v>4752</v>
      </c>
      <c r="J699" s="2">
        <v>0</v>
      </c>
      <c r="K699" s="2">
        <v>0</v>
      </c>
      <c r="L699" s="3">
        <v>45851</v>
      </c>
      <c r="M699" s="3">
        <v>45851</v>
      </c>
      <c r="N699" s="3"/>
      <c r="O699" t="s">
        <v>3348</v>
      </c>
      <c r="P699" t="s">
        <v>9</v>
      </c>
      <c r="Q699" s="4">
        <v>0.57251157407407005</v>
      </c>
      <c r="R699" t="s">
        <v>5</v>
      </c>
      <c r="S699" t="s">
        <v>4</v>
      </c>
      <c r="T699" t="s">
        <v>2747</v>
      </c>
      <c r="U699" t="s">
        <v>10</v>
      </c>
      <c r="V699" s="5">
        <v>0</v>
      </c>
      <c r="W699" s="5">
        <v>0</v>
      </c>
      <c r="X699" s="2">
        <v>0</v>
      </c>
      <c r="Y699" t="s">
        <v>4</v>
      </c>
      <c r="Z699" t="s">
        <v>4</v>
      </c>
      <c r="AA699" t="s">
        <v>4</v>
      </c>
      <c r="AB699" t="s">
        <v>4</v>
      </c>
    </row>
    <row r="700" spans="1:28" x14ac:dyDescent="0.2">
      <c r="A700" t="s">
        <v>1553</v>
      </c>
      <c r="B700" t="s">
        <v>2</v>
      </c>
      <c r="C700" t="s">
        <v>3</v>
      </c>
      <c r="D700" t="s">
        <v>4</v>
      </c>
      <c r="E700" t="s">
        <v>4</v>
      </c>
      <c r="F700" t="s">
        <v>5</v>
      </c>
      <c r="G700" t="s">
        <v>6</v>
      </c>
      <c r="H700" t="s">
        <v>3349</v>
      </c>
      <c r="I700" s="2">
        <v>150</v>
      </c>
      <c r="J700" s="2">
        <v>0</v>
      </c>
      <c r="K700" s="2">
        <v>0</v>
      </c>
      <c r="L700" s="3">
        <v>45851</v>
      </c>
      <c r="M700" s="3">
        <v>45851</v>
      </c>
      <c r="N700" s="3"/>
      <c r="O700" t="s">
        <v>3350</v>
      </c>
      <c r="P700" t="s">
        <v>9</v>
      </c>
      <c r="Q700" s="4">
        <v>0.65751157407407002</v>
      </c>
      <c r="R700" t="s">
        <v>5</v>
      </c>
      <c r="S700" t="s">
        <v>4</v>
      </c>
      <c r="T700" t="s">
        <v>2747</v>
      </c>
      <c r="U700" t="s">
        <v>10</v>
      </c>
      <c r="V700" s="5">
        <v>0</v>
      </c>
      <c r="W700" s="5">
        <v>0</v>
      </c>
      <c r="X700" s="2">
        <v>0</v>
      </c>
      <c r="Y700" t="s">
        <v>4</v>
      </c>
      <c r="Z700" t="s">
        <v>4</v>
      </c>
      <c r="AA700" t="s">
        <v>4</v>
      </c>
      <c r="AB700" t="s">
        <v>4</v>
      </c>
    </row>
    <row r="701" spans="1:28" x14ac:dyDescent="0.2">
      <c r="A701" t="s">
        <v>629</v>
      </c>
      <c r="B701" t="s">
        <v>2</v>
      </c>
      <c r="C701" t="s">
        <v>3</v>
      </c>
      <c r="D701" t="s">
        <v>4</v>
      </c>
      <c r="E701" t="s">
        <v>4</v>
      </c>
      <c r="F701" t="s">
        <v>5</v>
      </c>
      <c r="G701" t="s">
        <v>6</v>
      </c>
      <c r="H701" t="s">
        <v>3351</v>
      </c>
      <c r="I701" s="2">
        <v>720</v>
      </c>
      <c r="J701" s="2">
        <v>0</v>
      </c>
      <c r="K701" s="2">
        <v>0</v>
      </c>
      <c r="L701" s="3">
        <v>45673</v>
      </c>
      <c r="M701" s="3">
        <v>45673</v>
      </c>
      <c r="N701" s="3"/>
      <c r="O701" t="s">
        <v>3352</v>
      </c>
      <c r="P701" t="s">
        <v>9</v>
      </c>
      <c r="Q701" s="4">
        <v>0.62120370370370004</v>
      </c>
      <c r="R701" t="s">
        <v>5</v>
      </c>
      <c r="S701" t="s">
        <v>4</v>
      </c>
      <c r="T701" t="s">
        <v>3353</v>
      </c>
      <c r="U701" t="s">
        <v>10</v>
      </c>
      <c r="V701" s="5">
        <v>0</v>
      </c>
      <c r="W701" s="5">
        <v>0</v>
      </c>
      <c r="X701" s="2">
        <v>0</v>
      </c>
      <c r="Y701" t="s">
        <v>4</v>
      </c>
      <c r="Z701" t="s">
        <v>4</v>
      </c>
      <c r="AA701" t="s">
        <v>4</v>
      </c>
      <c r="AB701" t="s">
        <v>4</v>
      </c>
    </row>
    <row r="702" spans="1:28" x14ac:dyDescent="0.2">
      <c r="A702" t="s">
        <v>1346</v>
      </c>
      <c r="B702" t="s">
        <v>2</v>
      </c>
      <c r="C702" t="s">
        <v>3</v>
      </c>
      <c r="D702" t="s">
        <v>4</v>
      </c>
      <c r="E702" t="s">
        <v>4</v>
      </c>
      <c r="F702" t="s">
        <v>5</v>
      </c>
      <c r="G702" t="s">
        <v>6</v>
      </c>
      <c r="H702" t="s">
        <v>3354</v>
      </c>
      <c r="I702" s="2">
        <v>1000</v>
      </c>
      <c r="J702" s="2">
        <v>0</v>
      </c>
      <c r="K702" s="2">
        <v>0</v>
      </c>
      <c r="L702" s="3">
        <v>45854</v>
      </c>
      <c r="M702" s="3">
        <v>45854</v>
      </c>
      <c r="N702" s="3"/>
      <c r="O702" t="s">
        <v>3355</v>
      </c>
      <c r="P702" t="s">
        <v>9</v>
      </c>
      <c r="Q702" s="4">
        <v>0.65508101851851996</v>
      </c>
      <c r="R702" t="s">
        <v>5</v>
      </c>
      <c r="S702" t="s">
        <v>4</v>
      </c>
      <c r="T702" t="s">
        <v>2299</v>
      </c>
      <c r="U702" t="s">
        <v>10</v>
      </c>
      <c r="V702" s="5">
        <v>0</v>
      </c>
      <c r="W702" s="5">
        <v>0</v>
      </c>
      <c r="X702" s="2">
        <v>0</v>
      </c>
      <c r="Y702" t="s">
        <v>4</v>
      </c>
      <c r="Z702" t="s">
        <v>4</v>
      </c>
      <c r="AA702" t="s">
        <v>4</v>
      </c>
      <c r="AB702" t="s">
        <v>4</v>
      </c>
    </row>
    <row r="703" spans="1:28" x14ac:dyDescent="0.2">
      <c r="A703" t="s">
        <v>1346</v>
      </c>
      <c r="B703" t="s">
        <v>2</v>
      </c>
      <c r="C703" t="s">
        <v>3</v>
      </c>
      <c r="D703" t="s">
        <v>4</v>
      </c>
      <c r="E703" t="s">
        <v>4</v>
      </c>
      <c r="F703" t="s">
        <v>5</v>
      </c>
      <c r="G703" t="s">
        <v>6</v>
      </c>
      <c r="H703" t="s">
        <v>3354</v>
      </c>
      <c r="I703" s="2">
        <v>1000</v>
      </c>
      <c r="J703" s="2">
        <v>0</v>
      </c>
      <c r="K703" s="2">
        <v>0</v>
      </c>
      <c r="L703" s="3">
        <v>45854</v>
      </c>
      <c r="M703" s="3">
        <v>45854</v>
      </c>
      <c r="N703" s="3"/>
      <c r="O703" t="s">
        <v>3356</v>
      </c>
      <c r="P703" t="s">
        <v>9</v>
      </c>
      <c r="Q703" s="4">
        <v>0.65508101851851996</v>
      </c>
      <c r="R703" t="s">
        <v>5</v>
      </c>
      <c r="S703" t="s">
        <v>4</v>
      </c>
      <c r="T703" t="s">
        <v>2299</v>
      </c>
      <c r="U703" t="s">
        <v>10</v>
      </c>
      <c r="V703" s="5">
        <v>0</v>
      </c>
      <c r="W703" s="5">
        <v>0</v>
      </c>
      <c r="X703" s="2">
        <v>0</v>
      </c>
      <c r="Y703" t="s">
        <v>4</v>
      </c>
      <c r="Z703" t="s">
        <v>4</v>
      </c>
      <c r="AA703" t="s">
        <v>4</v>
      </c>
      <c r="AB703" t="s">
        <v>4</v>
      </c>
    </row>
    <row r="704" spans="1:28" x14ac:dyDescent="0.2">
      <c r="A704" t="s">
        <v>2008</v>
      </c>
      <c r="B704" t="s">
        <v>2</v>
      </c>
      <c r="C704" t="s">
        <v>3</v>
      </c>
      <c r="D704" t="s">
        <v>4</v>
      </c>
      <c r="E704" t="s">
        <v>4</v>
      </c>
      <c r="F704" t="s">
        <v>5</v>
      </c>
      <c r="G704" t="s">
        <v>6</v>
      </c>
      <c r="H704" t="s">
        <v>3357</v>
      </c>
      <c r="I704" s="2">
        <v>2520</v>
      </c>
      <c r="J704" s="2">
        <v>0</v>
      </c>
      <c r="K704" s="2">
        <v>0</v>
      </c>
      <c r="L704" s="3">
        <v>45839</v>
      </c>
      <c r="M704" s="3">
        <v>45839</v>
      </c>
      <c r="N704" s="3"/>
      <c r="O704" t="s">
        <v>3358</v>
      </c>
      <c r="P704" t="s">
        <v>9</v>
      </c>
      <c r="Q704" s="4">
        <v>0.55587962962963</v>
      </c>
      <c r="R704" t="s">
        <v>5</v>
      </c>
      <c r="S704" t="s">
        <v>4</v>
      </c>
      <c r="T704" t="s">
        <v>2312</v>
      </c>
      <c r="U704" t="s">
        <v>10</v>
      </c>
      <c r="V704" s="5">
        <v>0</v>
      </c>
      <c r="W704" s="5">
        <v>0</v>
      </c>
      <c r="X704" s="2">
        <v>0</v>
      </c>
      <c r="Y704" t="s">
        <v>4</v>
      </c>
      <c r="Z704" t="s">
        <v>4</v>
      </c>
      <c r="AA704" t="s">
        <v>4</v>
      </c>
      <c r="AB704" t="s">
        <v>4</v>
      </c>
    </row>
    <row r="705" spans="1:28" x14ac:dyDescent="0.2">
      <c r="A705" t="s">
        <v>2008</v>
      </c>
      <c r="B705" t="s">
        <v>2</v>
      </c>
      <c r="C705" t="s">
        <v>3</v>
      </c>
      <c r="D705" t="s">
        <v>4</v>
      </c>
      <c r="E705" t="s">
        <v>4</v>
      </c>
      <c r="F705" t="s">
        <v>5</v>
      </c>
      <c r="G705" t="s">
        <v>6</v>
      </c>
      <c r="H705" t="s">
        <v>3357</v>
      </c>
      <c r="I705" s="2">
        <v>2520</v>
      </c>
      <c r="J705" s="2">
        <v>0</v>
      </c>
      <c r="K705" s="2">
        <v>0</v>
      </c>
      <c r="L705" s="3">
        <v>45839</v>
      </c>
      <c r="M705" s="3">
        <v>45839</v>
      </c>
      <c r="N705" s="3"/>
      <c r="O705" t="s">
        <v>3359</v>
      </c>
      <c r="P705" t="s">
        <v>9</v>
      </c>
      <c r="Q705" s="4">
        <v>0.55587962962963</v>
      </c>
      <c r="R705" t="s">
        <v>5</v>
      </c>
      <c r="S705" t="s">
        <v>4</v>
      </c>
      <c r="T705" t="s">
        <v>2312</v>
      </c>
      <c r="U705" t="s">
        <v>10</v>
      </c>
      <c r="V705" s="5">
        <v>0</v>
      </c>
      <c r="W705" s="5">
        <v>0</v>
      </c>
      <c r="X705" s="2">
        <v>0</v>
      </c>
      <c r="Y705" t="s">
        <v>4</v>
      </c>
      <c r="Z705" t="s">
        <v>4</v>
      </c>
      <c r="AA705" t="s">
        <v>4</v>
      </c>
      <c r="AB705" t="s">
        <v>4</v>
      </c>
    </row>
    <row r="706" spans="1:28" x14ac:dyDescent="0.2">
      <c r="A706" t="s">
        <v>1135</v>
      </c>
      <c r="B706" t="s">
        <v>2</v>
      </c>
      <c r="C706" t="s">
        <v>3</v>
      </c>
      <c r="D706" t="s">
        <v>4</v>
      </c>
      <c r="E706" t="s">
        <v>4</v>
      </c>
      <c r="F706" t="s">
        <v>5</v>
      </c>
      <c r="G706" t="s">
        <v>21</v>
      </c>
      <c r="H706" t="s">
        <v>3360</v>
      </c>
      <c r="I706" s="2">
        <v>480</v>
      </c>
      <c r="J706" s="2">
        <v>0</v>
      </c>
      <c r="K706" s="2">
        <v>0</v>
      </c>
      <c r="L706" s="3">
        <v>45822</v>
      </c>
      <c r="M706" s="3">
        <v>45822</v>
      </c>
      <c r="N706" s="3"/>
      <c r="O706" t="s">
        <v>3361</v>
      </c>
      <c r="P706" t="s">
        <v>9</v>
      </c>
      <c r="Q706" s="4">
        <v>0.88820601851851999</v>
      </c>
      <c r="R706" t="s">
        <v>5</v>
      </c>
      <c r="S706" t="s">
        <v>4</v>
      </c>
      <c r="T706" t="s">
        <v>3122</v>
      </c>
      <c r="U706" t="s">
        <v>10</v>
      </c>
      <c r="V706" s="5">
        <v>0</v>
      </c>
      <c r="W706" s="5">
        <v>0</v>
      </c>
      <c r="X706" s="2">
        <v>0</v>
      </c>
      <c r="Y706" t="s">
        <v>4</v>
      </c>
      <c r="Z706" t="s">
        <v>4</v>
      </c>
      <c r="AA706" t="s">
        <v>4</v>
      </c>
      <c r="AB706" t="s">
        <v>4</v>
      </c>
    </row>
    <row r="707" spans="1:28" x14ac:dyDescent="0.2">
      <c r="A707" t="s">
        <v>1135</v>
      </c>
      <c r="B707" t="s">
        <v>2</v>
      </c>
      <c r="C707" t="s">
        <v>3</v>
      </c>
      <c r="D707" t="s">
        <v>4</v>
      </c>
      <c r="E707" t="s">
        <v>4</v>
      </c>
      <c r="F707" t="s">
        <v>5</v>
      </c>
      <c r="G707" t="s">
        <v>21</v>
      </c>
      <c r="H707" t="s">
        <v>3360</v>
      </c>
      <c r="I707" s="2">
        <v>480</v>
      </c>
      <c r="J707" s="2">
        <v>0</v>
      </c>
      <c r="K707" s="2">
        <v>0</v>
      </c>
      <c r="L707" s="3">
        <v>45822</v>
      </c>
      <c r="M707" s="3">
        <v>45822</v>
      </c>
      <c r="N707" s="3"/>
      <c r="O707" t="s">
        <v>3362</v>
      </c>
      <c r="P707" t="s">
        <v>9</v>
      </c>
      <c r="Q707" s="4">
        <v>0.88820601851851999</v>
      </c>
      <c r="R707" t="s">
        <v>5</v>
      </c>
      <c r="S707" t="s">
        <v>4</v>
      </c>
      <c r="T707" t="s">
        <v>3122</v>
      </c>
      <c r="U707" t="s">
        <v>10</v>
      </c>
      <c r="V707" s="5">
        <v>0</v>
      </c>
      <c r="W707" s="5">
        <v>0</v>
      </c>
      <c r="X707" s="2">
        <v>0</v>
      </c>
      <c r="Y707" t="s">
        <v>4</v>
      </c>
      <c r="Z707" t="s">
        <v>4</v>
      </c>
      <c r="AA707" t="s">
        <v>4</v>
      </c>
      <c r="AB707" t="s">
        <v>4</v>
      </c>
    </row>
    <row r="708" spans="1:28" x14ac:dyDescent="0.2">
      <c r="A708" t="s">
        <v>1895</v>
      </c>
      <c r="B708" t="s">
        <v>2</v>
      </c>
      <c r="C708" t="s">
        <v>3</v>
      </c>
      <c r="D708" t="s">
        <v>4</v>
      </c>
      <c r="E708" t="s">
        <v>4</v>
      </c>
      <c r="F708" t="s">
        <v>5</v>
      </c>
      <c r="G708" t="s">
        <v>21</v>
      </c>
      <c r="H708" t="s">
        <v>3363</v>
      </c>
      <c r="I708" s="2">
        <v>3600</v>
      </c>
      <c r="J708" s="2">
        <v>0</v>
      </c>
      <c r="K708" s="2">
        <v>0</v>
      </c>
      <c r="L708" s="3">
        <v>45847</v>
      </c>
      <c r="M708" s="3">
        <v>45847</v>
      </c>
      <c r="N708" s="3"/>
      <c r="O708" t="s">
        <v>3364</v>
      </c>
      <c r="P708" t="s">
        <v>9</v>
      </c>
      <c r="Q708" s="4">
        <v>0.64672453703704003</v>
      </c>
      <c r="R708" t="s">
        <v>5</v>
      </c>
      <c r="S708" t="s">
        <v>4</v>
      </c>
      <c r="T708" t="s">
        <v>2341</v>
      </c>
      <c r="U708" t="s">
        <v>10</v>
      </c>
      <c r="V708" s="5">
        <v>0</v>
      </c>
      <c r="W708" s="5">
        <v>0</v>
      </c>
      <c r="X708" s="2">
        <v>0</v>
      </c>
      <c r="Y708" t="s">
        <v>4</v>
      </c>
      <c r="Z708" t="s">
        <v>4</v>
      </c>
      <c r="AA708" t="s">
        <v>4</v>
      </c>
      <c r="AB708" t="s">
        <v>4</v>
      </c>
    </row>
    <row r="709" spans="1:28" x14ac:dyDescent="0.2">
      <c r="A709" t="s">
        <v>494</v>
      </c>
      <c r="B709" t="s">
        <v>2</v>
      </c>
      <c r="C709" t="s">
        <v>3</v>
      </c>
      <c r="D709" t="s">
        <v>4</v>
      </c>
      <c r="E709" t="s">
        <v>4</v>
      </c>
      <c r="F709" t="s">
        <v>5</v>
      </c>
      <c r="G709" t="s">
        <v>21</v>
      </c>
      <c r="H709" t="s">
        <v>3365</v>
      </c>
      <c r="I709" s="2">
        <v>864</v>
      </c>
      <c r="J709" s="2">
        <v>0</v>
      </c>
      <c r="K709" s="2">
        <v>0</v>
      </c>
      <c r="L709" s="3">
        <v>45776</v>
      </c>
      <c r="M709" s="3">
        <v>45776</v>
      </c>
      <c r="N709" s="3"/>
      <c r="O709" t="s">
        <v>3366</v>
      </c>
      <c r="P709" t="s">
        <v>9</v>
      </c>
      <c r="Q709" s="4">
        <v>0.74870370370369999</v>
      </c>
      <c r="R709" t="s">
        <v>5</v>
      </c>
      <c r="S709" t="s">
        <v>4</v>
      </c>
      <c r="T709" t="s">
        <v>2882</v>
      </c>
      <c r="U709" t="s">
        <v>10</v>
      </c>
      <c r="V709" s="5">
        <v>0</v>
      </c>
      <c r="W709" s="5">
        <v>0</v>
      </c>
      <c r="X709" s="2">
        <v>0</v>
      </c>
      <c r="Y709" t="s">
        <v>4</v>
      </c>
      <c r="Z709" t="s">
        <v>4</v>
      </c>
      <c r="AA709" t="s">
        <v>4</v>
      </c>
      <c r="AB709" t="s">
        <v>4</v>
      </c>
    </row>
    <row r="710" spans="1:28" x14ac:dyDescent="0.2">
      <c r="A710" t="s">
        <v>494</v>
      </c>
      <c r="B710" t="s">
        <v>2</v>
      </c>
      <c r="C710" t="s">
        <v>3</v>
      </c>
      <c r="D710" t="s">
        <v>4</v>
      </c>
      <c r="E710" t="s">
        <v>4</v>
      </c>
      <c r="F710" t="s">
        <v>5</v>
      </c>
      <c r="G710" t="s">
        <v>21</v>
      </c>
      <c r="H710" t="s">
        <v>3365</v>
      </c>
      <c r="I710" s="2">
        <v>1152</v>
      </c>
      <c r="J710" s="2">
        <v>0</v>
      </c>
      <c r="K710" s="2">
        <v>0</v>
      </c>
      <c r="L710" s="3">
        <v>45748</v>
      </c>
      <c r="M710" s="3">
        <v>45748</v>
      </c>
      <c r="N710" s="3"/>
      <c r="O710" t="s">
        <v>3367</v>
      </c>
      <c r="P710" t="s">
        <v>9</v>
      </c>
      <c r="Q710" s="4">
        <v>0.74870370370369999</v>
      </c>
      <c r="R710" t="s">
        <v>5</v>
      </c>
      <c r="S710" t="s">
        <v>4</v>
      </c>
      <c r="T710" t="s">
        <v>3368</v>
      </c>
      <c r="U710" t="s">
        <v>10</v>
      </c>
      <c r="V710" s="5">
        <v>0</v>
      </c>
      <c r="W710" s="5">
        <v>0</v>
      </c>
      <c r="X710" s="2">
        <v>0</v>
      </c>
      <c r="Y710" t="s">
        <v>4</v>
      </c>
      <c r="Z710" t="s">
        <v>4</v>
      </c>
      <c r="AA710" t="s">
        <v>4</v>
      </c>
      <c r="AB710" t="s">
        <v>4</v>
      </c>
    </row>
    <row r="711" spans="1:28" x14ac:dyDescent="0.2">
      <c r="A711" t="s">
        <v>1922</v>
      </c>
      <c r="B711" t="s">
        <v>2</v>
      </c>
      <c r="C711" t="s">
        <v>3</v>
      </c>
      <c r="D711" t="s">
        <v>4</v>
      </c>
      <c r="E711" t="s">
        <v>4</v>
      </c>
      <c r="F711" t="s">
        <v>5</v>
      </c>
      <c r="G711" t="s">
        <v>21</v>
      </c>
      <c r="H711" t="s">
        <v>3369</v>
      </c>
      <c r="I711" s="2">
        <v>330</v>
      </c>
      <c r="J711" s="2">
        <v>0</v>
      </c>
      <c r="K711" s="2">
        <v>0</v>
      </c>
      <c r="L711" s="3">
        <v>45847</v>
      </c>
      <c r="M711" s="3">
        <v>45847</v>
      </c>
      <c r="N711" s="3"/>
      <c r="O711" t="s">
        <v>3370</v>
      </c>
      <c r="P711" t="s">
        <v>9</v>
      </c>
      <c r="Q711" s="4">
        <v>0.61277777777777998</v>
      </c>
      <c r="R711" t="s">
        <v>5</v>
      </c>
      <c r="S711" t="s">
        <v>4</v>
      </c>
      <c r="T711" t="s">
        <v>2341</v>
      </c>
      <c r="U711" t="s">
        <v>10</v>
      </c>
      <c r="V711" s="5">
        <v>0</v>
      </c>
      <c r="W711" s="5">
        <v>0</v>
      </c>
      <c r="X711" s="2">
        <v>0</v>
      </c>
      <c r="Y711" t="s">
        <v>4</v>
      </c>
      <c r="Z711" t="s">
        <v>4</v>
      </c>
      <c r="AA711" t="s">
        <v>4</v>
      </c>
      <c r="AB711" t="s">
        <v>4</v>
      </c>
    </row>
    <row r="712" spans="1:28" x14ac:dyDescent="0.2">
      <c r="A712" t="s">
        <v>1922</v>
      </c>
      <c r="B712" t="s">
        <v>2</v>
      </c>
      <c r="C712" t="s">
        <v>3</v>
      </c>
      <c r="D712" t="s">
        <v>4</v>
      </c>
      <c r="E712" t="s">
        <v>4</v>
      </c>
      <c r="F712" t="s">
        <v>5</v>
      </c>
      <c r="G712" t="s">
        <v>21</v>
      </c>
      <c r="H712" t="s">
        <v>3369</v>
      </c>
      <c r="I712" s="2">
        <v>330</v>
      </c>
      <c r="J712" s="2">
        <v>0</v>
      </c>
      <c r="K712" s="2">
        <v>0</v>
      </c>
      <c r="L712" s="3">
        <v>45847</v>
      </c>
      <c r="M712" s="3">
        <v>45847</v>
      </c>
      <c r="N712" s="3"/>
      <c r="O712" t="s">
        <v>3371</v>
      </c>
      <c r="P712" t="s">
        <v>9</v>
      </c>
      <c r="Q712" s="4">
        <v>0.61277777777777998</v>
      </c>
      <c r="R712" t="s">
        <v>5</v>
      </c>
      <c r="S712" t="s">
        <v>4</v>
      </c>
      <c r="T712" t="s">
        <v>2341</v>
      </c>
      <c r="U712" t="s">
        <v>10</v>
      </c>
      <c r="V712" s="5">
        <v>0</v>
      </c>
      <c r="W712" s="5">
        <v>0</v>
      </c>
      <c r="X712" s="2">
        <v>0</v>
      </c>
      <c r="Y712" t="s">
        <v>4</v>
      </c>
      <c r="Z712" t="s">
        <v>4</v>
      </c>
      <c r="AA712" t="s">
        <v>4</v>
      </c>
      <c r="AB712" t="s">
        <v>4</v>
      </c>
    </row>
    <row r="713" spans="1:28" x14ac:dyDescent="0.2">
      <c r="A713" t="s">
        <v>2008</v>
      </c>
      <c r="B713" t="s">
        <v>2</v>
      </c>
      <c r="C713" t="s">
        <v>3</v>
      </c>
      <c r="D713" t="s">
        <v>4</v>
      </c>
      <c r="E713" t="s">
        <v>4</v>
      </c>
      <c r="F713" t="s">
        <v>5</v>
      </c>
      <c r="G713" t="s">
        <v>6</v>
      </c>
      <c r="H713" t="s">
        <v>3372</v>
      </c>
      <c r="I713" s="2">
        <v>2520</v>
      </c>
      <c r="J713" s="2">
        <v>0</v>
      </c>
      <c r="K713" s="2">
        <v>0</v>
      </c>
      <c r="L713" s="3">
        <v>45839</v>
      </c>
      <c r="M713" s="3">
        <v>45839</v>
      </c>
      <c r="N713" s="3"/>
      <c r="O713" t="s">
        <v>3373</v>
      </c>
      <c r="P713" t="s">
        <v>9</v>
      </c>
      <c r="Q713" s="4">
        <v>0.55611111111111</v>
      </c>
      <c r="R713" t="s">
        <v>5</v>
      </c>
      <c r="S713" t="s">
        <v>4</v>
      </c>
      <c r="T713" t="s">
        <v>2312</v>
      </c>
      <c r="U713" t="s">
        <v>10</v>
      </c>
      <c r="V713" s="5">
        <v>0</v>
      </c>
      <c r="W713" s="5">
        <v>0</v>
      </c>
      <c r="X713" s="2">
        <v>0</v>
      </c>
      <c r="Y713" t="s">
        <v>4</v>
      </c>
      <c r="Z713" t="s">
        <v>4</v>
      </c>
      <c r="AA713" t="s">
        <v>4</v>
      </c>
      <c r="AB713" t="s">
        <v>4</v>
      </c>
    </row>
    <row r="714" spans="1:28" x14ac:dyDescent="0.2">
      <c r="A714" t="s">
        <v>2008</v>
      </c>
      <c r="B714" t="s">
        <v>2</v>
      </c>
      <c r="C714" t="s">
        <v>3</v>
      </c>
      <c r="D714" t="s">
        <v>4</v>
      </c>
      <c r="E714" t="s">
        <v>4</v>
      </c>
      <c r="F714" t="s">
        <v>5</v>
      </c>
      <c r="G714" t="s">
        <v>6</v>
      </c>
      <c r="H714" t="s">
        <v>3372</v>
      </c>
      <c r="I714" s="2">
        <v>2520</v>
      </c>
      <c r="J714" s="2">
        <v>0</v>
      </c>
      <c r="K714" s="2">
        <v>0</v>
      </c>
      <c r="L714" s="3">
        <v>45839</v>
      </c>
      <c r="M714" s="3">
        <v>45839</v>
      </c>
      <c r="N714" s="3"/>
      <c r="O714" t="s">
        <v>3374</v>
      </c>
      <c r="P714" t="s">
        <v>9</v>
      </c>
      <c r="Q714" s="4">
        <v>0.55611111111111</v>
      </c>
      <c r="R714" t="s">
        <v>5</v>
      </c>
      <c r="S714" t="s">
        <v>4</v>
      </c>
      <c r="T714" t="s">
        <v>2312</v>
      </c>
      <c r="U714" t="s">
        <v>10</v>
      </c>
      <c r="V714" s="5">
        <v>0</v>
      </c>
      <c r="W714" s="5">
        <v>0</v>
      </c>
      <c r="X714" s="2">
        <v>0</v>
      </c>
      <c r="Y714" t="s">
        <v>4</v>
      </c>
      <c r="Z714" t="s">
        <v>4</v>
      </c>
      <c r="AA714" t="s">
        <v>4</v>
      </c>
      <c r="AB714" t="s">
        <v>4</v>
      </c>
    </row>
    <row r="715" spans="1:28" x14ac:dyDescent="0.2">
      <c r="A715" t="s">
        <v>0</v>
      </c>
      <c r="B715" t="s">
        <v>2</v>
      </c>
      <c r="C715" t="s">
        <v>3</v>
      </c>
      <c r="D715" t="s">
        <v>4</v>
      </c>
      <c r="E715" t="s">
        <v>4</v>
      </c>
      <c r="F715" t="s">
        <v>5</v>
      </c>
      <c r="G715" t="s">
        <v>6</v>
      </c>
      <c r="H715" t="s">
        <v>40</v>
      </c>
      <c r="I715" s="2">
        <v>196</v>
      </c>
      <c r="J715" s="2">
        <v>0</v>
      </c>
      <c r="K715" s="2">
        <v>0</v>
      </c>
      <c r="L715" s="3">
        <v>45820</v>
      </c>
      <c r="M715" s="3">
        <v>45820</v>
      </c>
      <c r="N715" s="3"/>
      <c r="O715" t="s">
        <v>42</v>
      </c>
      <c r="P715" t="s">
        <v>9</v>
      </c>
      <c r="Q715" s="4">
        <v>0.58163194444444</v>
      </c>
      <c r="R715" t="s">
        <v>5</v>
      </c>
      <c r="S715" t="s">
        <v>4</v>
      </c>
      <c r="T715" t="s">
        <v>3198</v>
      </c>
      <c r="U715" t="s">
        <v>10</v>
      </c>
      <c r="V715" s="5">
        <v>0</v>
      </c>
      <c r="W715" s="5">
        <v>0</v>
      </c>
      <c r="X715" s="2">
        <v>0</v>
      </c>
      <c r="Y715" t="s">
        <v>4</v>
      </c>
      <c r="Z715" t="s">
        <v>4</v>
      </c>
      <c r="AA715" t="s">
        <v>4</v>
      </c>
      <c r="AB715" t="s">
        <v>4</v>
      </c>
    </row>
    <row r="716" spans="1:28" x14ac:dyDescent="0.2">
      <c r="A716" t="s">
        <v>0</v>
      </c>
      <c r="B716" t="s">
        <v>2</v>
      </c>
      <c r="C716" t="s">
        <v>3</v>
      </c>
      <c r="D716" t="s">
        <v>4</v>
      </c>
      <c r="E716" t="s">
        <v>4</v>
      </c>
      <c r="F716" t="s">
        <v>5</v>
      </c>
      <c r="G716" t="s">
        <v>6</v>
      </c>
      <c r="H716" t="s">
        <v>40</v>
      </c>
      <c r="I716" s="2">
        <v>196</v>
      </c>
      <c r="J716" s="2">
        <v>0</v>
      </c>
      <c r="K716" s="2">
        <v>0</v>
      </c>
      <c r="L716" s="3">
        <v>45839</v>
      </c>
      <c r="M716" s="3">
        <v>45839</v>
      </c>
      <c r="N716" s="3"/>
      <c r="O716" t="s">
        <v>41</v>
      </c>
      <c r="P716" t="s">
        <v>9</v>
      </c>
      <c r="Q716" s="4">
        <v>0.58163194444444</v>
      </c>
      <c r="R716" t="s">
        <v>5</v>
      </c>
      <c r="S716" t="s">
        <v>4</v>
      </c>
      <c r="T716" t="s">
        <v>2312</v>
      </c>
      <c r="U716" t="s">
        <v>10</v>
      </c>
      <c r="V716" s="5">
        <v>0</v>
      </c>
      <c r="W716" s="5">
        <v>0</v>
      </c>
      <c r="X716" s="2">
        <v>0</v>
      </c>
      <c r="Y716" t="s">
        <v>4</v>
      </c>
      <c r="Z716" t="s">
        <v>4</v>
      </c>
      <c r="AA716" t="s">
        <v>4</v>
      </c>
      <c r="AB716" t="s">
        <v>4</v>
      </c>
    </row>
    <row r="717" spans="1:28" x14ac:dyDescent="0.2">
      <c r="A717" t="s">
        <v>285</v>
      </c>
      <c r="B717" t="s">
        <v>2</v>
      </c>
      <c r="C717" t="s">
        <v>3</v>
      </c>
      <c r="D717" t="s">
        <v>4</v>
      </c>
      <c r="E717" t="s">
        <v>4</v>
      </c>
      <c r="F717" t="s">
        <v>5</v>
      </c>
      <c r="G717" t="s">
        <v>6</v>
      </c>
      <c r="H717" t="s">
        <v>3375</v>
      </c>
      <c r="I717" s="2">
        <v>30</v>
      </c>
      <c r="J717" s="2">
        <v>0</v>
      </c>
      <c r="K717" s="2">
        <v>0</v>
      </c>
      <c r="L717" s="3">
        <v>45805</v>
      </c>
      <c r="M717" s="3">
        <v>45805</v>
      </c>
      <c r="N717" s="3"/>
      <c r="O717" t="s">
        <v>3376</v>
      </c>
      <c r="P717" t="s">
        <v>9</v>
      </c>
      <c r="Q717" s="4">
        <v>0.64945601851851997</v>
      </c>
      <c r="R717" t="s">
        <v>5</v>
      </c>
      <c r="S717" t="s">
        <v>4</v>
      </c>
      <c r="T717" t="s">
        <v>3377</v>
      </c>
      <c r="U717" t="s">
        <v>10</v>
      </c>
      <c r="V717" s="5">
        <v>0</v>
      </c>
      <c r="W717" s="5">
        <v>0</v>
      </c>
      <c r="X717" s="2">
        <v>0</v>
      </c>
      <c r="Y717" t="s">
        <v>4</v>
      </c>
      <c r="Z717" t="s">
        <v>4</v>
      </c>
      <c r="AA717" t="s">
        <v>4</v>
      </c>
      <c r="AB717" t="s">
        <v>4</v>
      </c>
    </row>
    <row r="718" spans="1:28" x14ac:dyDescent="0.2">
      <c r="A718" t="s">
        <v>1142</v>
      </c>
      <c r="B718" t="s">
        <v>2</v>
      </c>
      <c r="C718" t="s">
        <v>3</v>
      </c>
      <c r="D718" t="s">
        <v>4</v>
      </c>
      <c r="E718" t="s">
        <v>4</v>
      </c>
      <c r="F718" t="s">
        <v>5</v>
      </c>
      <c r="G718" t="s">
        <v>6</v>
      </c>
      <c r="H718" t="s">
        <v>3378</v>
      </c>
      <c r="I718" s="2">
        <v>450</v>
      </c>
      <c r="J718" s="2">
        <v>0</v>
      </c>
      <c r="K718" s="2">
        <v>0</v>
      </c>
      <c r="L718" s="3">
        <v>45686</v>
      </c>
      <c r="M718" s="3">
        <v>45686</v>
      </c>
      <c r="N718" s="3"/>
      <c r="O718" t="s">
        <v>3379</v>
      </c>
      <c r="P718" t="s">
        <v>9</v>
      </c>
      <c r="Q718" s="4">
        <v>0.3780787037037</v>
      </c>
      <c r="R718" t="s">
        <v>5</v>
      </c>
      <c r="S718" t="s">
        <v>4</v>
      </c>
      <c r="T718" t="s">
        <v>2718</v>
      </c>
      <c r="U718" t="s">
        <v>10</v>
      </c>
      <c r="V718" s="5">
        <v>0</v>
      </c>
      <c r="W718" s="5">
        <v>0</v>
      </c>
      <c r="X718" s="2">
        <v>0</v>
      </c>
      <c r="Y718" t="s">
        <v>4</v>
      </c>
      <c r="Z718" t="s">
        <v>4</v>
      </c>
      <c r="AA718" t="s">
        <v>4</v>
      </c>
      <c r="AB718" t="s">
        <v>4</v>
      </c>
    </row>
    <row r="719" spans="1:28" x14ac:dyDescent="0.2">
      <c r="A719" t="s">
        <v>1142</v>
      </c>
      <c r="B719" t="s">
        <v>2</v>
      </c>
      <c r="C719" t="s">
        <v>3</v>
      </c>
      <c r="D719" t="s">
        <v>4</v>
      </c>
      <c r="E719" t="s">
        <v>4</v>
      </c>
      <c r="F719" t="s">
        <v>5</v>
      </c>
      <c r="G719" t="s">
        <v>6</v>
      </c>
      <c r="H719" t="s">
        <v>3378</v>
      </c>
      <c r="I719" s="2">
        <v>450</v>
      </c>
      <c r="J719" s="2">
        <v>0</v>
      </c>
      <c r="K719" s="2">
        <v>0</v>
      </c>
      <c r="L719" s="3">
        <v>45686</v>
      </c>
      <c r="M719" s="3">
        <v>45686</v>
      </c>
      <c r="N719" s="3"/>
      <c r="O719" t="s">
        <v>3380</v>
      </c>
      <c r="P719" t="s">
        <v>9</v>
      </c>
      <c r="Q719" s="4">
        <v>0.3780787037037</v>
      </c>
      <c r="R719" t="s">
        <v>5</v>
      </c>
      <c r="S719" t="s">
        <v>4</v>
      </c>
      <c r="T719" t="s">
        <v>2718</v>
      </c>
      <c r="U719" t="s">
        <v>10</v>
      </c>
      <c r="V719" s="5">
        <v>0</v>
      </c>
      <c r="W719" s="5">
        <v>0</v>
      </c>
      <c r="X719" s="2">
        <v>0</v>
      </c>
      <c r="Y719" t="s">
        <v>4</v>
      </c>
      <c r="Z719" t="s">
        <v>4</v>
      </c>
      <c r="AA719" t="s">
        <v>4</v>
      </c>
      <c r="AB719" t="s">
        <v>4</v>
      </c>
    </row>
    <row r="720" spans="1:28" x14ac:dyDescent="0.2">
      <c r="A720" t="s">
        <v>331</v>
      </c>
      <c r="B720" t="s">
        <v>2</v>
      </c>
      <c r="C720" t="s">
        <v>3</v>
      </c>
      <c r="D720" t="s">
        <v>4</v>
      </c>
      <c r="E720" t="s">
        <v>4</v>
      </c>
      <c r="F720" t="s">
        <v>5</v>
      </c>
      <c r="G720" t="s">
        <v>21</v>
      </c>
      <c r="H720" t="s">
        <v>3381</v>
      </c>
      <c r="I720" s="2">
        <v>1260</v>
      </c>
      <c r="J720" s="2">
        <v>0</v>
      </c>
      <c r="K720" s="2">
        <v>0</v>
      </c>
      <c r="L720" s="3">
        <v>45810</v>
      </c>
      <c r="M720" s="3">
        <v>45810</v>
      </c>
      <c r="N720" s="3"/>
      <c r="O720" t="s">
        <v>3382</v>
      </c>
      <c r="P720" t="s">
        <v>9</v>
      </c>
      <c r="Q720" s="4">
        <v>0.59476851851851997</v>
      </c>
      <c r="R720" t="s">
        <v>5</v>
      </c>
      <c r="S720" t="s">
        <v>4</v>
      </c>
      <c r="T720" t="s">
        <v>3383</v>
      </c>
      <c r="U720" t="s">
        <v>10</v>
      </c>
      <c r="V720" s="5">
        <v>0</v>
      </c>
      <c r="W720" s="5">
        <v>0</v>
      </c>
      <c r="X720" s="2">
        <v>0</v>
      </c>
      <c r="Y720" t="s">
        <v>4</v>
      </c>
      <c r="Z720" t="s">
        <v>4</v>
      </c>
      <c r="AA720" t="s">
        <v>4</v>
      </c>
      <c r="AB720" t="s">
        <v>4</v>
      </c>
    </row>
    <row r="721" spans="1:28" x14ac:dyDescent="0.2">
      <c r="A721" t="s">
        <v>331</v>
      </c>
      <c r="B721" t="s">
        <v>2</v>
      </c>
      <c r="C721" t="s">
        <v>3</v>
      </c>
      <c r="D721" t="s">
        <v>4</v>
      </c>
      <c r="E721" t="s">
        <v>4</v>
      </c>
      <c r="F721" t="s">
        <v>5</v>
      </c>
      <c r="G721" t="s">
        <v>21</v>
      </c>
      <c r="H721" t="s">
        <v>3381</v>
      </c>
      <c r="I721" s="2">
        <v>1260</v>
      </c>
      <c r="J721" s="2">
        <v>0</v>
      </c>
      <c r="K721" s="2">
        <v>0</v>
      </c>
      <c r="L721" s="3">
        <v>45810</v>
      </c>
      <c r="M721" s="3">
        <v>45810</v>
      </c>
      <c r="N721" s="3"/>
      <c r="O721" t="s">
        <v>3384</v>
      </c>
      <c r="P721" t="s">
        <v>9</v>
      </c>
      <c r="Q721" s="4">
        <v>0.59476851851851997</v>
      </c>
      <c r="R721" t="s">
        <v>5</v>
      </c>
      <c r="S721" t="s">
        <v>4</v>
      </c>
      <c r="T721" t="s">
        <v>3383</v>
      </c>
      <c r="U721" t="s">
        <v>10</v>
      </c>
      <c r="V721" s="5">
        <v>0</v>
      </c>
      <c r="W721" s="5">
        <v>0</v>
      </c>
      <c r="X721" s="2">
        <v>0</v>
      </c>
      <c r="Y721" t="s">
        <v>4</v>
      </c>
      <c r="Z721" t="s">
        <v>4</v>
      </c>
      <c r="AA721" t="s">
        <v>4</v>
      </c>
      <c r="AB721" t="s">
        <v>4</v>
      </c>
    </row>
    <row r="722" spans="1:28" x14ac:dyDescent="0.2">
      <c r="A722" t="s">
        <v>1924</v>
      </c>
      <c r="B722" t="s">
        <v>2</v>
      </c>
      <c r="C722" t="s">
        <v>3</v>
      </c>
      <c r="D722" t="s">
        <v>4</v>
      </c>
      <c r="E722" t="s">
        <v>4</v>
      </c>
      <c r="F722" t="s">
        <v>5</v>
      </c>
      <c r="G722" t="s">
        <v>21</v>
      </c>
      <c r="H722" t="s">
        <v>3385</v>
      </c>
      <c r="I722" s="2">
        <v>220</v>
      </c>
      <c r="J722" s="2">
        <v>0</v>
      </c>
      <c r="K722" s="2">
        <v>0</v>
      </c>
      <c r="L722" s="3">
        <v>45843</v>
      </c>
      <c r="M722" s="3">
        <v>45843</v>
      </c>
      <c r="N722" s="3"/>
      <c r="O722" t="s">
        <v>3386</v>
      </c>
      <c r="P722" t="s">
        <v>9</v>
      </c>
      <c r="Q722" s="4">
        <v>0.64082175925925999</v>
      </c>
      <c r="R722" t="s">
        <v>5</v>
      </c>
      <c r="S722" t="s">
        <v>4</v>
      </c>
      <c r="T722" t="s">
        <v>2783</v>
      </c>
      <c r="U722" t="s">
        <v>10</v>
      </c>
      <c r="V722" s="5">
        <v>0</v>
      </c>
      <c r="W722" s="5">
        <v>0</v>
      </c>
      <c r="X722" s="2">
        <v>0</v>
      </c>
      <c r="Y722" t="s">
        <v>4</v>
      </c>
      <c r="Z722" t="s">
        <v>4</v>
      </c>
      <c r="AA722" t="s">
        <v>4</v>
      </c>
      <c r="AB722" t="s">
        <v>4</v>
      </c>
    </row>
    <row r="723" spans="1:28" x14ac:dyDescent="0.2">
      <c r="A723" t="s">
        <v>1924</v>
      </c>
      <c r="B723" t="s">
        <v>2</v>
      </c>
      <c r="C723" t="s">
        <v>3</v>
      </c>
      <c r="D723" t="s">
        <v>4</v>
      </c>
      <c r="E723" t="s">
        <v>4</v>
      </c>
      <c r="F723" t="s">
        <v>5</v>
      </c>
      <c r="G723" t="s">
        <v>21</v>
      </c>
      <c r="H723" t="s">
        <v>3385</v>
      </c>
      <c r="I723" s="2">
        <v>176</v>
      </c>
      <c r="J723" s="2">
        <v>0</v>
      </c>
      <c r="K723" s="2">
        <v>0</v>
      </c>
      <c r="L723" s="3">
        <v>45843</v>
      </c>
      <c r="M723" s="3">
        <v>45843</v>
      </c>
      <c r="N723" s="3"/>
      <c r="O723" t="s">
        <v>3387</v>
      </c>
      <c r="P723" t="s">
        <v>9</v>
      </c>
      <c r="Q723" s="4">
        <v>0.64082175925925999</v>
      </c>
      <c r="R723" t="s">
        <v>5</v>
      </c>
      <c r="S723" t="s">
        <v>4</v>
      </c>
      <c r="T723" t="s">
        <v>2783</v>
      </c>
      <c r="U723" t="s">
        <v>10</v>
      </c>
      <c r="V723" s="5">
        <v>0</v>
      </c>
      <c r="W723" s="5">
        <v>0</v>
      </c>
      <c r="X723" s="2">
        <v>0</v>
      </c>
      <c r="Y723" t="s">
        <v>4</v>
      </c>
      <c r="Z723" t="s">
        <v>4</v>
      </c>
      <c r="AA723" t="s">
        <v>4</v>
      </c>
      <c r="AB723" t="s">
        <v>4</v>
      </c>
    </row>
    <row r="724" spans="1:28" x14ac:dyDescent="0.2">
      <c r="A724" t="s">
        <v>1822</v>
      </c>
      <c r="B724" t="s">
        <v>2</v>
      </c>
      <c r="C724" t="s">
        <v>3</v>
      </c>
      <c r="D724" t="s">
        <v>4</v>
      </c>
      <c r="E724" t="s">
        <v>4</v>
      </c>
      <c r="F724" t="s">
        <v>5</v>
      </c>
      <c r="G724" t="s">
        <v>21</v>
      </c>
      <c r="H724" t="s">
        <v>3388</v>
      </c>
      <c r="I724" s="2">
        <v>480</v>
      </c>
      <c r="J724" s="2">
        <v>0</v>
      </c>
      <c r="K724" s="2">
        <v>0</v>
      </c>
      <c r="L724" s="3">
        <v>45855</v>
      </c>
      <c r="M724" s="3">
        <v>45855</v>
      </c>
      <c r="N724" s="3"/>
      <c r="O724" t="s">
        <v>3389</v>
      </c>
      <c r="P724" t="s">
        <v>9</v>
      </c>
      <c r="Q724" s="4">
        <v>0.81300925925926004</v>
      </c>
      <c r="R724" t="s">
        <v>5</v>
      </c>
      <c r="S724" t="s">
        <v>4</v>
      </c>
      <c r="T724" t="s">
        <v>2350</v>
      </c>
      <c r="U724" t="s">
        <v>10</v>
      </c>
      <c r="V724" s="5">
        <v>0</v>
      </c>
      <c r="W724" s="5">
        <v>0</v>
      </c>
      <c r="X724" s="2">
        <v>0</v>
      </c>
      <c r="Y724" t="s">
        <v>4</v>
      </c>
      <c r="Z724" t="s">
        <v>4</v>
      </c>
      <c r="AA724" t="s">
        <v>4</v>
      </c>
      <c r="AB724" t="s">
        <v>4</v>
      </c>
    </row>
    <row r="725" spans="1:28" x14ac:dyDescent="0.2">
      <c r="A725" t="s">
        <v>1822</v>
      </c>
      <c r="B725" t="s">
        <v>2</v>
      </c>
      <c r="C725" t="s">
        <v>3</v>
      </c>
      <c r="D725" t="s">
        <v>4</v>
      </c>
      <c r="E725" t="s">
        <v>4</v>
      </c>
      <c r="F725" t="s">
        <v>5</v>
      </c>
      <c r="G725" t="s">
        <v>21</v>
      </c>
      <c r="H725" t="s">
        <v>3388</v>
      </c>
      <c r="I725" s="2">
        <v>320</v>
      </c>
      <c r="J725" s="2">
        <v>0</v>
      </c>
      <c r="K725" s="2">
        <v>0</v>
      </c>
      <c r="L725" s="3">
        <v>45856</v>
      </c>
      <c r="M725" s="3">
        <v>45856</v>
      </c>
      <c r="N725" s="3"/>
      <c r="O725" t="s">
        <v>3390</v>
      </c>
      <c r="P725" t="s">
        <v>9</v>
      </c>
      <c r="Q725" s="4">
        <v>0.81300925925926004</v>
      </c>
      <c r="R725" t="s">
        <v>5</v>
      </c>
      <c r="S725" t="s">
        <v>4</v>
      </c>
      <c r="T725" t="s">
        <v>2260</v>
      </c>
      <c r="U725" t="s">
        <v>10</v>
      </c>
      <c r="V725" s="5">
        <v>0</v>
      </c>
      <c r="W725" s="5">
        <v>0</v>
      </c>
      <c r="X725" s="2">
        <v>0</v>
      </c>
      <c r="Y725" t="s">
        <v>4</v>
      </c>
      <c r="Z725" t="s">
        <v>4</v>
      </c>
      <c r="AA725" t="s">
        <v>4</v>
      </c>
      <c r="AB725" t="s">
        <v>4</v>
      </c>
    </row>
    <row r="726" spans="1:28" x14ac:dyDescent="0.2">
      <c r="A726" t="s">
        <v>1142</v>
      </c>
      <c r="B726" t="s">
        <v>2</v>
      </c>
      <c r="C726" t="s">
        <v>3</v>
      </c>
      <c r="D726" t="s">
        <v>4</v>
      </c>
      <c r="E726" t="s">
        <v>4</v>
      </c>
      <c r="F726" t="s">
        <v>5</v>
      </c>
      <c r="G726" t="s">
        <v>21</v>
      </c>
      <c r="H726" t="s">
        <v>3391</v>
      </c>
      <c r="I726" s="2">
        <v>450</v>
      </c>
      <c r="J726" s="2">
        <v>0</v>
      </c>
      <c r="K726" s="2">
        <v>0</v>
      </c>
      <c r="L726" s="3">
        <v>45832</v>
      </c>
      <c r="M726" s="3">
        <v>45832</v>
      </c>
      <c r="N726" s="3"/>
      <c r="O726" t="s">
        <v>3392</v>
      </c>
      <c r="P726" t="s">
        <v>9</v>
      </c>
      <c r="Q726" s="4">
        <v>0.94438657407407001</v>
      </c>
      <c r="R726" t="s">
        <v>5</v>
      </c>
      <c r="S726" t="s">
        <v>4</v>
      </c>
      <c r="T726" t="s">
        <v>2665</v>
      </c>
      <c r="U726" t="s">
        <v>10</v>
      </c>
      <c r="V726" s="5">
        <v>0</v>
      </c>
      <c r="W726" s="5">
        <v>0</v>
      </c>
      <c r="X726" s="2">
        <v>0</v>
      </c>
      <c r="Y726" t="s">
        <v>4</v>
      </c>
      <c r="Z726" t="s">
        <v>4</v>
      </c>
      <c r="AA726" t="s">
        <v>4</v>
      </c>
      <c r="AB726" t="s">
        <v>4</v>
      </c>
    </row>
    <row r="727" spans="1:28" x14ac:dyDescent="0.2">
      <c r="A727" t="s">
        <v>1142</v>
      </c>
      <c r="B727" t="s">
        <v>2</v>
      </c>
      <c r="C727" t="s">
        <v>3</v>
      </c>
      <c r="D727" t="s">
        <v>4</v>
      </c>
      <c r="E727" t="s">
        <v>4</v>
      </c>
      <c r="F727" t="s">
        <v>5</v>
      </c>
      <c r="G727" t="s">
        <v>21</v>
      </c>
      <c r="H727" t="s">
        <v>3391</v>
      </c>
      <c r="I727" s="2">
        <v>290</v>
      </c>
      <c r="J727" s="2">
        <v>0</v>
      </c>
      <c r="K727" s="2">
        <v>0</v>
      </c>
      <c r="L727" s="3">
        <v>45678</v>
      </c>
      <c r="M727" s="3">
        <v>45678</v>
      </c>
      <c r="N727" s="3"/>
      <c r="O727" t="s">
        <v>3393</v>
      </c>
      <c r="P727" t="s">
        <v>9</v>
      </c>
      <c r="Q727" s="4">
        <v>0.94438657407407001</v>
      </c>
      <c r="R727" t="s">
        <v>5</v>
      </c>
      <c r="S727" t="s">
        <v>4</v>
      </c>
      <c r="T727" t="s">
        <v>3394</v>
      </c>
      <c r="U727" t="s">
        <v>10</v>
      </c>
      <c r="V727" s="5">
        <v>0</v>
      </c>
      <c r="W727" s="5">
        <v>0</v>
      </c>
      <c r="X727" s="2">
        <v>0</v>
      </c>
      <c r="Y727" t="s">
        <v>4</v>
      </c>
      <c r="Z727" t="s">
        <v>4</v>
      </c>
      <c r="AA727" t="s">
        <v>4</v>
      </c>
      <c r="AB727" t="s">
        <v>4</v>
      </c>
    </row>
    <row r="728" spans="1:28" x14ac:dyDescent="0.2">
      <c r="A728" t="s">
        <v>1168</v>
      </c>
      <c r="B728" t="s">
        <v>2</v>
      </c>
      <c r="C728" t="s">
        <v>3</v>
      </c>
      <c r="D728" t="s">
        <v>4</v>
      </c>
      <c r="E728" t="s">
        <v>4</v>
      </c>
      <c r="F728" t="s">
        <v>5</v>
      </c>
      <c r="G728" t="s">
        <v>6</v>
      </c>
      <c r="H728" t="s">
        <v>3395</v>
      </c>
      <c r="I728" s="2">
        <v>7200</v>
      </c>
      <c r="J728" s="2">
        <v>0</v>
      </c>
      <c r="K728" s="2">
        <v>0</v>
      </c>
      <c r="L728" s="3">
        <v>45855</v>
      </c>
      <c r="M728" s="3">
        <v>45855</v>
      </c>
      <c r="N728" s="3"/>
      <c r="O728" t="s">
        <v>3396</v>
      </c>
      <c r="P728" t="s">
        <v>9</v>
      </c>
      <c r="Q728" s="4">
        <v>0.88357638888889001</v>
      </c>
      <c r="R728" t="s">
        <v>5</v>
      </c>
      <c r="S728" t="s">
        <v>4</v>
      </c>
      <c r="T728" t="s">
        <v>2350</v>
      </c>
      <c r="U728" t="s">
        <v>10</v>
      </c>
      <c r="V728" s="5">
        <v>0</v>
      </c>
      <c r="W728" s="5">
        <v>0</v>
      </c>
      <c r="X728" s="2">
        <v>0</v>
      </c>
      <c r="Y728" t="s">
        <v>4</v>
      </c>
      <c r="Z728" t="s">
        <v>4</v>
      </c>
      <c r="AA728" t="s">
        <v>4</v>
      </c>
      <c r="AB728" t="s">
        <v>4</v>
      </c>
    </row>
    <row r="729" spans="1:28" x14ac:dyDescent="0.2">
      <c r="A729" t="s">
        <v>1168</v>
      </c>
      <c r="B729" t="s">
        <v>2</v>
      </c>
      <c r="C729" t="s">
        <v>3</v>
      </c>
      <c r="D729" t="s">
        <v>4</v>
      </c>
      <c r="E729" t="s">
        <v>4</v>
      </c>
      <c r="F729" t="s">
        <v>5</v>
      </c>
      <c r="G729" t="s">
        <v>6</v>
      </c>
      <c r="H729" t="s">
        <v>3395</v>
      </c>
      <c r="I729" s="2">
        <v>800</v>
      </c>
      <c r="J729" s="2">
        <v>0</v>
      </c>
      <c r="K729" s="2">
        <v>0</v>
      </c>
      <c r="L729" s="3">
        <v>45842</v>
      </c>
      <c r="M729" s="3">
        <v>45842</v>
      </c>
      <c r="N729" s="3"/>
      <c r="O729" t="s">
        <v>3397</v>
      </c>
      <c r="P729" t="s">
        <v>9</v>
      </c>
      <c r="Q729" s="4">
        <v>0.88357638888889001</v>
      </c>
      <c r="R729" t="s">
        <v>5</v>
      </c>
      <c r="S729" t="s">
        <v>4</v>
      </c>
      <c r="T729" t="s">
        <v>2610</v>
      </c>
      <c r="U729" t="s">
        <v>10</v>
      </c>
      <c r="V729" s="5">
        <v>0</v>
      </c>
      <c r="W729" s="5">
        <v>0</v>
      </c>
      <c r="X729" s="2">
        <v>0</v>
      </c>
      <c r="Y729" t="s">
        <v>4</v>
      </c>
      <c r="Z729" t="s">
        <v>4</v>
      </c>
      <c r="AA729" t="s">
        <v>4</v>
      </c>
      <c r="AB729" t="s">
        <v>4</v>
      </c>
    </row>
    <row r="730" spans="1:28" x14ac:dyDescent="0.2">
      <c r="A730" t="s">
        <v>1815</v>
      </c>
      <c r="B730" t="s">
        <v>2</v>
      </c>
      <c r="C730" t="s">
        <v>3</v>
      </c>
      <c r="D730" t="s">
        <v>4</v>
      </c>
      <c r="E730" t="s">
        <v>4</v>
      </c>
      <c r="F730" t="s">
        <v>5</v>
      </c>
      <c r="G730" t="s">
        <v>6</v>
      </c>
      <c r="H730" t="s">
        <v>3398</v>
      </c>
      <c r="I730" s="2">
        <v>8208</v>
      </c>
      <c r="J730" s="2">
        <v>0</v>
      </c>
      <c r="K730" s="2">
        <v>0</v>
      </c>
      <c r="L730" s="3">
        <v>45835</v>
      </c>
      <c r="M730" s="3">
        <v>45835</v>
      </c>
      <c r="N730" s="3"/>
      <c r="O730" t="s">
        <v>3399</v>
      </c>
      <c r="P730" t="s">
        <v>9</v>
      </c>
      <c r="Q730" s="4">
        <v>0.76696759259258995</v>
      </c>
      <c r="R730" t="s">
        <v>5</v>
      </c>
      <c r="S730" t="s">
        <v>4</v>
      </c>
      <c r="T730" t="s">
        <v>2928</v>
      </c>
      <c r="U730" t="s">
        <v>10</v>
      </c>
      <c r="V730" s="5">
        <v>0</v>
      </c>
      <c r="W730" s="5">
        <v>0</v>
      </c>
      <c r="X730" s="2">
        <v>0</v>
      </c>
      <c r="Y730" t="s">
        <v>4</v>
      </c>
      <c r="Z730" t="s">
        <v>4</v>
      </c>
      <c r="AA730" t="s">
        <v>4</v>
      </c>
      <c r="AB730" t="s">
        <v>4</v>
      </c>
    </row>
    <row r="731" spans="1:28" x14ac:dyDescent="0.2">
      <c r="A731" t="s">
        <v>2030</v>
      </c>
      <c r="B731" t="s">
        <v>2</v>
      </c>
      <c r="C731" t="s">
        <v>3</v>
      </c>
      <c r="D731" t="s">
        <v>4</v>
      </c>
      <c r="E731" t="s">
        <v>4</v>
      </c>
      <c r="F731" t="s">
        <v>5</v>
      </c>
      <c r="G731" t="s">
        <v>6</v>
      </c>
      <c r="H731" t="s">
        <v>3400</v>
      </c>
      <c r="I731" s="2">
        <v>1260</v>
      </c>
      <c r="J731" s="2">
        <v>0</v>
      </c>
      <c r="K731" s="2">
        <v>0</v>
      </c>
      <c r="L731" s="3">
        <v>45843</v>
      </c>
      <c r="M731" s="3">
        <v>45843</v>
      </c>
      <c r="N731" s="3"/>
      <c r="O731" t="s">
        <v>3401</v>
      </c>
      <c r="P731" t="s">
        <v>9</v>
      </c>
      <c r="Q731" s="4">
        <v>0.56850694444444005</v>
      </c>
      <c r="R731" t="s">
        <v>5</v>
      </c>
      <c r="S731" t="s">
        <v>4</v>
      </c>
      <c r="T731" t="s">
        <v>2783</v>
      </c>
      <c r="U731" t="s">
        <v>10</v>
      </c>
      <c r="V731" s="5">
        <v>0</v>
      </c>
      <c r="W731" s="5">
        <v>0</v>
      </c>
      <c r="X731" s="2">
        <v>0</v>
      </c>
      <c r="Y731" t="s">
        <v>4</v>
      </c>
      <c r="Z731" t="s">
        <v>4</v>
      </c>
      <c r="AA731" t="s">
        <v>4</v>
      </c>
      <c r="AB731" t="s">
        <v>4</v>
      </c>
    </row>
    <row r="732" spans="1:28" x14ac:dyDescent="0.2">
      <c r="A732" t="s">
        <v>2030</v>
      </c>
      <c r="B732" t="s">
        <v>2</v>
      </c>
      <c r="C732" t="s">
        <v>3</v>
      </c>
      <c r="D732" t="s">
        <v>4</v>
      </c>
      <c r="E732" t="s">
        <v>4</v>
      </c>
      <c r="F732" t="s">
        <v>5</v>
      </c>
      <c r="G732" t="s">
        <v>6</v>
      </c>
      <c r="H732" t="s">
        <v>3400</v>
      </c>
      <c r="I732" s="2">
        <v>1260</v>
      </c>
      <c r="J732" s="2">
        <v>0</v>
      </c>
      <c r="K732" s="2">
        <v>0</v>
      </c>
      <c r="L732" s="3">
        <v>45843</v>
      </c>
      <c r="M732" s="3">
        <v>45843</v>
      </c>
      <c r="N732" s="3"/>
      <c r="O732" t="s">
        <v>3402</v>
      </c>
      <c r="P732" t="s">
        <v>9</v>
      </c>
      <c r="Q732" s="4">
        <v>0.56850694444444005</v>
      </c>
      <c r="R732" t="s">
        <v>5</v>
      </c>
      <c r="S732" t="s">
        <v>4</v>
      </c>
      <c r="T732" t="s">
        <v>2783</v>
      </c>
      <c r="U732" t="s">
        <v>10</v>
      </c>
      <c r="V732" s="5">
        <v>0</v>
      </c>
      <c r="W732" s="5">
        <v>0</v>
      </c>
      <c r="X732" s="2">
        <v>0</v>
      </c>
      <c r="Y732" t="s">
        <v>4</v>
      </c>
      <c r="Z732" t="s">
        <v>4</v>
      </c>
      <c r="AA732" t="s">
        <v>4</v>
      </c>
      <c r="AB732" t="s">
        <v>4</v>
      </c>
    </row>
    <row r="733" spans="1:28" x14ac:dyDescent="0.2">
      <c r="A733" t="s">
        <v>641</v>
      </c>
      <c r="B733" t="s">
        <v>2</v>
      </c>
      <c r="C733" t="s">
        <v>3</v>
      </c>
      <c r="D733" t="s">
        <v>4</v>
      </c>
      <c r="E733" t="s">
        <v>4</v>
      </c>
      <c r="F733" t="s">
        <v>5</v>
      </c>
      <c r="G733" t="s">
        <v>6</v>
      </c>
      <c r="H733" t="s">
        <v>3403</v>
      </c>
      <c r="I733" s="2">
        <v>2304</v>
      </c>
      <c r="J733" s="2">
        <v>0</v>
      </c>
      <c r="K733" s="2">
        <v>0</v>
      </c>
      <c r="L733" s="3">
        <v>45785</v>
      </c>
      <c r="M733" s="3">
        <v>45785</v>
      </c>
      <c r="N733" s="3"/>
      <c r="O733" t="s">
        <v>3404</v>
      </c>
      <c r="P733" t="s">
        <v>9</v>
      </c>
      <c r="Q733" s="4">
        <v>0.98265046296295999</v>
      </c>
      <c r="R733" t="s">
        <v>5</v>
      </c>
      <c r="S733" t="s">
        <v>4</v>
      </c>
      <c r="T733" t="s">
        <v>2780</v>
      </c>
      <c r="U733" t="s">
        <v>10</v>
      </c>
      <c r="V733" s="5">
        <v>0</v>
      </c>
      <c r="W733" s="5">
        <v>0</v>
      </c>
      <c r="X733" s="2">
        <v>0</v>
      </c>
      <c r="Y733" t="s">
        <v>4</v>
      </c>
      <c r="Z733" t="s">
        <v>4</v>
      </c>
      <c r="AA733" t="s">
        <v>4</v>
      </c>
      <c r="AB733" t="s">
        <v>4</v>
      </c>
    </row>
    <row r="734" spans="1:28" x14ac:dyDescent="0.2">
      <c r="A734" t="s">
        <v>641</v>
      </c>
      <c r="B734" t="s">
        <v>2</v>
      </c>
      <c r="C734" t="s">
        <v>3</v>
      </c>
      <c r="D734" t="s">
        <v>4</v>
      </c>
      <c r="E734" t="s">
        <v>4</v>
      </c>
      <c r="F734" t="s">
        <v>5</v>
      </c>
      <c r="G734" t="s">
        <v>6</v>
      </c>
      <c r="H734" t="s">
        <v>3403</v>
      </c>
      <c r="I734" s="2">
        <v>256</v>
      </c>
      <c r="J734" s="2">
        <v>0</v>
      </c>
      <c r="K734" s="2">
        <v>0</v>
      </c>
      <c r="L734" s="3">
        <v>45824</v>
      </c>
      <c r="M734" s="3">
        <v>45824</v>
      </c>
      <c r="N734" s="3"/>
      <c r="O734" t="s">
        <v>3405</v>
      </c>
      <c r="P734" t="s">
        <v>9</v>
      </c>
      <c r="Q734" s="4">
        <v>0.98265046296295999</v>
      </c>
      <c r="R734" t="s">
        <v>5</v>
      </c>
      <c r="S734" t="s">
        <v>4</v>
      </c>
      <c r="T734" t="s">
        <v>2691</v>
      </c>
      <c r="U734" t="s">
        <v>10</v>
      </c>
      <c r="V734" s="5">
        <v>0</v>
      </c>
      <c r="W734" s="5">
        <v>0</v>
      </c>
      <c r="X734" s="2">
        <v>0</v>
      </c>
      <c r="Y734" t="s">
        <v>4</v>
      </c>
      <c r="Z734" t="s">
        <v>4</v>
      </c>
      <c r="AA734" t="s">
        <v>4</v>
      </c>
      <c r="AB734" t="s">
        <v>4</v>
      </c>
    </row>
    <row r="735" spans="1:28" x14ac:dyDescent="0.2">
      <c r="A735" t="s">
        <v>1135</v>
      </c>
      <c r="B735" t="s">
        <v>2</v>
      </c>
      <c r="C735" t="s">
        <v>3</v>
      </c>
      <c r="D735" t="s">
        <v>4</v>
      </c>
      <c r="E735" t="s">
        <v>4</v>
      </c>
      <c r="F735" t="s">
        <v>5</v>
      </c>
      <c r="G735" t="s">
        <v>21</v>
      </c>
      <c r="H735" t="s">
        <v>3406</v>
      </c>
      <c r="I735" s="2">
        <v>480</v>
      </c>
      <c r="J735" s="2">
        <v>0</v>
      </c>
      <c r="K735" s="2">
        <v>0</v>
      </c>
      <c r="L735" s="3">
        <v>45822</v>
      </c>
      <c r="M735" s="3">
        <v>45822</v>
      </c>
      <c r="N735" s="3"/>
      <c r="O735" t="s">
        <v>3407</v>
      </c>
      <c r="P735" t="s">
        <v>9</v>
      </c>
      <c r="Q735" s="4">
        <v>0.85875000000000001</v>
      </c>
      <c r="R735" t="s">
        <v>5</v>
      </c>
      <c r="S735" t="s">
        <v>4</v>
      </c>
      <c r="T735" t="s">
        <v>3122</v>
      </c>
      <c r="U735" t="s">
        <v>10</v>
      </c>
      <c r="V735" s="5">
        <v>0</v>
      </c>
      <c r="W735" s="5">
        <v>0</v>
      </c>
      <c r="X735" s="2">
        <v>0</v>
      </c>
      <c r="Y735" t="s">
        <v>4</v>
      </c>
      <c r="Z735" t="s">
        <v>4</v>
      </c>
      <c r="AA735" t="s">
        <v>4</v>
      </c>
      <c r="AB735" t="s">
        <v>4</v>
      </c>
    </row>
    <row r="736" spans="1:28" x14ac:dyDescent="0.2">
      <c r="A736" t="s">
        <v>1135</v>
      </c>
      <c r="B736" t="s">
        <v>2</v>
      </c>
      <c r="C736" t="s">
        <v>3</v>
      </c>
      <c r="D736" t="s">
        <v>4</v>
      </c>
      <c r="E736" t="s">
        <v>4</v>
      </c>
      <c r="F736" t="s">
        <v>5</v>
      </c>
      <c r="G736" t="s">
        <v>21</v>
      </c>
      <c r="H736" t="s">
        <v>3406</v>
      </c>
      <c r="I736" s="2">
        <v>467</v>
      </c>
      <c r="J736" s="2">
        <v>0</v>
      </c>
      <c r="K736" s="2">
        <v>0</v>
      </c>
      <c r="L736" s="3">
        <v>45822</v>
      </c>
      <c r="M736" s="3">
        <v>45822</v>
      </c>
      <c r="N736" s="3"/>
      <c r="O736" t="s">
        <v>3408</v>
      </c>
      <c r="P736" t="s">
        <v>9</v>
      </c>
      <c r="Q736" s="4">
        <v>0.85875000000000001</v>
      </c>
      <c r="R736" t="s">
        <v>5</v>
      </c>
      <c r="S736" t="s">
        <v>4</v>
      </c>
      <c r="T736" t="s">
        <v>3122</v>
      </c>
      <c r="U736" t="s">
        <v>10</v>
      </c>
      <c r="V736" s="5">
        <v>0</v>
      </c>
      <c r="W736" s="5">
        <v>0</v>
      </c>
      <c r="X736" s="2">
        <v>0</v>
      </c>
      <c r="Y736" t="s">
        <v>4</v>
      </c>
      <c r="Z736" t="s">
        <v>4</v>
      </c>
      <c r="AA736" t="s">
        <v>4</v>
      </c>
      <c r="AB736" t="s">
        <v>4</v>
      </c>
    </row>
    <row r="737" spans="1:28" x14ac:dyDescent="0.2">
      <c r="A737" t="s">
        <v>0</v>
      </c>
      <c r="B737" t="s">
        <v>2</v>
      </c>
      <c r="C737" t="s">
        <v>3</v>
      </c>
      <c r="D737" t="s">
        <v>4</v>
      </c>
      <c r="E737" t="s">
        <v>4</v>
      </c>
      <c r="F737" t="s">
        <v>5</v>
      </c>
      <c r="G737" t="s">
        <v>21</v>
      </c>
      <c r="H737" t="s">
        <v>43</v>
      </c>
      <c r="I737" s="2">
        <v>196</v>
      </c>
      <c r="J737" s="2">
        <v>0</v>
      </c>
      <c r="K737" s="2">
        <v>0</v>
      </c>
      <c r="L737" s="3">
        <v>45819</v>
      </c>
      <c r="M737" s="3">
        <v>45819</v>
      </c>
      <c r="N737" s="3"/>
      <c r="O737" t="s">
        <v>45</v>
      </c>
      <c r="P737" t="s">
        <v>9</v>
      </c>
      <c r="Q737" s="4">
        <v>0.46700231481481003</v>
      </c>
      <c r="R737" t="s">
        <v>5</v>
      </c>
      <c r="S737" t="s">
        <v>4</v>
      </c>
      <c r="T737" t="s">
        <v>2263</v>
      </c>
      <c r="U737" t="s">
        <v>10</v>
      </c>
      <c r="V737" s="5">
        <v>0</v>
      </c>
      <c r="W737" s="5">
        <v>0</v>
      </c>
      <c r="X737" s="2">
        <v>0</v>
      </c>
      <c r="Y737" t="s">
        <v>4</v>
      </c>
      <c r="Z737" t="s">
        <v>4</v>
      </c>
      <c r="AA737" t="s">
        <v>4</v>
      </c>
      <c r="AB737" t="s">
        <v>4</v>
      </c>
    </row>
    <row r="738" spans="1:28" x14ac:dyDescent="0.2">
      <c r="A738" t="s">
        <v>0</v>
      </c>
      <c r="B738" t="s">
        <v>2</v>
      </c>
      <c r="C738" t="s">
        <v>3</v>
      </c>
      <c r="D738" t="s">
        <v>4</v>
      </c>
      <c r="E738" t="s">
        <v>4</v>
      </c>
      <c r="F738" t="s">
        <v>5</v>
      </c>
      <c r="G738" t="s">
        <v>21</v>
      </c>
      <c r="H738" t="s">
        <v>43</v>
      </c>
      <c r="I738" s="2">
        <v>196</v>
      </c>
      <c r="J738" s="2">
        <v>0</v>
      </c>
      <c r="K738" s="2">
        <v>0</v>
      </c>
      <c r="L738" s="3">
        <v>45819</v>
      </c>
      <c r="M738" s="3">
        <v>45819</v>
      </c>
      <c r="N738" s="3"/>
      <c r="O738" t="s">
        <v>44</v>
      </c>
      <c r="P738" t="s">
        <v>9</v>
      </c>
      <c r="Q738" s="4">
        <v>0.46700231481481003</v>
      </c>
      <c r="R738" t="s">
        <v>5</v>
      </c>
      <c r="S738" t="s">
        <v>4</v>
      </c>
      <c r="T738" t="s">
        <v>2263</v>
      </c>
      <c r="U738" t="s">
        <v>10</v>
      </c>
      <c r="V738" s="5">
        <v>0</v>
      </c>
      <c r="W738" s="5">
        <v>0</v>
      </c>
      <c r="X738" s="2">
        <v>0</v>
      </c>
      <c r="Y738" t="s">
        <v>4</v>
      </c>
      <c r="Z738" t="s">
        <v>4</v>
      </c>
      <c r="AA738" t="s">
        <v>4</v>
      </c>
      <c r="AB738" t="s">
        <v>4</v>
      </c>
    </row>
    <row r="739" spans="1:28" x14ac:dyDescent="0.2">
      <c r="A739" t="s">
        <v>0</v>
      </c>
      <c r="B739" t="s">
        <v>2</v>
      </c>
      <c r="C739" t="s">
        <v>3</v>
      </c>
      <c r="D739" t="s">
        <v>4</v>
      </c>
      <c r="E739" t="s">
        <v>4</v>
      </c>
      <c r="F739" t="s">
        <v>5</v>
      </c>
      <c r="G739" t="s">
        <v>21</v>
      </c>
      <c r="H739" t="s">
        <v>46</v>
      </c>
      <c r="I739" s="2">
        <v>196</v>
      </c>
      <c r="J739" s="2">
        <v>0</v>
      </c>
      <c r="K739" s="2">
        <v>0</v>
      </c>
      <c r="L739" s="3">
        <v>45819</v>
      </c>
      <c r="M739" s="3">
        <v>45819</v>
      </c>
      <c r="N739" s="3"/>
      <c r="O739" t="s">
        <v>48</v>
      </c>
      <c r="P739" t="s">
        <v>9</v>
      </c>
      <c r="Q739" s="4">
        <v>0.46974537037037001</v>
      </c>
      <c r="R739" t="s">
        <v>5</v>
      </c>
      <c r="S739" t="s">
        <v>4</v>
      </c>
      <c r="T739" t="s">
        <v>2263</v>
      </c>
      <c r="U739" t="s">
        <v>10</v>
      </c>
      <c r="V739" s="5">
        <v>0</v>
      </c>
      <c r="W739" s="5">
        <v>0</v>
      </c>
      <c r="X739" s="2">
        <v>0</v>
      </c>
      <c r="Y739" t="s">
        <v>4</v>
      </c>
      <c r="Z739" t="s">
        <v>4</v>
      </c>
      <c r="AA739" t="s">
        <v>4</v>
      </c>
      <c r="AB739" t="s">
        <v>4</v>
      </c>
    </row>
    <row r="740" spans="1:28" x14ac:dyDescent="0.2">
      <c r="A740" t="s">
        <v>0</v>
      </c>
      <c r="B740" t="s">
        <v>2</v>
      </c>
      <c r="C740" t="s">
        <v>3</v>
      </c>
      <c r="D740" t="s">
        <v>4</v>
      </c>
      <c r="E740" t="s">
        <v>4</v>
      </c>
      <c r="F740" t="s">
        <v>5</v>
      </c>
      <c r="G740" t="s">
        <v>21</v>
      </c>
      <c r="H740" t="s">
        <v>46</v>
      </c>
      <c r="I740" s="2">
        <v>196</v>
      </c>
      <c r="J740" s="2">
        <v>0</v>
      </c>
      <c r="K740" s="2">
        <v>0</v>
      </c>
      <c r="L740" s="3">
        <v>45819</v>
      </c>
      <c r="M740" s="3">
        <v>45819</v>
      </c>
      <c r="N740" s="3"/>
      <c r="O740" t="s">
        <v>47</v>
      </c>
      <c r="P740" t="s">
        <v>9</v>
      </c>
      <c r="Q740" s="4">
        <v>0.46974537037037001</v>
      </c>
      <c r="R740" t="s">
        <v>5</v>
      </c>
      <c r="S740" t="s">
        <v>4</v>
      </c>
      <c r="T740" t="s">
        <v>2263</v>
      </c>
      <c r="U740" t="s">
        <v>10</v>
      </c>
      <c r="V740" s="5">
        <v>0</v>
      </c>
      <c r="W740" s="5">
        <v>0</v>
      </c>
      <c r="X740" s="2">
        <v>0</v>
      </c>
      <c r="Y740" t="s">
        <v>4</v>
      </c>
      <c r="Z740" t="s">
        <v>4</v>
      </c>
      <c r="AA740" t="s">
        <v>4</v>
      </c>
      <c r="AB740" t="s">
        <v>4</v>
      </c>
    </row>
    <row r="741" spans="1:28" x14ac:dyDescent="0.2">
      <c r="A741" t="s">
        <v>1922</v>
      </c>
      <c r="B741" t="s">
        <v>2</v>
      </c>
      <c r="C741" t="s">
        <v>3</v>
      </c>
      <c r="D741" t="s">
        <v>4</v>
      </c>
      <c r="E741" t="s">
        <v>4</v>
      </c>
      <c r="F741" t="s">
        <v>5</v>
      </c>
      <c r="G741" t="s">
        <v>21</v>
      </c>
      <c r="H741" t="s">
        <v>3409</v>
      </c>
      <c r="I741" s="2">
        <v>330</v>
      </c>
      <c r="J741" s="2">
        <v>0</v>
      </c>
      <c r="K741" s="2">
        <v>0</v>
      </c>
      <c r="L741" s="3">
        <v>45843</v>
      </c>
      <c r="M741" s="3">
        <v>45843</v>
      </c>
      <c r="N741" s="3"/>
      <c r="O741" t="s">
        <v>3410</v>
      </c>
      <c r="P741" t="s">
        <v>9</v>
      </c>
      <c r="Q741" s="4">
        <v>0.61236111111111002</v>
      </c>
      <c r="R741" t="s">
        <v>5</v>
      </c>
      <c r="S741" t="s">
        <v>4</v>
      </c>
      <c r="T741" t="s">
        <v>2783</v>
      </c>
      <c r="U741" t="s">
        <v>10</v>
      </c>
      <c r="V741" s="5">
        <v>0</v>
      </c>
      <c r="W741" s="5">
        <v>0</v>
      </c>
      <c r="X741" s="2">
        <v>0</v>
      </c>
      <c r="Y741" t="s">
        <v>4</v>
      </c>
      <c r="Z741" t="s">
        <v>4</v>
      </c>
      <c r="AA741" t="s">
        <v>4</v>
      </c>
      <c r="AB741" t="s">
        <v>4</v>
      </c>
    </row>
    <row r="742" spans="1:28" x14ac:dyDescent="0.2">
      <c r="A742" t="s">
        <v>1922</v>
      </c>
      <c r="B742" t="s">
        <v>2</v>
      </c>
      <c r="C742" t="s">
        <v>3</v>
      </c>
      <c r="D742" t="s">
        <v>4</v>
      </c>
      <c r="E742" t="s">
        <v>4</v>
      </c>
      <c r="F742" t="s">
        <v>5</v>
      </c>
      <c r="G742" t="s">
        <v>21</v>
      </c>
      <c r="H742" t="s">
        <v>3409</v>
      </c>
      <c r="I742" s="2">
        <v>330</v>
      </c>
      <c r="J742" s="2">
        <v>0</v>
      </c>
      <c r="K742" s="2">
        <v>0</v>
      </c>
      <c r="L742" s="3">
        <v>45847</v>
      </c>
      <c r="M742" s="3">
        <v>45847</v>
      </c>
      <c r="N742" s="3"/>
      <c r="O742" t="s">
        <v>3411</v>
      </c>
      <c r="P742" t="s">
        <v>9</v>
      </c>
      <c r="Q742" s="4">
        <v>0.61236111111111002</v>
      </c>
      <c r="R742" t="s">
        <v>5</v>
      </c>
      <c r="S742" t="s">
        <v>4</v>
      </c>
      <c r="T742" t="s">
        <v>2341</v>
      </c>
      <c r="U742" t="s">
        <v>10</v>
      </c>
      <c r="V742" s="5">
        <v>0</v>
      </c>
      <c r="W742" s="5">
        <v>0</v>
      </c>
      <c r="X742" s="2">
        <v>0</v>
      </c>
      <c r="Y742" t="s">
        <v>4</v>
      </c>
      <c r="Z742" t="s">
        <v>4</v>
      </c>
      <c r="AA742" t="s">
        <v>4</v>
      </c>
      <c r="AB742" t="s">
        <v>4</v>
      </c>
    </row>
    <row r="743" spans="1:28" x14ac:dyDescent="0.2">
      <c r="A743" t="s">
        <v>2008</v>
      </c>
      <c r="B743" t="s">
        <v>2</v>
      </c>
      <c r="C743" t="s">
        <v>3</v>
      </c>
      <c r="D743" t="s">
        <v>4</v>
      </c>
      <c r="E743" t="s">
        <v>4</v>
      </c>
      <c r="F743" t="s">
        <v>5</v>
      </c>
      <c r="G743" t="s">
        <v>6</v>
      </c>
      <c r="H743" t="s">
        <v>3412</v>
      </c>
      <c r="I743" s="2">
        <v>2520</v>
      </c>
      <c r="J743" s="2">
        <v>0</v>
      </c>
      <c r="K743" s="2">
        <v>0</v>
      </c>
      <c r="L743" s="3">
        <v>45839</v>
      </c>
      <c r="M743" s="3">
        <v>45839</v>
      </c>
      <c r="N743" s="3"/>
      <c r="O743" t="s">
        <v>3413</v>
      </c>
      <c r="P743" t="s">
        <v>9</v>
      </c>
      <c r="Q743" s="4">
        <v>0.55812499999999998</v>
      </c>
      <c r="R743" t="s">
        <v>5</v>
      </c>
      <c r="S743" t="s">
        <v>4</v>
      </c>
      <c r="T743" t="s">
        <v>2312</v>
      </c>
      <c r="U743" t="s">
        <v>10</v>
      </c>
      <c r="V743" s="5">
        <v>0</v>
      </c>
      <c r="W743" s="5">
        <v>0</v>
      </c>
      <c r="X743" s="2">
        <v>0</v>
      </c>
      <c r="Y743" t="s">
        <v>4</v>
      </c>
      <c r="Z743" t="s">
        <v>4</v>
      </c>
      <c r="AA743" t="s">
        <v>4</v>
      </c>
      <c r="AB743" t="s">
        <v>4</v>
      </c>
    </row>
    <row r="744" spans="1:28" x14ac:dyDescent="0.2">
      <c r="A744" t="s">
        <v>2008</v>
      </c>
      <c r="B744" t="s">
        <v>2</v>
      </c>
      <c r="C744" t="s">
        <v>3</v>
      </c>
      <c r="D744" t="s">
        <v>4</v>
      </c>
      <c r="E744" t="s">
        <v>4</v>
      </c>
      <c r="F744" t="s">
        <v>5</v>
      </c>
      <c r="G744" t="s">
        <v>6</v>
      </c>
      <c r="H744" t="s">
        <v>3412</v>
      </c>
      <c r="I744" s="2">
        <v>2520</v>
      </c>
      <c r="J744" s="2">
        <v>0</v>
      </c>
      <c r="K744" s="2">
        <v>0</v>
      </c>
      <c r="L744" s="3">
        <v>45839</v>
      </c>
      <c r="M744" s="3">
        <v>45839</v>
      </c>
      <c r="N744" s="3"/>
      <c r="O744" t="s">
        <v>3414</v>
      </c>
      <c r="P744" t="s">
        <v>9</v>
      </c>
      <c r="Q744" s="4">
        <v>0.55812499999999998</v>
      </c>
      <c r="R744" t="s">
        <v>5</v>
      </c>
      <c r="S744" t="s">
        <v>4</v>
      </c>
      <c r="T744" t="s">
        <v>2312</v>
      </c>
      <c r="U744" t="s">
        <v>10</v>
      </c>
      <c r="V744" s="5">
        <v>0</v>
      </c>
      <c r="W744" s="5">
        <v>0</v>
      </c>
      <c r="X744" s="2">
        <v>0</v>
      </c>
      <c r="Y744" t="s">
        <v>4</v>
      </c>
      <c r="Z744" t="s">
        <v>4</v>
      </c>
      <c r="AA744" t="s">
        <v>4</v>
      </c>
      <c r="AB744" t="s">
        <v>4</v>
      </c>
    </row>
    <row r="745" spans="1:28" x14ac:dyDescent="0.2">
      <c r="A745" t="s">
        <v>641</v>
      </c>
      <c r="B745" t="s">
        <v>2</v>
      </c>
      <c r="C745" t="s">
        <v>3</v>
      </c>
      <c r="D745" t="s">
        <v>4</v>
      </c>
      <c r="E745" t="s">
        <v>4</v>
      </c>
      <c r="F745" t="s">
        <v>5</v>
      </c>
      <c r="G745" t="s">
        <v>6</v>
      </c>
      <c r="H745" t="s">
        <v>3415</v>
      </c>
      <c r="I745" s="2">
        <v>2304</v>
      </c>
      <c r="J745" s="2">
        <v>0</v>
      </c>
      <c r="K745" s="2">
        <v>0</v>
      </c>
      <c r="L745" s="3">
        <v>45824</v>
      </c>
      <c r="M745" s="3">
        <v>45824</v>
      </c>
      <c r="N745" s="3"/>
      <c r="O745" t="s">
        <v>3416</v>
      </c>
      <c r="P745" t="s">
        <v>9</v>
      </c>
      <c r="Q745" s="4">
        <v>0.54196759259258998</v>
      </c>
      <c r="R745" t="s">
        <v>5</v>
      </c>
      <c r="S745" t="s">
        <v>4</v>
      </c>
      <c r="T745" t="s">
        <v>2691</v>
      </c>
      <c r="U745" t="s">
        <v>10</v>
      </c>
      <c r="V745" s="5">
        <v>0</v>
      </c>
      <c r="W745" s="5">
        <v>0</v>
      </c>
      <c r="X745" s="2">
        <v>0</v>
      </c>
      <c r="Y745" t="s">
        <v>4</v>
      </c>
      <c r="Z745" t="s">
        <v>4</v>
      </c>
      <c r="AA745" t="s">
        <v>4</v>
      </c>
      <c r="AB745" t="s">
        <v>4</v>
      </c>
    </row>
    <row r="746" spans="1:28" x14ac:dyDescent="0.2">
      <c r="A746" t="s">
        <v>641</v>
      </c>
      <c r="B746" t="s">
        <v>2</v>
      </c>
      <c r="C746" t="s">
        <v>3</v>
      </c>
      <c r="D746" t="s">
        <v>4</v>
      </c>
      <c r="E746" t="s">
        <v>4</v>
      </c>
      <c r="F746" t="s">
        <v>5</v>
      </c>
      <c r="G746" t="s">
        <v>6</v>
      </c>
      <c r="H746" t="s">
        <v>3415</v>
      </c>
      <c r="I746" s="2">
        <v>2240</v>
      </c>
      <c r="J746" s="2">
        <v>0</v>
      </c>
      <c r="K746" s="2">
        <v>0</v>
      </c>
      <c r="L746" s="3">
        <v>45858</v>
      </c>
      <c r="M746" s="3">
        <v>45858</v>
      </c>
      <c r="N746" s="3"/>
      <c r="O746" t="s">
        <v>3417</v>
      </c>
      <c r="P746" t="s">
        <v>9</v>
      </c>
      <c r="Q746" s="4">
        <v>0.54196759259258998</v>
      </c>
      <c r="R746" t="s">
        <v>5</v>
      </c>
      <c r="S746" t="s">
        <v>4</v>
      </c>
      <c r="T746" t="s">
        <v>2337</v>
      </c>
      <c r="U746" t="s">
        <v>10</v>
      </c>
      <c r="V746" s="5">
        <v>0</v>
      </c>
      <c r="W746" s="5">
        <v>0</v>
      </c>
      <c r="X746" s="2">
        <v>0</v>
      </c>
      <c r="Y746" t="s">
        <v>4</v>
      </c>
      <c r="Z746" t="s">
        <v>4</v>
      </c>
      <c r="AA746" t="s">
        <v>4</v>
      </c>
      <c r="AB746" t="s">
        <v>4</v>
      </c>
    </row>
    <row r="747" spans="1:28" x14ac:dyDescent="0.2">
      <c r="A747" t="s">
        <v>2088</v>
      </c>
      <c r="B747" t="s">
        <v>2</v>
      </c>
      <c r="C747" t="s">
        <v>3</v>
      </c>
      <c r="D747" t="s">
        <v>4</v>
      </c>
      <c r="E747" t="s">
        <v>4</v>
      </c>
      <c r="F747" t="s">
        <v>5</v>
      </c>
      <c r="G747" t="s">
        <v>6</v>
      </c>
      <c r="H747" t="s">
        <v>3418</v>
      </c>
      <c r="I747" s="2">
        <v>27000</v>
      </c>
      <c r="J747" s="2">
        <v>0</v>
      </c>
      <c r="K747" s="2">
        <v>0</v>
      </c>
      <c r="L747" s="3">
        <v>45843</v>
      </c>
      <c r="M747" s="3">
        <v>45843</v>
      </c>
      <c r="N747" s="3"/>
      <c r="O747" t="s">
        <v>3419</v>
      </c>
      <c r="P747" t="s">
        <v>9</v>
      </c>
      <c r="Q747" s="4">
        <v>0.50326388888888995</v>
      </c>
      <c r="R747" t="s">
        <v>5</v>
      </c>
      <c r="S747" t="s">
        <v>4</v>
      </c>
      <c r="T747" t="s">
        <v>2783</v>
      </c>
      <c r="U747" t="s">
        <v>10</v>
      </c>
      <c r="V747" s="5">
        <v>0</v>
      </c>
      <c r="W747" s="5">
        <v>0</v>
      </c>
      <c r="X747" s="2">
        <v>0</v>
      </c>
      <c r="Y747" t="s">
        <v>4</v>
      </c>
      <c r="Z747" t="s">
        <v>4</v>
      </c>
      <c r="AA747" t="s">
        <v>4</v>
      </c>
      <c r="AB747" t="s">
        <v>4</v>
      </c>
    </row>
    <row r="748" spans="1:28" x14ac:dyDescent="0.2">
      <c r="A748" t="s">
        <v>2088</v>
      </c>
      <c r="B748" t="s">
        <v>2</v>
      </c>
      <c r="C748" t="s">
        <v>3</v>
      </c>
      <c r="D748" t="s">
        <v>4</v>
      </c>
      <c r="E748" t="s">
        <v>4</v>
      </c>
      <c r="F748" t="s">
        <v>5</v>
      </c>
      <c r="G748" t="s">
        <v>6</v>
      </c>
      <c r="H748" t="s">
        <v>3418</v>
      </c>
      <c r="I748" s="2">
        <v>10800</v>
      </c>
      <c r="J748" s="2">
        <v>0</v>
      </c>
      <c r="K748" s="2">
        <v>0</v>
      </c>
      <c r="L748" s="3">
        <v>45847</v>
      </c>
      <c r="M748" s="3">
        <v>45847</v>
      </c>
      <c r="N748" s="3"/>
      <c r="O748" t="s">
        <v>3420</v>
      </c>
      <c r="P748" t="s">
        <v>9</v>
      </c>
      <c r="Q748" s="4">
        <v>0.50326388888888995</v>
      </c>
      <c r="R748" t="s">
        <v>5</v>
      </c>
      <c r="S748" t="s">
        <v>4</v>
      </c>
      <c r="T748" t="s">
        <v>2341</v>
      </c>
      <c r="U748" t="s">
        <v>10</v>
      </c>
      <c r="V748" s="5">
        <v>0</v>
      </c>
      <c r="W748" s="5">
        <v>0</v>
      </c>
      <c r="X748" s="2">
        <v>0</v>
      </c>
      <c r="Y748" t="s">
        <v>4</v>
      </c>
      <c r="Z748" t="s">
        <v>4</v>
      </c>
      <c r="AA748" t="s">
        <v>4</v>
      </c>
      <c r="AB748" t="s">
        <v>4</v>
      </c>
    </row>
    <row r="749" spans="1:28" x14ac:dyDescent="0.2">
      <c r="A749" t="s">
        <v>1573</v>
      </c>
      <c r="B749" t="s">
        <v>2</v>
      </c>
      <c r="C749" t="s">
        <v>3</v>
      </c>
      <c r="D749" t="s">
        <v>4</v>
      </c>
      <c r="E749" t="s">
        <v>4</v>
      </c>
      <c r="F749" t="s">
        <v>5</v>
      </c>
      <c r="G749" t="s">
        <v>6</v>
      </c>
      <c r="H749" t="s">
        <v>3421</v>
      </c>
      <c r="I749" s="2">
        <v>45</v>
      </c>
      <c r="J749" s="2">
        <v>0</v>
      </c>
      <c r="K749" s="2">
        <v>0</v>
      </c>
      <c r="L749" s="3">
        <v>45859</v>
      </c>
      <c r="M749" s="3">
        <v>45859</v>
      </c>
      <c r="N749" s="3"/>
      <c r="O749" t="s">
        <v>3422</v>
      </c>
      <c r="P749" t="s">
        <v>9</v>
      </c>
      <c r="Q749" s="4">
        <v>0.57767361111111004</v>
      </c>
      <c r="R749" t="s">
        <v>5</v>
      </c>
      <c r="S749" t="s">
        <v>4</v>
      </c>
      <c r="T749" t="s">
        <v>2261</v>
      </c>
      <c r="U749" t="s">
        <v>10</v>
      </c>
      <c r="V749" s="5">
        <v>0</v>
      </c>
      <c r="W749" s="5">
        <v>0</v>
      </c>
      <c r="X749" s="2">
        <v>0</v>
      </c>
      <c r="Y749" t="s">
        <v>4</v>
      </c>
      <c r="Z749" t="s">
        <v>4</v>
      </c>
      <c r="AA749" t="s">
        <v>4</v>
      </c>
      <c r="AB749" t="s">
        <v>4</v>
      </c>
    </row>
    <row r="750" spans="1:28" x14ac:dyDescent="0.2">
      <c r="A750" t="s">
        <v>1573</v>
      </c>
      <c r="B750" t="s">
        <v>2</v>
      </c>
      <c r="C750" t="s">
        <v>3</v>
      </c>
      <c r="D750" t="s">
        <v>4</v>
      </c>
      <c r="E750" t="s">
        <v>4</v>
      </c>
      <c r="F750" t="s">
        <v>5</v>
      </c>
      <c r="G750" t="s">
        <v>6</v>
      </c>
      <c r="H750" t="s">
        <v>3421</v>
      </c>
      <c r="I750" s="2">
        <v>45</v>
      </c>
      <c r="J750" s="2">
        <v>0</v>
      </c>
      <c r="K750" s="2">
        <v>0</v>
      </c>
      <c r="L750" s="3">
        <v>45859</v>
      </c>
      <c r="M750" s="3">
        <v>45859</v>
      </c>
      <c r="N750" s="3"/>
      <c r="O750" t="s">
        <v>3423</v>
      </c>
      <c r="P750" t="s">
        <v>9</v>
      </c>
      <c r="Q750" s="4">
        <v>0.57767361111111004</v>
      </c>
      <c r="R750" t="s">
        <v>5</v>
      </c>
      <c r="S750" t="s">
        <v>4</v>
      </c>
      <c r="T750" t="s">
        <v>2261</v>
      </c>
      <c r="U750" t="s">
        <v>10</v>
      </c>
      <c r="V750" s="5">
        <v>0</v>
      </c>
      <c r="W750" s="5">
        <v>0</v>
      </c>
      <c r="X750" s="2">
        <v>0</v>
      </c>
      <c r="Y750" t="s">
        <v>4</v>
      </c>
      <c r="Z750" t="s">
        <v>4</v>
      </c>
      <c r="AA750" t="s">
        <v>4</v>
      </c>
      <c r="AB750" t="s">
        <v>4</v>
      </c>
    </row>
    <row r="751" spans="1:28" x14ac:dyDescent="0.2">
      <c r="A751" t="s">
        <v>1135</v>
      </c>
      <c r="B751" t="s">
        <v>2</v>
      </c>
      <c r="C751" t="s">
        <v>3</v>
      </c>
      <c r="D751" t="s">
        <v>4</v>
      </c>
      <c r="E751" t="s">
        <v>4</v>
      </c>
      <c r="F751" t="s">
        <v>5</v>
      </c>
      <c r="G751" t="s">
        <v>21</v>
      </c>
      <c r="H751" t="s">
        <v>3424</v>
      </c>
      <c r="I751" s="2">
        <v>480</v>
      </c>
      <c r="J751" s="2">
        <v>0</v>
      </c>
      <c r="K751" s="2">
        <v>0</v>
      </c>
      <c r="L751" s="3">
        <v>45822</v>
      </c>
      <c r="M751" s="3">
        <v>45822</v>
      </c>
      <c r="N751" s="3"/>
      <c r="O751" t="s">
        <v>3425</v>
      </c>
      <c r="P751" t="s">
        <v>9</v>
      </c>
      <c r="Q751" s="4">
        <v>0.88844907407407003</v>
      </c>
      <c r="R751" t="s">
        <v>5</v>
      </c>
      <c r="S751" t="s">
        <v>4</v>
      </c>
      <c r="T751" t="s">
        <v>3122</v>
      </c>
      <c r="U751" t="s">
        <v>10</v>
      </c>
      <c r="V751" s="5">
        <v>0</v>
      </c>
      <c r="W751" s="5">
        <v>0</v>
      </c>
      <c r="X751" s="2">
        <v>0</v>
      </c>
      <c r="Y751" t="s">
        <v>4</v>
      </c>
      <c r="Z751" t="s">
        <v>4</v>
      </c>
      <c r="AA751" t="s">
        <v>4</v>
      </c>
      <c r="AB751" t="s">
        <v>4</v>
      </c>
    </row>
    <row r="752" spans="1:28" x14ac:dyDescent="0.2">
      <c r="A752" t="s">
        <v>1135</v>
      </c>
      <c r="B752" t="s">
        <v>2</v>
      </c>
      <c r="C752" t="s">
        <v>3</v>
      </c>
      <c r="D752" t="s">
        <v>4</v>
      </c>
      <c r="E752" t="s">
        <v>4</v>
      </c>
      <c r="F752" t="s">
        <v>5</v>
      </c>
      <c r="G752" t="s">
        <v>21</v>
      </c>
      <c r="H752" t="s">
        <v>3424</v>
      </c>
      <c r="I752" s="2">
        <v>480</v>
      </c>
      <c r="J752" s="2">
        <v>0</v>
      </c>
      <c r="K752" s="2">
        <v>0</v>
      </c>
      <c r="L752" s="3">
        <v>45822</v>
      </c>
      <c r="M752" s="3">
        <v>45822</v>
      </c>
      <c r="N752" s="3"/>
      <c r="O752" t="s">
        <v>3426</v>
      </c>
      <c r="P752" t="s">
        <v>9</v>
      </c>
      <c r="Q752" s="4">
        <v>0.88844907407407003</v>
      </c>
      <c r="R752" t="s">
        <v>5</v>
      </c>
      <c r="S752" t="s">
        <v>4</v>
      </c>
      <c r="T752" t="s">
        <v>3122</v>
      </c>
      <c r="U752" t="s">
        <v>10</v>
      </c>
      <c r="V752" s="5">
        <v>0</v>
      </c>
      <c r="W752" s="5">
        <v>0</v>
      </c>
      <c r="X752" s="2">
        <v>0</v>
      </c>
      <c r="Y752" t="s">
        <v>4</v>
      </c>
      <c r="Z752" t="s">
        <v>4</v>
      </c>
      <c r="AA752" t="s">
        <v>4</v>
      </c>
      <c r="AB752" t="s">
        <v>4</v>
      </c>
    </row>
    <row r="753" spans="1:28" x14ac:dyDescent="0.2">
      <c r="A753" t="s">
        <v>1924</v>
      </c>
      <c r="B753" t="s">
        <v>2</v>
      </c>
      <c r="C753" t="s">
        <v>3</v>
      </c>
      <c r="D753" t="s">
        <v>4</v>
      </c>
      <c r="E753" t="s">
        <v>4</v>
      </c>
      <c r="F753" t="s">
        <v>5</v>
      </c>
      <c r="G753" t="s">
        <v>21</v>
      </c>
      <c r="H753" t="s">
        <v>3427</v>
      </c>
      <c r="I753" s="2">
        <v>330</v>
      </c>
      <c r="J753" s="2">
        <v>0</v>
      </c>
      <c r="K753" s="2">
        <v>0</v>
      </c>
      <c r="L753" s="3">
        <v>45857</v>
      </c>
      <c r="M753" s="3">
        <v>45857</v>
      </c>
      <c r="N753" s="3"/>
      <c r="O753" t="s">
        <v>3428</v>
      </c>
      <c r="P753" t="s">
        <v>9</v>
      </c>
      <c r="Q753" s="4">
        <v>0.59504629629630001</v>
      </c>
      <c r="R753" t="s">
        <v>5</v>
      </c>
      <c r="S753" t="s">
        <v>4</v>
      </c>
      <c r="T753" t="s">
        <v>2262</v>
      </c>
      <c r="U753" t="s">
        <v>10</v>
      </c>
      <c r="V753" s="5">
        <v>0</v>
      </c>
      <c r="W753" s="5">
        <v>0</v>
      </c>
      <c r="X753" s="2">
        <v>0</v>
      </c>
      <c r="Y753" t="s">
        <v>4</v>
      </c>
      <c r="Z753" t="s">
        <v>4</v>
      </c>
      <c r="AA753" t="s">
        <v>4</v>
      </c>
      <c r="AB753" t="s">
        <v>4</v>
      </c>
    </row>
    <row r="754" spans="1:28" x14ac:dyDescent="0.2">
      <c r="A754" t="s">
        <v>1924</v>
      </c>
      <c r="B754" t="s">
        <v>2</v>
      </c>
      <c r="C754" t="s">
        <v>3</v>
      </c>
      <c r="D754" t="s">
        <v>4</v>
      </c>
      <c r="E754" t="s">
        <v>4</v>
      </c>
      <c r="F754" t="s">
        <v>5</v>
      </c>
      <c r="G754" t="s">
        <v>21</v>
      </c>
      <c r="H754" t="s">
        <v>3427</v>
      </c>
      <c r="I754" s="2">
        <v>330</v>
      </c>
      <c r="J754" s="2">
        <v>0</v>
      </c>
      <c r="K754" s="2">
        <v>0</v>
      </c>
      <c r="L754" s="3">
        <v>45840</v>
      </c>
      <c r="M754" s="3">
        <v>45840</v>
      </c>
      <c r="N754" s="3"/>
      <c r="O754" t="s">
        <v>3429</v>
      </c>
      <c r="P754" t="s">
        <v>9</v>
      </c>
      <c r="Q754" s="4">
        <v>0.59504629629630001</v>
      </c>
      <c r="R754" t="s">
        <v>5</v>
      </c>
      <c r="S754" t="s">
        <v>4</v>
      </c>
      <c r="T754" t="s">
        <v>2766</v>
      </c>
      <c r="U754" t="s">
        <v>10</v>
      </c>
      <c r="V754" s="5">
        <v>0</v>
      </c>
      <c r="W754" s="5">
        <v>0</v>
      </c>
      <c r="X754" s="2">
        <v>0</v>
      </c>
      <c r="Y754" t="s">
        <v>4</v>
      </c>
      <c r="Z754" t="s">
        <v>4</v>
      </c>
      <c r="AA754" t="s">
        <v>4</v>
      </c>
      <c r="AB754" t="s">
        <v>4</v>
      </c>
    </row>
    <row r="755" spans="1:28" x14ac:dyDescent="0.2">
      <c r="A755" t="s">
        <v>535</v>
      </c>
      <c r="B755" t="s">
        <v>2</v>
      </c>
      <c r="C755" t="s">
        <v>3</v>
      </c>
      <c r="D755" t="s">
        <v>4</v>
      </c>
      <c r="E755" t="s">
        <v>4</v>
      </c>
      <c r="F755" t="s">
        <v>5</v>
      </c>
      <c r="G755" t="s">
        <v>21</v>
      </c>
      <c r="H755" t="s">
        <v>3430</v>
      </c>
      <c r="I755" s="2">
        <v>139</v>
      </c>
      <c r="J755" s="2">
        <v>0</v>
      </c>
      <c r="K755" s="2">
        <v>0</v>
      </c>
      <c r="L755" s="3">
        <v>45752</v>
      </c>
      <c r="M755" s="3">
        <v>45851</v>
      </c>
      <c r="N755" s="3">
        <v>45851</v>
      </c>
      <c r="O755" t="s">
        <v>3431</v>
      </c>
      <c r="P755" t="s">
        <v>9</v>
      </c>
      <c r="Q755" s="4">
        <v>0.52487268518519004</v>
      </c>
      <c r="R755" t="s">
        <v>5</v>
      </c>
      <c r="S755" t="s">
        <v>4</v>
      </c>
      <c r="T755" t="s">
        <v>3432</v>
      </c>
      <c r="U755" t="s">
        <v>10</v>
      </c>
      <c r="V755" s="5">
        <v>0</v>
      </c>
      <c r="W755" s="5">
        <v>0</v>
      </c>
      <c r="X755" s="2">
        <v>0</v>
      </c>
      <c r="Y755" t="s">
        <v>4</v>
      </c>
      <c r="Z755" t="s">
        <v>4</v>
      </c>
      <c r="AA755" t="s">
        <v>4</v>
      </c>
      <c r="AB755" t="s">
        <v>4</v>
      </c>
    </row>
    <row r="756" spans="1:28" x14ac:dyDescent="0.2">
      <c r="A756" t="s">
        <v>535</v>
      </c>
      <c r="B756" t="s">
        <v>2</v>
      </c>
      <c r="C756" t="s">
        <v>3</v>
      </c>
      <c r="D756" t="s">
        <v>4</v>
      </c>
      <c r="E756" t="s">
        <v>4</v>
      </c>
      <c r="F756" t="s">
        <v>5</v>
      </c>
      <c r="G756" t="s">
        <v>21</v>
      </c>
      <c r="H756" t="s">
        <v>3430</v>
      </c>
      <c r="I756" s="2">
        <v>340</v>
      </c>
      <c r="J756" s="2">
        <v>0</v>
      </c>
      <c r="K756" s="2">
        <v>0</v>
      </c>
      <c r="L756" s="3">
        <v>45743</v>
      </c>
      <c r="M756" s="3">
        <v>45743</v>
      </c>
      <c r="N756" s="3"/>
      <c r="O756" t="s">
        <v>3433</v>
      </c>
      <c r="P756" t="s">
        <v>9</v>
      </c>
      <c r="Q756" s="4">
        <v>0.52487268518519004</v>
      </c>
      <c r="R756" t="s">
        <v>5</v>
      </c>
      <c r="S756" t="s">
        <v>4</v>
      </c>
      <c r="T756" t="s">
        <v>3434</v>
      </c>
      <c r="U756" t="s">
        <v>10</v>
      </c>
      <c r="V756" s="5">
        <v>0</v>
      </c>
      <c r="W756" s="5">
        <v>0</v>
      </c>
      <c r="X756" s="2">
        <v>0</v>
      </c>
      <c r="Y756" t="s">
        <v>4</v>
      </c>
      <c r="Z756" t="s">
        <v>4</v>
      </c>
      <c r="AA756" t="s">
        <v>4</v>
      </c>
      <c r="AB756" t="s">
        <v>4</v>
      </c>
    </row>
    <row r="757" spans="1:28" x14ac:dyDescent="0.2">
      <c r="A757" t="s">
        <v>1998</v>
      </c>
      <c r="B757" t="s">
        <v>2</v>
      </c>
      <c r="C757" t="s">
        <v>3</v>
      </c>
      <c r="D757" t="s">
        <v>4</v>
      </c>
      <c r="E757" t="s">
        <v>4</v>
      </c>
      <c r="F757" t="s">
        <v>5</v>
      </c>
      <c r="G757" t="s">
        <v>21</v>
      </c>
      <c r="H757" t="s">
        <v>3435</v>
      </c>
      <c r="I757" s="2">
        <v>5600</v>
      </c>
      <c r="J757" s="2">
        <v>0</v>
      </c>
      <c r="K757" s="2">
        <v>0</v>
      </c>
      <c r="L757" s="3">
        <v>45839</v>
      </c>
      <c r="M757" s="3">
        <v>45839</v>
      </c>
      <c r="N757" s="3"/>
      <c r="O757" t="s">
        <v>3436</v>
      </c>
      <c r="P757" t="s">
        <v>9</v>
      </c>
      <c r="Q757" s="4">
        <v>0.55784722222222005</v>
      </c>
      <c r="R757" t="s">
        <v>5</v>
      </c>
      <c r="S757" t="s">
        <v>4</v>
      </c>
      <c r="T757" t="s">
        <v>2312</v>
      </c>
      <c r="U757" t="s">
        <v>10</v>
      </c>
      <c r="V757" s="5">
        <v>0</v>
      </c>
      <c r="W757" s="5">
        <v>0</v>
      </c>
      <c r="X757" s="2">
        <v>0</v>
      </c>
      <c r="Y757" t="s">
        <v>4</v>
      </c>
      <c r="Z757" t="s">
        <v>4</v>
      </c>
      <c r="AA757" t="s">
        <v>4</v>
      </c>
      <c r="AB757" t="s">
        <v>4</v>
      </c>
    </row>
    <row r="758" spans="1:28" x14ac:dyDescent="0.2">
      <c r="A758" t="s">
        <v>1998</v>
      </c>
      <c r="B758" t="s">
        <v>2</v>
      </c>
      <c r="C758" t="s">
        <v>3</v>
      </c>
      <c r="D758" t="s">
        <v>4</v>
      </c>
      <c r="E758" t="s">
        <v>4</v>
      </c>
      <c r="F758" t="s">
        <v>5</v>
      </c>
      <c r="G758" t="s">
        <v>21</v>
      </c>
      <c r="H758" t="s">
        <v>3435</v>
      </c>
      <c r="I758" s="2">
        <v>5600</v>
      </c>
      <c r="J758" s="2">
        <v>0</v>
      </c>
      <c r="K758" s="2">
        <v>0</v>
      </c>
      <c r="L758" s="3">
        <v>45839</v>
      </c>
      <c r="M758" s="3">
        <v>45839</v>
      </c>
      <c r="N758" s="3"/>
      <c r="O758" t="s">
        <v>3437</v>
      </c>
      <c r="P758" t="s">
        <v>9</v>
      </c>
      <c r="Q758" s="4">
        <v>0.55784722222222005</v>
      </c>
      <c r="R758" t="s">
        <v>5</v>
      </c>
      <c r="S758" t="s">
        <v>4</v>
      </c>
      <c r="T758" t="s">
        <v>2312</v>
      </c>
      <c r="U758" t="s">
        <v>10</v>
      </c>
      <c r="V758" s="5">
        <v>0</v>
      </c>
      <c r="W758" s="5">
        <v>0</v>
      </c>
      <c r="X758" s="2">
        <v>0</v>
      </c>
      <c r="Y758" t="s">
        <v>4</v>
      </c>
      <c r="Z758" t="s">
        <v>4</v>
      </c>
      <c r="AA758" t="s">
        <v>4</v>
      </c>
      <c r="AB758" t="s">
        <v>4</v>
      </c>
    </row>
    <row r="759" spans="1:28" x14ac:dyDescent="0.2">
      <c r="A759" t="s">
        <v>1573</v>
      </c>
      <c r="B759" t="s">
        <v>2</v>
      </c>
      <c r="C759" t="s">
        <v>3</v>
      </c>
      <c r="D759" t="s">
        <v>4</v>
      </c>
      <c r="E759" t="s">
        <v>4</v>
      </c>
      <c r="F759" t="s">
        <v>5</v>
      </c>
      <c r="G759" t="s">
        <v>6</v>
      </c>
      <c r="H759" t="s">
        <v>3438</v>
      </c>
      <c r="I759" s="2">
        <v>45</v>
      </c>
      <c r="J759" s="2">
        <v>0</v>
      </c>
      <c r="K759" s="2">
        <v>0</v>
      </c>
      <c r="L759" s="3">
        <v>45859</v>
      </c>
      <c r="M759" s="3">
        <v>45859</v>
      </c>
      <c r="N759" s="3"/>
      <c r="O759" t="s">
        <v>3439</v>
      </c>
      <c r="P759" t="s">
        <v>9</v>
      </c>
      <c r="Q759" s="4">
        <v>0.57804398148147995</v>
      </c>
      <c r="R759" t="s">
        <v>5</v>
      </c>
      <c r="S759" t="s">
        <v>4</v>
      </c>
      <c r="T759" t="s">
        <v>2261</v>
      </c>
      <c r="U759" t="s">
        <v>10</v>
      </c>
      <c r="V759" s="5">
        <v>0</v>
      </c>
      <c r="W759" s="5">
        <v>0</v>
      </c>
      <c r="X759" s="2">
        <v>0</v>
      </c>
      <c r="Y759" t="s">
        <v>4</v>
      </c>
      <c r="Z759" t="s">
        <v>4</v>
      </c>
      <c r="AA759" t="s">
        <v>4</v>
      </c>
      <c r="AB759" t="s">
        <v>4</v>
      </c>
    </row>
    <row r="760" spans="1:28" x14ac:dyDescent="0.2">
      <c r="A760" t="s">
        <v>1573</v>
      </c>
      <c r="B760" t="s">
        <v>2</v>
      </c>
      <c r="C760" t="s">
        <v>3</v>
      </c>
      <c r="D760" t="s">
        <v>4</v>
      </c>
      <c r="E760" t="s">
        <v>4</v>
      </c>
      <c r="F760" t="s">
        <v>5</v>
      </c>
      <c r="G760" t="s">
        <v>6</v>
      </c>
      <c r="H760" t="s">
        <v>3438</v>
      </c>
      <c r="I760" s="2">
        <v>45</v>
      </c>
      <c r="J760" s="2">
        <v>0</v>
      </c>
      <c r="K760" s="2">
        <v>0</v>
      </c>
      <c r="L760" s="3">
        <v>45859</v>
      </c>
      <c r="M760" s="3">
        <v>45859</v>
      </c>
      <c r="N760" s="3"/>
      <c r="O760" t="s">
        <v>3440</v>
      </c>
      <c r="P760" t="s">
        <v>9</v>
      </c>
      <c r="Q760" s="4">
        <v>0.57804398148147995</v>
      </c>
      <c r="R760" t="s">
        <v>5</v>
      </c>
      <c r="S760" t="s">
        <v>4</v>
      </c>
      <c r="T760" t="s">
        <v>2261</v>
      </c>
      <c r="U760" t="s">
        <v>10</v>
      </c>
      <c r="V760" s="5">
        <v>0</v>
      </c>
      <c r="W760" s="5">
        <v>0</v>
      </c>
      <c r="X760" s="2">
        <v>0</v>
      </c>
      <c r="Y760" t="s">
        <v>4</v>
      </c>
      <c r="Z760" t="s">
        <v>4</v>
      </c>
      <c r="AA760" t="s">
        <v>4</v>
      </c>
      <c r="AB760" t="s">
        <v>4</v>
      </c>
    </row>
    <row r="761" spans="1:28" x14ac:dyDescent="0.2">
      <c r="A761" t="s">
        <v>2030</v>
      </c>
      <c r="B761" t="s">
        <v>2</v>
      </c>
      <c r="C761" t="s">
        <v>3</v>
      </c>
      <c r="D761" t="s">
        <v>4</v>
      </c>
      <c r="E761" t="s">
        <v>4</v>
      </c>
      <c r="F761" t="s">
        <v>5</v>
      </c>
      <c r="G761" t="s">
        <v>6</v>
      </c>
      <c r="H761" t="s">
        <v>3441</v>
      </c>
      <c r="I761" s="2">
        <v>756</v>
      </c>
      <c r="J761" s="2">
        <v>0</v>
      </c>
      <c r="K761" s="2">
        <v>0</v>
      </c>
      <c r="L761" s="3">
        <v>45857</v>
      </c>
      <c r="M761" s="3">
        <v>45857</v>
      </c>
      <c r="N761" s="3"/>
      <c r="O761" t="s">
        <v>3442</v>
      </c>
      <c r="P761" t="s">
        <v>9</v>
      </c>
      <c r="Q761" s="4">
        <v>0.56328703703703997</v>
      </c>
      <c r="R761" t="s">
        <v>5</v>
      </c>
      <c r="S761" t="s">
        <v>4</v>
      </c>
      <c r="T761" t="s">
        <v>2262</v>
      </c>
      <c r="U761" t="s">
        <v>10</v>
      </c>
      <c r="V761" s="5">
        <v>0</v>
      </c>
      <c r="W761" s="5">
        <v>0</v>
      </c>
      <c r="X761" s="2">
        <v>0</v>
      </c>
      <c r="Y761" t="s">
        <v>4</v>
      </c>
      <c r="Z761" t="s">
        <v>4</v>
      </c>
      <c r="AA761" t="s">
        <v>4</v>
      </c>
      <c r="AB761" t="s">
        <v>4</v>
      </c>
    </row>
    <row r="762" spans="1:28" x14ac:dyDescent="0.2">
      <c r="A762" t="s">
        <v>0</v>
      </c>
      <c r="B762" t="s">
        <v>2</v>
      </c>
      <c r="C762" t="s">
        <v>3</v>
      </c>
      <c r="D762" t="s">
        <v>4</v>
      </c>
      <c r="E762" t="s">
        <v>4</v>
      </c>
      <c r="F762" t="s">
        <v>5</v>
      </c>
      <c r="G762" t="s">
        <v>6</v>
      </c>
      <c r="H762" t="s">
        <v>49</v>
      </c>
      <c r="I762" s="2">
        <v>196</v>
      </c>
      <c r="J762" s="2">
        <v>0</v>
      </c>
      <c r="K762" s="2">
        <v>0</v>
      </c>
      <c r="L762" s="3">
        <v>45819</v>
      </c>
      <c r="M762" s="3">
        <v>45819</v>
      </c>
      <c r="N762" s="3"/>
      <c r="O762" t="s">
        <v>51</v>
      </c>
      <c r="P762" t="s">
        <v>9</v>
      </c>
      <c r="Q762" s="4">
        <v>0.47539351851852002</v>
      </c>
      <c r="R762" t="s">
        <v>5</v>
      </c>
      <c r="S762" t="s">
        <v>4</v>
      </c>
      <c r="T762" t="s">
        <v>2263</v>
      </c>
      <c r="U762" t="s">
        <v>10</v>
      </c>
      <c r="V762" s="5">
        <v>0</v>
      </c>
      <c r="W762" s="5">
        <v>0</v>
      </c>
      <c r="X762" s="2">
        <v>0</v>
      </c>
      <c r="Y762" t="s">
        <v>4</v>
      </c>
      <c r="Z762" t="s">
        <v>4</v>
      </c>
      <c r="AA762" t="s">
        <v>4</v>
      </c>
      <c r="AB762" t="s">
        <v>4</v>
      </c>
    </row>
    <row r="763" spans="1:28" x14ac:dyDescent="0.2">
      <c r="A763" t="s">
        <v>0</v>
      </c>
      <c r="B763" t="s">
        <v>2</v>
      </c>
      <c r="C763" t="s">
        <v>3</v>
      </c>
      <c r="D763" t="s">
        <v>4</v>
      </c>
      <c r="E763" t="s">
        <v>4</v>
      </c>
      <c r="F763" t="s">
        <v>5</v>
      </c>
      <c r="G763" t="s">
        <v>6</v>
      </c>
      <c r="H763" t="s">
        <v>49</v>
      </c>
      <c r="I763" s="2">
        <v>196</v>
      </c>
      <c r="J763" s="2">
        <v>0</v>
      </c>
      <c r="K763" s="2">
        <v>0</v>
      </c>
      <c r="L763" s="3">
        <v>45819</v>
      </c>
      <c r="M763" s="3">
        <v>45819</v>
      </c>
      <c r="N763" s="3"/>
      <c r="O763" t="s">
        <v>50</v>
      </c>
      <c r="P763" t="s">
        <v>9</v>
      </c>
      <c r="Q763" s="4">
        <v>0.47539351851852002</v>
      </c>
      <c r="R763" t="s">
        <v>5</v>
      </c>
      <c r="S763" t="s">
        <v>4</v>
      </c>
      <c r="T763" t="s">
        <v>2263</v>
      </c>
      <c r="U763" t="s">
        <v>10</v>
      </c>
      <c r="V763" s="5">
        <v>0</v>
      </c>
      <c r="W763" s="5">
        <v>0</v>
      </c>
      <c r="X763" s="2">
        <v>0</v>
      </c>
      <c r="Y763" t="s">
        <v>4</v>
      </c>
      <c r="Z763" t="s">
        <v>4</v>
      </c>
      <c r="AA763" t="s">
        <v>4</v>
      </c>
      <c r="AB763" t="s">
        <v>4</v>
      </c>
    </row>
    <row r="764" spans="1:28" x14ac:dyDescent="0.2">
      <c r="A764" t="s">
        <v>0</v>
      </c>
      <c r="B764" t="s">
        <v>2</v>
      </c>
      <c r="C764" t="s">
        <v>3</v>
      </c>
      <c r="D764" t="s">
        <v>4</v>
      </c>
      <c r="E764" t="s">
        <v>4</v>
      </c>
      <c r="F764" t="s">
        <v>5</v>
      </c>
      <c r="G764" t="s">
        <v>6</v>
      </c>
      <c r="H764" t="s">
        <v>52</v>
      </c>
      <c r="I764" s="2">
        <v>196</v>
      </c>
      <c r="J764" s="2">
        <v>0</v>
      </c>
      <c r="K764" s="2">
        <v>0</v>
      </c>
      <c r="L764" s="3">
        <v>45819</v>
      </c>
      <c r="M764" s="3">
        <v>45819</v>
      </c>
      <c r="N764" s="3"/>
      <c r="O764" t="s">
        <v>54</v>
      </c>
      <c r="P764" t="s">
        <v>9</v>
      </c>
      <c r="Q764" s="4">
        <v>0.47562500000000002</v>
      </c>
      <c r="R764" t="s">
        <v>5</v>
      </c>
      <c r="S764" t="s">
        <v>4</v>
      </c>
      <c r="T764" t="s">
        <v>2263</v>
      </c>
      <c r="U764" t="s">
        <v>10</v>
      </c>
      <c r="V764" s="5">
        <v>0</v>
      </c>
      <c r="W764" s="5">
        <v>0</v>
      </c>
      <c r="X764" s="2">
        <v>0</v>
      </c>
      <c r="Y764" t="s">
        <v>4</v>
      </c>
      <c r="Z764" t="s">
        <v>4</v>
      </c>
      <c r="AA764" t="s">
        <v>4</v>
      </c>
      <c r="AB764" t="s">
        <v>4</v>
      </c>
    </row>
    <row r="765" spans="1:28" x14ac:dyDescent="0.2">
      <c r="A765" t="s">
        <v>0</v>
      </c>
      <c r="B765" t="s">
        <v>2</v>
      </c>
      <c r="C765" t="s">
        <v>3</v>
      </c>
      <c r="D765" t="s">
        <v>4</v>
      </c>
      <c r="E765" t="s">
        <v>4</v>
      </c>
      <c r="F765" t="s">
        <v>5</v>
      </c>
      <c r="G765" t="s">
        <v>6</v>
      </c>
      <c r="H765" t="s">
        <v>52</v>
      </c>
      <c r="I765" s="2">
        <v>196</v>
      </c>
      <c r="J765" s="2">
        <v>0</v>
      </c>
      <c r="K765" s="2">
        <v>0</v>
      </c>
      <c r="L765" s="3">
        <v>45819</v>
      </c>
      <c r="M765" s="3">
        <v>45819</v>
      </c>
      <c r="N765" s="3"/>
      <c r="O765" t="s">
        <v>53</v>
      </c>
      <c r="P765" t="s">
        <v>9</v>
      </c>
      <c r="Q765" s="4">
        <v>0.47562500000000002</v>
      </c>
      <c r="R765" t="s">
        <v>5</v>
      </c>
      <c r="S765" t="s">
        <v>4</v>
      </c>
      <c r="T765" t="s">
        <v>2263</v>
      </c>
      <c r="U765" t="s">
        <v>10</v>
      </c>
      <c r="V765" s="5">
        <v>0</v>
      </c>
      <c r="W765" s="5">
        <v>0</v>
      </c>
      <c r="X765" s="2">
        <v>0</v>
      </c>
      <c r="Y765" t="s">
        <v>4</v>
      </c>
      <c r="Z765" t="s">
        <v>4</v>
      </c>
      <c r="AA765" t="s">
        <v>4</v>
      </c>
      <c r="AB765" t="s">
        <v>4</v>
      </c>
    </row>
    <row r="766" spans="1:28" x14ac:dyDescent="0.2">
      <c r="A766" t="s">
        <v>285</v>
      </c>
      <c r="B766" t="s">
        <v>2</v>
      </c>
      <c r="C766" t="s">
        <v>3</v>
      </c>
      <c r="D766" t="s">
        <v>4</v>
      </c>
      <c r="E766" t="s">
        <v>4</v>
      </c>
      <c r="F766" t="s">
        <v>5</v>
      </c>
      <c r="G766" t="s">
        <v>21</v>
      </c>
      <c r="H766" t="s">
        <v>3443</v>
      </c>
      <c r="I766" s="2">
        <v>30</v>
      </c>
      <c r="J766" s="2">
        <v>0</v>
      </c>
      <c r="K766" s="2">
        <v>0</v>
      </c>
      <c r="L766" s="3">
        <v>45829</v>
      </c>
      <c r="M766" s="3">
        <v>45829</v>
      </c>
      <c r="N766" s="3"/>
      <c r="O766" t="s">
        <v>3444</v>
      </c>
      <c r="P766" t="s">
        <v>9</v>
      </c>
      <c r="Q766" s="4">
        <v>0.72649305555555999</v>
      </c>
      <c r="R766" t="s">
        <v>5</v>
      </c>
      <c r="S766" t="s">
        <v>4</v>
      </c>
      <c r="T766" t="s">
        <v>3242</v>
      </c>
      <c r="U766" t="s">
        <v>10</v>
      </c>
      <c r="V766" s="5">
        <v>0</v>
      </c>
      <c r="W766" s="5">
        <v>0</v>
      </c>
      <c r="X766" s="2">
        <v>0</v>
      </c>
      <c r="Y766" t="s">
        <v>4</v>
      </c>
      <c r="Z766" t="s">
        <v>4</v>
      </c>
      <c r="AA766" t="s">
        <v>4</v>
      </c>
      <c r="AB766" t="s">
        <v>4</v>
      </c>
    </row>
    <row r="767" spans="1:28" x14ac:dyDescent="0.2">
      <c r="A767" t="s">
        <v>285</v>
      </c>
      <c r="B767" t="s">
        <v>2</v>
      </c>
      <c r="C767" t="s">
        <v>3</v>
      </c>
      <c r="D767" t="s">
        <v>4</v>
      </c>
      <c r="E767" t="s">
        <v>4</v>
      </c>
      <c r="F767" t="s">
        <v>5</v>
      </c>
      <c r="G767" t="s">
        <v>21</v>
      </c>
      <c r="H767" t="s">
        <v>3443</v>
      </c>
      <c r="I767" s="2">
        <v>23</v>
      </c>
      <c r="J767" s="2">
        <v>0</v>
      </c>
      <c r="K767" s="2">
        <v>0</v>
      </c>
      <c r="L767" s="3">
        <v>45829</v>
      </c>
      <c r="M767" s="3">
        <v>45829</v>
      </c>
      <c r="N767" s="3"/>
      <c r="O767" t="s">
        <v>3445</v>
      </c>
      <c r="P767" t="s">
        <v>9</v>
      </c>
      <c r="Q767" s="4">
        <v>0.72649305555555999</v>
      </c>
      <c r="R767" t="s">
        <v>5</v>
      </c>
      <c r="S767" t="s">
        <v>4</v>
      </c>
      <c r="T767" t="s">
        <v>3242</v>
      </c>
      <c r="U767" t="s">
        <v>10</v>
      </c>
      <c r="V767" s="5">
        <v>0</v>
      </c>
      <c r="W767" s="5">
        <v>0</v>
      </c>
      <c r="X767" s="2">
        <v>0</v>
      </c>
      <c r="Y767" t="s">
        <v>4</v>
      </c>
      <c r="Z767" t="s">
        <v>4</v>
      </c>
      <c r="AA767" t="s">
        <v>4</v>
      </c>
      <c r="AB767" t="s">
        <v>4</v>
      </c>
    </row>
    <row r="768" spans="1:28" x14ac:dyDescent="0.2">
      <c r="A768" t="s">
        <v>1139</v>
      </c>
      <c r="B768" t="s">
        <v>2</v>
      </c>
      <c r="C768" t="s">
        <v>3</v>
      </c>
      <c r="D768" t="s">
        <v>4</v>
      </c>
      <c r="E768" t="s">
        <v>4</v>
      </c>
      <c r="F768" t="s">
        <v>5</v>
      </c>
      <c r="G768" t="s">
        <v>21</v>
      </c>
      <c r="H768" t="s">
        <v>3446</v>
      </c>
      <c r="I768" s="2">
        <v>432</v>
      </c>
      <c r="J768" s="2">
        <v>0</v>
      </c>
      <c r="K768" s="2">
        <v>0</v>
      </c>
      <c r="L768" s="3">
        <v>45832</v>
      </c>
      <c r="M768" s="3">
        <v>45832</v>
      </c>
      <c r="N768" s="3"/>
      <c r="O768" t="s">
        <v>3447</v>
      </c>
      <c r="P768" t="s">
        <v>9</v>
      </c>
      <c r="Q768" s="4">
        <v>0.47644675925926</v>
      </c>
      <c r="R768" t="s">
        <v>5</v>
      </c>
      <c r="S768" t="s">
        <v>4</v>
      </c>
      <c r="T768" t="s">
        <v>2665</v>
      </c>
      <c r="U768" t="s">
        <v>10</v>
      </c>
      <c r="V768" s="5">
        <v>0</v>
      </c>
      <c r="W768" s="5">
        <v>0</v>
      </c>
      <c r="X768" s="2">
        <v>0</v>
      </c>
      <c r="Y768" t="s">
        <v>4</v>
      </c>
      <c r="Z768" t="s">
        <v>4</v>
      </c>
      <c r="AA768" t="s">
        <v>4</v>
      </c>
      <c r="AB768" t="s">
        <v>4</v>
      </c>
    </row>
    <row r="769" spans="1:28" x14ac:dyDescent="0.2">
      <c r="A769" t="s">
        <v>1139</v>
      </c>
      <c r="B769" t="s">
        <v>2</v>
      </c>
      <c r="C769" t="s">
        <v>3</v>
      </c>
      <c r="D769" t="s">
        <v>4</v>
      </c>
      <c r="E769" t="s">
        <v>4</v>
      </c>
      <c r="F769" t="s">
        <v>5</v>
      </c>
      <c r="G769" t="s">
        <v>21</v>
      </c>
      <c r="H769" t="s">
        <v>3446</v>
      </c>
      <c r="I769" s="2">
        <v>432</v>
      </c>
      <c r="J769" s="2">
        <v>0</v>
      </c>
      <c r="K769" s="2">
        <v>0</v>
      </c>
      <c r="L769" s="3">
        <v>45832</v>
      </c>
      <c r="M769" s="3">
        <v>45832</v>
      </c>
      <c r="N769" s="3"/>
      <c r="O769" t="s">
        <v>3448</v>
      </c>
      <c r="P769" t="s">
        <v>9</v>
      </c>
      <c r="Q769" s="4">
        <v>0.47644675925926</v>
      </c>
      <c r="R769" t="s">
        <v>5</v>
      </c>
      <c r="S769" t="s">
        <v>4</v>
      </c>
      <c r="T769" t="s">
        <v>2665</v>
      </c>
      <c r="U769" t="s">
        <v>10</v>
      </c>
      <c r="V769" s="5">
        <v>0</v>
      </c>
      <c r="W769" s="5">
        <v>0</v>
      </c>
      <c r="X769" s="2">
        <v>0</v>
      </c>
      <c r="Y769" t="s">
        <v>4</v>
      </c>
      <c r="Z769" t="s">
        <v>4</v>
      </c>
      <c r="AA769" t="s">
        <v>4</v>
      </c>
      <c r="AB769" t="s">
        <v>4</v>
      </c>
    </row>
    <row r="770" spans="1:28" x14ac:dyDescent="0.2">
      <c r="A770" t="s">
        <v>678</v>
      </c>
      <c r="B770" t="s">
        <v>2</v>
      </c>
      <c r="C770" t="s">
        <v>3</v>
      </c>
      <c r="D770" t="s">
        <v>4</v>
      </c>
      <c r="E770" t="s">
        <v>4</v>
      </c>
      <c r="F770" t="s">
        <v>5</v>
      </c>
      <c r="G770" t="s">
        <v>21</v>
      </c>
      <c r="H770" t="s">
        <v>3449</v>
      </c>
      <c r="I770" s="2">
        <v>1050</v>
      </c>
      <c r="J770" s="2">
        <v>0</v>
      </c>
      <c r="K770" s="2">
        <v>0</v>
      </c>
      <c r="L770" s="3">
        <v>45835</v>
      </c>
      <c r="M770" s="3">
        <v>45835</v>
      </c>
      <c r="N770" s="3"/>
      <c r="O770" t="s">
        <v>3450</v>
      </c>
      <c r="P770" t="s">
        <v>9</v>
      </c>
      <c r="Q770" s="4">
        <v>0.82344907407406998</v>
      </c>
      <c r="R770" t="s">
        <v>5</v>
      </c>
      <c r="S770" t="s">
        <v>4</v>
      </c>
      <c r="T770" t="s">
        <v>2928</v>
      </c>
      <c r="U770" t="s">
        <v>10</v>
      </c>
      <c r="V770" s="5">
        <v>0</v>
      </c>
      <c r="W770" s="5">
        <v>0</v>
      </c>
      <c r="X770" s="2">
        <v>0</v>
      </c>
      <c r="Y770" t="s">
        <v>4</v>
      </c>
      <c r="Z770" t="s">
        <v>4</v>
      </c>
      <c r="AA770" t="s">
        <v>4</v>
      </c>
      <c r="AB770" t="s">
        <v>4</v>
      </c>
    </row>
    <row r="771" spans="1:28" x14ac:dyDescent="0.2">
      <c r="A771" t="s">
        <v>678</v>
      </c>
      <c r="B771" t="s">
        <v>2</v>
      </c>
      <c r="C771" t="s">
        <v>3</v>
      </c>
      <c r="D771" t="s">
        <v>4</v>
      </c>
      <c r="E771" t="s">
        <v>4</v>
      </c>
      <c r="F771" t="s">
        <v>5</v>
      </c>
      <c r="G771" t="s">
        <v>21</v>
      </c>
      <c r="H771" t="s">
        <v>3449</v>
      </c>
      <c r="I771" s="2">
        <v>1050</v>
      </c>
      <c r="J771" s="2">
        <v>0</v>
      </c>
      <c r="K771" s="2">
        <v>0</v>
      </c>
      <c r="L771" s="3">
        <v>45835</v>
      </c>
      <c r="M771" s="3">
        <v>45835</v>
      </c>
      <c r="N771" s="3"/>
      <c r="O771" t="s">
        <v>3451</v>
      </c>
      <c r="P771" t="s">
        <v>9</v>
      </c>
      <c r="Q771" s="4">
        <v>0.82344907407406998</v>
      </c>
      <c r="R771" t="s">
        <v>5</v>
      </c>
      <c r="S771" t="s">
        <v>4</v>
      </c>
      <c r="T771" t="s">
        <v>2928</v>
      </c>
      <c r="U771" t="s">
        <v>10</v>
      </c>
      <c r="V771" s="5">
        <v>0</v>
      </c>
      <c r="W771" s="5">
        <v>0</v>
      </c>
      <c r="X771" s="2">
        <v>0</v>
      </c>
      <c r="Y771" t="s">
        <v>4</v>
      </c>
      <c r="Z771" t="s">
        <v>4</v>
      </c>
      <c r="AA771" t="s">
        <v>4</v>
      </c>
      <c r="AB771" t="s">
        <v>4</v>
      </c>
    </row>
    <row r="772" spans="1:28" x14ac:dyDescent="0.2">
      <c r="A772" t="s">
        <v>1922</v>
      </c>
      <c r="B772" t="s">
        <v>2</v>
      </c>
      <c r="C772" t="s">
        <v>3</v>
      </c>
      <c r="D772" t="s">
        <v>4</v>
      </c>
      <c r="E772" t="s">
        <v>4</v>
      </c>
      <c r="F772" t="s">
        <v>5</v>
      </c>
      <c r="G772" t="s">
        <v>21</v>
      </c>
      <c r="H772" t="s">
        <v>3452</v>
      </c>
      <c r="I772" s="2">
        <v>330</v>
      </c>
      <c r="J772" s="2">
        <v>0</v>
      </c>
      <c r="K772" s="2">
        <v>0</v>
      </c>
      <c r="L772" s="3">
        <v>45829</v>
      </c>
      <c r="M772" s="3">
        <v>45829</v>
      </c>
      <c r="N772" s="3"/>
      <c r="O772" t="s">
        <v>3453</v>
      </c>
      <c r="P772" t="s">
        <v>9</v>
      </c>
      <c r="Q772" s="4">
        <v>0.48224537037037002</v>
      </c>
      <c r="R772" t="s">
        <v>5</v>
      </c>
      <c r="S772" t="s">
        <v>4</v>
      </c>
      <c r="T772" t="s">
        <v>3242</v>
      </c>
      <c r="U772" t="s">
        <v>10</v>
      </c>
      <c r="V772" s="5">
        <v>0</v>
      </c>
      <c r="W772" s="5">
        <v>0</v>
      </c>
      <c r="X772" s="2">
        <v>0</v>
      </c>
      <c r="Y772" t="s">
        <v>4</v>
      </c>
      <c r="Z772" t="s">
        <v>4</v>
      </c>
      <c r="AA772" t="s">
        <v>4</v>
      </c>
      <c r="AB772" t="s">
        <v>4</v>
      </c>
    </row>
    <row r="773" spans="1:28" x14ac:dyDescent="0.2">
      <c r="A773" t="s">
        <v>1922</v>
      </c>
      <c r="B773" t="s">
        <v>2</v>
      </c>
      <c r="C773" t="s">
        <v>3</v>
      </c>
      <c r="D773" t="s">
        <v>4</v>
      </c>
      <c r="E773" t="s">
        <v>4</v>
      </c>
      <c r="F773" t="s">
        <v>5</v>
      </c>
      <c r="G773" t="s">
        <v>21</v>
      </c>
      <c r="H773" t="s">
        <v>3452</v>
      </c>
      <c r="I773" s="2">
        <v>330</v>
      </c>
      <c r="J773" s="2">
        <v>0</v>
      </c>
      <c r="K773" s="2">
        <v>0</v>
      </c>
      <c r="L773" s="3">
        <v>45829</v>
      </c>
      <c r="M773" s="3">
        <v>45829</v>
      </c>
      <c r="N773" s="3"/>
      <c r="O773" t="s">
        <v>3454</v>
      </c>
      <c r="P773" t="s">
        <v>9</v>
      </c>
      <c r="Q773" s="4">
        <v>0.48224537037037002</v>
      </c>
      <c r="R773" t="s">
        <v>5</v>
      </c>
      <c r="S773" t="s">
        <v>4</v>
      </c>
      <c r="T773" t="s">
        <v>3242</v>
      </c>
      <c r="U773" t="s">
        <v>10</v>
      </c>
      <c r="V773" s="5">
        <v>0</v>
      </c>
      <c r="W773" s="5">
        <v>0</v>
      </c>
      <c r="X773" s="2">
        <v>0</v>
      </c>
      <c r="Y773" t="s">
        <v>4</v>
      </c>
      <c r="Z773" t="s">
        <v>4</v>
      </c>
      <c r="AA773" t="s">
        <v>4</v>
      </c>
      <c r="AB773" t="s">
        <v>4</v>
      </c>
    </row>
    <row r="774" spans="1:28" x14ac:dyDescent="0.2">
      <c r="A774" t="s">
        <v>0</v>
      </c>
      <c r="B774" t="s">
        <v>2</v>
      </c>
      <c r="C774" t="s">
        <v>3</v>
      </c>
      <c r="D774" t="s">
        <v>4</v>
      </c>
      <c r="E774" t="s">
        <v>4</v>
      </c>
      <c r="F774" t="s">
        <v>5</v>
      </c>
      <c r="G774" t="s">
        <v>6</v>
      </c>
      <c r="H774" t="s">
        <v>55</v>
      </c>
      <c r="I774" s="2">
        <v>196</v>
      </c>
      <c r="J774" s="2">
        <v>0</v>
      </c>
      <c r="K774" s="2">
        <v>0</v>
      </c>
      <c r="L774" s="3">
        <v>45819</v>
      </c>
      <c r="M774" s="3">
        <v>45819</v>
      </c>
      <c r="N774" s="3"/>
      <c r="O774" t="s">
        <v>56</v>
      </c>
      <c r="P774" t="s">
        <v>9</v>
      </c>
      <c r="Q774" s="4">
        <v>0.48057870370369998</v>
      </c>
      <c r="R774" t="s">
        <v>5</v>
      </c>
      <c r="S774" t="s">
        <v>4</v>
      </c>
      <c r="T774" t="s">
        <v>2263</v>
      </c>
      <c r="U774" t="s">
        <v>10</v>
      </c>
      <c r="V774" s="5">
        <v>0</v>
      </c>
      <c r="W774" s="5">
        <v>0</v>
      </c>
      <c r="X774" s="2">
        <v>0</v>
      </c>
      <c r="Y774" t="s">
        <v>4</v>
      </c>
      <c r="Z774" t="s">
        <v>4</v>
      </c>
      <c r="AA774" t="s">
        <v>4</v>
      </c>
      <c r="AB774" t="s">
        <v>4</v>
      </c>
    </row>
    <row r="775" spans="1:28" x14ac:dyDescent="0.2">
      <c r="A775" t="s">
        <v>0</v>
      </c>
      <c r="B775" t="s">
        <v>2</v>
      </c>
      <c r="C775" t="s">
        <v>3</v>
      </c>
      <c r="D775" t="s">
        <v>4</v>
      </c>
      <c r="E775" t="s">
        <v>4</v>
      </c>
      <c r="F775" t="s">
        <v>5</v>
      </c>
      <c r="G775" t="s">
        <v>6</v>
      </c>
      <c r="H775" t="s">
        <v>55</v>
      </c>
      <c r="I775" s="2">
        <v>196</v>
      </c>
      <c r="J775" s="2">
        <v>0</v>
      </c>
      <c r="K775" s="2">
        <v>0</v>
      </c>
      <c r="L775" s="3">
        <v>45819</v>
      </c>
      <c r="M775" s="3">
        <v>45819</v>
      </c>
      <c r="N775" s="3"/>
      <c r="O775" t="s">
        <v>57</v>
      </c>
      <c r="P775" t="s">
        <v>9</v>
      </c>
      <c r="Q775" s="4">
        <v>0.48057870370369998</v>
      </c>
      <c r="R775" t="s">
        <v>5</v>
      </c>
      <c r="S775" t="s">
        <v>4</v>
      </c>
      <c r="T775" t="s">
        <v>2263</v>
      </c>
      <c r="U775" t="s">
        <v>10</v>
      </c>
      <c r="V775" s="5">
        <v>0</v>
      </c>
      <c r="W775" s="5">
        <v>0</v>
      </c>
      <c r="X775" s="2">
        <v>0</v>
      </c>
      <c r="Y775" t="s">
        <v>4</v>
      </c>
      <c r="Z775" t="s">
        <v>4</v>
      </c>
      <c r="AA775" t="s">
        <v>4</v>
      </c>
      <c r="AB775" t="s">
        <v>4</v>
      </c>
    </row>
    <row r="776" spans="1:28" x14ac:dyDescent="0.2">
      <c r="A776" t="s">
        <v>2043</v>
      </c>
      <c r="B776" t="s">
        <v>2</v>
      </c>
      <c r="C776" t="s">
        <v>3</v>
      </c>
      <c r="D776" t="s">
        <v>4</v>
      </c>
      <c r="E776" t="s">
        <v>4</v>
      </c>
      <c r="F776" t="s">
        <v>5</v>
      </c>
      <c r="G776" t="s">
        <v>6</v>
      </c>
      <c r="H776" t="s">
        <v>3455</v>
      </c>
      <c r="I776" s="2">
        <v>108</v>
      </c>
      <c r="J776" s="2">
        <v>0</v>
      </c>
      <c r="K776" s="2">
        <v>0</v>
      </c>
      <c r="L776" s="3">
        <v>45849</v>
      </c>
      <c r="M776" s="3">
        <v>45849</v>
      </c>
      <c r="N776" s="3"/>
      <c r="O776" t="s">
        <v>3456</v>
      </c>
      <c r="P776" t="s">
        <v>9</v>
      </c>
      <c r="Q776" s="4">
        <v>0.57017361111110998</v>
      </c>
      <c r="R776" t="s">
        <v>5</v>
      </c>
      <c r="S776" t="s">
        <v>4</v>
      </c>
      <c r="T776" t="s">
        <v>2321</v>
      </c>
      <c r="U776" t="s">
        <v>10</v>
      </c>
      <c r="V776" s="5">
        <v>0</v>
      </c>
      <c r="W776" s="5">
        <v>0</v>
      </c>
      <c r="X776" s="2">
        <v>0</v>
      </c>
      <c r="Y776" t="s">
        <v>4</v>
      </c>
      <c r="Z776" t="s">
        <v>4</v>
      </c>
      <c r="AA776" t="s">
        <v>4</v>
      </c>
      <c r="AB776" t="s">
        <v>4</v>
      </c>
    </row>
    <row r="777" spans="1:28" x14ac:dyDescent="0.2">
      <c r="A777" t="s">
        <v>2043</v>
      </c>
      <c r="B777" t="s">
        <v>2</v>
      </c>
      <c r="C777" t="s">
        <v>3</v>
      </c>
      <c r="D777" t="s">
        <v>4</v>
      </c>
      <c r="E777" t="s">
        <v>4</v>
      </c>
      <c r="F777" t="s">
        <v>5</v>
      </c>
      <c r="G777" t="s">
        <v>6</v>
      </c>
      <c r="H777" t="s">
        <v>3455</v>
      </c>
      <c r="I777" s="2">
        <v>108</v>
      </c>
      <c r="J777" s="2">
        <v>0</v>
      </c>
      <c r="K777" s="2">
        <v>0</v>
      </c>
      <c r="L777" s="3">
        <v>45849</v>
      </c>
      <c r="M777" s="3">
        <v>45849</v>
      </c>
      <c r="N777" s="3"/>
      <c r="O777" t="s">
        <v>3457</v>
      </c>
      <c r="P777" t="s">
        <v>9</v>
      </c>
      <c r="Q777" s="4">
        <v>0.57017361111110998</v>
      </c>
      <c r="R777" t="s">
        <v>5</v>
      </c>
      <c r="S777" t="s">
        <v>4</v>
      </c>
      <c r="T777" t="s">
        <v>2321</v>
      </c>
      <c r="U777" t="s">
        <v>10</v>
      </c>
      <c r="V777" s="5">
        <v>0</v>
      </c>
      <c r="W777" s="5">
        <v>0</v>
      </c>
      <c r="X777" s="2">
        <v>0</v>
      </c>
      <c r="Y777" t="s">
        <v>4</v>
      </c>
      <c r="Z777" t="s">
        <v>4</v>
      </c>
      <c r="AA777" t="s">
        <v>4</v>
      </c>
      <c r="AB777" t="s">
        <v>4</v>
      </c>
    </row>
    <row r="778" spans="1:28" x14ac:dyDescent="0.2">
      <c r="A778" t="s">
        <v>2043</v>
      </c>
      <c r="B778" t="s">
        <v>2</v>
      </c>
      <c r="C778" t="s">
        <v>3</v>
      </c>
      <c r="D778" t="s">
        <v>4</v>
      </c>
      <c r="E778" t="s">
        <v>4</v>
      </c>
      <c r="F778" t="s">
        <v>5</v>
      </c>
      <c r="G778" t="s">
        <v>6</v>
      </c>
      <c r="H778" t="s">
        <v>3458</v>
      </c>
      <c r="I778" s="2">
        <v>108</v>
      </c>
      <c r="J778" s="2">
        <v>0</v>
      </c>
      <c r="K778" s="2">
        <v>0</v>
      </c>
      <c r="L778" s="3">
        <v>45857</v>
      </c>
      <c r="M778" s="3">
        <v>45857</v>
      </c>
      <c r="N778" s="3"/>
      <c r="O778" t="s">
        <v>3459</v>
      </c>
      <c r="P778" t="s">
        <v>9</v>
      </c>
      <c r="Q778" s="4">
        <v>0.58900462962962996</v>
      </c>
      <c r="R778" t="s">
        <v>5</v>
      </c>
      <c r="S778" t="s">
        <v>4</v>
      </c>
      <c r="T778" t="s">
        <v>2262</v>
      </c>
      <c r="U778" t="s">
        <v>10</v>
      </c>
      <c r="V778" s="5">
        <v>0</v>
      </c>
      <c r="W778" s="5">
        <v>0</v>
      </c>
      <c r="X778" s="2">
        <v>0</v>
      </c>
      <c r="Y778" t="s">
        <v>4</v>
      </c>
      <c r="Z778" t="s">
        <v>4</v>
      </c>
      <c r="AA778" t="s">
        <v>4</v>
      </c>
      <c r="AB778" t="s">
        <v>4</v>
      </c>
    </row>
    <row r="779" spans="1:28" x14ac:dyDescent="0.2">
      <c r="A779" t="s">
        <v>2043</v>
      </c>
      <c r="B779" t="s">
        <v>2</v>
      </c>
      <c r="C779" t="s">
        <v>3</v>
      </c>
      <c r="D779" t="s">
        <v>4</v>
      </c>
      <c r="E779" t="s">
        <v>4</v>
      </c>
      <c r="F779" t="s">
        <v>5</v>
      </c>
      <c r="G779" t="s">
        <v>6</v>
      </c>
      <c r="H779" t="s">
        <v>3458</v>
      </c>
      <c r="I779" s="2">
        <v>108</v>
      </c>
      <c r="J779" s="2">
        <v>0</v>
      </c>
      <c r="K779" s="2">
        <v>0</v>
      </c>
      <c r="L779" s="3">
        <v>45857</v>
      </c>
      <c r="M779" s="3">
        <v>45857</v>
      </c>
      <c r="N779" s="3"/>
      <c r="O779" t="s">
        <v>3460</v>
      </c>
      <c r="P779" t="s">
        <v>9</v>
      </c>
      <c r="Q779" s="4">
        <v>0.58900462962962996</v>
      </c>
      <c r="R779" t="s">
        <v>5</v>
      </c>
      <c r="S779" t="s">
        <v>4</v>
      </c>
      <c r="T779" t="s">
        <v>2262</v>
      </c>
      <c r="U779" t="s">
        <v>10</v>
      </c>
      <c r="V779" s="5">
        <v>0</v>
      </c>
      <c r="W779" s="5">
        <v>0</v>
      </c>
      <c r="X779" s="2">
        <v>0</v>
      </c>
      <c r="Y779" t="s">
        <v>4</v>
      </c>
      <c r="Z779" t="s">
        <v>4</v>
      </c>
      <c r="AA779" t="s">
        <v>4</v>
      </c>
      <c r="AB779" t="s">
        <v>4</v>
      </c>
    </row>
    <row r="780" spans="1:28" x14ac:dyDescent="0.2">
      <c r="A780" t="s">
        <v>2251</v>
      </c>
      <c r="B780" t="s">
        <v>4</v>
      </c>
      <c r="C780" t="s">
        <v>4</v>
      </c>
      <c r="D780" t="s">
        <v>4</v>
      </c>
      <c r="E780" t="s">
        <v>4</v>
      </c>
      <c r="F780" t="s">
        <v>5</v>
      </c>
      <c r="G780" t="s">
        <v>6</v>
      </c>
      <c r="H780" t="s">
        <v>3461</v>
      </c>
      <c r="I780" s="5">
        <v>0</v>
      </c>
      <c r="J780" s="5">
        <v>0</v>
      </c>
      <c r="K780" s="5">
        <v>0</v>
      </c>
      <c r="L780" s="3"/>
      <c r="M780" s="3"/>
      <c r="N780" s="3"/>
      <c r="O780" t="s">
        <v>4</v>
      </c>
      <c r="P780" t="s">
        <v>9</v>
      </c>
      <c r="Q780" s="4">
        <v>0.38877314814815001</v>
      </c>
      <c r="R780" t="s">
        <v>4</v>
      </c>
      <c r="S780" t="s">
        <v>4</v>
      </c>
      <c r="T780" t="s">
        <v>2256</v>
      </c>
      <c r="U780" t="s">
        <v>4</v>
      </c>
      <c r="V780" s="5">
        <v>0</v>
      </c>
      <c r="W780" s="5">
        <v>0</v>
      </c>
      <c r="X780" s="2">
        <v>0</v>
      </c>
      <c r="Y780" t="s">
        <v>4</v>
      </c>
      <c r="Z780" t="s">
        <v>4</v>
      </c>
      <c r="AA780" t="s">
        <v>4</v>
      </c>
      <c r="AB780" t="s">
        <v>4</v>
      </c>
    </row>
    <row r="781" spans="1:28" x14ac:dyDescent="0.2">
      <c r="A781" t="s">
        <v>2193</v>
      </c>
      <c r="B781" t="s">
        <v>2</v>
      </c>
      <c r="C781" t="s">
        <v>3</v>
      </c>
      <c r="D781" t="s">
        <v>4</v>
      </c>
      <c r="E781" t="s">
        <v>4</v>
      </c>
      <c r="F781" t="s">
        <v>5</v>
      </c>
      <c r="G781" t="s">
        <v>21</v>
      </c>
      <c r="H781" t="s">
        <v>3462</v>
      </c>
      <c r="I781" s="2">
        <v>3600</v>
      </c>
      <c r="J781" s="2">
        <v>0</v>
      </c>
      <c r="K781" s="2">
        <v>0</v>
      </c>
      <c r="L781" s="3">
        <v>45860</v>
      </c>
      <c r="M781" s="3">
        <v>45860</v>
      </c>
      <c r="N781" s="3"/>
      <c r="O781" t="s">
        <v>3463</v>
      </c>
      <c r="P781" t="s">
        <v>9</v>
      </c>
      <c r="Q781" s="4">
        <v>0.35267361111111001</v>
      </c>
      <c r="R781" t="s">
        <v>5</v>
      </c>
      <c r="S781" t="s">
        <v>4</v>
      </c>
      <c r="T781" t="s">
        <v>2256</v>
      </c>
      <c r="U781" t="s">
        <v>10</v>
      </c>
      <c r="V781" s="5">
        <v>0</v>
      </c>
      <c r="W781" s="5">
        <v>0</v>
      </c>
      <c r="X781" s="2">
        <v>0</v>
      </c>
      <c r="Y781" t="s">
        <v>4</v>
      </c>
      <c r="Z781" t="s">
        <v>4</v>
      </c>
      <c r="AA781" t="s">
        <v>4</v>
      </c>
      <c r="AB781" t="s">
        <v>4</v>
      </c>
    </row>
    <row r="782" spans="1:28" x14ac:dyDescent="0.2">
      <c r="A782" t="s">
        <v>709</v>
      </c>
      <c r="B782" t="s">
        <v>2</v>
      </c>
      <c r="C782" t="s">
        <v>3</v>
      </c>
      <c r="D782" t="s">
        <v>4</v>
      </c>
      <c r="E782" t="s">
        <v>4</v>
      </c>
      <c r="F782" t="s">
        <v>5</v>
      </c>
      <c r="G782" t="s">
        <v>21</v>
      </c>
      <c r="H782" t="s">
        <v>3464</v>
      </c>
      <c r="I782" s="2">
        <v>63</v>
      </c>
      <c r="J782" s="2">
        <v>0</v>
      </c>
      <c r="K782" s="2">
        <v>0</v>
      </c>
      <c r="L782" s="3">
        <v>45849</v>
      </c>
      <c r="M782" s="3">
        <v>45849</v>
      </c>
      <c r="N782" s="3"/>
      <c r="O782" t="s">
        <v>3465</v>
      </c>
      <c r="P782" t="s">
        <v>9</v>
      </c>
      <c r="Q782" s="4">
        <v>0.81782407407406998</v>
      </c>
      <c r="R782" t="s">
        <v>5</v>
      </c>
      <c r="S782" t="s">
        <v>4</v>
      </c>
      <c r="T782" t="s">
        <v>2321</v>
      </c>
      <c r="U782" t="s">
        <v>10</v>
      </c>
      <c r="V782" s="5">
        <v>0</v>
      </c>
      <c r="W782" s="5">
        <v>0</v>
      </c>
      <c r="X782" s="2">
        <v>0</v>
      </c>
      <c r="Y782" t="s">
        <v>4</v>
      </c>
      <c r="Z782" t="s">
        <v>4</v>
      </c>
      <c r="AA782" t="s">
        <v>4</v>
      </c>
      <c r="AB782" t="s">
        <v>4</v>
      </c>
    </row>
    <row r="783" spans="1:28" x14ac:dyDescent="0.2">
      <c r="A783" t="s">
        <v>709</v>
      </c>
      <c r="B783" t="s">
        <v>2</v>
      </c>
      <c r="C783" t="s">
        <v>3</v>
      </c>
      <c r="D783" t="s">
        <v>4</v>
      </c>
      <c r="E783" t="s">
        <v>4</v>
      </c>
      <c r="F783" t="s">
        <v>5</v>
      </c>
      <c r="G783" t="s">
        <v>21</v>
      </c>
      <c r="H783" t="s">
        <v>3464</v>
      </c>
      <c r="I783" s="2">
        <v>50</v>
      </c>
      <c r="J783" s="2">
        <v>0</v>
      </c>
      <c r="K783" s="2">
        <v>0</v>
      </c>
      <c r="L783" s="3">
        <v>45849</v>
      </c>
      <c r="M783" s="3">
        <v>45849</v>
      </c>
      <c r="N783" s="3"/>
      <c r="O783" t="s">
        <v>3466</v>
      </c>
      <c r="P783" t="s">
        <v>9</v>
      </c>
      <c r="Q783" s="4">
        <v>0.81782407407406998</v>
      </c>
      <c r="R783" t="s">
        <v>5</v>
      </c>
      <c r="S783" t="s">
        <v>4</v>
      </c>
      <c r="T783" t="s">
        <v>2321</v>
      </c>
      <c r="U783" t="s">
        <v>10</v>
      </c>
      <c r="V783" s="5">
        <v>0</v>
      </c>
      <c r="W783" s="5">
        <v>0</v>
      </c>
      <c r="X783" s="2">
        <v>0</v>
      </c>
      <c r="Y783" t="s">
        <v>4</v>
      </c>
      <c r="Z783" t="s">
        <v>4</v>
      </c>
      <c r="AA783" t="s">
        <v>4</v>
      </c>
      <c r="AB783" t="s">
        <v>4</v>
      </c>
    </row>
    <row r="784" spans="1:28" x14ac:dyDescent="0.2">
      <c r="A784" t="s">
        <v>1031</v>
      </c>
      <c r="B784" t="s">
        <v>2</v>
      </c>
      <c r="C784" t="s">
        <v>3</v>
      </c>
      <c r="D784" t="s">
        <v>4</v>
      </c>
      <c r="E784" t="s">
        <v>4</v>
      </c>
      <c r="F784" t="s">
        <v>5</v>
      </c>
      <c r="G784" t="s">
        <v>21</v>
      </c>
      <c r="H784" t="s">
        <v>3467</v>
      </c>
      <c r="I784" s="2">
        <v>405</v>
      </c>
      <c r="J784" s="2">
        <v>0</v>
      </c>
      <c r="K784" s="2">
        <v>0</v>
      </c>
      <c r="L784" s="3">
        <v>45849</v>
      </c>
      <c r="M784" s="3">
        <v>45849</v>
      </c>
      <c r="N784" s="3"/>
      <c r="O784" t="s">
        <v>3468</v>
      </c>
      <c r="P784" t="s">
        <v>9</v>
      </c>
      <c r="Q784" s="4">
        <v>0.94435185185185</v>
      </c>
      <c r="R784" t="s">
        <v>5</v>
      </c>
      <c r="S784" t="s">
        <v>4</v>
      </c>
      <c r="T784" t="s">
        <v>2321</v>
      </c>
      <c r="U784" t="s">
        <v>10</v>
      </c>
      <c r="V784" s="5">
        <v>0</v>
      </c>
      <c r="W784" s="5">
        <v>0</v>
      </c>
      <c r="X784" s="2">
        <v>0</v>
      </c>
      <c r="Y784" t="s">
        <v>4</v>
      </c>
      <c r="Z784" t="s">
        <v>4</v>
      </c>
      <c r="AA784" t="s">
        <v>4</v>
      </c>
      <c r="AB784" t="s">
        <v>4</v>
      </c>
    </row>
    <row r="785" spans="1:28" x14ac:dyDescent="0.2">
      <c r="A785" t="s">
        <v>1031</v>
      </c>
      <c r="B785" t="s">
        <v>2</v>
      </c>
      <c r="C785" t="s">
        <v>3</v>
      </c>
      <c r="D785" t="s">
        <v>4</v>
      </c>
      <c r="E785" t="s">
        <v>4</v>
      </c>
      <c r="F785" t="s">
        <v>5</v>
      </c>
      <c r="G785" t="s">
        <v>21</v>
      </c>
      <c r="H785" t="s">
        <v>3467</v>
      </c>
      <c r="I785" s="2">
        <v>405</v>
      </c>
      <c r="J785" s="2">
        <v>0</v>
      </c>
      <c r="K785" s="2">
        <v>0</v>
      </c>
      <c r="L785" s="3">
        <v>45849</v>
      </c>
      <c r="M785" s="3">
        <v>45849</v>
      </c>
      <c r="N785" s="3"/>
      <c r="O785" t="s">
        <v>3469</v>
      </c>
      <c r="P785" t="s">
        <v>9</v>
      </c>
      <c r="Q785" s="4">
        <v>0.94435185185185</v>
      </c>
      <c r="R785" t="s">
        <v>5</v>
      </c>
      <c r="S785" t="s">
        <v>4</v>
      </c>
      <c r="T785" t="s">
        <v>2321</v>
      </c>
      <c r="U785" t="s">
        <v>10</v>
      </c>
      <c r="V785" s="5">
        <v>0</v>
      </c>
      <c r="W785" s="5">
        <v>0</v>
      </c>
      <c r="X785" s="2">
        <v>0</v>
      </c>
      <c r="Y785" t="s">
        <v>4</v>
      </c>
      <c r="Z785" t="s">
        <v>4</v>
      </c>
      <c r="AA785" t="s">
        <v>4</v>
      </c>
      <c r="AB785" t="s">
        <v>4</v>
      </c>
    </row>
    <row r="786" spans="1:28" x14ac:dyDescent="0.2">
      <c r="A786" t="s">
        <v>0</v>
      </c>
      <c r="B786" t="s">
        <v>2</v>
      </c>
      <c r="C786" t="s">
        <v>3</v>
      </c>
      <c r="D786" t="s">
        <v>4</v>
      </c>
      <c r="E786" t="s">
        <v>4</v>
      </c>
      <c r="F786" t="s">
        <v>5</v>
      </c>
      <c r="G786" t="s">
        <v>21</v>
      </c>
      <c r="H786" t="s">
        <v>58</v>
      </c>
      <c r="I786" s="2">
        <v>196</v>
      </c>
      <c r="J786" s="2">
        <v>0</v>
      </c>
      <c r="K786" s="2">
        <v>0</v>
      </c>
      <c r="L786" s="3">
        <v>45820</v>
      </c>
      <c r="M786" s="3">
        <v>45820</v>
      </c>
      <c r="N786" s="3"/>
      <c r="O786" t="s">
        <v>60</v>
      </c>
      <c r="P786" t="s">
        <v>9</v>
      </c>
      <c r="Q786" s="4">
        <v>0.89425925925925998</v>
      </c>
      <c r="R786" t="s">
        <v>5</v>
      </c>
      <c r="S786" t="s">
        <v>4</v>
      </c>
      <c r="T786" t="s">
        <v>3198</v>
      </c>
      <c r="U786" t="s">
        <v>10</v>
      </c>
      <c r="V786" s="5">
        <v>0</v>
      </c>
      <c r="W786" s="5">
        <v>0</v>
      </c>
      <c r="X786" s="2">
        <v>0</v>
      </c>
      <c r="Y786" t="s">
        <v>4</v>
      </c>
      <c r="Z786" t="s">
        <v>4</v>
      </c>
      <c r="AA786" t="s">
        <v>4</v>
      </c>
      <c r="AB786" t="s">
        <v>4</v>
      </c>
    </row>
    <row r="787" spans="1:28" x14ac:dyDescent="0.2">
      <c r="A787" t="s">
        <v>0</v>
      </c>
      <c r="B787" t="s">
        <v>2</v>
      </c>
      <c r="C787" t="s">
        <v>3</v>
      </c>
      <c r="D787" t="s">
        <v>4</v>
      </c>
      <c r="E787" t="s">
        <v>4</v>
      </c>
      <c r="F787" t="s">
        <v>5</v>
      </c>
      <c r="G787" t="s">
        <v>21</v>
      </c>
      <c r="H787" t="s">
        <v>58</v>
      </c>
      <c r="I787" s="2">
        <v>196</v>
      </c>
      <c r="J787" s="2">
        <v>0</v>
      </c>
      <c r="K787" s="2">
        <v>0</v>
      </c>
      <c r="L787" s="3">
        <v>45820</v>
      </c>
      <c r="M787" s="3">
        <v>45820</v>
      </c>
      <c r="N787" s="3"/>
      <c r="O787" t="s">
        <v>59</v>
      </c>
      <c r="P787" t="s">
        <v>9</v>
      </c>
      <c r="Q787" s="4">
        <v>0.89425925925925998</v>
      </c>
      <c r="R787" t="s">
        <v>5</v>
      </c>
      <c r="S787" t="s">
        <v>4</v>
      </c>
      <c r="T787" t="s">
        <v>3198</v>
      </c>
      <c r="U787" t="s">
        <v>10</v>
      </c>
      <c r="V787" s="5">
        <v>0</v>
      </c>
      <c r="W787" s="5">
        <v>0</v>
      </c>
      <c r="X787" s="2">
        <v>0</v>
      </c>
      <c r="Y787" t="s">
        <v>4</v>
      </c>
      <c r="Z787" t="s">
        <v>4</v>
      </c>
      <c r="AA787" t="s">
        <v>4</v>
      </c>
      <c r="AB787" t="s">
        <v>4</v>
      </c>
    </row>
    <row r="788" spans="1:28" x14ac:dyDescent="0.2">
      <c r="A788" t="s">
        <v>715</v>
      </c>
      <c r="B788" t="s">
        <v>2</v>
      </c>
      <c r="C788" t="s">
        <v>3</v>
      </c>
      <c r="D788" t="s">
        <v>4</v>
      </c>
      <c r="E788" t="s">
        <v>4</v>
      </c>
      <c r="F788" t="s">
        <v>5</v>
      </c>
      <c r="G788" t="s">
        <v>6</v>
      </c>
      <c r="H788" t="s">
        <v>3470</v>
      </c>
      <c r="I788" s="2">
        <v>88</v>
      </c>
      <c r="J788" s="2">
        <v>0</v>
      </c>
      <c r="K788" s="2">
        <v>0</v>
      </c>
      <c r="L788" s="3">
        <v>45855</v>
      </c>
      <c r="M788" s="3">
        <v>45855</v>
      </c>
      <c r="N788" s="3"/>
      <c r="O788" t="s">
        <v>3471</v>
      </c>
      <c r="P788" t="s">
        <v>9</v>
      </c>
      <c r="Q788" s="4">
        <v>0.95906250000000004</v>
      </c>
      <c r="R788" t="s">
        <v>5</v>
      </c>
      <c r="S788" t="s">
        <v>4</v>
      </c>
      <c r="T788" t="s">
        <v>2350</v>
      </c>
      <c r="U788" t="s">
        <v>10</v>
      </c>
      <c r="V788" s="5">
        <v>0</v>
      </c>
      <c r="W788" s="5">
        <v>0</v>
      </c>
      <c r="X788" s="2">
        <v>0</v>
      </c>
      <c r="Y788" t="s">
        <v>4</v>
      </c>
      <c r="Z788" t="s">
        <v>4</v>
      </c>
      <c r="AA788" t="s">
        <v>4</v>
      </c>
      <c r="AB788" t="s">
        <v>4</v>
      </c>
    </row>
    <row r="789" spans="1:28" x14ac:dyDescent="0.2">
      <c r="A789" t="s">
        <v>1164</v>
      </c>
      <c r="B789" t="s">
        <v>2</v>
      </c>
      <c r="C789" t="s">
        <v>3</v>
      </c>
      <c r="D789" t="s">
        <v>4</v>
      </c>
      <c r="E789" t="s">
        <v>4</v>
      </c>
      <c r="F789" t="s">
        <v>5</v>
      </c>
      <c r="G789" t="s">
        <v>6</v>
      </c>
      <c r="H789" t="s">
        <v>3472</v>
      </c>
      <c r="I789" s="2">
        <v>2400</v>
      </c>
      <c r="J789" s="2">
        <v>0</v>
      </c>
      <c r="K789" s="2">
        <v>0</v>
      </c>
      <c r="L789" s="3">
        <v>45849</v>
      </c>
      <c r="M789" s="3">
        <v>45849</v>
      </c>
      <c r="N789" s="3"/>
      <c r="O789" t="s">
        <v>3473</v>
      </c>
      <c r="P789" t="s">
        <v>9</v>
      </c>
      <c r="Q789" s="4">
        <v>0.43142361111110999</v>
      </c>
      <c r="R789" t="s">
        <v>5</v>
      </c>
      <c r="S789" t="s">
        <v>4</v>
      </c>
      <c r="T789" t="s">
        <v>2321</v>
      </c>
      <c r="U789" t="s">
        <v>10</v>
      </c>
      <c r="V789" s="5">
        <v>0</v>
      </c>
      <c r="W789" s="5">
        <v>0</v>
      </c>
      <c r="X789" s="2">
        <v>0</v>
      </c>
      <c r="Y789" t="s">
        <v>4</v>
      </c>
      <c r="Z789" t="s">
        <v>4</v>
      </c>
      <c r="AA789" t="s">
        <v>4</v>
      </c>
      <c r="AB789" t="s">
        <v>4</v>
      </c>
    </row>
    <row r="790" spans="1:28" x14ac:dyDescent="0.2">
      <c r="A790" t="s">
        <v>2008</v>
      </c>
      <c r="B790" t="s">
        <v>2</v>
      </c>
      <c r="C790" t="s">
        <v>3</v>
      </c>
      <c r="D790" t="s">
        <v>4</v>
      </c>
      <c r="E790" t="s">
        <v>4</v>
      </c>
      <c r="F790" t="s">
        <v>5</v>
      </c>
      <c r="G790" t="s">
        <v>6</v>
      </c>
      <c r="H790" t="s">
        <v>3474</v>
      </c>
      <c r="I790" s="2">
        <v>2520</v>
      </c>
      <c r="J790" s="2">
        <v>0</v>
      </c>
      <c r="K790" s="2">
        <v>0</v>
      </c>
      <c r="L790" s="3">
        <v>45839</v>
      </c>
      <c r="M790" s="3">
        <v>45839</v>
      </c>
      <c r="N790" s="3"/>
      <c r="O790" t="s">
        <v>3475</v>
      </c>
      <c r="P790" t="s">
        <v>9</v>
      </c>
      <c r="Q790" s="4">
        <v>0.55836805555556002</v>
      </c>
      <c r="R790" t="s">
        <v>5</v>
      </c>
      <c r="S790" t="s">
        <v>4</v>
      </c>
      <c r="T790" t="s">
        <v>2312</v>
      </c>
      <c r="U790" t="s">
        <v>10</v>
      </c>
      <c r="V790" s="5">
        <v>0</v>
      </c>
      <c r="W790" s="5">
        <v>0</v>
      </c>
      <c r="X790" s="2">
        <v>0</v>
      </c>
      <c r="Y790" t="s">
        <v>4</v>
      </c>
      <c r="Z790" t="s">
        <v>4</v>
      </c>
      <c r="AA790" t="s">
        <v>4</v>
      </c>
      <c r="AB790" t="s">
        <v>4</v>
      </c>
    </row>
    <row r="791" spans="1:28" x14ac:dyDescent="0.2">
      <c r="A791" t="s">
        <v>2008</v>
      </c>
      <c r="B791" t="s">
        <v>2</v>
      </c>
      <c r="C791" t="s">
        <v>3</v>
      </c>
      <c r="D791" t="s">
        <v>4</v>
      </c>
      <c r="E791" t="s">
        <v>4</v>
      </c>
      <c r="F791" t="s">
        <v>5</v>
      </c>
      <c r="G791" t="s">
        <v>6</v>
      </c>
      <c r="H791" t="s">
        <v>3474</v>
      </c>
      <c r="I791" s="2">
        <v>2520</v>
      </c>
      <c r="J791" s="2">
        <v>0</v>
      </c>
      <c r="K791" s="2">
        <v>0</v>
      </c>
      <c r="L791" s="3">
        <v>45839</v>
      </c>
      <c r="M791" s="3">
        <v>45839</v>
      </c>
      <c r="N791" s="3"/>
      <c r="O791" t="s">
        <v>3476</v>
      </c>
      <c r="P791" t="s">
        <v>9</v>
      </c>
      <c r="Q791" s="4">
        <v>0.55836805555556002</v>
      </c>
      <c r="R791" t="s">
        <v>5</v>
      </c>
      <c r="S791" t="s">
        <v>4</v>
      </c>
      <c r="T791" t="s">
        <v>2312</v>
      </c>
      <c r="U791" t="s">
        <v>10</v>
      </c>
      <c r="V791" s="5">
        <v>0</v>
      </c>
      <c r="W791" s="5">
        <v>0</v>
      </c>
      <c r="X791" s="2">
        <v>0</v>
      </c>
      <c r="Y791" t="s">
        <v>4</v>
      </c>
      <c r="Z791" t="s">
        <v>4</v>
      </c>
      <c r="AA791" t="s">
        <v>4</v>
      </c>
      <c r="AB791" t="s">
        <v>4</v>
      </c>
    </row>
    <row r="792" spans="1:28" x14ac:dyDescent="0.2">
      <c r="A792" t="s">
        <v>0</v>
      </c>
      <c r="B792" t="s">
        <v>2</v>
      </c>
      <c r="C792" t="s">
        <v>3</v>
      </c>
      <c r="D792" t="s">
        <v>4</v>
      </c>
      <c r="E792" t="s">
        <v>4</v>
      </c>
      <c r="F792" t="s">
        <v>5</v>
      </c>
      <c r="G792" t="s">
        <v>6</v>
      </c>
      <c r="H792" t="s">
        <v>61</v>
      </c>
      <c r="I792" s="2">
        <v>196</v>
      </c>
      <c r="J792" s="2">
        <v>0</v>
      </c>
      <c r="K792" s="2">
        <v>0</v>
      </c>
      <c r="L792" s="3">
        <v>45820</v>
      </c>
      <c r="M792" s="3">
        <v>45820</v>
      </c>
      <c r="N792" s="3"/>
      <c r="O792" t="s">
        <v>62</v>
      </c>
      <c r="P792" t="s">
        <v>9</v>
      </c>
      <c r="Q792" s="4">
        <v>0.90447916666667005</v>
      </c>
      <c r="R792" t="s">
        <v>5</v>
      </c>
      <c r="S792" t="s">
        <v>4</v>
      </c>
      <c r="T792" t="s">
        <v>3198</v>
      </c>
      <c r="U792" t="s">
        <v>10</v>
      </c>
      <c r="V792" s="5">
        <v>0</v>
      </c>
      <c r="W792" s="5">
        <v>0</v>
      </c>
      <c r="X792" s="2">
        <v>0</v>
      </c>
      <c r="Y792" t="s">
        <v>4</v>
      </c>
      <c r="Z792" t="s">
        <v>4</v>
      </c>
      <c r="AA792" t="s">
        <v>4</v>
      </c>
      <c r="AB792" t="s">
        <v>4</v>
      </c>
    </row>
    <row r="793" spans="1:28" x14ac:dyDescent="0.2">
      <c r="A793" t="s">
        <v>0</v>
      </c>
      <c r="B793" t="s">
        <v>2</v>
      </c>
      <c r="C793" t="s">
        <v>3</v>
      </c>
      <c r="D793" t="s">
        <v>4</v>
      </c>
      <c r="E793" t="s">
        <v>4</v>
      </c>
      <c r="F793" t="s">
        <v>5</v>
      </c>
      <c r="G793" t="s">
        <v>6</v>
      </c>
      <c r="H793" t="s">
        <v>61</v>
      </c>
      <c r="I793" s="2">
        <v>196</v>
      </c>
      <c r="J793" s="2">
        <v>0</v>
      </c>
      <c r="K793" s="2">
        <v>0</v>
      </c>
      <c r="L793" s="3">
        <v>45820</v>
      </c>
      <c r="M793" s="3">
        <v>45820</v>
      </c>
      <c r="N793" s="3"/>
      <c r="O793" t="s">
        <v>63</v>
      </c>
      <c r="P793" t="s">
        <v>9</v>
      </c>
      <c r="Q793" s="4">
        <v>0.90447916666667005</v>
      </c>
      <c r="R793" t="s">
        <v>5</v>
      </c>
      <c r="S793" t="s">
        <v>4</v>
      </c>
      <c r="T793" t="s">
        <v>3198</v>
      </c>
      <c r="U793" t="s">
        <v>10</v>
      </c>
      <c r="V793" s="5">
        <v>0</v>
      </c>
      <c r="W793" s="5">
        <v>0</v>
      </c>
      <c r="X793" s="2">
        <v>0</v>
      </c>
      <c r="Y793" t="s">
        <v>4</v>
      </c>
      <c r="Z793" t="s">
        <v>4</v>
      </c>
      <c r="AA793" t="s">
        <v>4</v>
      </c>
      <c r="AB793" t="s">
        <v>4</v>
      </c>
    </row>
    <row r="794" spans="1:28" x14ac:dyDescent="0.2">
      <c r="A794" t="s">
        <v>1139</v>
      </c>
      <c r="B794" t="s">
        <v>2</v>
      </c>
      <c r="C794" t="s">
        <v>3</v>
      </c>
      <c r="D794" t="s">
        <v>4</v>
      </c>
      <c r="E794" t="s">
        <v>4</v>
      </c>
      <c r="F794" t="s">
        <v>5</v>
      </c>
      <c r="G794" t="s">
        <v>21</v>
      </c>
      <c r="H794" t="s">
        <v>3477</v>
      </c>
      <c r="I794" s="2">
        <v>432</v>
      </c>
      <c r="J794" s="2">
        <v>0</v>
      </c>
      <c r="K794" s="2">
        <v>0</v>
      </c>
      <c r="L794" s="3">
        <v>45844</v>
      </c>
      <c r="M794" s="3">
        <v>45844</v>
      </c>
      <c r="N794" s="3"/>
      <c r="O794" t="s">
        <v>3478</v>
      </c>
      <c r="P794" t="s">
        <v>9</v>
      </c>
      <c r="Q794" s="4">
        <v>0.53120370370369996</v>
      </c>
      <c r="R794" t="s">
        <v>5</v>
      </c>
      <c r="S794" t="s">
        <v>4</v>
      </c>
      <c r="T794" t="s">
        <v>2792</v>
      </c>
      <c r="U794" t="s">
        <v>10</v>
      </c>
      <c r="V794" s="5">
        <v>0</v>
      </c>
      <c r="W794" s="5">
        <v>0</v>
      </c>
      <c r="X794" s="2">
        <v>0</v>
      </c>
      <c r="Y794" t="s">
        <v>4</v>
      </c>
      <c r="Z794" t="s">
        <v>4</v>
      </c>
      <c r="AA794" t="s">
        <v>4</v>
      </c>
      <c r="AB794" t="s">
        <v>4</v>
      </c>
    </row>
    <row r="795" spans="1:28" x14ac:dyDescent="0.2">
      <c r="A795" t="s">
        <v>1139</v>
      </c>
      <c r="B795" t="s">
        <v>2</v>
      </c>
      <c r="C795" t="s">
        <v>3</v>
      </c>
      <c r="D795" t="s">
        <v>4</v>
      </c>
      <c r="E795" t="s">
        <v>4</v>
      </c>
      <c r="F795" t="s">
        <v>5</v>
      </c>
      <c r="G795" t="s">
        <v>21</v>
      </c>
      <c r="H795" t="s">
        <v>3477</v>
      </c>
      <c r="I795" s="2">
        <v>432</v>
      </c>
      <c r="J795" s="2">
        <v>0</v>
      </c>
      <c r="K795" s="2">
        <v>0</v>
      </c>
      <c r="L795" s="3">
        <v>45844</v>
      </c>
      <c r="M795" s="3">
        <v>45844</v>
      </c>
      <c r="N795" s="3"/>
      <c r="O795" t="s">
        <v>3479</v>
      </c>
      <c r="P795" t="s">
        <v>9</v>
      </c>
      <c r="Q795" s="4">
        <v>0.53120370370369996</v>
      </c>
      <c r="R795" t="s">
        <v>5</v>
      </c>
      <c r="S795" t="s">
        <v>4</v>
      </c>
      <c r="T795" t="s">
        <v>2792</v>
      </c>
      <c r="U795" t="s">
        <v>10</v>
      </c>
      <c r="V795" s="5">
        <v>0</v>
      </c>
      <c r="W795" s="5">
        <v>0</v>
      </c>
      <c r="X795" s="2">
        <v>0</v>
      </c>
      <c r="Y795" t="s">
        <v>4</v>
      </c>
      <c r="Z795" t="s">
        <v>4</v>
      </c>
      <c r="AA795" t="s">
        <v>4</v>
      </c>
      <c r="AB795" t="s">
        <v>4</v>
      </c>
    </row>
    <row r="796" spans="1:28" x14ac:dyDescent="0.2">
      <c r="A796" t="s">
        <v>2005</v>
      </c>
      <c r="B796" t="s">
        <v>2</v>
      </c>
      <c r="C796" t="s">
        <v>3</v>
      </c>
      <c r="D796" t="s">
        <v>4</v>
      </c>
      <c r="E796" t="s">
        <v>4</v>
      </c>
      <c r="F796" t="s">
        <v>5</v>
      </c>
      <c r="G796" t="s">
        <v>21</v>
      </c>
      <c r="H796" t="s">
        <v>3480</v>
      </c>
      <c r="I796" s="2">
        <v>1960</v>
      </c>
      <c r="J796" s="2">
        <v>0</v>
      </c>
      <c r="K796" s="2">
        <v>0</v>
      </c>
      <c r="L796" s="3">
        <v>45807</v>
      </c>
      <c r="M796" s="3">
        <v>45807</v>
      </c>
      <c r="N796" s="3"/>
      <c r="O796" t="s">
        <v>3481</v>
      </c>
      <c r="P796" t="s">
        <v>9</v>
      </c>
      <c r="Q796" s="4">
        <v>0.92001157407406997</v>
      </c>
      <c r="R796" t="s">
        <v>5</v>
      </c>
      <c r="S796" t="s">
        <v>4</v>
      </c>
      <c r="T796" t="s">
        <v>3482</v>
      </c>
      <c r="U796" t="s">
        <v>10</v>
      </c>
      <c r="V796" s="5">
        <v>0</v>
      </c>
      <c r="W796" s="5">
        <v>0</v>
      </c>
      <c r="X796" s="2">
        <v>0</v>
      </c>
      <c r="Y796" t="s">
        <v>4</v>
      </c>
      <c r="Z796" t="s">
        <v>4</v>
      </c>
      <c r="AA796" t="s">
        <v>4</v>
      </c>
      <c r="AB796" t="s">
        <v>4</v>
      </c>
    </row>
    <row r="797" spans="1:28" x14ac:dyDescent="0.2">
      <c r="A797" t="s">
        <v>0</v>
      </c>
      <c r="B797" t="s">
        <v>2</v>
      </c>
      <c r="C797" t="s">
        <v>3</v>
      </c>
      <c r="D797" t="s">
        <v>4</v>
      </c>
      <c r="E797" t="s">
        <v>4</v>
      </c>
      <c r="F797" t="s">
        <v>5</v>
      </c>
      <c r="G797" t="s">
        <v>21</v>
      </c>
      <c r="H797" t="s">
        <v>64</v>
      </c>
      <c r="I797" s="2">
        <v>196</v>
      </c>
      <c r="J797" s="2">
        <v>0</v>
      </c>
      <c r="K797" s="2">
        <v>0</v>
      </c>
      <c r="L797" s="3">
        <v>45820</v>
      </c>
      <c r="M797" s="3">
        <v>45820</v>
      </c>
      <c r="N797" s="3"/>
      <c r="O797" t="s">
        <v>65</v>
      </c>
      <c r="P797" t="s">
        <v>9</v>
      </c>
      <c r="Q797" s="4">
        <v>0.89471064814815005</v>
      </c>
      <c r="R797" t="s">
        <v>5</v>
      </c>
      <c r="S797" t="s">
        <v>4</v>
      </c>
      <c r="T797" t="s">
        <v>3198</v>
      </c>
      <c r="U797" t="s">
        <v>10</v>
      </c>
      <c r="V797" s="5">
        <v>0</v>
      </c>
      <c r="W797" s="5">
        <v>0</v>
      </c>
      <c r="X797" s="2">
        <v>0</v>
      </c>
      <c r="Y797" t="s">
        <v>4</v>
      </c>
      <c r="Z797" t="s">
        <v>4</v>
      </c>
      <c r="AA797" t="s">
        <v>4</v>
      </c>
      <c r="AB797" t="s">
        <v>4</v>
      </c>
    </row>
    <row r="798" spans="1:28" x14ac:dyDescent="0.2">
      <c r="A798" t="s">
        <v>0</v>
      </c>
      <c r="B798" t="s">
        <v>2</v>
      </c>
      <c r="C798" t="s">
        <v>3</v>
      </c>
      <c r="D798" t="s">
        <v>4</v>
      </c>
      <c r="E798" t="s">
        <v>4</v>
      </c>
      <c r="F798" t="s">
        <v>5</v>
      </c>
      <c r="G798" t="s">
        <v>21</v>
      </c>
      <c r="H798" t="s">
        <v>64</v>
      </c>
      <c r="I798" s="2">
        <v>196</v>
      </c>
      <c r="J798" s="2">
        <v>0</v>
      </c>
      <c r="K798" s="2">
        <v>0</v>
      </c>
      <c r="L798" s="3">
        <v>45820</v>
      </c>
      <c r="M798" s="3">
        <v>45820</v>
      </c>
      <c r="N798" s="3"/>
      <c r="O798" t="s">
        <v>66</v>
      </c>
      <c r="P798" t="s">
        <v>9</v>
      </c>
      <c r="Q798" s="4">
        <v>0.89471064814815005</v>
      </c>
      <c r="R798" t="s">
        <v>5</v>
      </c>
      <c r="S798" t="s">
        <v>4</v>
      </c>
      <c r="T798" t="s">
        <v>3198</v>
      </c>
      <c r="U798" t="s">
        <v>10</v>
      </c>
      <c r="V798" s="5">
        <v>0</v>
      </c>
      <c r="W798" s="5">
        <v>0</v>
      </c>
      <c r="X798" s="2">
        <v>0</v>
      </c>
      <c r="Y798" t="s">
        <v>4</v>
      </c>
      <c r="Z798" t="s">
        <v>4</v>
      </c>
      <c r="AA798" t="s">
        <v>4</v>
      </c>
      <c r="AB798" t="s">
        <v>4</v>
      </c>
    </row>
    <row r="799" spans="1:28" x14ac:dyDescent="0.2">
      <c r="A799" t="s">
        <v>1215</v>
      </c>
      <c r="B799" t="s">
        <v>2</v>
      </c>
      <c r="C799" t="s">
        <v>3</v>
      </c>
      <c r="D799" t="s">
        <v>4</v>
      </c>
      <c r="E799" t="s">
        <v>4</v>
      </c>
      <c r="F799" t="s">
        <v>5</v>
      </c>
      <c r="G799" t="s">
        <v>21</v>
      </c>
      <c r="H799" t="s">
        <v>3483</v>
      </c>
      <c r="I799" s="2">
        <v>1200</v>
      </c>
      <c r="J799" s="2">
        <v>0</v>
      </c>
      <c r="K799" s="2">
        <v>0</v>
      </c>
      <c r="L799" s="3">
        <v>45791</v>
      </c>
      <c r="M799" s="3">
        <v>45791</v>
      </c>
      <c r="N799" s="3"/>
      <c r="O799" t="s">
        <v>3484</v>
      </c>
      <c r="P799" t="s">
        <v>9</v>
      </c>
      <c r="Q799" s="4">
        <v>0.86388888888889004</v>
      </c>
      <c r="R799" t="s">
        <v>5</v>
      </c>
      <c r="S799" t="s">
        <v>4</v>
      </c>
      <c r="T799" t="s">
        <v>3485</v>
      </c>
      <c r="U799" t="s">
        <v>10</v>
      </c>
      <c r="V799" s="5">
        <v>0</v>
      </c>
      <c r="W799" s="5">
        <v>0</v>
      </c>
      <c r="X799" s="2">
        <v>0</v>
      </c>
      <c r="Y799" t="s">
        <v>4</v>
      </c>
      <c r="Z799" t="s">
        <v>4</v>
      </c>
      <c r="AA799" t="s">
        <v>4</v>
      </c>
      <c r="AB799" t="s">
        <v>4</v>
      </c>
    </row>
    <row r="800" spans="1:28" x14ac:dyDescent="0.2">
      <c r="A800" t="s">
        <v>1215</v>
      </c>
      <c r="B800" t="s">
        <v>2</v>
      </c>
      <c r="C800" t="s">
        <v>3</v>
      </c>
      <c r="D800" t="s">
        <v>4</v>
      </c>
      <c r="E800" t="s">
        <v>4</v>
      </c>
      <c r="F800" t="s">
        <v>5</v>
      </c>
      <c r="G800" t="s">
        <v>21</v>
      </c>
      <c r="H800" t="s">
        <v>3483</v>
      </c>
      <c r="I800" s="2">
        <v>1200</v>
      </c>
      <c r="J800" s="2">
        <v>0</v>
      </c>
      <c r="K800" s="2">
        <v>0</v>
      </c>
      <c r="L800" s="3">
        <v>45791</v>
      </c>
      <c r="M800" s="3">
        <v>45791</v>
      </c>
      <c r="N800" s="3"/>
      <c r="O800" t="s">
        <v>3486</v>
      </c>
      <c r="P800" t="s">
        <v>9</v>
      </c>
      <c r="Q800" s="4">
        <v>0.86388888888889004</v>
      </c>
      <c r="R800" t="s">
        <v>5</v>
      </c>
      <c r="S800" t="s">
        <v>4</v>
      </c>
      <c r="T800" t="s">
        <v>3485</v>
      </c>
      <c r="U800" t="s">
        <v>10</v>
      </c>
      <c r="V800" s="5">
        <v>0</v>
      </c>
      <c r="W800" s="5">
        <v>0</v>
      </c>
      <c r="X800" s="2">
        <v>0</v>
      </c>
      <c r="Y800" t="s">
        <v>4</v>
      </c>
      <c r="Z800" t="s">
        <v>4</v>
      </c>
      <c r="AA800" t="s">
        <v>4</v>
      </c>
      <c r="AB800" t="s">
        <v>4</v>
      </c>
    </row>
    <row r="801" spans="1:28" x14ac:dyDescent="0.2">
      <c r="A801" t="s">
        <v>296</v>
      </c>
      <c r="B801" t="s">
        <v>2</v>
      </c>
      <c r="C801" t="s">
        <v>3</v>
      </c>
      <c r="D801" t="s">
        <v>4</v>
      </c>
      <c r="E801" t="s">
        <v>4</v>
      </c>
      <c r="F801" t="s">
        <v>5</v>
      </c>
      <c r="G801" t="s">
        <v>17</v>
      </c>
      <c r="H801" t="s">
        <v>3487</v>
      </c>
      <c r="I801" s="2">
        <v>700</v>
      </c>
      <c r="J801" s="2">
        <v>0</v>
      </c>
      <c r="K801" s="2">
        <v>0</v>
      </c>
      <c r="L801" s="3">
        <v>45859</v>
      </c>
      <c r="M801" s="3">
        <v>45859</v>
      </c>
      <c r="N801" s="3"/>
      <c r="O801" t="s">
        <v>3488</v>
      </c>
      <c r="P801" t="s">
        <v>9</v>
      </c>
      <c r="Q801" s="4">
        <v>0.44312499999999999</v>
      </c>
      <c r="R801" t="s">
        <v>5</v>
      </c>
      <c r="S801" t="s">
        <v>4</v>
      </c>
      <c r="T801" t="s">
        <v>2261</v>
      </c>
      <c r="U801" t="s">
        <v>10</v>
      </c>
      <c r="V801" s="5">
        <v>0</v>
      </c>
      <c r="W801" s="5">
        <v>0</v>
      </c>
      <c r="X801" s="2">
        <v>0</v>
      </c>
      <c r="Y801" t="s">
        <v>4</v>
      </c>
      <c r="Z801" t="s">
        <v>4</v>
      </c>
      <c r="AA801" t="s">
        <v>4</v>
      </c>
      <c r="AB801" t="s">
        <v>4</v>
      </c>
    </row>
    <row r="802" spans="1:28" x14ac:dyDescent="0.2">
      <c r="A802" t="s">
        <v>296</v>
      </c>
      <c r="B802" t="s">
        <v>2</v>
      </c>
      <c r="C802" t="s">
        <v>3</v>
      </c>
      <c r="D802" t="s">
        <v>4</v>
      </c>
      <c r="E802" t="s">
        <v>4</v>
      </c>
      <c r="F802" t="s">
        <v>5</v>
      </c>
      <c r="G802" t="s">
        <v>17</v>
      </c>
      <c r="H802" t="s">
        <v>3487</v>
      </c>
      <c r="I802" s="2">
        <v>700</v>
      </c>
      <c r="J802" s="2">
        <v>0</v>
      </c>
      <c r="K802" s="2">
        <v>0</v>
      </c>
      <c r="L802" s="3">
        <v>45859</v>
      </c>
      <c r="M802" s="3">
        <v>45859</v>
      </c>
      <c r="N802" s="3"/>
      <c r="O802" t="s">
        <v>3489</v>
      </c>
      <c r="P802" t="s">
        <v>9</v>
      </c>
      <c r="Q802" s="4">
        <v>0.44312499999999999</v>
      </c>
      <c r="R802" t="s">
        <v>5</v>
      </c>
      <c r="S802" t="s">
        <v>4</v>
      </c>
      <c r="T802" t="s">
        <v>2261</v>
      </c>
      <c r="U802" t="s">
        <v>10</v>
      </c>
      <c r="V802" s="5">
        <v>0</v>
      </c>
      <c r="W802" s="5">
        <v>0</v>
      </c>
      <c r="X802" s="2">
        <v>0</v>
      </c>
      <c r="Y802" t="s">
        <v>4</v>
      </c>
      <c r="Z802" t="s">
        <v>4</v>
      </c>
      <c r="AA802" t="s">
        <v>4</v>
      </c>
      <c r="AB802" t="s">
        <v>4</v>
      </c>
    </row>
    <row r="803" spans="1:28" x14ac:dyDescent="0.2">
      <c r="A803" t="s">
        <v>1462</v>
      </c>
      <c r="B803" t="s">
        <v>2</v>
      </c>
      <c r="C803" t="s">
        <v>3</v>
      </c>
      <c r="D803" t="s">
        <v>4</v>
      </c>
      <c r="E803" t="s">
        <v>4</v>
      </c>
      <c r="F803" t="s">
        <v>5</v>
      </c>
      <c r="G803" t="s">
        <v>17</v>
      </c>
      <c r="H803" t="s">
        <v>3490</v>
      </c>
      <c r="I803" s="2">
        <v>72</v>
      </c>
      <c r="J803" s="2">
        <v>0</v>
      </c>
      <c r="K803" s="2">
        <v>0</v>
      </c>
      <c r="L803" s="3">
        <v>45846</v>
      </c>
      <c r="M803" s="3">
        <v>45846</v>
      </c>
      <c r="N803" s="3"/>
      <c r="O803" t="s">
        <v>3491</v>
      </c>
      <c r="P803" t="s">
        <v>9</v>
      </c>
      <c r="Q803" s="4">
        <v>0.75249999999999995</v>
      </c>
      <c r="R803" t="s">
        <v>5</v>
      </c>
      <c r="S803" t="s">
        <v>4</v>
      </c>
      <c r="T803" t="s">
        <v>2318</v>
      </c>
      <c r="U803" t="s">
        <v>10</v>
      </c>
      <c r="V803" s="5">
        <v>0</v>
      </c>
      <c r="W803" s="5">
        <v>0</v>
      </c>
      <c r="X803" s="2">
        <v>0</v>
      </c>
      <c r="Y803" t="s">
        <v>4</v>
      </c>
      <c r="Z803" t="s">
        <v>4</v>
      </c>
      <c r="AA803" t="s">
        <v>4</v>
      </c>
      <c r="AB803" t="s">
        <v>4</v>
      </c>
    </row>
    <row r="804" spans="1:28" x14ac:dyDescent="0.2">
      <c r="A804" t="s">
        <v>1462</v>
      </c>
      <c r="B804" t="s">
        <v>2</v>
      </c>
      <c r="C804" t="s">
        <v>3</v>
      </c>
      <c r="D804" t="s">
        <v>4</v>
      </c>
      <c r="E804" t="s">
        <v>4</v>
      </c>
      <c r="F804" t="s">
        <v>5</v>
      </c>
      <c r="G804" t="s">
        <v>17</v>
      </c>
      <c r="H804" t="s">
        <v>3490</v>
      </c>
      <c r="I804" s="2">
        <v>72</v>
      </c>
      <c r="J804" s="2">
        <v>0</v>
      </c>
      <c r="K804" s="2">
        <v>0</v>
      </c>
      <c r="L804" s="3">
        <v>45846</v>
      </c>
      <c r="M804" s="3">
        <v>45846</v>
      </c>
      <c r="N804" s="3"/>
      <c r="O804" t="s">
        <v>3492</v>
      </c>
      <c r="P804" t="s">
        <v>9</v>
      </c>
      <c r="Q804" s="4">
        <v>0.75249999999999995</v>
      </c>
      <c r="R804" t="s">
        <v>5</v>
      </c>
      <c r="S804" t="s">
        <v>4</v>
      </c>
      <c r="T804" t="s">
        <v>2318</v>
      </c>
      <c r="U804" t="s">
        <v>10</v>
      </c>
      <c r="V804" s="5">
        <v>0</v>
      </c>
      <c r="W804" s="5">
        <v>0</v>
      </c>
      <c r="X804" s="2">
        <v>0</v>
      </c>
      <c r="Y804" t="s">
        <v>4</v>
      </c>
      <c r="Z804" t="s">
        <v>4</v>
      </c>
      <c r="AA804" t="s">
        <v>4</v>
      </c>
      <c r="AB804" t="s">
        <v>4</v>
      </c>
    </row>
    <row r="805" spans="1:28" x14ac:dyDescent="0.2">
      <c r="A805" t="s">
        <v>1924</v>
      </c>
      <c r="B805" t="s">
        <v>2</v>
      </c>
      <c r="C805" t="s">
        <v>3</v>
      </c>
      <c r="D805" t="s">
        <v>4</v>
      </c>
      <c r="E805" t="s">
        <v>4</v>
      </c>
      <c r="F805" t="s">
        <v>5</v>
      </c>
      <c r="G805" t="s">
        <v>17</v>
      </c>
      <c r="H805" t="s">
        <v>3493</v>
      </c>
      <c r="I805" s="2">
        <v>330</v>
      </c>
      <c r="J805" s="2">
        <v>0</v>
      </c>
      <c r="K805" s="2">
        <v>0</v>
      </c>
      <c r="L805" s="3">
        <v>45857</v>
      </c>
      <c r="M805" s="3">
        <v>45857</v>
      </c>
      <c r="N805" s="3"/>
      <c r="O805" t="s">
        <v>3494</v>
      </c>
      <c r="P805" t="s">
        <v>9</v>
      </c>
      <c r="Q805" s="4">
        <v>0.59553240740740998</v>
      </c>
      <c r="R805" t="s">
        <v>5</v>
      </c>
      <c r="S805" t="s">
        <v>4</v>
      </c>
      <c r="T805" t="s">
        <v>2262</v>
      </c>
      <c r="U805" t="s">
        <v>10</v>
      </c>
      <c r="V805" s="5">
        <v>0</v>
      </c>
      <c r="W805" s="5">
        <v>0</v>
      </c>
      <c r="X805" s="2">
        <v>0</v>
      </c>
      <c r="Y805" t="s">
        <v>4</v>
      </c>
      <c r="Z805" t="s">
        <v>4</v>
      </c>
      <c r="AA805" t="s">
        <v>4</v>
      </c>
      <c r="AB805" t="s">
        <v>4</v>
      </c>
    </row>
    <row r="806" spans="1:28" x14ac:dyDescent="0.2">
      <c r="A806" t="s">
        <v>1924</v>
      </c>
      <c r="B806" t="s">
        <v>2</v>
      </c>
      <c r="C806" t="s">
        <v>3</v>
      </c>
      <c r="D806" t="s">
        <v>4</v>
      </c>
      <c r="E806" t="s">
        <v>4</v>
      </c>
      <c r="F806" t="s">
        <v>5</v>
      </c>
      <c r="G806" t="s">
        <v>17</v>
      </c>
      <c r="H806" t="s">
        <v>3493</v>
      </c>
      <c r="I806" s="2">
        <v>330</v>
      </c>
      <c r="J806" s="2">
        <v>0</v>
      </c>
      <c r="K806" s="2">
        <v>0</v>
      </c>
      <c r="L806" s="3">
        <v>45857</v>
      </c>
      <c r="M806" s="3">
        <v>45857</v>
      </c>
      <c r="N806" s="3"/>
      <c r="O806" t="s">
        <v>3495</v>
      </c>
      <c r="P806" t="s">
        <v>9</v>
      </c>
      <c r="Q806" s="4">
        <v>0.59553240740740998</v>
      </c>
      <c r="R806" t="s">
        <v>5</v>
      </c>
      <c r="S806" t="s">
        <v>4</v>
      </c>
      <c r="T806" t="s">
        <v>2262</v>
      </c>
      <c r="U806" t="s">
        <v>10</v>
      </c>
      <c r="V806" s="5">
        <v>0</v>
      </c>
      <c r="W806" s="5">
        <v>0</v>
      </c>
      <c r="X806" s="2">
        <v>0</v>
      </c>
      <c r="Y806" t="s">
        <v>4</v>
      </c>
      <c r="Z806" t="s">
        <v>4</v>
      </c>
      <c r="AA806" t="s">
        <v>4</v>
      </c>
      <c r="AB806" t="s">
        <v>4</v>
      </c>
    </row>
    <row r="807" spans="1:28" x14ac:dyDescent="0.2">
      <c r="A807" t="s">
        <v>285</v>
      </c>
      <c r="B807" t="s">
        <v>2</v>
      </c>
      <c r="C807" t="s">
        <v>3</v>
      </c>
      <c r="D807" t="s">
        <v>4</v>
      </c>
      <c r="E807" t="s">
        <v>4</v>
      </c>
      <c r="F807" t="s">
        <v>5</v>
      </c>
      <c r="G807" t="s">
        <v>17</v>
      </c>
      <c r="H807" t="s">
        <v>3496</v>
      </c>
      <c r="I807" s="2">
        <v>30</v>
      </c>
      <c r="J807" s="2">
        <v>0</v>
      </c>
      <c r="K807" s="2">
        <v>0</v>
      </c>
      <c r="L807" s="3">
        <v>45829</v>
      </c>
      <c r="M807" s="3">
        <v>45829</v>
      </c>
      <c r="N807" s="3"/>
      <c r="O807" t="s">
        <v>3497</v>
      </c>
      <c r="P807" t="s">
        <v>9</v>
      </c>
      <c r="Q807" s="4">
        <v>0.73370370370369997</v>
      </c>
      <c r="R807" t="s">
        <v>5</v>
      </c>
      <c r="S807" t="s">
        <v>4</v>
      </c>
      <c r="T807" t="s">
        <v>3242</v>
      </c>
      <c r="U807" t="s">
        <v>10</v>
      </c>
      <c r="V807" s="5">
        <v>0</v>
      </c>
      <c r="W807" s="5">
        <v>0</v>
      </c>
      <c r="X807" s="2">
        <v>0</v>
      </c>
      <c r="Y807" t="s">
        <v>4</v>
      </c>
      <c r="Z807" t="s">
        <v>4</v>
      </c>
      <c r="AA807" t="s">
        <v>4</v>
      </c>
      <c r="AB807" t="s">
        <v>4</v>
      </c>
    </row>
    <row r="808" spans="1:28" x14ac:dyDescent="0.2">
      <c r="A808" t="s">
        <v>285</v>
      </c>
      <c r="B808" t="s">
        <v>2</v>
      </c>
      <c r="C808" t="s">
        <v>3</v>
      </c>
      <c r="D808" t="s">
        <v>4</v>
      </c>
      <c r="E808" t="s">
        <v>4</v>
      </c>
      <c r="F808" t="s">
        <v>5</v>
      </c>
      <c r="G808" t="s">
        <v>17</v>
      </c>
      <c r="H808" t="s">
        <v>3496</v>
      </c>
      <c r="I808" s="2">
        <v>30</v>
      </c>
      <c r="J808" s="2">
        <v>0</v>
      </c>
      <c r="K808" s="2">
        <v>0</v>
      </c>
      <c r="L808" s="3">
        <v>45829</v>
      </c>
      <c r="M808" s="3">
        <v>45829</v>
      </c>
      <c r="N808" s="3"/>
      <c r="O808" t="s">
        <v>3498</v>
      </c>
      <c r="P808" t="s">
        <v>9</v>
      </c>
      <c r="Q808" s="4">
        <v>0.73370370370369997</v>
      </c>
      <c r="R808" t="s">
        <v>5</v>
      </c>
      <c r="S808" t="s">
        <v>4</v>
      </c>
      <c r="T808" t="s">
        <v>3242</v>
      </c>
      <c r="U808" t="s">
        <v>10</v>
      </c>
      <c r="V808" s="5">
        <v>0</v>
      </c>
      <c r="W808" s="5">
        <v>0</v>
      </c>
      <c r="X808" s="2">
        <v>0</v>
      </c>
      <c r="Y808" t="s">
        <v>4</v>
      </c>
      <c r="Z808" t="s">
        <v>4</v>
      </c>
      <c r="AA808" t="s">
        <v>4</v>
      </c>
      <c r="AB808" t="s">
        <v>4</v>
      </c>
    </row>
    <row r="809" spans="1:28" x14ac:dyDescent="0.2">
      <c r="A809" t="s">
        <v>522</v>
      </c>
      <c r="B809" t="s">
        <v>2</v>
      </c>
      <c r="C809" t="s">
        <v>3</v>
      </c>
      <c r="D809" t="s">
        <v>4</v>
      </c>
      <c r="E809" t="s">
        <v>4</v>
      </c>
      <c r="F809" t="s">
        <v>5</v>
      </c>
      <c r="G809" t="s">
        <v>17</v>
      </c>
      <c r="H809" t="s">
        <v>3499</v>
      </c>
      <c r="I809" s="2">
        <v>0</v>
      </c>
      <c r="J809" s="2">
        <v>2000</v>
      </c>
      <c r="K809" s="2">
        <v>0</v>
      </c>
      <c r="L809" s="3">
        <v>45860</v>
      </c>
      <c r="M809" s="3">
        <v>45860</v>
      </c>
      <c r="N809" s="3"/>
      <c r="O809" t="s">
        <v>3500</v>
      </c>
      <c r="P809" t="s">
        <v>9</v>
      </c>
      <c r="Q809" s="4">
        <v>0.46252314814814999</v>
      </c>
      <c r="R809" t="s">
        <v>5</v>
      </c>
      <c r="S809" t="s">
        <v>4</v>
      </c>
      <c r="T809" t="s">
        <v>2256</v>
      </c>
      <c r="U809" t="s">
        <v>10</v>
      </c>
      <c r="V809" s="5">
        <v>0</v>
      </c>
      <c r="W809" s="5">
        <v>0</v>
      </c>
      <c r="X809" s="2">
        <v>0</v>
      </c>
      <c r="Y809" t="s">
        <v>4</v>
      </c>
      <c r="Z809" t="s">
        <v>4</v>
      </c>
      <c r="AA809" t="s">
        <v>4</v>
      </c>
      <c r="AB809" t="s">
        <v>4</v>
      </c>
    </row>
    <row r="810" spans="1:28" x14ac:dyDescent="0.2">
      <c r="A810" t="s">
        <v>822</v>
      </c>
      <c r="B810" t="s">
        <v>2</v>
      </c>
      <c r="C810" t="s">
        <v>3</v>
      </c>
      <c r="D810" t="s">
        <v>4</v>
      </c>
      <c r="E810" t="s">
        <v>4</v>
      </c>
      <c r="F810" t="s">
        <v>5</v>
      </c>
      <c r="G810" t="s">
        <v>17</v>
      </c>
      <c r="H810" t="s">
        <v>3501</v>
      </c>
      <c r="I810" s="2">
        <v>720</v>
      </c>
      <c r="J810" s="2">
        <v>0</v>
      </c>
      <c r="K810" s="2">
        <v>0</v>
      </c>
      <c r="L810" s="3">
        <v>45848</v>
      </c>
      <c r="M810" s="3">
        <v>45848</v>
      </c>
      <c r="N810" s="3"/>
      <c r="O810" t="s">
        <v>3502</v>
      </c>
      <c r="P810" t="s">
        <v>9</v>
      </c>
      <c r="Q810" s="4">
        <v>0.9266087962963</v>
      </c>
      <c r="R810" t="s">
        <v>5</v>
      </c>
      <c r="S810" t="s">
        <v>4</v>
      </c>
      <c r="T810" t="s">
        <v>2580</v>
      </c>
      <c r="U810" t="s">
        <v>10</v>
      </c>
      <c r="V810" s="5">
        <v>0</v>
      </c>
      <c r="W810" s="5">
        <v>0</v>
      </c>
      <c r="X810" s="2">
        <v>0</v>
      </c>
      <c r="Y810" t="s">
        <v>4</v>
      </c>
      <c r="Z810" t="s">
        <v>4</v>
      </c>
      <c r="AA810" t="s">
        <v>4</v>
      </c>
      <c r="AB810" t="s">
        <v>4</v>
      </c>
    </row>
    <row r="811" spans="1:28" x14ac:dyDescent="0.2">
      <c r="A811" t="s">
        <v>822</v>
      </c>
      <c r="B811" t="s">
        <v>2</v>
      </c>
      <c r="C811" t="s">
        <v>3</v>
      </c>
      <c r="D811" t="s">
        <v>4</v>
      </c>
      <c r="E811" t="s">
        <v>4</v>
      </c>
      <c r="F811" t="s">
        <v>5</v>
      </c>
      <c r="G811" t="s">
        <v>17</v>
      </c>
      <c r="H811" t="s">
        <v>3501</v>
      </c>
      <c r="I811" s="2">
        <v>1440</v>
      </c>
      <c r="J811" s="2">
        <v>0</v>
      </c>
      <c r="K811" s="2">
        <v>0</v>
      </c>
      <c r="L811" s="3">
        <v>45848</v>
      </c>
      <c r="M811" s="3">
        <v>45848</v>
      </c>
      <c r="N811" s="3"/>
      <c r="O811" t="s">
        <v>3503</v>
      </c>
      <c r="P811" t="s">
        <v>9</v>
      </c>
      <c r="Q811" s="4">
        <v>0.9266087962963</v>
      </c>
      <c r="R811" t="s">
        <v>5</v>
      </c>
      <c r="S811" t="s">
        <v>4</v>
      </c>
      <c r="T811" t="s">
        <v>2580</v>
      </c>
      <c r="U811" t="s">
        <v>10</v>
      </c>
      <c r="V811" s="5">
        <v>0</v>
      </c>
      <c r="W811" s="5">
        <v>0</v>
      </c>
      <c r="X811" s="2">
        <v>0</v>
      </c>
      <c r="Y811" t="s">
        <v>4</v>
      </c>
      <c r="Z811" t="s">
        <v>4</v>
      </c>
      <c r="AA811" t="s">
        <v>4</v>
      </c>
      <c r="AB811" t="s">
        <v>4</v>
      </c>
    </row>
    <row r="812" spans="1:28" x14ac:dyDescent="0.2">
      <c r="A812" t="s">
        <v>662</v>
      </c>
      <c r="B812" t="s">
        <v>2</v>
      </c>
      <c r="C812" t="s">
        <v>3</v>
      </c>
      <c r="D812" t="s">
        <v>4</v>
      </c>
      <c r="E812" t="s">
        <v>4</v>
      </c>
      <c r="F812" t="s">
        <v>5</v>
      </c>
      <c r="G812" t="s">
        <v>6</v>
      </c>
      <c r="H812" t="s">
        <v>3504</v>
      </c>
      <c r="I812" s="2">
        <v>270</v>
      </c>
      <c r="J812" s="2">
        <v>0</v>
      </c>
      <c r="K812" s="2">
        <v>0</v>
      </c>
      <c r="L812" s="3">
        <v>45833</v>
      </c>
      <c r="M812" s="3">
        <v>45833</v>
      </c>
      <c r="N812" s="3"/>
      <c r="O812" t="s">
        <v>3505</v>
      </c>
      <c r="P812" t="s">
        <v>9</v>
      </c>
      <c r="Q812" s="4">
        <v>0.60765046296295999</v>
      </c>
      <c r="R812" t="s">
        <v>5</v>
      </c>
      <c r="S812" t="s">
        <v>4</v>
      </c>
      <c r="T812" t="s">
        <v>2736</v>
      </c>
      <c r="U812" t="s">
        <v>10</v>
      </c>
      <c r="V812" s="5">
        <v>0</v>
      </c>
      <c r="W812" s="5">
        <v>0</v>
      </c>
      <c r="X812" s="2">
        <v>0</v>
      </c>
      <c r="Y812" t="s">
        <v>4</v>
      </c>
      <c r="Z812" t="s">
        <v>4</v>
      </c>
      <c r="AA812" t="s">
        <v>4</v>
      </c>
      <c r="AB812" t="s">
        <v>4</v>
      </c>
    </row>
    <row r="813" spans="1:28" x14ac:dyDescent="0.2">
      <c r="A813" t="s">
        <v>662</v>
      </c>
      <c r="B813" t="s">
        <v>2</v>
      </c>
      <c r="C813" t="s">
        <v>3</v>
      </c>
      <c r="D813" t="s">
        <v>4</v>
      </c>
      <c r="E813" t="s">
        <v>4</v>
      </c>
      <c r="F813" t="s">
        <v>5</v>
      </c>
      <c r="G813" t="s">
        <v>6</v>
      </c>
      <c r="H813" t="s">
        <v>3504</v>
      </c>
      <c r="I813" s="2">
        <v>270</v>
      </c>
      <c r="J813" s="2">
        <v>0</v>
      </c>
      <c r="K813" s="2">
        <v>0</v>
      </c>
      <c r="L813" s="3">
        <v>45833</v>
      </c>
      <c r="M813" s="3">
        <v>45833</v>
      </c>
      <c r="N813" s="3"/>
      <c r="O813" t="s">
        <v>3506</v>
      </c>
      <c r="P813" t="s">
        <v>9</v>
      </c>
      <c r="Q813" s="4">
        <v>0.60765046296295999</v>
      </c>
      <c r="R813" t="s">
        <v>5</v>
      </c>
      <c r="S813" t="s">
        <v>4</v>
      </c>
      <c r="T813" t="s">
        <v>2736</v>
      </c>
      <c r="U813" t="s">
        <v>10</v>
      </c>
      <c r="V813" s="5">
        <v>0</v>
      </c>
      <c r="W813" s="5">
        <v>0</v>
      </c>
      <c r="X813" s="2">
        <v>0</v>
      </c>
      <c r="Y813" t="s">
        <v>4</v>
      </c>
      <c r="Z813" t="s">
        <v>4</v>
      </c>
      <c r="AA813" t="s">
        <v>4</v>
      </c>
      <c r="AB813" t="s">
        <v>4</v>
      </c>
    </row>
    <row r="814" spans="1:28" x14ac:dyDescent="0.2">
      <c r="A814" t="s">
        <v>665</v>
      </c>
      <c r="B814" t="s">
        <v>2</v>
      </c>
      <c r="C814" t="s">
        <v>3</v>
      </c>
      <c r="D814" t="s">
        <v>4</v>
      </c>
      <c r="E814" t="s">
        <v>4</v>
      </c>
      <c r="F814" t="s">
        <v>5</v>
      </c>
      <c r="G814" t="s">
        <v>6</v>
      </c>
      <c r="H814" t="s">
        <v>3507</v>
      </c>
      <c r="I814" s="2">
        <v>144</v>
      </c>
      <c r="J814" s="2">
        <v>0</v>
      </c>
      <c r="K814" s="2">
        <v>0</v>
      </c>
      <c r="L814" s="3">
        <v>45829</v>
      </c>
      <c r="M814" s="3">
        <v>45829</v>
      </c>
      <c r="N814" s="3"/>
      <c r="O814" t="s">
        <v>3508</v>
      </c>
      <c r="P814" t="s">
        <v>9</v>
      </c>
      <c r="Q814" s="4">
        <v>0.62990740740741002</v>
      </c>
      <c r="R814" t="s">
        <v>5</v>
      </c>
      <c r="S814" t="s">
        <v>4</v>
      </c>
      <c r="T814" t="s">
        <v>3242</v>
      </c>
      <c r="U814" t="s">
        <v>10</v>
      </c>
      <c r="V814" s="5">
        <v>0</v>
      </c>
      <c r="W814" s="5">
        <v>0</v>
      </c>
      <c r="X814" s="2">
        <v>0</v>
      </c>
      <c r="Y814" t="s">
        <v>4</v>
      </c>
      <c r="Z814" t="s">
        <v>4</v>
      </c>
      <c r="AA814" t="s">
        <v>4</v>
      </c>
      <c r="AB814" t="s">
        <v>4</v>
      </c>
    </row>
    <row r="815" spans="1:28" x14ac:dyDescent="0.2">
      <c r="A815" t="s">
        <v>665</v>
      </c>
      <c r="B815" t="s">
        <v>2</v>
      </c>
      <c r="C815" t="s">
        <v>3</v>
      </c>
      <c r="D815" t="s">
        <v>4</v>
      </c>
      <c r="E815" t="s">
        <v>4</v>
      </c>
      <c r="F815" t="s">
        <v>5</v>
      </c>
      <c r="G815" t="s">
        <v>6</v>
      </c>
      <c r="H815" t="s">
        <v>3507</v>
      </c>
      <c r="I815" s="2">
        <v>180</v>
      </c>
      <c r="J815" s="2">
        <v>0</v>
      </c>
      <c r="K815" s="2">
        <v>0</v>
      </c>
      <c r="L815" s="3">
        <v>45850</v>
      </c>
      <c r="M815" s="3">
        <v>45850</v>
      </c>
      <c r="N815" s="3"/>
      <c r="O815" t="s">
        <v>3509</v>
      </c>
      <c r="P815" t="s">
        <v>9</v>
      </c>
      <c r="Q815" s="4">
        <v>0.62990740740741002</v>
      </c>
      <c r="R815" t="s">
        <v>5</v>
      </c>
      <c r="S815" t="s">
        <v>4</v>
      </c>
      <c r="T815" t="s">
        <v>2680</v>
      </c>
      <c r="U815" t="s">
        <v>10</v>
      </c>
      <c r="V815" s="5">
        <v>0</v>
      </c>
      <c r="W815" s="5">
        <v>0</v>
      </c>
      <c r="X815" s="2">
        <v>0</v>
      </c>
      <c r="Y815" t="s">
        <v>4</v>
      </c>
      <c r="Z815" t="s">
        <v>4</v>
      </c>
      <c r="AA815" t="s">
        <v>4</v>
      </c>
      <c r="AB815" t="s">
        <v>4</v>
      </c>
    </row>
    <row r="816" spans="1:28" x14ac:dyDescent="0.2">
      <c r="A816" t="s">
        <v>285</v>
      </c>
      <c r="B816" t="s">
        <v>2</v>
      </c>
      <c r="C816" t="s">
        <v>3</v>
      </c>
      <c r="D816" t="s">
        <v>4</v>
      </c>
      <c r="E816" t="s">
        <v>4</v>
      </c>
      <c r="F816" t="s">
        <v>5</v>
      </c>
      <c r="G816" t="s">
        <v>6</v>
      </c>
      <c r="H816" t="s">
        <v>3510</v>
      </c>
      <c r="I816" s="2">
        <v>30</v>
      </c>
      <c r="J816" s="2">
        <v>0</v>
      </c>
      <c r="K816" s="2">
        <v>0</v>
      </c>
      <c r="L816" s="3">
        <v>45805</v>
      </c>
      <c r="M816" s="3">
        <v>45805</v>
      </c>
      <c r="N816" s="3"/>
      <c r="O816" t="s">
        <v>3511</v>
      </c>
      <c r="P816" t="s">
        <v>9</v>
      </c>
      <c r="Q816" s="4">
        <v>0.96804398148147996</v>
      </c>
      <c r="R816" t="s">
        <v>5</v>
      </c>
      <c r="S816" t="s">
        <v>4</v>
      </c>
      <c r="T816" t="s">
        <v>3377</v>
      </c>
      <c r="U816" t="s">
        <v>10</v>
      </c>
      <c r="V816" s="5">
        <v>0</v>
      </c>
      <c r="W816" s="5">
        <v>0</v>
      </c>
      <c r="X816" s="2">
        <v>0</v>
      </c>
      <c r="Y816" t="s">
        <v>4</v>
      </c>
      <c r="Z816" t="s">
        <v>4</v>
      </c>
      <c r="AA816" t="s">
        <v>4</v>
      </c>
      <c r="AB816" t="s">
        <v>4</v>
      </c>
    </row>
    <row r="817" spans="1:28" x14ac:dyDescent="0.2">
      <c r="A817" t="s">
        <v>285</v>
      </c>
      <c r="B817" t="s">
        <v>2</v>
      </c>
      <c r="C817" t="s">
        <v>3</v>
      </c>
      <c r="D817" t="s">
        <v>4</v>
      </c>
      <c r="E817" t="s">
        <v>4</v>
      </c>
      <c r="F817" t="s">
        <v>5</v>
      </c>
      <c r="G817" t="s">
        <v>6</v>
      </c>
      <c r="H817" t="s">
        <v>3510</v>
      </c>
      <c r="I817" s="2">
        <v>30</v>
      </c>
      <c r="J817" s="2">
        <v>0</v>
      </c>
      <c r="K817" s="2">
        <v>0</v>
      </c>
      <c r="L817" s="3">
        <v>45805</v>
      </c>
      <c r="M817" s="3">
        <v>45805</v>
      </c>
      <c r="N817" s="3"/>
      <c r="O817" t="s">
        <v>3512</v>
      </c>
      <c r="P817" t="s">
        <v>9</v>
      </c>
      <c r="Q817" s="4">
        <v>0.96804398148147996</v>
      </c>
      <c r="R817" t="s">
        <v>5</v>
      </c>
      <c r="S817" t="s">
        <v>4</v>
      </c>
      <c r="T817" t="s">
        <v>3377</v>
      </c>
      <c r="U817" t="s">
        <v>10</v>
      </c>
      <c r="V817" s="5">
        <v>0</v>
      </c>
      <c r="W817" s="5">
        <v>0</v>
      </c>
      <c r="X817" s="2">
        <v>0</v>
      </c>
      <c r="Y817" t="s">
        <v>4</v>
      </c>
      <c r="Z817" t="s">
        <v>4</v>
      </c>
      <c r="AA817" t="s">
        <v>4</v>
      </c>
      <c r="AB817" t="s">
        <v>4</v>
      </c>
    </row>
    <row r="818" spans="1:28" x14ac:dyDescent="0.2">
      <c r="A818" t="s">
        <v>1139</v>
      </c>
      <c r="B818" t="s">
        <v>2</v>
      </c>
      <c r="C818" t="s">
        <v>3</v>
      </c>
      <c r="D818" t="s">
        <v>4</v>
      </c>
      <c r="E818" t="s">
        <v>4</v>
      </c>
      <c r="F818" t="s">
        <v>5</v>
      </c>
      <c r="G818" t="s">
        <v>6</v>
      </c>
      <c r="H818" t="s">
        <v>3513</v>
      </c>
      <c r="I818" s="2">
        <v>432</v>
      </c>
      <c r="J818" s="2">
        <v>0</v>
      </c>
      <c r="K818" s="2">
        <v>0</v>
      </c>
      <c r="L818" s="3">
        <v>45848</v>
      </c>
      <c r="M818" s="3">
        <v>45848</v>
      </c>
      <c r="N818" s="3"/>
      <c r="O818" t="s">
        <v>3514</v>
      </c>
      <c r="P818" t="s">
        <v>9</v>
      </c>
      <c r="Q818" s="4">
        <v>0.44489583333332999</v>
      </c>
      <c r="R818" t="s">
        <v>5</v>
      </c>
      <c r="S818" t="s">
        <v>4</v>
      </c>
      <c r="T818" t="s">
        <v>2580</v>
      </c>
      <c r="U818" t="s">
        <v>10</v>
      </c>
      <c r="V818" s="5">
        <v>0</v>
      </c>
      <c r="W818" s="5">
        <v>0</v>
      </c>
      <c r="X818" s="2">
        <v>0</v>
      </c>
      <c r="Y818" t="s">
        <v>4</v>
      </c>
      <c r="Z818" t="s">
        <v>4</v>
      </c>
      <c r="AA818" t="s">
        <v>4</v>
      </c>
      <c r="AB818" t="s">
        <v>4</v>
      </c>
    </row>
    <row r="819" spans="1:28" x14ac:dyDescent="0.2">
      <c r="A819" t="s">
        <v>1139</v>
      </c>
      <c r="B819" t="s">
        <v>2</v>
      </c>
      <c r="C819" t="s">
        <v>3</v>
      </c>
      <c r="D819" t="s">
        <v>4</v>
      </c>
      <c r="E819" t="s">
        <v>4</v>
      </c>
      <c r="F819" t="s">
        <v>5</v>
      </c>
      <c r="G819" t="s">
        <v>6</v>
      </c>
      <c r="H819" t="s">
        <v>3513</v>
      </c>
      <c r="I819" s="2">
        <v>432</v>
      </c>
      <c r="J819" s="2">
        <v>0</v>
      </c>
      <c r="K819" s="2">
        <v>0</v>
      </c>
      <c r="L819" s="3">
        <v>45848</v>
      </c>
      <c r="M819" s="3">
        <v>45848</v>
      </c>
      <c r="N819" s="3"/>
      <c r="O819" t="s">
        <v>3515</v>
      </c>
      <c r="P819" t="s">
        <v>9</v>
      </c>
      <c r="Q819" s="4">
        <v>0.44489583333332999</v>
      </c>
      <c r="R819" t="s">
        <v>5</v>
      </c>
      <c r="S819" t="s">
        <v>4</v>
      </c>
      <c r="T819" t="s">
        <v>2580</v>
      </c>
      <c r="U819" t="s">
        <v>10</v>
      </c>
      <c r="V819" s="5">
        <v>0</v>
      </c>
      <c r="W819" s="5">
        <v>0</v>
      </c>
      <c r="X819" s="2">
        <v>0</v>
      </c>
      <c r="Y819" t="s">
        <v>4</v>
      </c>
      <c r="Z819" t="s">
        <v>4</v>
      </c>
      <c r="AA819" t="s">
        <v>4</v>
      </c>
      <c r="AB819" t="s">
        <v>4</v>
      </c>
    </row>
    <row r="820" spans="1:28" x14ac:dyDescent="0.2">
      <c r="A820" t="s">
        <v>0</v>
      </c>
      <c r="B820" t="s">
        <v>2</v>
      </c>
      <c r="C820" t="s">
        <v>3</v>
      </c>
      <c r="D820" t="s">
        <v>4</v>
      </c>
      <c r="E820" t="s">
        <v>4</v>
      </c>
      <c r="F820" t="s">
        <v>5</v>
      </c>
      <c r="G820" t="s">
        <v>6</v>
      </c>
      <c r="H820" t="s">
        <v>83</v>
      </c>
      <c r="I820" s="2">
        <v>196</v>
      </c>
      <c r="J820" s="2">
        <v>0</v>
      </c>
      <c r="K820" s="2">
        <v>0</v>
      </c>
      <c r="L820" s="3">
        <v>45819</v>
      </c>
      <c r="M820" s="3">
        <v>45819</v>
      </c>
      <c r="N820" s="3"/>
      <c r="O820" t="s">
        <v>84</v>
      </c>
      <c r="P820" t="s">
        <v>9</v>
      </c>
      <c r="Q820" s="4">
        <v>0.48287037037037001</v>
      </c>
      <c r="R820" t="s">
        <v>5</v>
      </c>
      <c r="S820" t="s">
        <v>4</v>
      </c>
      <c r="T820" t="s">
        <v>2263</v>
      </c>
      <c r="U820" t="s">
        <v>10</v>
      </c>
      <c r="V820" s="5">
        <v>0</v>
      </c>
      <c r="W820" s="5">
        <v>0</v>
      </c>
      <c r="X820" s="2">
        <v>0</v>
      </c>
      <c r="Y820" t="s">
        <v>4</v>
      </c>
      <c r="Z820" t="s">
        <v>4</v>
      </c>
      <c r="AA820" t="s">
        <v>4</v>
      </c>
      <c r="AB820" t="s">
        <v>4</v>
      </c>
    </row>
    <row r="821" spans="1:28" x14ac:dyDescent="0.2">
      <c r="A821" t="s">
        <v>0</v>
      </c>
      <c r="B821" t="s">
        <v>2</v>
      </c>
      <c r="C821" t="s">
        <v>3</v>
      </c>
      <c r="D821" t="s">
        <v>4</v>
      </c>
      <c r="E821" t="s">
        <v>4</v>
      </c>
      <c r="F821" t="s">
        <v>5</v>
      </c>
      <c r="G821" t="s">
        <v>6</v>
      </c>
      <c r="H821" t="s">
        <v>83</v>
      </c>
      <c r="I821" s="2">
        <v>196</v>
      </c>
      <c r="J821" s="2">
        <v>0</v>
      </c>
      <c r="K821" s="2">
        <v>0</v>
      </c>
      <c r="L821" s="3">
        <v>45819</v>
      </c>
      <c r="M821" s="3">
        <v>45819</v>
      </c>
      <c r="N821" s="3"/>
      <c r="O821" t="s">
        <v>85</v>
      </c>
      <c r="P821" t="s">
        <v>9</v>
      </c>
      <c r="Q821" s="4">
        <v>0.48287037037037001</v>
      </c>
      <c r="R821" t="s">
        <v>5</v>
      </c>
      <c r="S821" t="s">
        <v>4</v>
      </c>
      <c r="T821" t="s">
        <v>2263</v>
      </c>
      <c r="U821" t="s">
        <v>10</v>
      </c>
      <c r="V821" s="5">
        <v>0</v>
      </c>
      <c r="W821" s="5">
        <v>0</v>
      </c>
      <c r="X821" s="2">
        <v>0</v>
      </c>
      <c r="Y821" t="s">
        <v>4</v>
      </c>
      <c r="Z821" t="s">
        <v>4</v>
      </c>
      <c r="AA821" t="s">
        <v>4</v>
      </c>
      <c r="AB821" t="s">
        <v>4</v>
      </c>
    </row>
    <row r="822" spans="1:28" x14ac:dyDescent="0.2">
      <c r="A822" t="s">
        <v>0</v>
      </c>
      <c r="B822" t="s">
        <v>2</v>
      </c>
      <c r="C822" t="s">
        <v>3</v>
      </c>
      <c r="D822" t="s">
        <v>4</v>
      </c>
      <c r="E822" t="s">
        <v>4</v>
      </c>
      <c r="F822" t="s">
        <v>5</v>
      </c>
      <c r="G822" t="s">
        <v>6</v>
      </c>
      <c r="H822" t="s">
        <v>86</v>
      </c>
      <c r="I822" s="2">
        <v>196</v>
      </c>
      <c r="J822" s="2">
        <v>0</v>
      </c>
      <c r="K822" s="2">
        <v>0</v>
      </c>
      <c r="L822" s="3">
        <v>45819</v>
      </c>
      <c r="M822" s="3">
        <v>45819</v>
      </c>
      <c r="N822" s="3"/>
      <c r="O822" t="s">
        <v>87</v>
      </c>
      <c r="P822" t="s">
        <v>9</v>
      </c>
      <c r="Q822" s="4">
        <v>0.48497685185185002</v>
      </c>
      <c r="R822" t="s">
        <v>5</v>
      </c>
      <c r="S822" t="s">
        <v>4</v>
      </c>
      <c r="T822" t="s">
        <v>2263</v>
      </c>
      <c r="U822" t="s">
        <v>10</v>
      </c>
      <c r="V822" s="5">
        <v>0</v>
      </c>
      <c r="W822" s="5">
        <v>0</v>
      </c>
      <c r="X822" s="2">
        <v>0</v>
      </c>
      <c r="Y822" t="s">
        <v>4</v>
      </c>
      <c r="Z822" t="s">
        <v>4</v>
      </c>
      <c r="AA822" t="s">
        <v>4</v>
      </c>
      <c r="AB822" t="s">
        <v>4</v>
      </c>
    </row>
    <row r="823" spans="1:28" x14ac:dyDescent="0.2">
      <c r="A823" t="s">
        <v>0</v>
      </c>
      <c r="B823" t="s">
        <v>2</v>
      </c>
      <c r="C823" t="s">
        <v>3</v>
      </c>
      <c r="D823" t="s">
        <v>4</v>
      </c>
      <c r="E823" t="s">
        <v>4</v>
      </c>
      <c r="F823" t="s">
        <v>5</v>
      </c>
      <c r="G823" t="s">
        <v>6</v>
      </c>
      <c r="H823" t="s">
        <v>86</v>
      </c>
      <c r="I823" s="2">
        <v>196</v>
      </c>
      <c r="J823" s="2">
        <v>0</v>
      </c>
      <c r="K823" s="2">
        <v>0</v>
      </c>
      <c r="L823" s="3">
        <v>45819</v>
      </c>
      <c r="M823" s="3">
        <v>45819</v>
      </c>
      <c r="N823" s="3"/>
      <c r="O823" t="s">
        <v>88</v>
      </c>
      <c r="P823" t="s">
        <v>9</v>
      </c>
      <c r="Q823" s="4">
        <v>0.48497685185185002</v>
      </c>
      <c r="R823" t="s">
        <v>5</v>
      </c>
      <c r="S823" t="s">
        <v>4</v>
      </c>
      <c r="T823" t="s">
        <v>2263</v>
      </c>
      <c r="U823" t="s">
        <v>10</v>
      </c>
      <c r="V823" s="5">
        <v>0</v>
      </c>
      <c r="W823" s="5">
        <v>0</v>
      </c>
      <c r="X823" s="2">
        <v>0</v>
      </c>
      <c r="Y823" t="s">
        <v>4</v>
      </c>
      <c r="Z823" t="s">
        <v>4</v>
      </c>
      <c r="AA823" t="s">
        <v>4</v>
      </c>
      <c r="AB823" t="s">
        <v>4</v>
      </c>
    </row>
    <row r="824" spans="1:28" x14ac:dyDescent="0.2">
      <c r="A824" t="s">
        <v>1922</v>
      </c>
      <c r="B824" t="s">
        <v>2</v>
      </c>
      <c r="C824" t="s">
        <v>3</v>
      </c>
      <c r="D824" t="s">
        <v>4</v>
      </c>
      <c r="E824" t="s">
        <v>4</v>
      </c>
      <c r="F824" t="s">
        <v>5</v>
      </c>
      <c r="G824" t="s">
        <v>21</v>
      </c>
      <c r="H824" t="s">
        <v>3516</v>
      </c>
      <c r="I824" s="2">
        <v>330</v>
      </c>
      <c r="J824" s="2">
        <v>0</v>
      </c>
      <c r="K824" s="2">
        <v>0</v>
      </c>
      <c r="L824" s="3">
        <v>45843</v>
      </c>
      <c r="M824" s="3">
        <v>45843</v>
      </c>
      <c r="N824" s="3"/>
      <c r="O824" t="s">
        <v>3517</v>
      </c>
      <c r="P824" t="s">
        <v>9</v>
      </c>
      <c r="Q824" s="4">
        <v>0.63032407407406998</v>
      </c>
      <c r="R824" t="s">
        <v>5</v>
      </c>
      <c r="S824" t="s">
        <v>4</v>
      </c>
      <c r="T824" t="s">
        <v>2783</v>
      </c>
      <c r="U824" t="s">
        <v>10</v>
      </c>
      <c r="V824" s="5">
        <v>0</v>
      </c>
      <c r="W824" s="5">
        <v>0</v>
      </c>
      <c r="X824" s="2">
        <v>0</v>
      </c>
      <c r="Y824" t="s">
        <v>4</v>
      </c>
      <c r="Z824" t="s">
        <v>4</v>
      </c>
      <c r="AA824" t="s">
        <v>4</v>
      </c>
      <c r="AB824" t="s">
        <v>4</v>
      </c>
    </row>
    <row r="825" spans="1:28" x14ac:dyDescent="0.2">
      <c r="A825" t="s">
        <v>1922</v>
      </c>
      <c r="B825" t="s">
        <v>2</v>
      </c>
      <c r="C825" t="s">
        <v>3</v>
      </c>
      <c r="D825" t="s">
        <v>4</v>
      </c>
      <c r="E825" t="s">
        <v>4</v>
      </c>
      <c r="F825" t="s">
        <v>5</v>
      </c>
      <c r="G825" t="s">
        <v>21</v>
      </c>
      <c r="H825" t="s">
        <v>3516</v>
      </c>
      <c r="I825" s="2">
        <v>330</v>
      </c>
      <c r="J825" s="2">
        <v>0</v>
      </c>
      <c r="K825" s="2">
        <v>0</v>
      </c>
      <c r="L825" s="3">
        <v>45850</v>
      </c>
      <c r="M825" s="3">
        <v>45850</v>
      </c>
      <c r="N825" s="3"/>
      <c r="O825" t="s">
        <v>3518</v>
      </c>
      <c r="P825" t="s">
        <v>9</v>
      </c>
      <c r="Q825" s="4">
        <v>0.63032407407406998</v>
      </c>
      <c r="R825" t="s">
        <v>5</v>
      </c>
      <c r="S825" t="s">
        <v>4</v>
      </c>
      <c r="T825" t="s">
        <v>2680</v>
      </c>
      <c r="U825" t="s">
        <v>10</v>
      </c>
      <c r="V825" s="5">
        <v>0</v>
      </c>
      <c r="W825" s="5">
        <v>0</v>
      </c>
      <c r="X825" s="2">
        <v>0</v>
      </c>
      <c r="Y825" t="s">
        <v>4</v>
      </c>
      <c r="Z825" t="s">
        <v>4</v>
      </c>
      <c r="AA825" t="s">
        <v>4</v>
      </c>
      <c r="AB825" t="s">
        <v>4</v>
      </c>
    </row>
    <row r="826" spans="1:28" x14ac:dyDescent="0.2">
      <c r="A826" t="s">
        <v>1135</v>
      </c>
      <c r="B826" t="s">
        <v>2</v>
      </c>
      <c r="C826" t="s">
        <v>3</v>
      </c>
      <c r="D826" t="s">
        <v>4</v>
      </c>
      <c r="E826" t="s">
        <v>4</v>
      </c>
      <c r="F826" t="s">
        <v>5</v>
      </c>
      <c r="G826" t="s">
        <v>21</v>
      </c>
      <c r="H826" t="s">
        <v>3519</v>
      </c>
      <c r="I826" s="2">
        <v>480</v>
      </c>
      <c r="J826" s="2">
        <v>0</v>
      </c>
      <c r="K826" s="2">
        <v>0</v>
      </c>
      <c r="L826" s="3">
        <v>45822</v>
      </c>
      <c r="M826" s="3">
        <v>45822</v>
      </c>
      <c r="N826" s="3"/>
      <c r="O826" t="s">
        <v>3520</v>
      </c>
      <c r="P826" t="s">
        <v>9</v>
      </c>
      <c r="Q826" s="4">
        <v>0.86304398148147998</v>
      </c>
      <c r="R826" t="s">
        <v>5</v>
      </c>
      <c r="S826" t="s">
        <v>4</v>
      </c>
      <c r="T826" t="s">
        <v>3122</v>
      </c>
      <c r="U826" t="s">
        <v>10</v>
      </c>
      <c r="V826" s="5">
        <v>0</v>
      </c>
      <c r="W826" s="5">
        <v>0</v>
      </c>
      <c r="X826" s="2">
        <v>0</v>
      </c>
      <c r="Y826" t="s">
        <v>4</v>
      </c>
      <c r="Z826" t="s">
        <v>4</v>
      </c>
      <c r="AA826" t="s">
        <v>4</v>
      </c>
      <c r="AB826" t="s">
        <v>4</v>
      </c>
    </row>
    <row r="827" spans="1:28" x14ac:dyDescent="0.2">
      <c r="A827" t="s">
        <v>1135</v>
      </c>
      <c r="B827" t="s">
        <v>2</v>
      </c>
      <c r="C827" t="s">
        <v>3</v>
      </c>
      <c r="D827" t="s">
        <v>4</v>
      </c>
      <c r="E827" t="s">
        <v>4</v>
      </c>
      <c r="F827" t="s">
        <v>5</v>
      </c>
      <c r="G827" t="s">
        <v>21</v>
      </c>
      <c r="H827" t="s">
        <v>3519</v>
      </c>
      <c r="I827" s="2">
        <v>480</v>
      </c>
      <c r="J827" s="2">
        <v>0</v>
      </c>
      <c r="K827" s="2">
        <v>0</v>
      </c>
      <c r="L827" s="3">
        <v>45822</v>
      </c>
      <c r="M827" s="3">
        <v>45822</v>
      </c>
      <c r="N827" s="3"/>
      <c r="O827" t="s">
        <v>3521</v>
      </c>
      <c r="P827" t="s">
        <v>9</v>
      </c>
      <c r="Q827" s="4">
        <v>0.86304398148147998</v>
      </c>
      <c r="R827" t="s">
        <v>5</v>
      </c>
      <c r="S827" t="s">
        <v>4</v>
      </c>
      <c r="T827" t="s">
        <v>3122</v>
      </c>
      <c r="U827" t="s">
        <v>10</v>
      </c>
      <c r="V827" s="5">
        <v>0</v>
      </c>
      <c r="W827" s="5">
        <v>0</v>
      </c>
      <c r="X827" s="2">
        <v>0</v>
      </c>
      <c r="Y827" t="s">
        <v>4</v>
      </c>
      <c r="Z827" t="s">
        <v>4</v>
      </c>
      <c r="AA827" t="s">
        <v>4</v>
      </c>
      <c r="AB827" t="s">
        <v>4</v>
      </c>
    </row>
    <row r="828" spans="1:28" x14ac:dyDescent="0.2">
      <c r="A828" t="s">
        <v>1031</v>
      </c>
      <c r="B828" t="s">
        <v>2</v>
      </c>
      <c r="C828" t="s">
        <v>3</v>
      </c>
      <c r="D828" t="s">
        <v>4</v>
      </c>
      <c r="E828" t="s">
        <v>4</v>
      </c>
      <c r="F828" t="s">
        <v>5</v>
      </c>
      <c r="G828" t="s">
        <v>21</v>
      </c>
      <c r="H828" t="s">
        <v>3522</v>
      </c>
      <c r="I828" s="2">
        <v>405</v>
      </c>
      <c r="J828" s="2">
        <v>0</v>
      </c>
      <c r="K828" s="2">
        <v>0</v>
      </c>
      <c r="L828" s="3">
        <v>45849</v>
      </c>
      <c r="M828" s="3">
        <v>45849</v>
      </c>
      <c r="N828" s="3"/>
      <c r="O828" t="s">
        <v>3523</v>
      </c>
      <c r="P828" t="s">
        <v>9</v>
      </c>
      <c r="Q828" s="4">
        <v>0.94584490740741001</v>
      </c>
      <c r="R828" t="s">
        <v>5</v>
      </c>
      <c r="S828" t="s">
        <v>4</v>
      </c>
      <c r="T828" t="s">
        <v>2321</v>
      </c>
      <c r="U828" t="s">
        <v>10</v>
      </c>
      <c r="V828" s="5">
        <v>0</v>
      </c>
      <c r="W828" s="5">
        <v>0</v>
      </c>
      <c r="X828" s="2">
        <v>0</v>
      </c>
      <c r="Y828" t="s">
        <v>4</v>
      </c>
      <c r="Z828" t="s">
        <v>4</v>
      </c>
      <c r="AA828" t="s">
        <v>4</v>
      </c>
      <c r="AB828" t="s">
        <v>4</v>
      </c>
    </row>
    <row r="829" spans="1:28" x14ac:dyDescent="0.2">
      <c r="A829" t="s">
        <v>1031</v>
      </c>
      <c r="B829" t="s">
        <v>2</v>
      </c>
      <c r="C829" t="s">
        <v>3</v>
      </c>
      <c r="D829" t="s">
        <v>4</v>
      </c>
      <c r="E829" t="s">
        <v>4</v>
      </c>
      <c r="F829" t="s">
        <v>5</v>
      </c>
      <c r="G829" t="s">
        <v>21</v>
      </c>
      <c r="H829" t="s">
        <v>3522</v>
      </c>
      <c r="I829" s="2">
        <v>405</v>
      </c>
      <c r="J829" s="2">
        <v>0</v>
      </c>
      <c r="K829" s="2">
        <v>0</v>
      </c>
      <c r="L829" s="3">
        <v>45849</v>
      </c>
      <c r="M829" s="3">
        <v>45849</v>
      </c>
      <c r="N829" s="3"/>
      <c r="O829" t="s">
        <v>3524</v>
      </c>
      <c r="P829" t="s">
        <v>9</v>
      </c>
      <c r="Q829" s="4">
        <v>0.94584490740741001</v>
      </c>
      <c r="R829" t="s">
        <v>5</v>
      </c>
      <c r="S829" t="s">
        <v>4</v>
      </c>
      <c r="T829" t="s">
        <v>2321</v>
      </c>
      <c r="U829" t="s">
        <v>10</v>
      </c>
      <c r="V829" s="5">
        <v>0</v>
      </c>
      <c r="W829" s="5">
        <v>0</v>
      </c>
      <c r="X829" s="2">
        <v>0</v>
      </c>
      <c r="Y829" t="s">
        <v>4</v>
      </c>
      <c r="Z829" t="s">
        <v>4</v>
      </c>
      <c r="AA829" t="s">
        <v>4</v>
      </c>
      <c r="AB829" t="s">
        <v>4</v>
      </c>
    </row>
    <row r="830" spans="1:28" x14ac:dyDescent="0.2">
      <c r="A830" t="s">
        <v>1135</v>
      </c>
      <c r="B830" t="s">
        <v>2</v>
      </c>
      <c r="C830" t="s">
        <v>3</v>
      </c>
      <c r="D830" t="s">
        <v>4</v>
      </c>
      <c r="E830" t="s">
        <v>4</v>
      </c>
      <c r="F830" t="s">
        <v>5</v>
      </c>
      <c r="G830" t="s">
        <v>21</v>
      </c>
      <c r="H830" t="s">
        <v>3525</v>
      </c>
      <c r="I830" s="2">
        <v>480</v>
      </c>
      <c r="J830" s="2">
        <v>0</v>
      </c>
      <c r="K830" s="2">
        <v>0</v>
      </c>
      <c r="L830" s="3">
        <v>45857</v>
      </c>
      <c r="M830" s="3">
        <v>45857</v>
      </c>
      <c r="N830" s="3"/>
      <c r="O830" t="s">
        <v>3526</v>
      </c>
      <c r="P830" t="s">
        <v>9</v>
      </c>
      <c r="Q830" s="4">
        <v>0.79535879629630002</v>
      </c>
      <c r="R830" t="s">
        <v>5</v>
      </c>
      <c r="S830" t="s">
        <v>4</v>
      </c>
      <c r="T830" t="s">
        <v>2262</v>
      </c>
      <c r="U830" t="s">
        <v>10</v>
      </c>
      <c r="V830" s="5">
        <v>0</v>
      </c>
      <c r="W830" s="5">
        <v>0</v>
      </c>
      <c r="X830" s="2">
        <v>0</v>
      </c>
      <c r="Y830" t="s">
        <v>4</v>
      </c>
      <c r="Z830" t="s">
        <v>4</v>
      </c>
      <c r="AA830" t="s">
        <v>4</v>
      </c>
      <c r="AB830" t="s">
        <v>4</v>
      </c>
    </row>
    <row r="831" spans="1:28" x14ac:dyDescent="0.2">
      <c r="A831" t="s">
        <v>1135</v>
      </c>
      <c r="B831" t="s">
        <v>2</v>
      </c>
      <c r="C831" t="s">
        <v>3</v>
      </c>
      <c r="D831" t="s">
        <v>4</v>
      </c>
      <c r="E831" t="s">
        <v>4</v>
      </c>
      <c r="F831" t="s">
        <v>5</v>
      </c>
      <c r="G831" t="s">
        <v>21</v>
      </c>
      <c r="H831" t="s">
        <v>3525</v>
      </c>
      <c r="I831" s="2">
        <v>480</v>
      </c>
      <c r="J831" s="2">
        <v>0</v>
      </c>
      <c r="K831" s="2">
        <v>0</v>
      </c>
      <c r="L831" s="3">
        <v>45857</v>
      </c>
      <c r="M831" s="3">
        <v>45857</v>
      </c>
      <c r="N831" s="3"/>
      <c r="O831" t="s">
        <v>3527</v>
      </c>
      <c r="P831" t="s">
        <v>9</v>
      </c>
      <c r="Q831" s="4">
        <v>0.79535879629630002</v>
      </c>
      <c r="R831" t="s">
        <v>5</v>
      </c>
      <c r="S831" t="s">
        <v>4</v>
      </c>
      <c r="T831" t="s">
        <v>2262</v>
      </c>
      <c r="U831" t="s">
        <v>10</v>
      </c>
      <c r="V831" s="5">
        <v>0</v>
      </c>
      <c r="W831" s="5">
        <v>0</v>
      </c>
      <c r="X831" s="2">
        <v>0</v>
      </c>
      <c r="Y831" t="s">
        <v>4</v>
      </c>
      <c r="Z831" t="s">
        <v>4</v>
      </c>
      <c r="AA831" t="s">
        <v>4</v>
      </c>
      <c r="AB831" t="s">
        <v>4</v>
      </c>
    </row>
    <row r="832" spans="1:28" x14ac:dyDescent="0.2">
      <c r="A832" t="s">
        <v>2010</v>
      </c>
      <c r="B832" t="s">
        <v>2</v>
      </c>
      <c r="C832" t="s">
        <v>3</v>
      </c>
      <c r="D832" t="s">
        <v>4</v>
      </c>
      <c r="E832" t="s">
        <v>4</v>
      </c>
      <c r="F832" t="s">
        <v>5</v>
      </c>
      <c r="G832" t="s">
        <v>17</v>
      </c>
      <c r="H832" t="s">
        <v>3528</v>
      </c>
      <c r="I832" s="2">
        <v>1100</v>
      </c>
      <c r="J832" s="2">
        <v>0</v>
      </c>
      <c r="K832" s="2">
        <v>0</v>
      </c>
      <c r="L832" s="3">
        <v>45804</v>
      </c>
      <c r="M832" s="3">
        <v>45804</v>
      </c>
      <c r="N832" s="3"/>
      <c r="O832" t="s">
        <v>3529</v>
      </c>
      <c r="P832" t="s">
        <v>9</v>
      </c>
      <c r="Q832" s="4">
        <v>0.78045138888888999</v>
      </c>
      <c r="R832" t="s">
        <v>5</v>
      </c>
      <c r="S832" t="s">
        <v>4</v>
      </c>
      <c r="T832" t="s">
        <v>3530</v>
      </c>
      <c r="U832" t="s">
        <v>10</v>
      </c>
      <c r="V832" s="5">
        <v>0</v>
      </c>
      <c r="W832" s="5">
        <v>0</v>
      </c>
      <c r="X832" s="2">
        <v>0</v>
      </c>
      <c r="Y832" t="s">
        <v>4</v>
      </c>
      <c r="Z832" t="s">
        <v>4</v>
      </c>
      <c r="AA832" t="s">
        <v>4</v>
      </c>
      <c r="AB832" t="s">
        <v>4</v>
      </c>
    </row>
    <row r="833" spans="1:28" x14ac:dyDescent="0.2">
      <c r="A833" t="s">
        <v>2010</v>
      </c>
      <c r="B833" t="s">
        <v>2</v>
      </c>
      <c r="C833" t="s">
        <v>3</v>
      </c>
      <c r="D833" t="s">
        <v>4</v>
      </c>
      <c r="E833" t="s">
        <v>4</v>
      </c>
      <c r="F833" t="s">
        <v>5</v>
      </c>
      <c r="G833" t="s">
        <v>17</v>
      </c>
      <c r="H833" t="s">
        <v>3528</v>
      </c>
      <c r="I833" s="2">
        <v>500</v>
      </c>
      <c r="J833" s="2">
        <v>0</v>
      </c>
      <c r="K833" s="2">
        <v>0</v>
      </c>
      <c r="L833" s="3">
        <v>45825</v>
      </c>
      <c r="M833" s="3">
        <v>45825</v>
      </c>
      <c r="N833" s="3"/>
      <c r="O833" t="s">
        <v>3531</v>
      </c>
      <c r="P833" t="s">
        <v>9</v>
      </c>
      <c r="Q833" s="4">
        <v>0.78045138888888999</v>
      </c>
      <c r="R833" t="s">
        <v>5</v>
      </c>
      <c r="S833" t="s">
        <v>4</v>
      </c>
      <c r="T833" t="s">
        <v>3105</v>
      </c>
      <c r="U833" t="s">
        <v>10</v>
      </c>
      <c r="V833" s="5">
        <v>0</v>
      </c>
      <c r="W833" s="5">
        <v>0</v>
      </c>
      <c r="X833" s="2">
        <v>0</v>
      </c>
      <c r="Y833" t="s">
        <v>4</v>
      </c>
      <c r="Z833" t="s">
        <v>4</v>
      </c>
      <c r="AA833" t="s">
        <v>4</v>
      </c>
      <c r="AB833" t="s">
        <v>4</v>
      </c>
    </row>
    <row r="834" spans="1:28" x14ac:dyDescent="0.2">
      <c r="A834" t="s">
        <v>1809</v>
      </c>
      <c r="B834" t="s">
        <v>2</v>
      </c>
      <c r="C834" t="s">
        <v>3</v>
      </c>
      <c r="D834" t="s">
        <v>4</v>
      </c>
      <c r="E834" t="s">
        <v>4</v>
      </c>
      <c r="F834" t="s">
        <v>5</v>
      </c>
      <c r="G834" t="s">
        <v>17</v>
      </c>
      <c r="H834" t="s">
        <v>3532</v>
      </c>
      <c r="I834" s="2">
        <v>7000</v>
      </c>
      <c r="J834" s="2">
        <v>0</v>
      </c>
      <c r="K834" s="2">
        <v>0</v>
      </c>
      <c r="L834" s="3">
        <v>45857</v>
      </c>
      <c r="M834" s="3">
        <v>45857</v>
      </c>
      <c r="N834" s="3"/>
      <c r="O834" t="s">
        <v>3533</v>
      </c>
      <c r="P834" t="s">
        <v>9</v>
      </c>
      <c r="Q834" s="4">
        <v>0.64811342592593002</v>
      </c>
      <c r="R834" t="s">
        <v>5</v>
      </c>
      <c r="S834" t="s">
        <v>4</v>
      </c>
      <c r="T834" t="s">
        <v>2262</v>
      </c>
      <c r="U834" t="s">
        <v>10</v>
      </c>
      <c r="V834" s="5">
        <v>0</v>
      </c>
      <c r="W834" s="5">
        <v>0</v>
      </c>
      <c r="X834" s="2">
        <v>0</v>
      </c>
      <c r="Y834" t="s">
        <v>4</v>
      </c>
      <c r="Z834" t="s">
        <v>4</v>
      </c>
      <c r="AA834" t="s">
        <v>4</v>
      </c>
      <c r="AB834" t="s">
        <v>4</v>
      </c>
    </row>
    <row r="835" spans="1:28" x14ac:dyDescent="0.2">
      <c r="A835" t="s">
        <v>1805</v>
      </c>
      <c r="B835" t="s">
        <v>2</v>
      </c>
      <c r="C835" t="s">
        <v>3</v>
      </c>
      <c r="D835" t="s">
        <v>4</v>
      </c>
      <c r="E835" t="s">
        <v>4</v>
      </c>
      <c r="F835" t="s">
        <v>5</v>
      </c>
      <c r="G835" t="s">
        <v>17</v>
      </c>
      <c r="H835" t="s">
        <v>3534</v>
      </c>
      <c r="I835" s="2">
        <v>7000</v>
      </c>
      <c r="J835" s="2">
        <v>0</v>
      </c>
      <c r="K835" s="2">
        <v>0</v>
      </c>
      <c r="L835" s="3">
        <v>45856</v>
      </c>
      <c r="M835" s="3">
        <v>45856</v>
      </c>
      <c r="N835" s="3"/>
      <c r="O835" t="s">
        <v>3535</v>
      </c>
      <c r="P835" t="s">
        <v>9</v>
      </c>
      <c r="Q835" s="4">
        <v>0.62726851851851995</v>
      </c>
      <c r="R835" t="s">
        <v>5</v>
      </c>
      <c r="S835" t="s">
        <v>4</v>
      </c>
      <c r="T835" t="s">
        <v>2260</v>
      </c>
      <c r="U835" t="s">
        <v>10</v>
      </c>
      <c r="V835" s="5">
        <v>0</v>
      </c>
      <c r="W835" s="5">
        <v>0</v>
      </c>
      <c r="X835" s="2">
        <v>0</v>
      </c>
      <c r="Y835" t="s">
        <v>4</v>
      </c>
      <c r="Z835" t="s">
        <v>4</v>
      </c>
      <c r="AA835" t="s">
        <v>4</v>
      </c>
      <c r="AB835" t="s">
        <v>4</v>
      </c>
    </row>
    <row r="836" spans="1:28" x14ac:dyDescent="0.2">
      <c r="A836" t="s">
        <v>491</v>
      </c>
      <c r="B836" t="s">
        <v>2</v>
      </c>
      <c r="C836" t="s">
        <v>3</v>
      </c>
      <c r="D836" t="s">
        <v>4</v>
      </c>
      <c r="E836" t="s">
        <v>4</v>
      </c>
      <c r="F836" t="s">
        <v>5</v>
      </c>
      <c r="G836" t="s">
        <v>17</v>
      </c>
      <c r="H836" t="s">
        <v>3536</v>
      </c>
      <c r="I836" s="2">
        <v>2160</v>
      </c>
      <c r="J836" s="2">
        <v>0</v>
      </c>
      <c r="K836" s="2">
        <v>0</v>
      </c>
      <c r="L836" s="3">
        <v>45859</v>
      </c>
      <c r="M836" s="3">
        <v>45859</v>
      </c>
      <c r="N836" s="3"/>
      <c r="O836" t="s">
        <v>3537</v>
      </c>
      <c r="P836" t="s">
        <v>9</v>
      </c>
      <c r="Q836" s="4">
        <v>0.82387731481480997</v>
      </c>
      <c r="R836" t="s">
        <v>5</v>
      </c>
      <c r="S836" t="s">
        <v>4</v>
      </c>
      <c r="T836" t="s">
        <v>2261</v>
      </c>
      <c r="U836" t="s">
        <v>10</v>
      </c>
      <c r="V836" s="5">
        <v>0</v>
      </c>
      <c r="W836" s="5">
        <v>0</v>
      </c>
      <c r="X836" s="2">
        <v>0</v>
      </c>
      <c r="Y836" t="s">
        <v>4</v>
      </c>
      <c r="Z836" t="s">
        <v>4</v>
      </c>
      <c r="AA836" t="s">
        <v>4</v>
      </c>
      <c r="AB836" t="s">
        <v>4</v>
      </c>
    </row>
    <row r="837" spans="1:28" x14ac:dyDescent="0.2">
      <c r="A837" t="s">
        <v>491</v>
      </c>
      <c r="B837" t="s">
        <v>2</v>
      </c>
      <c r="C837" t="s">
        <v>3</v>
      </c>
      <c r="D837" t="s">
        <v>4</v>
      </c>
      <c r="E837" t="s">
        <v>4</v>
      </c>
      <c r="F837" t="s">
        <v>5</v>
      </c>
      <c r="G837" t="s">
        <v>17</v>
      </c>
      <c r="H837" t="s">
        <v>3538</v>
      </c>
      <c r="I837" s="2">
        <v>1440</v>
      </c>
      <c r="J837" s="2">
        <v>0</v>
      </c>
      <c r="K837" s="2">
        <v>0</v>
      </c>
      <c r="L837" s="3">
        <v>45806</v>
      </c>
      <c r="M837" s="3">
        <v>45806</v>
      </c>
      <c r="N837" s="3"/>
      <c r="O837" t="s">
        <v>3539</v>
      </c>
      <c r="P837" t="s">
        <v>9</v>
      </c>
      <c r="Q837" s="4">
        <v>0.96159722222221999</v>
      </c>
      <c r="R837" t="s">
        <v>5</v>
      </c>
      <c r="S837" t="s">
        <v>4</v>
      </c>
      <c r="T837" t="s">
        <v>3183</v>
      </c>
      <c r="U837" t="s">
        <v>10</v>
      </c>
      <c r="V837" s="5">
        <v>0</v>
      </c>
      <c r="W837" s="5">
        <v>0</v>
      </c>
      <c r="X837" s="2">
        <v>0</v>
      </c>
      <c r="Y837" t="s">
        <v>4</v>
      </c>
      <c r="Z837" t="s">
        <v>4</v>
      </c>
      <c r="AA837" t="s">
        <v>4</v>
      </c>
      <c r="AB837" t="s">
        <v>4</v>
      </c>
    </row>
    <row r="838" spans="1:28" x14ac:dyDescent="0.2">
      <c r="A838" t="s">
        <v>491</v>
      </c>
      <c r="B838" t="s">
        <v>2</v>
      </c>
      <c r="C838" t="s">
        <v>3</v>
      </c>
      <c r="D838" t="s">
        <v>4</v>
      </c>
      <c r="E838" t="s">
        <v>4</v>
      </c>
      <c r="F838" t="s">
        <v>5</v>
      </c>
      <c r="G838" t="s">
        <v>17</v>
      </c>
      <c r="H838" t="s">
        <v>3538</v>
      </c>
      <c r="I838" s="2">
        <v>720</v>
      </c>
      <c r="J838" s="2">
        <v>0</v>
      </c>
      <c r="K838" s="2">
        <v>0</v>
      </c>
      <c r="L838" s="3">
        <v>45806</v>
      </c>
      <c r="M838" s="3">
        <v>45806</v>
      </c>
      <c r="N838" s="3"/>
      <c r="O838" t="s">
        <v>3540</v>
      </c>
      <c r="P838" t="s">
        <v>9</v>
      </c>
      <c r="Q838" s="4">
        <v>0.96159722222221999</v>
      </c>
      <c r="R838" t="s">
        <v>5</v>
      </c>
      <c r="S838" t="s">
        <v>4</v>
      </c>
      <c r="T838" t="s">
        <v>3183</v>
      </c>
      <c r="U838" t="s">
        <v>10</v>
      </c>
      <c r="V838" s="5">
        <v>0</v>
      </c>
      <c r="W838" s="5">
        <v>0</v>
      </c>
      <c r="X838" s="2">
        <v>0</v>
      </c>
      <c r="Y838" t="s">
        <v>4</v>
      </c>
      <c r="Z838" t="s">
        <v>4</v>
      </c>
      <c r="AA838" t="s">
        <v>4</v>
      </c>
      <c r="AB838" t="s">
        <v>4</v>
      </c>
    </row>
    <row r="839" spans="1:28" x14ac:dyDescent="0.2">
      <c r="A839" t="s">
        <v>285</v>
      </c>
      <c r="B839" t="s">
        <v>2</v>
      </c>
      <c r="C839" t="s">
        <v>3</v>
      </c>
      <c r="D839" t="s">
        <v>4</v>
      </c>
      <c r="E839" t="s">
        <v>4</v>
      </c>
      <c r="F839" t="s">
        <v>5</v>
      </c>
      <c r="G839" t="s">
        <v>17</v>
      </c>
      <c r="H839" t="s">
        <v>3541</v>
      </c>
      <c r="I839" s="2">
        <v>30</v>
      </c>
      <c r="J839" s="2">
        <v>0</v>
      </c>
      <c r="K839" s="2">
        <v>0</v>
      </c>
      <c r="L839" s="3">
        <v>45835</v>
      </c>
      <c r="M839" s="3">
        <v>45835</v>
      </c>
      <c r="N839" s="3"/>
      <c r="O839" t="s">
        <v>3542</v>
      </c>
      <c r="P839" t="s">
        <v>9</v>
      </c>
      <c r="Q839" s="4">
        <v>0.62355324074074003</v>
      </c>
      <c r="R839" t="s">
        <v>5</v>
      </c>
      <c r="S839" t="s">
        <v>4</v>
      </c>
      <c r="T839" t="s">
        <v>2928</v>
      </c>
      <c r="U839" t="s">
        <v>10</v>
      </c>
      <c r="V839" s="5">
        <v>0</v>
      </c>
      <c r="W839" s="5">
        <v>0</v>
      </c>
      <c r="X839" s="2">
        <v>0</v>
      </c>
      <c r="Y839" t="s">
        <v>4</v>
      </c>
      <c r="Z839" t="s">
        <v>4</v>
      </c>
      <c r="AA839" t="s">
        <v>4</v>
      </c>
      <c r="AB839" t="s">
        <v>4</v>
      </c>
    </row>
    <row r="840" spans="1:28" x14ac:dyDescent="0.2">
      <c r="A840" t="s">
        <v>285</v>
      </c>
      <c r="B840" t="s">
        <v>2</v>
      </c>
      <c r="C840" t="s">
        <v>3</v>
      </c>
      <c r="D840" t="s">
        <v>4</v>
      </c>
      <c r="E840" t="s">
        <v>4</v>
      </c>
      <c r="F840" t="s">
        <v>5</v>
      </c>
      <c r="G840" t="s">
        <v>17</v>
      </c>
      <c r="H840" t="s">
        <v>3541</v>
      </c>
      <c r="I840" s="2">
        <v>30</v>
      </c>
      <c r="J840" s="2">
        <v>0</v>
      </c>
      <c r="K840" s="2">
        <v>0</v>
      </c>
      <c r="L840" s="3">
        <v>45835</v>
      </c>
      <c r="M840" s="3">
        <v>45835</v>
      </c>
      <c r="N840" s="3"/>
      <c r="O840" t="s">
        <v>3543</v>
      </c>
      <c r="P840" t="s">
        <v>9</v>
      </c>
      <c r="Q840" s="4">
        <v>0.62355324074074003</v>
      </c>
      <c r="R840" t="s">
        <v>5</v>
      </c>
      <c r="S840" t="s">
        <v>4</v>
      </c>
      <c r="T840" t="s">
        <v>2928</v>
      </c>
      <c r="U840" t="s">
        <v>10</v>
      </c>
      <c r="V840" s="5">
        <v>0</v>
      </c>
      <c r="W840" s="5">
        <v>0</v>
      </c>
      <c r="X840" s="2">
        <v>0</v>
      </c>
      <c r="Y840" t="s">
        <v>4</v>
      </c>
      <c r="Z840" t="s">
        <v>4</v>
      </c>
      <c r="AA840" t="s">
        <v>4</v>
      </c>
      <c r="AB840" t="s">
        <v>4</v>
      </c>
    </row>
    <row r="841" spans="1:28" x14ac:dyDescent="0.2">
      <c r="A841" t="s">
        <v>662</v>
      </c>
      <c r="B841" t="s">
        <v>2</v>
      </c>
      <c r="C841" t="s">
        <v>3</v>
      </c>
      <c r="D841" t="s">
        <v>4</v>
      </c>
      <c r="E841" t="s">
        <v>4</v>
      </c>
      <c r="F841" t="s">
        <v>5</v>
      </c>
      <c r="G841" t="s">
        <v>6</v>
      </c>
      <c r="H841" t="s">
        <v>3544</v>
      </c>
      <c r="I841" s="2">
        <v>270</v>
      </c>
      <c r="J841" s="2">
        <v>0</v>
      </c>
      <c r="K841" s="2">
        <v>0</v>
      </c>
      <c r="L841" s="3">
        <v>45833</v>
      </c>
      <c r="M841" s="3">
        <v>45833</v>
      </c>
      <c r="N841" s="3"/>
      <c r="O841" t="s">
        <v>3545</v>
      </c>
      <c r="P841" t="s">
        <v>9</v>
      </c>
      <c r="Q841" s="4">
        <v>0.60805555555556001</v>
      </c>
      <c r="R841" t="s">
        <v>5</v>
      </c>
      <c r="S841" t="s">
        <v>4</v>
      </c>
      <c r="T841" t="s">
        <v>2736</v>
      </c>
      <c r="U841" t="s">
        <v>10</v>
      </c>
      <c r="V841" s="5">
        <v>0</v>
      </c>
      <c r="W841" s="5">
        <v>0</v>
      </c>
      <c r="X841" s="2">
        <v>0</v>
      </c>
      <c r="Y841" t="s">
        <v>4</v>
      </c>
      <c r="Z841" t="s">
        <v>4</v>
      </c>
      <c r="AA841" t="s">
        <v>4</v>
      </c>
      <c r="AB841" t="s">
        <v>4</v>
      </c>
    </row>
    <row r="842" spans="1:28" x14ac:dyDescent="0.2">
      <c r="A842" t="s">
        <v>662</v>
      </c>
      <c r="B842" t="s">
        <v>2</v>
      </c>
      <c r="C842" t="s">
        <v>3</v>
      </c>
      <c r="D842" t="s">
        <v>4</v>
      </c>
      <c r="E842" t="s">
        <v>4</v>
      </c>
      <c r="F842" t="s">
        <v>5</v>
      </c>
      <c r="G842" t="s">
        <v>6</v>
      </c>
      <c r="H842" t="s">
        <v>3544</v>
      </c>
      <c r="I842" s="2">
        <v>270</v>
      </c>
      <c r="J842" s="2">
        <v>0</v>
      </c>
      <c r="K842" s="2">
        <v>0</v>
      </c>
      <c r="L842" s="3">
        <v>45833</v>
      </c>
      <c r="M842" s="3">
        <v>45833</v>
      </c>
      <c r="N842" s="3"/>
      <c r="O842" t="s">
        <v>3546</v>
      </c>
      <c r="P842" t="s">
        <v>9</v>
      </c>
      <c r="Q842" s="4">
        <v>0.60805555555556001</v>
      </c>
      <c r="R842" t="s">
        <v>5</v>
      </c>
      <c r="S842" t="s">
        <v>4</v>
      </c>
      <c r="T842" t="s">
        <v>2736</v>
      </c>
      <c r="U842" t="s">
        <v>10</v>
      </c>
      <c r="V842" s="5">
        <v>0</v>
      </c>
      <c r="W842" s="5">
        <v>0</v>
      </c>
      <c r="X842" s="2">
        <v>0</v>
      </c>
      <c r="Y842" t="s">
        <v>4</v>
      </c>
      <c r="Z842" t="s">
        <v>4</v>
      </c>
      <c r="AA842" t="s">
        <v>4</v>
      </c>
      <c r="AB842" t="s">
        <v>4</v>
      </c>
    </row>
    <row r="843" spans="1:28" x14ac:dyDescent="0.2">
      <c r="A843" t="s">
        <v>532</v>
      </c>
      <c r="B843" t="s">
        <v>2</v>
      </c>
      <c r="C843" t="s">
        <v>3</v>
      </c>
      <c r="D843" t="s">
        <v>4</v>
      </c>
      <c r="E843" t="s">
        <v>4</v>
      </c>
      <c r="F843" t="s">
        <v>5</v>
      </c>
      <c r="G843" t="s">
        <v>6</v>
      </c>
      <c r="H843" t="s">
        <v>3547</v>
      </c>
      <c r="I843" s="2">
        <v>68</v>
      </c>
      <c r="J843" s="2">
        <v>0</v>
      </c>
      <c r="K843" s="2">
        <v>0</v>
      </c>
      <c r="L843" s="3">
        <v>45848</v>
      </c>
      <c r="M843" s="3">
        <v>45848</v>
      </c>
      <c r="N843" s="3"/>
      <c r="O843" t="s">
        <v>3548</v>
      </c>
      <c r="P843" t="s">
        <v>9</v>
      </c>
      <c r="Q843" s="4">
        <v>0.74612268518518998</v>
      </c>
      <c r="R843" t="s">
        <v>5</v>
      </c>
      <c r="S843" t="s">
        <v>4</v>
      </c>
      <c r="T843" t="s">
        <v>2580</v>
      </c>
      <c r="U843" t="s">
        <v>10</v>
      </c>
      <c r="V843" s="5">
        <v>0</v>
      </c>
      <c r="W843" s="5">
        <v>0</v>
      </c>
      <c r="X843" s="2">
        <v>0</v>
      </c>
      <c r="Y843" t="s">
        <v>4</v>
      </c>
      <c r="Z843" t="s">
        <v>4</v>
      </c>
      <c r="AA843" t="s">
        <v>4</v>
      </c>
      <c r="AB843" t="s">
        <v>4</v>
      </c>
    </row>
    <row r="844" spans="1:28" x14ac:dyDescent="0.2">
      <c r="A844" t="s">
        <v>532</v>
      </c>
      <c r="B844" t="s">
        <v>2</v>
      </c>
      <c r="C844" t="s">
        <v>3</v>
      </c>
      <c r="D844" t="s">
        <v>4</v>
      </c>
      <c r="E844" t="s">
        <v>4</v>
      </c>
      <c r="F844" t="s">
        <v>5</v>
      </c>
      <c r="G844" t="s">
        <v>6</v>
      </c>
      <c r="H844" t="s">
        <v>3547</v>
      </c>
      <c r="I844" s="2">
        <v>340</v>
      </c>
      <c r="J844" s="2">
        <v>0</v>
      </c>
      <c r="K844" s="2">
        <v>0</v>
      </c>
      <c r="L844" s="3">
        <v>45849</v>
      </c>
      <c r="M844" s="3">
        <v>45849</v>
      </c>
      <c r="N844" s="3"/>
      <c r="O844" t="s">
        <v>3549</v>
      </c>
      <c r="P844" t="s">
        <v>9</v>
      </c>
      <c r="Q844" s="4">
        <v>0.74612268518518998</v>
      </c>
      <c r="R844" t="s">
        <v>5</v>
      </c>
      <c r="S844" t="s">
        <v>4</v>
      </c>
      <c r="T844" t="s">
        <v>2321</v>
      </c>
      <c r="U844" t="s">
        <v>10</v>
      </c>
      <c r="V844" s="5">
        <v>0</v>
      </c>
      <c r="W844" s="5">
        <v>0</v>
      </c>
      <c r="X844" s="2">
        <v>0</v>
      </c>
      <c r="Y844" t="s">
        <v>4</v>
      </c>
      <c r="Z844" t="s">
        <v>4</v>
      </c>
      <c r="AA844" t="s">
        <v>4</v>
      </c>
      <c r="AB844" t="s">
        <v>4</v>
      </c>
    </row>
    <row r="845" spans="1:28" x14ac:dyDescent="0.2">
      <c r="A845" t="s">
        <v>2251</v>
      </c>
      <c r="B845" t="s">
        <v>4</v>
      </c>
      <c r="C845" t="s">
        <v>4</v>
      </c>
      <c r="D845" t="s">
        <v>4</v>
      </c>
      <c r="E845" t="s">
        <v>4</v>
      </c>
      <c r="F845" t="s">
        <v>5</v>
      </c>
      <c r="G845" t="s">
        <v>6</v>
      </c>
      <c r="H845" t="s">
        <v>3550</v>
      </c>
      <c r="I845" s="5">
        <v>0</v>
      </c>
      <c r="J845" s="5">
        <v>0</v>
      </c>
      <c r="K845" s="5">
        <v>0</v>
      </c>
      <c r="L845" s="3"/>
      <c r="M845" s="3"/>
      <c r="N845" s="3"/>
      <c r="O845" t="s">
        <v>4</v>
      </c>
      <c r="P845" t="s">
        <v>9</v>
      </c>
      <c r="Q845" s="4">
        <v>0.47149305555555998</v>
      </c>
      <c r="R845" t="s">
        <v>4</v>
      </c>
      <c r="S845" t="s">
        <v>4</v>
      </c>
      <c r="T845" t="s">
        <v>2256</v>
      </c>
      <c r="U845" t="s">
        <v>4</v>
      </c>
      <c r="V845" s="5">
        <v>0</v>
      </c>
      <c r="W845" s="5">
        <v>0</v>
      </c>
      <c r="X845" s="2">
        <v>0</v>
      </c>
      <c r="Y845" t="s">
        <v>4</v>
      </c>
      <c r="Z845" t="s">
        <v>4</v>
      </c>
      <c r="AA845" t="s">
        <v>4</v>
      </c>
      <c r="AB845" t="s">
        <v>4</v>
      </c>
    </row>
    <row r="846" spans="1:28" x14ac:dyDescent="0.2">
      <c r="A846" t="s">
        <v>0</v>
      </c>
      <c r="B846" t="s">
        <v>2</v>
      </c>
      <c r="C846" t="s">
        <v>3</v>
      </c>
      <c r="D846" t="s">
        <v>4</v>
      </c>
      <c r="E846" t="s">
        <v>4</v>
      </c>
      <c r="F846" t="s">
        <v>5</v>
      </c>
      <c r="G846" t="s">
        <v>6</v>
      </c>
      <c r="H846" t="s">
        <v>89</v>
      </c>
      <c r="I846" s="2">
        <v>196</v>
      </c>
      <c r="J846" s="2">
        <v>0</v>
      </c>
      <c r="K846" s="2">
        <v>0</v>
      </c>
      <c r="L846" s="3">
        <v>45819</v>
      </c>
      <c r="M846" s="3">
        <v>45819</v>
      </c>
      <c r="N846" s="3"/>
      <c r="O846" t="s">
        <v>90</v>
      </c>
      <c r="P846" t="s">
        <v>9</v>
      </c>
      <c r="Q846" s="4">
        <v>0.48577546296295998</v>
      </c>
      <c r="R846" t="s">
        <v>5</v>
      </c>
      <c r="S846" t="s">
        <v>4</v>
      </c>
      <c r="T846" t="s">
        <v>2263</v>
      </c>
      <c r="U846" t="s">
        <v>10</v>
      </c>
      <c r="V846" s="5">
        <v>0</v>
      </c>
      <c r="W846" s="5">
        <v>0</v>
      </c>
      <c r="X846" s="2">
        <v>0</v>
      </c>
      <c r="Y846" t="s">
        <v>4</v>
      </c>
      <c r="Z846" t="s">
        <v>4</v>
      </c>
      <c r="AA846" t="s">
        <v>4</v>
      </c>
      <c r="AB846" t="s">
        <v>4</v>
      </c>
    </row>
    <row r="847" spans="1:28" x14ac:dyDescent="0.2">
      <c r="A847" t="s">
        <v>0</v>
      </c>
      <c r="B847" t="s">
        <v>2</v>
      </c>
      <c r="C847" t="s">
        <v>3</v>
      </c>
      <c r="D847" t="s">
        <v>4</v>
      </c>
      <c r="E847" t="s">
        <v>4</v>
      </c>
      <c r="F847" t="s">
        <v>5</v>
      </c>
      <c r="G847" t="s">
        <v>6</v>
      </c>
      <c r="H847" t="s">
        <v>89</v>
      </c>
      <c r="I847" s="2">
        <v>196</v>
      </c>
      <c r="J847" s="2">
        <v>0</v>
      </c>
      <c r="K847" s="2">
        <v>0</v>
      </c>
      <c r="L847" s="3">
        <v>45819</v>
      </c>
      <c r="M847" s="3">
        <v>45819</v>
      </c>
      <c r="N847" s="3"/>
      <c r="O847" t="s">
        <v>91</v>
      </c>
      <c r="P847" t="s">
        <v>9</v>
      </c>
      <c r="Q847" s="4">
        <v>0.48577546296295998</v>
      </c>
      <c r="R847" t="s">
        <v>5</v>
      </c>
      <c r="S847" t="s">
        <v>4</v>
      </c>
      <c r="T847" t="s">
        <v>2263</v>
      </c>
      <c r="U847" t="s">
        <v>10</v>
      </c>
      <c r="V847" s="5">
        <v>0</v>
      </c>
      <c r="W847" s="5">
        <v>0</v>
      </c>
      <c r="X847" s="2">
        <v>0</v>
      </c>
      <c r="Y847" t="s">
        <v>4</v>
      </c>
      <c r="Z847" t="s">
        <v>4</v>
      </c>
      <c r="AA847" t="s">
        <v>4</v>
      </c>
      <c r="AB847" t="s">
        <v>4</v>
      </c>
    </row>
    <row r="848" spans="1:28" x14ac:dyDescent="0.2">
      <c r="A848" t="s">
        <v>0</v>
      </c>
      <c r="B848" t="s">
        <v>2</v>
      </c>
      <c r="C848" t="s">
        <v>3</v>
      </c>
      <c r="D848" t="s">
        <v>4</v>
      </c>
      <c r="E848" t="s">
        <v>4</v>
      </c>
      <c r="F848" t="s">
        <v>5</v>
      </c>
      <c r="G848" t="s">
        <v>6</v>
      </c>
      <c r="H848" t="s">
        <v>92</v>
      </c>
      <c r="I848" s="2">
        <v>0</v>
      </c>
      <c r="J848" s="2">
        <v>196</v>
      </c>
      <c r="K848" s="2">
        <v>0</v>
      </c>
      <c r="L848" s="3">
        <v>45819</v>
      </c>
      <c r="M848" s="3">
        <v>45819</v>
      </c>
      <c r="N848" s="3"/>
      <c r="O848" t="s">
        <v>93</v>
      </c>
      <c r="P848" t="s">
        <v>9</v>
      </c>
      <c r="Q848" s="4">
        <v>0.48608796296295997</v>
      </c>
      <c r="R848" t="s">
        <v>5</v>
      </c>
      <c r="S848" t="s">
        <v>4</v>
      </c>
      <c r="T848" t="s">
        <v>2263</v>
      </c>
      <c r="U848" t="s">
        <v>10</v>
      </c>
      <c r="V848" s="5">
        <v>0</v>
      </c>
      <c r="W848" s="5">
        <v>0</v>
      </c>
      <c r="X848" s="2">
        <v>0</v>
      </c>
      <c r="Y848" t="s">
        <v>4</v>
      </c>
      <c r="Z848" t="s">
        <v>4</v>
      </c>
      <c r="AA848" t="s">
        <v>4</v>
      </c>
      <c r="AB848" t="s">
        <v>4</v>
      </c>
    </row>
    <row r="849" spans="1:28" x14ac:dyDescent="0.2">
      <c r="A849" t="s">
        <v>0</v>
      </c>
      <c r="B849" t="s">
        <v>2</v>
      </c>
      <c r="C849" t="s">
        <v>3</v>
      </c>
      <c r="D849" t="s">
        <v>4</v>
      </c>
      <c r="E849" t="s">
        <v>4</v>
      </c>
      <c r="F849" t="s">
        <v>5</v>
      </c>
      <c r="G849" t="s">
        <v>6</v>
      </c>
      <c r="H849" t="s">
        <v>92</v>
      </c>
      <c r="I849" s="2">
        <v>196</v>
      </c>
      <c r="J849" s="2">
        <v>0</v>
      </c>
      <c r="K849" s="2">
        <v>0</v>
      </c>
      <c r="L849" s="3">
        <v>45819</v>
      </c>
      <c r="M849" s="3">
        <v>45819</v>
      </c>
      <c r="N849" s="3"/>
      <c r="O849" t="s">
        <v>94</v>
      </c>
      <c r="P849" t="s">
        <v>9</v>
      </c>
      <c r="Q849" s="4">
        <v>0.48608796296295997</v>
      </c>
      <c r="R849" t="s">
        <v>5</v>
      </c>
      <c r="S849" t="s">
        <v>4</v>
      </c>
      <c r="T849" t="s">
        <v>2263</v>
      </c>
      <c r="U849" t="s">
        <v>10</v>
      </c>
      <c r="V849" s="5">
        <v>0</v>
      </c>
      <c r="W849" s="5">
        <v>0</v>
      </c>
      <c r="X849" s="2">
        <v>0</v>
      </c>
      <c r="Y849" t="s">
        <v>4</v>
      </c>
      <c r="Z849" t="s">
        <v>4</v>
      </c>
      <c r="AA849" t="s">
        <v>4</v>
      </c>
      <c r="AB849" t="s">
        <v>4</v>
      </c>
    </row>
    <row r="850" spans="1:28" x14ac:dyDescent="0.2">
      <c r="A850" t="s">
        <v>1142</v>
      </c>
      <c r="B850" t="s">
        <v>2</v>
      </c>
      <c r="C850" t="s">
        <v>3</v>
      </c>
      <c r="D850" t="s">
        <v>4</v>
      </c>
      <c r="E850" t="s">
        <v>4</v>
      </c>
      <c r="F850" t="s">
        <v>5</v>
      </c>
      <c r="G850" t="s">
        <v>6</v>
      </c>
      <c r="H850" t="s">
        <v>3551</v>
      </c>
      <c r="I850" s="2">
        <v>450</v>
      </c>
      <c r="J850" s="2">
        <v>0</v>
      </c>
      <c r="K850" s="2">
        <v>0</v>
      </c>
      <c r="L850" s="3">
        <v>45686</v>
      </c>
      <c r="M850" s="3">
        <v>45686</v>
      </c>
      <c r="N850" s="3"/>
      <c r="O850" t="s">
        <v>3552</v>
      </c>
      <c r="P850" t="s">
        <v>9</v>
      </c>
      <c r="Q850" s="4">
        <v>0.37903935185185</v>
      </c>
      <c r="R850" t="s">
        <v>5</v>
      </c>
      <c r="S850" t="s">
        <v>4</v>
      </c>
      <c r="T850" t="s">
        <v>2718</v>
      </c>
      <c r="U850" t="s">
        <v>10</v>
      </c>
      <c r="V850" s="5">
        <v>0</v>
      </c>
      <c r="W850" s="5">
        <v>0</v>
      </c>
      <c r="X850" s="2">
        <v>0</v>
      </c>
      <c r="Y850" t="s">
        <v>4</v>
      </c>
      <c r="Z850" t="s">
        <v>4</v>
      </c>
      <c r="AA850" t="s">
        <v>4</v>
      </c>
      <c r="AB850" t="s">
        <v>4</v>
      </c>
    </row>
    <row r="851" spans="1:28" x14ac:dyDescent="0.2">
      <c r="A851" t="s">
        <v>1142</v>
      </c>
      <c r="B851" t="s">
        <v>2</v>
      </c>
      <c r="C851" t="s">
        <v>3</v>
      </c>
      <c r="D851" t="s">
        <v>4</v>
      </c>
      <c r="E851" t="s">
        <v>4</v>
      </c>
      <c r="F851" t="s">
        <v>5</v>
      </c>
      <c r="G851" t="s">
        <v>6</v>
      </c>
      <c r="H851" t="s">
        <v>3551</v>
      </c>
      <c r="I851" s="2">
        <v>294</v>
      </c>
      <c r="J851" s="2">
        <v>0</v>
      </c>
      <c r="K851" s="2">
        <v>0</v>
      </c>
      <c r="L851" s="3">
        <v>45686</v>
      </c>
      <c r="M851" s="3">
        <v>45686</v>
      </c>
      <c r="N851" s="3"/>
      <c r="O851" t="s">
        <v>3553</v>
      </c>
      <c r="P851" t="s">
        <v>9</v>
      </c>
      <c r="Q851" s="4">
        <v>0.37903935185185</v>
      </c>
      <c r="R851" t="s">
        <v>5</v>
      </c>
      <c r="S851" t="s">
        <v>4</v>
      </c>
      <c r="T851" t="s">
        <v>2718</v>
      </c>
      <c r="U851" t="s">
        <v>10</v>
      </c>
      <c r="V851" s="5">
        <v>0</v>
      </c>
      <c r="W851" s="5">
        <v>0</v>
      </c>
      <c r="X851" s="2">
        <v>0</v>
      </c>
      <c r="Y851" t="s">
        <v>4</v>
      </c>
      <c r="Z851" t="s">
        <v>4</v>
      </c>
      <c r="AA851" t="s">
        <v>4</v>
      </c>
      <c r="AB851" t="s">
        <v>4</v>
      </c>
    </row>
    <row r="852" spans="1:28" x14ac:dyDescent="0.2">
      <c r="A852" t="s">
        <v>389</v>
      </c>
      <c r="B852" t="s">
        <v>2</v>
      </c>
      <c r="C852" t="s">
        <v>3</v>
      </c>
      <c r="D852" t="s">
        <v>4</v>
      </c>
      <c r="E852" t="s">
        <v>4</v>
      </c>
      <c r="F852" t="s">
        <v>5</v>
      </c>
      <c r="G852" t="s">
        <v>21</v>
      </c>
      <c r="H852" t="s">
        <v>3554</v>
      </c>
      <c r="I852" s="2">
        <v>1800</v>
      </c>
      <c r="J852" s="2">
        <v>0</v>
      </c>
      <c r="K852" s="2">
        <v>0</v>
      </c>
      <c r="L852" s="3">
        <v>45850</v>
      </c>
      <c r="M852" s="3">
        <v>45850</v>
      </c>
      <c r="N852" s="3"/>
      <c r="O852" t="s">
        <v>3555</v>
      </c>
      <c r="P852" t="s">
        <v>9</v>
      </c>
      <c r="Q852" s="4">
        <v>0.53759259259258996</v>
      </c>
      <c r="R852" t="s">
        <v>5</v>
      </c>
      <c r="S852" t="s">
        <v>4</v>
      </c>
      <c r="T852" t="s">
        <v>2680</v>
      </c>
      <c r="U852" t="s">
        <v>10</v>
      </c>
      <c r="V852" s="5">
        <v>0</v>
      </c>
      <c r="W852" s="5">
        <v>0</v>
      </c>
      <c r="X852" s="2">
        <v>0</v>
      </c>
      <c r="Y852" t="s">
        <v>4</v>
      </c>
      <c r="Z852" t="s">
        <v>4</v>
      </c>
      <c r="AA852" t="s">
        <v>4</v>
      </c>
      <c r="AB852" t="s">
        <v>4</v>
      </c>
    </row>
    <row r="853" spans="1:28" x14ac:dyDescent="0.2">
      <c r="A853" t="s">
        <v>331</v>
      </c>
      <c r="B853" t="s">
        <v>2</v>
      </c>
      <c r="C853" t="s">
        <v>3</v>
      </c>
      <c r="D853" t="s">
        <v>4</v>
      </c>
      <c r="E853" t="s">
        <v>4</v>
      </c>
      <c r="F853" t="s">
        <v>5</v>
      </c>
      <c r="G853" t="s">
        <v>21</v>
      </c>
      <c r="H853" t="s">
        <v>3556</v>
      </c>
      <c r="I853" s="2">
        <v>1260</v>
      </c>
      <c r="J853" s="2">
        <v>0</v>
      </c>
      <c r="K853" s="2">
        <v>0</v>
      </c>
      <c r="L853" s="3">
        <v>45810</v>
      </c>
      <c r="M853" s="3">
        <v>45810</v>
      </c>
      <c r="N853" s="3"/>
      <c r="O853" t="s">
        <v>3557</v>
      </c>
      <c r="P853" t="s">
        <v>9</v>
      </c>
      <c r="Q853" s="4">
        <v>0.56234953703704005</v>
      </c>
      <c r="R853" t="s">
        <v>5</v>
      </c>
      <c r="S853" t="s">
        <v>4</v>
      </c>
      <c r="T853" t="s">
        <v>3383</v>
      </c>
      <c r="U853" t="s">
        <v>10</v>
      </c>
      <c r="V853" s="5">
        <v>0</v>
      </c>
      <c r="W853" s="5">
        <v>0</v>
      </c>
      <c r="X853" s="2">
        <v>0</v>
      </c>
      <c r="Y853" t="s">
        <v>4</v>
      </c>
      <c r="Z853" t="s">
        <v>4</v>
      </c>
      <c r="AA853" t="s">
        <v>4</v>
      </c>
      <c r="AB853" t="s">
        <v>4</v>
      </c>
    </row>
    <row r="854" spans="1:28" x14ac:dyDescent="0.2">
      <c r="A854" t="s">
        <v>1205</v>
      </c>
      <c r="B854" t="s">
        <v>2</v>
      </c>
      <c r="C854" t="s">
        <v>3</v>
      </c>
      <c r="D854" t="s">
        <v>4</v>
      </c>
      <c r="E854" t="s">
        <v>4</v>
      </c>
      <c r="F854" t="s">
        <v>5</v>
      </c>
      <c r="G854" t="s">
        <v>21</v>
      </c>
      <c r="H854" t="s">
        <v>3558</v>
      </c>
      <c r="I854" s="2">
        <v>1200</v>
      </c>
      <c r="J854" s="2">
        <v>0</v>
      </c>
      <c r="K854" s="2">
        <v>0</v>
      </c>
      <c r="L854" s="3">
        <v>45666</v>
      </c>
      <c r="M854" s="3">
        <v>45666</v>
      </c>
      <c r="N854" s="3"/>
      <c r="O854" t="s">
        <v>3559</v>
      </c>
      <c r="P854" t="s">
        <v>9</v>
      </c>
      <c r="Q854" s="4">
        <v>0.61140046296296002</v>
      </c>
      <c r="R854" t="s">
        <v>5</v>
      </c>
      <c r="S854" t="s">
        <v>4</v>
      </c>
      <c r="T854" t="s">
        <v>3560</v>
      </c>
      <c r="U854" t="s">
        <v>10</v>
      </c>
      <c r="V854" s="5">
        <v>0</v>
      </c>
      <c r="W854" s="5">
        <v>0</v>
      </c>
      <c r="X854" s="2">
        <v>0</v>
      </c>
      <c r="Y854" t="s">
        <v>4</v>
      </c>
      <c r="Z854" t="s">
        <v>4</v>
      </c>
      <c r="AA854" t="s">
        <v>4</v>
      </c>
      <c r="AB854" t="s">
        <v>4</v>
      </c>
    </row>
    <row r="855" spans="1:28" x14ac:dyDescent="0.2">
      <c r="A855" t="s">
        <v>1205</v>
      </c>
      <c r="B855" t="s">
        <v>2</v>
      </c>
      <c r="C855" t="s">
        <v>3</v>
      </c>
      <c r="D855" t="s">
        <v>4</v>
      </c>
      <c r="E855" t="s">
        <v>4</v>
      </c>
      <c r="F855" t="s">
        <v>5</v>
      </c>
      <c r="G855" t="s">
        <v>21</v>
      </c>
      <c r="H855" t="s">
        <v>3558</v>
      </c>
      <c r="I855" s="2">
        <v>1200</v>
      </c>
      <c r="J855" s="2">
        <v>0</v>
      </c>
      <c r="K855" s="2">
        <v>0</v>
      </c>
      <c r="L855" s="3">
        <v>45666</v>
      </c>
      <c r="M855" s="3">
        <v>45666</v>
      </c>
      <c r="N855" s="3"/>
      <c r="O855" t="s">
        <v>3561</v>
      </c>
      <c r="P855" t="s">
        <v>9</v>
      </c>
      <c r="Q855" s="4">
        <v>0.61140046296296002</v>
      </c>
      <c r="R855" t="s">
        <v>5</v>
      </c>
      <c r="S855" t="s">
        <v>4</v>
      </c>
      <c r="T855" t="s">
        <v>3560</v>
      </c>
      <c r="U855" t="s">
        <v>10</v>
      </c>
      <c r="V855" s="5">
        <v>0</v>
      </c>
      <c r="W855" s="5">
        <v>0</v>
      </c>
      <c r="X855" s="2">
        <v>0</v>
      </c>
      <c r="Y855" t="s">
        <v>4</v>
      </c>
      <c r="Z855" t="s">
        <v>4</v>
      </c>
      <c r="AA855" t="s">
        <v>4</v>
      </c>
      <c r="AB855" t="s">
        <v>4</v>
      </c>
    </row>
    <row r="856" spans="1:28" x14ac:dyDescent="0.2">
      <c r="A856" t="s">
        <v>1031</v>
      </c>
      <c r="B856" t="s">
        <v>2</v>
      </c>
      <c r="C856" t="s">
        <v>3</v>
      </c>
      <c r="D856" t="s">
        <v>4</v>
      </c>
      <c r="E856" t="s">
        <v>4</v>
      </c>
      <c r="F856" t="s">
        <v>5</v>
      </c>
      <c r="G856" t="s">
        <v>21</v>
      </c>
      <c r="H856" t="s">
        <v>3562</v>
      </c>
      <c r="I856" s="2">
        <v>405</v>
      </c>
      <c r="J856" s="2">
        <v>0</v>
      </c>
      <c r="K856" s="2">
        <v>0</v>
      </c>
      <c r="L856" s="3">
        <v>45849</v>
      </c>
      <c r="M856" s="3">
        <v>45849</v>
      </c>
      <c r="N856" s="3"/>
      <c r="O856" t="s">
        <v>3563</v>
      </c>
      <c r="P856" t="s">
        <v>9</v>
      </c>
      <c r="Q856" s="4">
        <v>0.94748842592592997</v>
      </c>
      <c r="R856" t="s">
        <v>5</v>
      </c>
      <c r="S856" t="s">
        <v>4</v>
      </c>
      <c r="T856" t="s">
        <v>2321</v>
      </c>
      <c r="U856" t="s">
        <v>10</v>
      </c>
      <c r="V856" s="5">
        <v>0</v>
      </c>
      <c r="W856" s="5">
        <v>0</v>
      </c>
      <c r="X856" s="2">
        <v>0</v>
      </c>
      <c r="Y856" t="s">
        <v>4</v>
      </c>
      <c r="Z856" t="s">
        <v>4</v>
      </c>
      <c r="AA856" t="s">
        <v>4</v>
      </c>
      <c r="AB856" t="s">
        <v>4</v>
      </c>
    </row>
    <row r="857" spans="1:28" x14ac:dyDescent="0.2">
      <c r="A857" t="s">
        <v>1031</v>
      </c>
      <c r="B857" t="s">
        <v>2</v>
      </c>
      <c r="C857" t="s">
        <v>3</v>
      </c>
      <c r="D857" t="s">
        <v>4</v>
      </c>
      <c r="E857" t="s">
        <v>4</v>
      </c>
      <c r="F857" t="s">
        <v>5</v>
      </c>
      <c r="G857" t="s">
        <v>21</v>
      </c>
      <c r="H857" t="s">
        <v>3562</v>
      </c>
      <c r="I857" s="2">
        <v>405</v>
      </c>
      <c r="J857" s="2">
        <v>0</v>
      </c>
      <c r="K857" s="2">
        <v>0</v>
      </c>
      <c r="L857" s="3">
        <v>45849</v>
      </c>
      <c r="M857" s="3">
        <v>45849</v>
      </c>
      <c r="N857" s="3"/>
      <c r="O857" t="s">
        <v>3564</v>
      </c>
      <c r="P857" t="s">
        <v>9</v>
      </c>
      <c r="Q857" s="4">
        <v>0.94748842592592997</v>
      </c>
      <c r="R857" t="s">
        <v>5</v>
      </c>
      <c r="S857" t="s">
        <v>4</v>
      </c>
      <c r="T857" t="s">
        <v>2321</v>
      </c>
      <c r="U857" t="s">
        <v>10</v>
      </c>
      <c r="V857" s="5">
        <v>0</v>
      </c>
      <c r="W857" s="5">
        <v>0</v>
      </c>
      <c r="X857" s="2">
        <v>0</v>
      </c>
      <c r="Y857" t="s">
        <v>4</v>
      </c>
      <c r="Z857" t="s">
        <v>4</v>
      </c>
      <c r="AA857" t="s">
        <v>4</v>
      </c>
      <c r="AB857" t="s">
        <v>4</v>
      </c>
    </row>
    <row r="858" spans="1:28" x14ac:dyDescent="0.2">
      <c r="A858" t="s">
        <v>1471</v>
      </c>
      <c r="B858" t="s">
        <v>2</v>
      </c>
      <c r="C858" t="s">
        <v>3</v>
      </c>
      <c r="D858" t="s">
        <v>4</v>
      </c>
      <c r="E858" t="s">
        <v>4</v>
      </c>
      <c r="F858" t="s">
        <v>5</v>
      </c>
      <c r="G858" t="s">
        <v>17</v>
      </c>
      <c r="H858" t="s">
        <v>3565</v>
      </c>
      <c r="I858" s="2">
        <v>60</v>
      </c>
      <c r="J858" s="2">
        <v>0</v>
      </c>
      <c r="K858" s="2">
        <v>0</v>
      </c>
      <c r="L858" s="3">
        <v>45859</v>
      </c>
      <c r="M858" s="3">
        <v>45859</v>
      </c>
      <c r="N858" s="3"/>
      <c r="O858" t="s">
        <v>3566</v>
      </c>
      <c r="P858" t="s">
        <v>9</v>
      </c>
      <c r="Q858" s="4">
        <v>0.81012731481481004</v>
      </c>
      <c r="R858" t="s">
        <v>5</v>
      </c>
      <c r="S858" t="s">
        <v>4</v>
      </c>
      <c r="T858" t="s">
        <v>2261</v>
      </c>
      <c r="U858" t="s">
        <v>10</v>
      </c>
      <c r="V858" s="5">
        <v>0</v>
      </c>
      <c r="W858" s="5">
        <v>0</v>
      </c>
      <c r="X858" s="2">
        <v>0</v>
      </c>
      <c r="Y858" t="s">
        <v>4</v>
      </c>
      <c r="Z858" t="s">
        <v>4</v>
      </c>
      <c r="AA858" t="s">
        <v>4</v>
      </c>
      <c r="AB858" t="s">
        <v>4</v>
      </c>
    </row>
    <row r="859" spans="1:28" x14ac:dyDescent="0.2">
      <c r="A859" t="s">
        <v>1471</v>
      </c>
      <c r="B859" t="s">
        <v>2</v>
      </c>
      <c r="C859" t="s">
        <v>3</v>
      </c>
      <c r="D859" t="s">
        <v>4</v>
      </c>
      <c r="E859" t="s">
        <v>4</v>
      </c>
      <c r="F859" t="s">
        <v>5</v>
      </c>
      <c r="G859" t="s">
        <v>17</v>
      </c>
      <c r="H859" t="s">
        <v>3567</v>
      </c>
      <c r="I859" s="2">
        <v>60</v>
      </c>
      <c r="J859" s="2">
        <v>0</v>
      </c>
      <c r="K859" s="2">
        <v>0</v>
      </c>
      <c r="L859" s="3">
        <v>45856</v>
      </c>
      <c r="M859" s="3">
        <v>45856</v>
      </c>
      <c r="N859" s="3"/>
      <c r="O859" t="s">
        <v>3568</v>
      </c>
      <c r="P859" t="s">
        <v>9</v>
      </c>
      <c r="Q859" s="4">
        <v>0.94079861111110996</v>
      </c>
      <c r="R859" t="s">
        <v>5</v>
      </c>
      <c r="S859" t="s">
        <v>4</v>
      </c>
      <c r="T859" t="s">
        <v>2260</v>
      </c>
      <c r="U859" t="s">
        <v>10</v>
      </c>
      <c r="V859" s="5">
        <v>0</v>
      </c>
      <c r="W859" s="5">
        <v>0</v>
      </c>
      <c r="X859" s="2">
        <v>0</v>
      </c>
      <c r="Y859" t="s">
        <v>4</v>
      </c>
      <c r="Z859" t="s">
        <v>4</v>
      </c>
      <c r="AA859" t="s">
        <v>4</v>
      </c>
      <c r="AB859" t="s">
        <v>4</v>
      </c>
    </row>
    <row r="860" spans="1:28" x14ac:dyDescent="0.2">
      <c r="A860" t="s">
        <v>1471</v>
      </c>
      <c r="B860" t="s">
        <v>2</v>
      </c>
      <c r="C860" t="s">
        <v>3</v>
      </c>
      <c r="D860" t="s">
        <v>4</v>
      </c>
      <c r="E860" t="s">
        <v>4</v>
      </c>
      <c r="F860" t="s">
        <v>5</v>
      </c>
      <c r="G860" t="s">
        <v>17</v>
      </c>
      <c r="H860" t="s">
        <v>3567</v>
      </c>
      <c r="I860" s="2">
        <v>60</v>
      </c>
      <c r="J860" s="2">
        <v>0</v>
      </c>
      <c r="K860" s="2">
        <v>0</v>
      </c>
      <c r="L860" s="3">
        <v>45856</v>
      </c>
      <c r="M860" s="3">
        <v>45856</v>
      </c>
      <c r="N860" s="3"/>
      <c r="O860" t="s">
        <v>3569</v>
      </c>
      <c r="P860" t="s">
        <v>9</v>
      </c>
      <c r="Q860" s="4">
        <v>0.94079861111110996</v>
      </c>
      <c r="R860" t="s">
        <v>5</v>
      </c>
      <c r="S860" t="s">
        <v>4</v>
      </c>
      <c r="T860" t="s">
        <v>2260</v>
      </c>
      <c r="U860" t="s">
        <v>10</v>
      </c>
      <c r="V860" s="5">
        <v>0</v>
      </c>
      <c r="W860" s="5">
        <v>0</v>
      </c>
      <c r="X860" s="2">
        <v>0</v>
      </c>
      <c r="Y860" t="s">
        <v>4</v>
      </c>
      <c r="Z860" t="s">
        <v>4</v>
      </c>
      <c r="AA860" t="s">
        <v>4</v>
      </c>
      <c r="AB860" t="s">
        <v>4</v>
      </c>
    </row>
    <row r="861" spans="1:28" x14ac:dyDescent="0.2">
      <c r="A861" t="s">
        <v>491</v>
      </c>
      <c r="B861" t="s">
        <v>2</v>
      </c>
      <c r="C861" t="s">
        <v>3</v>
      </c>
      <c r="D861" t="s">
        <v>4</v>
      </c>
      <c r="E861" t="s">
        <v>4</v>
      </c>
      <c r="F861" t="s">
        <v>5</v>
      </c>
      <c r="G861" t="s">
        <v>17</v>
      </c>
      <c r="H861" t="s">
        <v>3570</v>
      </c>
      <c r="I861" s="2">
        <v>1440</v>
      </c>
      <c r="J861" s="2">
        <v>0</v>
      </c>
      <c r="K861" s="2">
        <v>0</v>
      </c>
      <c r="L861" s="3">
        <v>45806</v>
      </c>
      <c r="M861" s="3">
        <v>45806</v>
      </c>
      <c r="N861" s="3"/>
      <c r="O861" t="s">
        <v>3571</v>
      </c>
      <c r="P861" t="s">
        <v>9</v>
      </c>
      <c r="Q861" s="4">
        <v>0.96188657407406997</v>
      </c>
      <c r="R861" t="s">
        <v>5</v>
      </c>
      <c r="S861" t="s">
        <v>4</v>
      </c>
      <c r="T861" t="s">
        <v>3183</v>
      </c>
      <c r="U861" t="s">
        <v>10</v>
      </c>
      <c r="V861" s="5">
        <v>0</v>
      </c>
      <c r="W861" s="5">
        <v>0</v>
      </c>
      <c r="X861" s="2">
        <v>0</v>
      </c>
      <c r="Y861" t="s">
        <v>4</v>
      </c>
      <c r="Z861" t="s">
        <v>4</v>
      </c>
      <c r="AA861" t="s">
        <v>4</v>
      </c>
      <c r="AB861" t="s">
        <v>4</v>
      </c>
    </row>
    <row r="862" spans="1:28" x14ac:dyDescent="0.2">
      <c r="A862" t="s">
        <v>491</v>
      </c>
      <c r="B862" t="s">
        <v>2</v>
      </c>
      <c r="C862" t="s">
        <v>3</v>
      </c>
      <c r="D862" t="s">
        <v>4</v>
      </c>
      <c r="E862" t="s">
        <v>4</v>
      </c>
      <c r="F862" t="s">
        <v>5</v>
      </c>
      <c r="G862" t="s">
        <v>17</v>
      </c>
      <c r="H862" t="s">
        <v>3570</v>
      </c>
      <c r="I862" s="2">
        <v>1440</v>
      </c>
      <c r="J862" s="2">
        <v>0</v>
      </c>
      <c r="K862" s="2">
        <v>0</v>
      </c>
      <c r="L862" s="3">
        <v>45806</v>
      </c>
      <c r="M862" s="3">
        <v>45806</v>
      </c>
      <c r="N862" s="3"/>
      <c r="O862" t="s">
        <v>3572</v>
      </c>
      <c r="P862" t="s">
        <v>9</v>
      </c>
      <c r="Q862" s="4">
        <v>0.96188657407406997</v>
      </c>
      <c r="R862" t="s">
        <v>5</v>
      </c>
      <c r="S862" t="s">
        <v>4</v>
      </c>
      <c r="T862" t="s">
        <v>3183</v>
      </c>
      <c r="U862" t="s">
        <v>10</v>
      </c>
      <c r="V862" s="5">
        <v>0</v>
      </c>
      <c r="W862" s="5">
        <v>0</v>
      </c>
      <c r="X862" s="2">
        <v>0</v>
      </c>
      <c r="Y862" t="s">
        <v>4</v>
      </c>
      <c r="Z862" t="s">
        <v>4</v>
      </c>
      <c r="AA862" t="s">
        <v>4</v>
      </c>
      <c r="AB862" t="s">
        <v>4</v>
      </c>
    </row>
    <row r="863" spans="1:28" x14ac:dyDescent="0.2">
      <c r="A863" t="s">
        <v>296</v>
      </c>
      <c r="B863" t="s">
        <v>2</v>
      </c>
      <c r="C863" t="s">
        <v>3</v>
      </c>
      <c r="D863" t="s">
        <v>4</v>
      </c>
      <c r="E863" t="s">
        <v>4</v>
      </c>
      <c r="F863" t="s">
        <v>5</v>
      </c>
      <c r="G863" t="s">
        <v>17</v>
      </c>
      <c r="H863" t="s">
        <v>3573</v>
      </c>
      <c r="I863" s="2">
        <v>700</v>
      </c>
      <c r="J863" s="2">
        <v>0</v>
      </c>
      <c r="K863" s="2">
        <v>0</v>
      </c>
      <c r="L863" s="3">
        <v>45859</v>
      </c>
      <c r="M863" s="3">
        <v>45859</v>
      </c>
      <c r="N863" s="3"/>
      <c r="O863" t="s">
        <v>3574</v>
      </c>
      <c r="P863" t="s">
        <v>9</v>
      </c>
      <c r="Q863" s="4">
        <v>0.44385416666666999</v>
      </c>
      <c r="R863" t="s">
        <v>5</v>
      </c>
      <c r="S863" t="s">
        <v>4</v>
      </c>
      <c r="T863" t="s">
        <v>2261</v>
      </c>
      <c r="U863" t="s">
        <v>10</v>
      </c>
      <c r="V863" s="5">
        <v>0</v>
      </c>
      <c r="W863" s="5">
        <v>0</v>
      </c>
      <c r="X863" s="2">
        <v>0</v>
      </c>
      <c r="Y863" t="s">
        <v>4</v>
      </c>
      <c r="Z863" t="s">
        <v>4</v>
      </c>
      <c r="AA863" t="s">
        <v>4</v>
      </c>
      <c r="AB863" t="s">
        <v>4</v>
      </c>
    </row>
    <row r="864" spans="1:28" x14ac:dyDescent="0.2">
      <c r="A864" t="s">
        <v>296</v>
      </c>
      <c r="B864" t="s">
        <v>2</v>
      </c>
      <c r="C864" t="s">
        <v>3</v>
      </c>
      <c r="D864" t="s">
        <v>4</v>
      </c>
      <c r="E864" t="s">
        <v>4</v>
      </c>
      <c r="F864" t="s">
        <v>5</v>
      </c>
      <c r="G864" t="s">
        <v>17</v>
      </c>
      <c r="H864" t="s">
        <v>3573</v>
      </c>
      <c r="I864" s="2">
        <v>700</v>
      </c>
      <c r="J864" s="2">
        <v>0</v>
      </c>
      <c r="K864" s="2">
        <v>0</v>
      </c>
      <c r="L864" s="3">
        <v>45859</v>
      </c>
      <c r="M864" s="3">
        <v>45859</v>
      </c>
      <c r="N864" s="3"/>
      <c r="O864" t="s">
        <v>3575</v>
      </c>
      <c r="P864" t="s">
        <v>9</v>
      </c>
      <c r="Q864" s="4">
        <v>0.44385416666666999</v>
      </c>
      <c r="R864" t="s">
        <v>5</v>
      </c>
      <c r="S864" t="s">
        <v>4</v>
      </c>
      <c r="T864" t="s">
        <v>2261</v>
      </c>
      <c r="U864" t="s">
        <v>10</v>
      </c>
      <c r="V864" s="5">
        <v>0</v>
      </c>
      <c r="W864" s="5">
        <v>0</v>
      </c>
      <c r="X864" s="2">
        <v>0</v>
      </c>
      <c r="Y864" t="s">
        <v>4</v>
      </c>
      <c r="Z864" t="s">
        <v>4</v>
      </c>
      <c r="AA864" t="s">
        <v>4</v>
      </c>
      <c r="AB864" t="s">
        <v>4</v>
      </c>
    </row>
    <row r="865" spans="1:28" x14ac:dyDescent="0.2">
      <c r="A865" t="s">
        <v>845</v>
      </c>
      <c r="B865" t="s">
        <v>2</v>
      </c>
      <c r="C865" t="s">
        <v>3</v>
      </c>
      <c r="D865" t="s">
        <v>4</v>
      </c>
      <c r="E865" t="s">
        <v>4</v>
      </c>
      <c r="F865" t="s">
        <v>5</v>
      </c>
      <c r="G865" t="s">
        <v>17</v>
      </c>
      <c r="H865" t="s">
        <v>3576</v>
      </c>
      <c r="I865" s="2">
        <v>1250</v>
      </c>
      <c r="J865" s="2">
        <v>0</v>
      </c>
      <c r="K865" s="2">
        <v>0</v>
      </c>
      <c r="L865" s="3">
        <v>45856</v>
      </c>
      <c r="M865" s="3">
        <v>45856</v>
      </c>
      <c r="N865" s="3"/>
      <c r="O865" t="s">
        <v>3577</v>
      </c>
      <c r="P865" t="s">
        <v>9</v>
      </c>
      <c r="Q865" s="4">
        <v>0.37891203703704002</v>
      </c>
      <c r="R865" t="s">
        <v>5</v>
      </c>
      <c r="S865" t="s">
        <v>4</v>
      </c>
      <c r="T865" t="s">
        <v>2260</v>
      </c>
      <c r="U865" t="s">
        <v>10</v>
      </c>
      <c r="V865" s="5">
        <v>0</v>
      </c>
      <c r="W865" s="5">
        <v>0</v>
      </c>
      <c r="X865" s="2">
        <v>0</v>
      </c>
      <c r="Y865" t="s">
        <v>4</v>
      </c>
      <c r="Z865" t="s">
        <v>4</v>
      </c>
      <c r="AA865" t="s">
        <v>4</v>
      </c>
      <c r="AB865" t="s">
        <v>4</v>
      </c>
    </row>
    <row r="866" spans="1:28" x14ac:dyDescent="0.2">
      <c r="A866" t="s">
        <v>845</v>
      </c>
      <c r="B866" t="s">
        <v>2</v>
      </c>
      <c r="C866" t="s">
        <v>3</v>
      </c>
      <c r="D866" t="s">
        <v>4</v>
      </c>
      <c r="E866" t="s">
        <v>4</v>
      </c>
      <c r="F866" t="s">
        <v>5</v>
      </c>
      <c r="G866" t="s">
        <v>17</v>
      </c>
      <c r="H866" t="s">
        <v>3576</v>
      </c>
      <c r="I866" s="2">
        <v>7750</v>
      </c>
      <c r="J866" s="2">
        <v>0</v>
      </c>
      <c r="K866" s="2">
        <v>0</v>
      </c>
      <c r="L866" s="3">
        <v>45856</v>
      </c>
      <c r="M866" s="3">
        <v>45856</v>
      </c>
      <c r="N866" s="3"/>
      <c r="O866" t="s">
        <v>3578</v>
      </c>
      <c r="P866" t="s">
        <v>9</v>
      </c>
      <c r="Q866" s="4">
        <v>0.37891203703704002</v>
      </c>
      <c r="R866" t="s">
        <v>5</v>
      </c>
      <c r="S866" t="s">
        <v>4</v>
      </c>
      <c r="T866" t="s">
        <v>2260</v>
      </c>
      <c r="U866" t="s">
        <v>10</v>
      </c>
      <c r="V866" s="5">
        <v>0</v>
      </c>
      <c r="W866" s="5">
        <v>0</v>
      </c>
      <c r="X866" s="2">
        <v>0</v>
      </c>
      <c r="Y866" t="s">
        <v>4</v>
      </c>
      <c r="Z866" t="s">
        <v>4</v>
      </c>
      <c r="AA866" t="s">
        <v>4</v>
      </c>
      <c r="AB866" t="s">
        <v>4</v>
      </c>
    </row>
    <row r="867" spans="1:28" x14ac:dyDescent="0.2">
      <c r="A867" t="s">
        <v>491</v>
      </c>
      <c r="B867" t="s">
        <v>2</v>
      </c>
      <c r="C867" t="s">
        <v>3</v>
      </c>
      <c r="D867" t="s">
        <v>4</v>
      </c>
      <c r="E867" t="s">
        <v>4</v>
      </c>
      <c r="F867" t="s">
        <v>5</v>
      </c>
      <c r="G867" t="s">
        <v>17</v>
      </c>
      <c r="H867" t="s">
        <v>3579</v>
      </c>
      <c r="I867" s="2">
        <v>1440</v>
      </c>
      <c r="J867" s="2">
        <v>0</v>
      </c>
      <c r="K867" s="2">
        <v>0</v>
      </c>
      <c r="L867" s="3">
        <v>45806</v>
      </c>
      <c r="M867" s="3">
        <v>45806</v>
      </c>
      <c r="N867" s="3"/>
      <c r="O867" t="s">
        <v>3580</v>
      </c>
      <c r="P867" t="s">
        <v>9</v>
      </c>
      <c r="Q867" s="4">
        <v>0.96211805555555996</v>
      </c>
      <c r="R867" t="s">
        <v>5</v>
      </c>
      <c r="S867" t="s">
        <v>4</v>
      </c>
      <c r="T867" t="s">
        <v>3183</v>
      </c>
      <c r="U867" t="s">
        <v>10</v>
      </c>
      <c r="V867" s="5">
        <v>0</v>
      </c>
      <c r="W867" s="5">
        <v>0</v>
      </c>
      <c r="X867" s="2">
        <v>0</v>
      </c>
      <c r="Y867" t="s">
        <v>4</v>
      </c>
      <c r="Z867" t="s">
        <v>4</v>
      </c>
      <c r="AA867" t="s">
        <v>4</v>
      </c>
      <c r="AB867" t="s">
        <v>4</v>
      </c>
    </row>
    <row r="868" spans="1:28" x14ac:dyDescent="0.2">
      <c r="A868" t="s">
        <v>491</v>
      </c>
      <c r="B868" t="s">
        <v>2</v>
      </c>
      <c r="C868" t="s">
        <v>3</v>
      </c>
      <c r="D868" t="s">
        <v>4</v>
      </c>
      <c r="E868" t="s">
        <v>4</v>
      </c>
      <c r="F868" t="s">
        <v>5</v>
      </c>
      <c r="G868" t="s">
        <v>17</v>
      </c>
      <c r="H868" t="s">
        <v>3579</v>
      </c>
      <c r="I868" s="2">
        <v>1440</v>
      </c>
      <c r="J868" s="2">
        <v>0</v>
      </c>
      <c r="K868" s="2">
        <v>0</v>
      </c>
      <c r="L868" s="3">
        <v>45806</v>
      </c>
      <c r="M868" s="3">
        <v>45806</v>
      </c>
      <c r="N868" s="3"/>
      <c r="O868" t="s">
        <v>3581</v>
      </c>
      <c r="P868" t="s">
        <v>9</v>
      </c>
      <c r="Q868" s="4">
        <v>0.96211805555555996</v>
      </c>
      <c r="R868" t="s">
        <v>5</v>
      </c>
      <c r="S868" t="s">
        <v>4</v>
      </c>
      <c r="T868" t="s">
        <v>3183</v>
      </c>
      <c r="U868" t="s">
        <v>10</v>
      </c>
      <c r="V868" s="5">
        <v>0</v>
      </c>
      <c r="W868" s="5">
        <v>0</v>
      </c>
      <c r="X868" s="2">
        <v>0</v>
      </c>
      <c r="Y868" t="s">
        <v>4</v>
      </c>
      <c r="Z868" t="s">
        <v>4</v>
      </c>
      <c r="AA868" t="s">
        <v>4</v>
      </c>
      <c r="AB868" t="s">
        <v>4</v>
      </c>
    </row>
    <row r="869" spans="1:28" x14ac:dyDescent="0.2">
      <c r="A869" t="s">
        <v>1135</v>
      </c>
      <c r="B869" t="s">
        <v>2</v>
      </c>
      <c r="C869" t="s">
        <v>3</v>
      </c>
      <c r="D869" t="s">
        <v>4</v>
      </c>
      <c r="E869" t="s">
        <v>4</v>
      </c>
      <c r="F869" t="s">
        <v>5</v>
      </c>
      <c r="G869" t="s">
        <v>6</v>
      </c>
      <c r="H869" t="s">
        <v>3582</v>
      </c>
      <c r="I869" s="2">
        <v>480</v>
      </c>
      <c r="J869" s="2">
        <v>0</v>
      </c>
      <c r="K869" s="2">
        <v>0</v>
      </c>
      <c r="L869" s="3">
        <v>45822</v>
      </c>
      <c r="M869" s="3">
        <v>45822</v>
      </c>
      <c r="N869" s="3"/>
      <c r="O869" t="s">
        <v>3583</v>
      </c>
      <c r="P869" t="s">
        <v>9</v>
      </c>
      <c r="Q869" s="4">
        <v>0.89174768518518999</v>
      </c>
      <c r="R869" t="s">
        <v>5</v>
      </c>
      <c r="S869" t="s">
        <v>4</v>
      </c>
      <c r="T869" t="s">
        <v>3122</v>
      </c>
      <c r="U869" t="s">
        <v>10</v>
      </c>
      <c r="V869" s="5">
        <v>0</v>
      </c>
      <c r="W869" s="5">
        <v>0</v>
      </c>
      <c r="X869" s="2">
        <v>0</v>
      </c>
      <c r="Y869" t="s">
        <v>4</v>
      </c>
      <c r="Z869" t="s">
        <v>4</v>
      </c>
      <c r="AA869" t="s">
        <v>4</v>
      </c>
      <c r="AB869" t="s">
        <v>4</v>
      </c>
    </row>
    <row r="870" spans="1:28" x14ac:dyDescent="0.2">
      <c r="A870" t="s">
        <v>1135</v>
      </c>
      <c r="B870" t="s">
        <v>2</v>
      </c>
      <c r="C870" t="s">
        <v>3</v>
      </c>
      <c r="D870" t="s">
        <v>4</v>
      </c>
      <c r="E870" t="s">
        <v>4</v>
      </c>
      <c r="F870" t="s">
        <v>5</v>
      </c>
      <c r="G870" t="s">
        <v>6</v>
      </c>
      <c r="H870" t="s">
        <v>3582</v>
      </c>
      <c r="I870" s="2">
        <v>480</v>
      </c>
      <c r="J870" s="2">
        <v>0</v>
      </c>
      <c r="K870" s="2">
        <v>0</v>
      </c>
      <c r="L870" s="3">
        <v>45822</v>
      </c>
      <c r="M870" s="3">
        <v>45822</v>
      </c>
      <c r="N870" s="3"/>
      <c r="O870" t="s">
        <v>3584</v>
      </c>
      <c r="P870" t="s">
        <v>9</v>
      </c>
      <c r="Q870" s="4">
        <v>0.89174768518518999</v>
      </c>
      <c r="R870" t="s">
        <v>5</v>
      </c>
      <c r="S870" t="s">
        <v>4</v>
      </c>
      <c r="T870" t="s">
        <v>3122</v>
      </c>
      <c r="U870" t="s">
        <v>10</v>
      </c>
      <c r="V870" s="5">
        <v>0</v>
      </c>
      <c r="W870" s="5">
        <v>0</v>
      </c>
      <c r="X870" s="2">
        <v>0</v>
      </c>
      <c r="Y870" t="s">
        <v>4</v>
      </c>
      <c r="Z870" t="s">
        <v>4</v>
      </c>
      <c r="AA870" t="s">
        <v>4</v>
      </c>
      <c r="AB870" t="s">
        <v>4</v>
      </c>
    </row>
    <row r="871" spans="1:28" x14ac:dyDescent="0.2">
      <c r="A871" t="s">
        <v>0</v>
      </c>
      <c r="B871" t="s">
        <v>2</v>
      </c>
      <c r="C871" t="s">
        <v>3</v>
      </c>
      <c r="D871" t="s">
        <v>4</v>
      </c>
      <c r="E871" t="s">
        <v>4</v>
      </c>
      <c r="F871" t="s">
        <v>5</v>
      </c>
      <c r="G871" t="s">
        <v>6</v>
      </c>
      <c r="H871" t="s">
        <v>95</v>
      </c>
      <c r="I871" s="2">
        <v>196</v>
      </c>
      <c r="J871" s="2">
        <v>0</v>
      </c>
      <c r="K871" s="2">
        <v>0</v>
      </c>
      <c r="L871" s="3">
        <v>45820</v>
      </c>
      <c r="M871" s="3">
        <v>45820</v>
      </c>
      <c r="N871" s="3"/>
      <c r="O871" t="s">
        <v>96</v>
      </c>
      <c r="P871" t="s">
        <v>9</v>
      </c>
      <c r="Q871" s="4">
        <v>0.90538194444443998</v>
      </c>
      <c r="R871" t="s">
        <v>5</v>
      </c>
      <c r="S871" t="s">
        <v>4</v>
      </c>
      <c r="T871" t="s">
        <v>3198</v>
      </c>
      <c r="U871" t="s">
        <v>10</v>
      </c>
      <c r="V871" s="5">
        <v>0</v>
      </c>
      <c r="W871" s="5">
        <v>0</v>
      </c>
      <c r="X871" s="2">
        <v>0</v>
      </c>
      <c r="Y871" t="s">
        <v>4</v>
      </c>
      <c r="Z871" t="s">
        <v>4</v>
      </c>
      <c r="AA871" t="s">
        <v>4</v>
      </c>
      <c r="AB871" t="s">
        <v>4</v>
      </c>
    </row>
    <row r="872" spans="1:28" x14ac:dyDescent="0.2">
      <c r="A872" t="s">
        <v>0</v>
      </c>
      <c r="B872" t="s">
        <v>2</v>
      </c>
      <c r="C872" t="s">
        <v>3</v>
      </c>
      <c r="D872" t="s">
        <v>4</v>
      </c>
      <c r="E872" t="s">
        <v>4</v>
      </c>
      <c r="F872" t="s">
        <v>5</v>
      </c>
      <c r="G872" t="s">
        <v>6</v>
      </c>
      <c r="H872" t="s">
        <v>95</v>
      </c>
      <c r="I872" s="2">
        <v>196</v>
      </c>
      <c r="J872" s="2">
        <v>0</v>
      </c>
      <c r="K872" s="2">
        <v>0</v>
      </c>
      <c r="L872" s="3">
        <v>45820</v>
      </c>
      <c r="M872" s="3">
        <v>45820</v>
      </c>
      <c r="N872" s="3"/>
      <c r="O872" t="s">
        <v>97</v>
      </c>
      <c r="P872" t="s">
        <v>9</v>
      </c>
      <c r="Q872" s="4">
        <v>0.90538194444443998</v>
      </c>
      <c r="R872" t="s">
        <v>5</v>
      </c>
      <c r="S872" t="s">
        <v>4</v>
      </c>
      <c r="T872" t="s">
        <v>3198</v>
      </c>
      <c r="U872" t="s">
        <v>10</v>
      </c>
      <c r="V872" s="5">
        <v>0</v>
      </c>
      <c r="W872" s="5">
        <v>0</v>
      </c>
      <c r="X872" s="2">
        <v>0</v>
      </c>
      <c r="Y872" t="s">
        <v>4</v>
      </c>
      <c r="Z872" t="s">
        <v>4</v>
      </c>
      <c r="AA872" t="s">
        <v>4</v>
      </c>
      <c r="AB872" t="s">
        <v>4</v>
      </c>
    </row>
    <row r="873" spans="1:28" x14ac:dyDescent="0.2">
      <c r="A873" t="s">
        <v>1471</v>
      </c>
      <c r="B873" t="s">
        <v>2</v>
      </c>
      <c r="C873" t="s">
        <v>3</v>
      </c>
      <c r="D873" t="s">
        <v>4</v>
      </c>
      <c r="E873" t="s">
        <v>4</v>
      </c>
      <c r="F873" t="s">
        <v>5</v>
      </c>
      <c r="G873" t="s">
        <v>6</v>
      </c>
      <c r="H873" t="s">
        <v>3585</v>
      </c>
      <c r="I873" s="2">
        <v>60</v>
      </c>
      <c r="J873" s="2">
        <v>0</v>
      </c>
      <c r="K873" s="2">
        <v>0</v>
      </c>
      <c r="L873" s="3">
        <v>45856</v>
      </c>
      <c r="M873" s="3">
        <v>45856</v>
      </c>
      <c r="N873" s="3"/>
      <c r="O873" t="s">
        <v>3586</v>
      </c>
      <c r="P873" t="s">
        <v>9</v>
      </c>
      <c r="Q873" s="4">
        <v>0.94026620370369995</v>
      </c>
      <c r="R873" t="s">
        <v>5</v>
      </c>
      <c r="S873" t="s">
        <v>4</v>
      </c>
      <c r="T873" t="s">
        <v>2260</v>
      </c>
      <c r="U873" t="s">
        <v>10</v>
      </c>
      <c r="V873" s="5">
        <v>0</v>
      </c>
      <c r="W873" s="5">
        <v>0</v>
      </c>
      <c r="X873" s="2">
        <v>0</v>
      </c>
      <c r="Y873" t="s">
        <v>4</v>
      </c>
      <c r="Z873" t="s">
        <v>4</v>
      </c>
      <c r="AA873" t="s">
        <v>4</v>
      </c>
      <c r="AB873" t="s">
        <v>4</v>
      </c>
    </row>
    <row r="874" spans="1:28" x14ac:dyDescent="0.2">
      <c r="A874" t="s">
        <v>1471</v>
      </c>
      <c r="B874" t="s">
        <v>2</v>
      </c>
      <c r="C874" t="s">
        <v>3</v>
      </c>
      <c r="D874" t="s">
        <v>4</v>
      </c>
      <c r="E874" t="s">
        <v>4</v>
      </c>
      <c r="F874" t="s">
        <v>5</v>
      </c>
      <c r="G874" t="s">
        <v>6</v>
      </c>
      <c r="H874" t="s">
        <v>3585</v>
      </c>
      <c r="I874" s="2">
        <v>60</v>
      </c>
      <c r="J874" s="2">
        <v>0</v>
      </c>
      <c r="K874" s="2">
        <v>0</v>
      </c>
      <c r="L874" s="3">
        <v>45856</v>
      </c>
      <c r="M874" s="3">
        <v>45856</v>
      </c>
      <c r="N874" s="3"/>
      <c r="O874" t="s">
        <v>3587</v>
      </c>
      <c r="P874" t="s">
        <v>9</v>
      </c>
      <c r="Q874" s="4">
        <v>0.94026620370369995</v>
      </c>
      <c r="R874" t="s">
        <v>5</v>
      </c>
      <c r="S874" t="s">
        <v>4</v>
      </c>
      <c r="T874" t="s">
        <v>2260</v>
      </c>
      <c r="U874" t="s">
        <v>10</v>
      </c>
      <c r="V874" s="5">
        <v>0</v>
      </c>
      <c r="W874" s="5">
        <v>0</v>
      </c>
      <c r="X874" s="2">
        <v>0</v>
      </c>
      <c r="Y874" t="s">
        <v>4</v>
      </c>
      <c r="Z874" t="s">
        <v>4</v>
      </c>
      <c r="AA874" t="s">
        <v>4</v>
      </c>
      <c r="AB874" t="s">
        <v>4</v>
      </c>
    </row>
    <row r="875" spans="1:28" x14ac:dyDescent="0.2">
      <c r="A875" t="s">
        <v>1563</v>
      </c>
      <c r="B875" t="s">
        <v>2</v>
      </c>
      <c r="C875" t="s">
        <v>3</v>
      </c>
      <c r="D875" t="s">
        <v>4</v>
      </c>
      <c r="E875" t="s">
        <v>4</v>
      </c>
      <c r="F875" t="s">
        <v>5</v>
      </c>
      <c r="G875" t="s">
        <v>6</v>
      </c>
      <c r="H875" t="s">
        <v>3588</v>
      </c>
      <c r="I875" s="2">
        <v>300</v>
      </c>
      <c r="J875" s="2">
        <v>0</v>
      </c>
      <c r="K875" s="2">
        <v>0</v>
      </c>
      <c r="L875" s="3">
        <v>45855</v>
      </c>
      <c r="M875" s="3">
        <v>45855</v>
      </c>
      <c r="N875" s="3"/>
      <c r="O875" t="s">
        <v>3589</v>
      </c>
      <c r="P875" t="s">
        <v>9</v>
      </c>
      <c r="Q875" s="4">
        <v>0.81104166666666999</v>
      </c>
      <c r="R875" t="s">
        <v>5</v>
      </c>
      <c r="S875" t="s">
        <v>4</v>
      </c>
      <c r="T875" t="s">
        <v>2350</v>
      </c>
      <c r="U875" t="s">
        <v>10</v>
      </c>
      <c r="V875" s="5">
        <v>0</v>
      </c>
      <c r="W875" s="5">
        <v>0</v>
      </c>
      <c r="X875" s="2">
        <v>0</v>
      </c>
      <c r="Y875" t="s">
        <v>4</v>
      </c>
      <c r="Z875" t="s">
        <v>4</v>
      </c>
      <c r="AA875" t="s">
        <v>4</v>
      </c>
      <c r="AB875" t="s">
        <v>4</v>
      </c>
    </row>
    <row r="876" spans="1:28" x14ac:dyDescent="0.2">
      <c r="A876" t="s">
        <v>1563</v>
      </c>
      <c r="B876" t="s">
        <v>2</v>
      </c>
      <c r="C876" t="s">
        <v>3</v>
      </c>
      <c r="D876" t="s">
        <v>4</v>
      </c>
      <c r="E876" t="s">
        <v>4</v>
      </c>
      <c r="F876" t="s">
        <v>5</v>
      </c>
      <c r="G876" t="s">
        <v>6</v>
      </c>
      <c r="H876" t="s">
        <v>3588</v>
      </c>
      <c r="I876" s="2">
        <v>300</v>
      </c>
      <c r="J876" s="2">
        <v>0</v>
      </c>
      <c r="K876" s="2">
        <v>0</v>
      </c>
      <c r="L876" s="3">
        <v>45855</v>
      </c>
      <c r="M876" s="3">
        <v>45855</v>
      </c>
      <c r="N876" s="3"/>
      <c r="O876" t="s">
        <v>3590</v>
      </c>
      <c r="P876" t="s">
        <v>9</v>
      </c>
      <c r="Q876" s="4">
        <v>0.81104166666666999</v>
      </c>
      <c r="R876" t="s">
        <v>5</v>
      </c>
      <c r="S876" t="s">
        <v>4</v>
      </c>
      <c r="T876" t="s">
        <v>2350</v>
      </c>
      <c r="U876" t="s">
        <v>10</v>
      </c>
      <c r="V876" s="5">
        <v>0</v>
      </c>
      <c r="W876" s="5">
        <v>0</v>
      </c>
      <c r="X876" s="2">
        <v>0</v>
      </c>
      <c r="Y876" t="s">
        <v>4</v>
      </c>
      <c r="Z876" t="s">
        <v>4</v>
      </c>
      <c r="AA876" t="s">
        <v>4</v>
      </c>
      <c r="AB876" t="s">
        <v>4</v>
      </c>
    </row>
    <row r="877" spans="1:28" x14ac:dyDescent="0.2">
      <c r="A877" t="s">
        <v>1822</v>
      </c>
      <c r="B877" t="s">
        <v>2</v>
      </c>
      <c r="C877" t="s">
        <v>3</v>
      </c>
      <c r="D877" t="s">
        <v>4</v>
      </c>
      <c r="E877" t="s">
        <v>4</v>
      </c>
      <c r="F877" t="s">
        <v>5</v>
      </c>
      <c r="G877" t="s">
        <v>6</v>
      </c>
      <c r="H877" t="s">
        <v>3591</v>
      </c>
      <c r="I877" s="2">
        <v>416</v>
      </c>
      <c r="J877" s="2">
        <v>0</v>
      </c>
      <c r="K877" s="2">
        <v>0</v>
      </c>
      <c r="L877" s="3">
        <v>45852</v>
      </c>
      <c r="M877" s="3">
        <v>45852</v>
      </c>
      <c r="N877" s="3"/>
      <c r="O877" t="s">
        <v>3592</v>
      </c>
      <c r="P877" t="s">
        <v>9</v>
      </c>
      <c r="Q877" s="4">
        <v>0.74304398148147999</v>
      </c>
      <c r="R877" t="s">
        <v>5</v>
      </c>
      <c r="S877" t="s">
        <v>4</v>
      </c>
      <c r="T877" t="s">
        <v>2669</v>
      </c>
      <c r="U877" t="s">
        <v>10</v>
      </c>
      <c r="V877" s="5">
        <v>0</v>
      </c>
      <c r="W877" s="5">
        <v>0</v>
      </c>
      <c r="X877" s="2">
        <v>0</v>
      </c>
      <c r="Y877" t="s">
        <v>4</v>
      </c>
      <c r="Z877" t="s">
        <v>4</v>
      </c>
      <c r="AA877" t="s">
        <v>4</v>
      </c>
      <c r="AB877" t="s">
        <v>4</v>
      </c>
    </row>
    <row r="878" spans="1:28" x14ac:dyDescent="0.2">
      <c r="A878" t="s">
        <v>1822</v>
      </c>
      <c r="B878" t="s">
        <v>2</v>
      </c>
      <c r="C878" t="s">
        <v>3</v>
      </c>
      <c r="D878" t="s">
        <v>4</v>
      </c>
      <c r="E878" t="s">
        <v>4</v>
      </c>
      <c r="F878" t="s">
        <v>5</v>
      </c>
      <c r="G878" t="s">
        <v>6</v>
      </c>
      <c r="H878" t="s">
        <v>3591</v>
      </c>
      <c r="I878" s="2">
        <v>320</v>
      </c>
      <c r="J878" s="2">
        <v>0</v>
      </c>
      <c r="K878" s="2">
        <v>0</v>
      </c>
      <c r="L878" s="3">
        <v>45852</v>
      </c>
      <c r="M878" s="3">
        <v>45852</v>
      </c>
      <c r="N878" s="3"/>
      <c r="O878" t="s">
        <v>3593</v>
      </c>
      <c r="P878" t="s">
        <v>9</v>
      </c>
      <c r="Q878" s="4">
        <v>0.74304398148147999</v>
      </c>
      <c r="R878" t="s">
        <v>5</v>
      </c>
      <c r="S878" t="s">
        <v>4</v>
      </c>
      <c r="T878" t="s">
        <v>2669</v>
      </c>
      <c r="U878" t="s">
        <v>10</v>
      </c>
      <c r="V878" s="5">
        <v>0</v>
      </c>
      <c r="W878" s="5">
        <v>0</v>
      </c>
      <c r="X878" s="2">
        <v>0</v>
      </c>
      <c r="Y878" t="s">
        <v>4</v>
      </c>
      <c r="Z878" t="s">
        <v>4</v>
      </c>
      <c r="AA878" t="s">
        <v>4</v>
      </c>
      <c r="AB878" t="s">
        <v>4</v>
      </c>
    </row>
    <row r="879" spans="1:28" x14ac:dyDescent="0.2">
      <c r="A879" t="s">
        <v>620</v>
      </c>
      <c r="B879" t="s">
        <v>2</v>
      </c>
      <c r="C879" t="s">
        <v>3</v>
      </c>
      <c r="D879" t="s">
        <v>4</v>
      </c>
      <c r="E879" t="s">
        <v>4</v>
      </c>
      <c r="F879" t="s">
        <v>5</v>
      </c>
      <c r="G879" t="s">
        <v>6</v>
      </c>
      <c r="H879" t="s">
        <v>3594</v>
      </c>
      <c r="I879" s="2">
        <v>5250</v>
      </c>
      <c r="J879" s="2">
        <v>0</v>
      </c>
      <c r="K879" s="2">
        <v>0</v>
      </c>
      <c r="L879" s="3">
        <v>45850</v>
      </c>
      <c r="M879" s="3">
        <v>45850</v>
      </c>
      <c r="N879" s="3"/>
      <c r="O879" t="s">
        <v>3595</v>
      </c>
      <c r="P879" t="s">
        <v>9</v>
      </c>
      <c r="Q879" s="4">
        <v>0.97583333333333</v>
      </c>
      <c r="R879" t="s">
        <v>5</v>
      </c>
      <c r="S879" t="s">
        <v>4</v>
      </c>
      <c r="T879" t="s">
        <v>2680</v>
      </c>
      <c r="U879" t="s">
        <v>10</v>
      </c>
      <c r="V879" s="5">
        <v>0</v>
      </c>
      <c r="W879" s="5">
        <v>0</v>
      </c>
      <c r="X879" s="2">
        <v>0</v>
      </c>
      <c r="Y879" t="s">
        <v>4</v>
      </c>
      <c r="Z879" t="s">
        <v>4</v>
      </c>
      <c r="AA879" t="s">
        <v>4</v>
      </c>
      <c r="AB879" t="s">
        <v>4</v>
      </c>
    </row>
    <row r="880" spans="1:28" x14ac:dyDescent="0.2">
      <c r="A880" t="s">
        <v>620</v>
      </c>
      <c r="B880" t="s">
        <v>2</v>
      </c>
      <c r="C880" t="s">
        <v>3</v>
      </c>
      <c r="D880" t="s">
        <v>4</v>
      </c>
      <c r="E880" t="s">
        <v>4</v>
      </c>
      <c r="F880" t="s">
        <v>5</v>
      </c>
      <c r="G880" t="s">
        <v>6</v>
      </c>
      <c r="H880" t="s">
        <v>3594</v>
      </c>
      <c r="I880" s="2">
        <v>1969</v>
      </c>
      <c r="J880" s="2">
        <v>0</v>
      </c>
      <c r="K880" s="2">
        <v>0</v>
      </c>
      <c r="L880" s="3">
        <v>45850</v>
      </c>
      <c r="M880" s="3">
        <v>45850</v>
      </c>
      <c r="N880" s="3"/>
      <c r="O880" t="s">
        <v>3596</v>
      </c>
      <c r="P880" t="s">
        <v>9</v>
      </c>
      <c r="Q880" s="4">
        <v>0.97583333333333</v>
      </c>
      <c r="R880" t="s">
        <v>5</v>
      </c>
      <c r="S880" t="s">
        <v>4</v>
      </c>
      <c r="T880" t="s">
        <v>2680</v>
      </c>
      <c r="U880" t="s">
        <v>10</v>
      </c>
      <c r="V880" s="5">
        <v>0</v>
      </c>
      <c r="W880" s="5">
        <v>0</v>
      </c>
      <c r="X880" s="2">
        <v>0</v>
      </c>
      <c r="Y880" t="s">
        <v>4</v>
      </c>
      <c r="Z880" t="s">
        <v>4</v>
      </c>
      <c r="AA880" t="s">
        <v>4</v>
      </c>
      <c r="AB880" t="s">
        <v>4</v>
      </c>
    </row>
    <row r="881" spans="1:28" x14ac:dyDescent="0.2">
      <c r="A881" t="s">
        <v>1120</v>
      </c>
      <c r="B881" t="s">
        <v>2</v>
      </c>
      <c r="C881" t="s">
        <v>3</v>
      </c>
      <c r="D881" t="s">
        <v>4</v>
      </c>
      <c r="E881" t="s">
        <v>4</v>
      </c>
      <c r="F881" t="s">
        <v>5</v>
      </c>
      <c r="G881" t="s">
        <v>21</v>
      </c>
      <c r="H881" t="s">
        <v>3597</v>
      </c>
      <c r="I881" s="2">
        <v>2250</v>
      </c>
      <c r="J881" s="2">
        <v>0</v>
      </c>
      <c r="K881" s="2">
        <v>0</v>
      </c>
      <c r="L881" s="3">
        <v>45855</v>
      </c>
      <c r="M881" s="3">
        <v>45855</v>
      </c>
      <c r="N881" s="3"/>
      <c r="O881" t="s">
        <v>3598</v>
      </c>
      <c r="P881" t="s">
        <v>9</v>
      </c>
      <c r="Q881" s="4">
        <v>0.53335648148147996</v>
      </c>
      <c r="R881" t="s">
        <v>5</v>
      </c>
      <c r="S881" t="s">
        <v>4</v>
      </c>
      <c r="T881" t="s">
        <v>2350</v>
      </c>
      <c r="U881" t="s">
        <v>10</v>
      </c>
      <c r="V881" s="5">
        <v>0</v>
      </c>
      <c r="W881" s="5">
        <v>0</v>
      </c>
      <c r="X881" s="2">
        <v>0</v>
      </c>
      <c r="Y881" t="s">
        <v>4</v>
      </c>
      <c r="Z881" t="s">
        <v>4</v>
      </c>
      <c r="AA881" t="s">
        <v>4</v>
      </c>
      <c r="AB881" t="s">
        <v>4</v>
      </c>
    </row>
    <row r="882" spans="1:28" x14ac:dyDescent="0.2">
      <c r="A882" t="s">
        <v>2067</v>
      </c>
      <c r="B882" t="s">
        <v>2</v>
      </c>
      <c r="C882" t="s">
        <v>3</v>
      </c>
      <c r="D882" t="s">
        <v>4</v>
      </c>
      <c r="E882" t="s">
        <v>4</v>
      </c>
      <c r="F882" t="s">
        <v>5</v>
      </c>
      <c r="G882" t="s">
        <v>21</v>
      </c>
      <c r="H882" t="s">
        <v>3599</v>
      </c>
      <c r="I882" s="2">
        <v>840</v>
      </c>
      <c r="J882" s="2">
        <v>0</v>
      </c>
      <c r="K882" s="2">
        <v>0</v>
      </c>
      <c r="L882" s="3">
        <v>45858</v>
      </c>
      <c r="M882" s="3">
        <v>45858</v>
      </c>
      <c r="N882" s="3"/>
      <c r="O882" t="s">
        <v>3600</v>
      </c>
      <c r="P882" t="s">
        <v>9</v>
      </c>
      <c r="Q882" s="4">
        <v>0.54400462962963003</v>
      </c>
      <c r="R882" t="s">
        <v>5</v>
      </c>
      <c r="S882" t="s">
        <v>4</v>
      </c>
      <c r="T882" t="s">
        <v>2337</v>
      </c>
      <c r="U882" t="s">
        <v>10</v>
      </c>
      <c r="V882" s="5">
        <v>0</v>
      </c>
      <c r="W882" s="5">
        <v>0</v>
      </c>
      <c r="X882" s="2">
        <v>0</v>
      </c>
      <c r="Y882" t="s">
        <v>4</v>
      </c>
      <c r="Z882" t="s">
        <v>4</v>
      </c>
      <c r="AA882" t="s">
        <v>4</v>
      </c>
      <c r="AB882" t="s">
        <v>4</v>
      </c>
    </row>
    <row r="883" spans="1:28" x14ac:dyDescent="0.2">
      <c r="A883" t="s">
        <v>2067</v>
      </c>
      <c r="B883" t="s">
        <v>2</v>
      </c>
      <c r="C883" t="s">
        <v>3</v>
      </c>
      <c r="D883" t="s">
        <v>4</v>
      </c>
      <c r="E883" t="s">
        <v>4</v>
      </c>
      <c r="F883" t="s">
        <v>5</v>
      </c>
      <c r="G883" t="s">
        <v>21</v>
      </c>
      <c r="H883" t="s">
        <v>3599</v>
      </c>
      <c r="I883" s="2">
        <v>640</v>
      </c>
      <c r="J883" s="2">
        <v>0</v>
      </c>
      <c r="K883" s="2">
        <v>0</v>
      </c>
      <c r="L883" s="3">
        <v>45834</v>
      </c>
      <c r="M883" s="3">
        <v>45834</v>
      </c>
      <c r="N883" s="3"/>
      <c r="O883" t="s">
        <v>3601</v>
      </c>
      <c r="P883" t="s">
        <v>9</v>
      </c>
      <c r="Q883" s="4">
        <v>0.54400462962963003</v>
      </c>
      <c r="R883" t="s">
        <v>5</v>
      </c>
      <c r="S883" t="s">
        <v>4</v>
      </c>
      <c r="T883" t="s">
        <v>2817</v>
      </c>
      <c r="U883" t="s">
        <v>10</v>
      </c>
      <c r="V883" s="5">
        <v>0</v>
      </c>
      <c r="W883" s="5">
        <v>0</v>
      </c>
      <c r="X883" s="2">
        <v>0</v>
      </c>
      <c r="Y883" t="s">
        <v>4</v>
      </c>
      <c r="Z883" t="s">
        <v>4</v>
      </c>
      <c r="AA883" t="s">
        <v>4</v>
      </c>
      <c r="AB883" t="s">
        <v>4</v>
      </c>
    </row>
    <row r="884" spans="1:28" x14ac:dyDescent="0.2">
      <c r="A884" t="s">
        <v>678</v>
      </c>
      <c r="B884" t="s">
        <v>2</v>
      </c>
      <c r="C884" t="s">
        <v>3</v>
      </c>
      <c r="D884" t="s">
        <v>4</v>
      </c>
      <c r="E884" t="s">
        <v>4</v>
      </c>
      <c r="F884" t="s">
        <v>5</v>
      </c>
      <c r="G884" t="s">
        <v>21</v>
      </c>
      <c r="H884" t="s">
        <v>3602</v>
      </c>
      <c r="I884" s="2">
        <v>1350</v>
      </c>
      <c r="J884" s="2">
        <v>0</v>
      </c>
      <c r="K884" s="2">
        <v>0</v>
      </c>
      <c r="L884" s="3">
        <v>45856</v>
      </c>
      <c r="M884" s="3">
        <v>45856</v>
      </c>
      <c r="N884" s="3"/>
      <c r="O884" t="s">
        <v>3603</v>
      </c>
      <c r="P884" t="s">
        <v>9</v>
      </c>
      <c r="Q884" s="4">
        <v>0.94657407407407002</v>
      </c>
      <c r="R884" t="s">
        <v>5</v>
      </c>
      <c r="S884" t="s">
        <v>4</v>
      </c>
      <c r="T884" t="s">
        <v>2260</v>
      </c>
      <c r="U884" t="s">
        <v>10</v>
      </c>
      <c r="V884" s="5">
        <v>0</v>
      </c>
      <c r="W884" s="5">
        <v>0</v>
      </c>
      <c r="X884" s="2">
        <v>0</v>
      </c>
      <c r="Y884" t="s">
        <v>4</v>
      </c>
      <c r="Z884" t="s">
        <v>4</v>
      </c>
      <c r="AA884" t="s">
        <v>4</v>
      </c>
      <c r="AB884" t="s">
        <v>4</v>
      </c>
    </row>
    <row r="885" spans="1:28" x14ac:dyDescent="0.2">
      <c r="A885" t="s">
        <v>1139</v>
      </c>
      <c r="B885" t="s">
        <v>2</v>
      </c>
      <c r="C885" t="s">
        <v>3</v>
      </c>
      <c r="D885" t="s">
        <v>4</v>
      </c>
      <c r="E885" t="s">
        <v>4</v>
      </c>
      <c r="F885" t="s">
        <v>5</v>
      </c>
      <c r="G885" t="s">
        <v>21</v>
      </c>
      <c r="H885" t="s">
        <v>3604</v>
      </c>
      <c r="I885" s="2">
        <v>432</v>
      </c>
      <c r="J885" s="2">
        <v>0</v>
      </c>
      <c r="K885" s="2">
        <v>0</v>
      </c>
      <c r="L885" s="3">
        <v>45832</v>
      </c>
      <c r="M885" s="3">
        <v>45832</v>
      </c>
      <c r="N885" s="3"/>
      <c r="O885" t="s">
        <v>3605</v>
      </c>
      <c r="P885" t="s">
        <v>9</v>
      </c>
      <c r="Q885" s="4">
        <v>0.47667824074074</v>
      </c>
      <c r="R885" t="s">
        <v>5</v>
      </c>
      <c r="S885" t="s">
        <v>4</v>
      </c>
      <c r="T885" t="s">
        <v>2665</v>
      </c>
      <c r="U885" t="s">
        <v>10</v>
      </c>
      <c r="V885" s="5">
        <v>0</v>
      </c>
      <c r="W885" s="5">
        <v>0</v>
      </c>
      <c r="X885" s="2">
        <v>0</v>
      </c>
      <c r="Y885" t="s">
        <v>4</v>
      </c>
      <c r="Z885" t="s">
        <v>4</v>
      </c>
      <c r="AA885" t="s">
        <v>4</v>
      </c>
      <c r="AB885" t="s">
        <v>4</v>
      </c>
    </row>
    <row r="886" spans="1:28" x14ac:dyDescent="0.2">
      <c r="A886" t="s">
        <v>1139</v>
      </c>
      <c r="B886" t="s">
        <v>2</v>
      </c>
      <c r="C886" t="s">
        <v>3</v>
      </c>
      <c r="D886" t="s">
        <v>4</v>
      </c>
      <c r="E886" t="s">
        <v>4</v>
      </c>
      <c r="F886" t="s">
        <v>5</v>
      </c>
      <c r="G886" t="s">
        <v>21</v>
      </c>
      <c r="H886" t="s">
        <v>3604</v>
      </c>
      <c r="I886" s="2">
        <v>432</v>
      </c>
      <c r="J886" s="2">
        <v>0</v>
      </c>
      <c r="K886" s="2">
        <v>0</v>
      </c>
      <c r="L886" s="3">
        <v>45832</v>
      </c>
      <c r="M886" s="3">
        <v>45832</v>
      </c>
      <c r="N886" s="3"/>
      <c r="O886" t="s">
        <v>3606</v>
      </c>
      <c r="P886" t="s">
        <v>9</v>
      </c>
      <c r="Q886" s="4">
        <v>0.47667824074074</v>
      </c>
      <c r="R886" t="s">
        <v>5</v>
      </c>
      <c r="S886" t="s">
        <v>4</v>
      </c>
      <c r="T886" t="s">
        <v>2665</v>
      </c>
      <c r="U886" t="s">
        <v>10</v>
      </c>
      <c r="V886" s="5">
        <v>0</v>
      </c>
      <c r="W886" s="5">
        <v>0</v>
      </c>
      <c r="X886" s="2">
        <v>0</v>
      </c>
      <c r="Y886" t="s">
        <v>4</v>
      </c>
      <c r="Z886" t="s">
        <v>4</v>
      </c>
      <c r="AA886" t="s">
        <v>4</v>
      </c>
      <c r="AB886" t="s">
        <v>4</v>
      </c>
    </row>
    <row r="887" spans="1:28" x14ac:dyDescent="0.2">
      <c r="A887" t="s">
        <v>1998</v>
      </c>
      <c r="B887" t="s">
        <v>2</v>
      </c>
      <c r="C887" t="s">
        <v>3</v>
      </c>
      <c r="D887" t="s">
        <v>4</v>
      </c>
      <c r="E887" t="s">
        <v>4</v>
      </c>
      <c r="F887" t="s">
        <v>5</v>
      </c>
      <c r="G887" t="s">
        <v>17</v>
      </c>
      <c r="H887" t="s">
        <v>3607</v>
      </c>
      <c r="I887" s="2">
        <v>1400</v>
      </c>
      <c r="J887" s="2">
        <v>0</v>
      </c>
      <c r="K887" s="2">
        <v>0</v>
      </c>
      <c r="L887" s="3">
        <v>45840</v>
      </c>
      <c r="M887" s="3">
        <v>45840</v>
      </c>
      <c r="N887" s="3"/>
      <c r="O887" t="s">
        <v>3608</v>
      </c>
      <c r="P887" t="s">
        <v>9</v>
      </c>
      <c r="Q887" s="4">
        <v>0.40068287037036998</v>
      </c>
      <c r="R887" t="s">
        <v>5</v>
      </c>
      <c r="S887" t="s">
        <v>4</v>
      </c>
      <c r="T887" t="s">
        <v>2766</v>
      </c>
      <c r="U887" t="s">
        <v>10</v>
      </c>
      <c r="V887" s="5">
        <v>0</v>
      </c>
      <c r="W887" s="5">
        <v>0</v>
      </c>
      <c r="X887" s="2">
        <v>0</v>
      </c>
      <c r="Y887" t="s">
        <v>4</v>
      </c>
      <c r="Z887" t="s">
        <v>4</v>
      </c>
      <c r="AA887" t="s">
        <v>4</v>
      </c>
      <c r="AB887" t="s">
        <v>4</v>
      </c>
    </row>
    <row r="888" spans="1:28" x14ac:dyDescent="0.2">
      <c r="A888" t="s">
        <v>817</v>
      </c>
      <c r="B888" t="s">
        <v>2</v>
      </c>
      <c r="C888" t="s">
        <v>3</v>
      </c>
      <c r="D888" t="s">
        <v>4</v>
      </c>
      <c r="E888" t="s">
        <v>4</v>
      </c>
      <c r="F888" t="s">
        <v>5</v>
      </c>
      <c r="G888" t="s">
        <v>17</v>
      </c>
      <c r="H888" t="s">
        <v>3609</v>
      </c>
      <c r="I888" s="2">
        <v>700</v>
      </c>
      <c r="J888" s="2">
        <v>0</v>
      </c>
      <c r="K888" s="2">
        <v>0</v>
      </c>
      <c r="L888" s="3">
        <v>45783</v>
      </c>
      <c r="M888" s="3">
        <v>45783</v>
      </c>
      <c r="N888" s="3"/>
      <c r="O888" t="s">
        <v>3610</v>
      </c>
      <c r="P888" t="s">
        <v>9</v>
      </c>
      <c r="Q888" s="4">
        <v>0.83179398148147998</v>
      </c>
      <c r="R888" t="s">
        <v>5</v>
      </c>
      <c r="S888" t="s">
        <v>4</v>
      </c>
      <c r="T888" t="s">
        <v>3611</v>
      </c>
      <c r="U888" t="s">
        <v>10</v>
      </c>
      <c r="V888" s="5">
        <v>0</v>
      </c>
      <c r="W888" s="5">
        <v>0</v>
      </c>
      <c r="X888" s="2">
        <v>0</v>
      </c>
      <c r="Y888" t="s">
        <v>2351</v>
      </c>
      <c r="Z888" t="s">
        <v>2351</v>
      </c>
      <c r="AA888" t="s">
        <v>2351</v>
      </c>
      <c r="AB888" t="s">
        <v>2351</v>
      </c>
    </row>
    <row r="889" spans="1:28" x14ac:dyDescent="0.2">
      <c r="A889" t="s">
        <v>491</v>
      </c>
      <c r="B889" t="s">
        <v>2</v>
      </c>
      <c r="C889" t="s">
        <v>3</v>
      </c>
      <c r="D889" t="s">
        <v>4</v>
      </c>
      <c r="E889" t="s">
        <v>4</v>
      </c>
      <c r="F889" t="s">
        <v>5</v>
      </c>
      <c r="G889" t="s">
        <v>17</v>
      </c>
      <c r="H889" t="s">
        <v>3612</v>
      </c>
      <c r="I889" s="2">
        <v>1440</v>
      </c>
      <c r="J889" s="2">
        <v>0</v>
      </c>
      <c r="K889" s="2">
        <v>0</v>
      </c>
      <c r="L889" s="3">
        <v>45806</v>
      </c>
      <c r="M889" s="3">
        <v>45806</v>
      </c>
      <c r="N889" s="3"/>
      <c r="O889" t="s">
        <v>3613</v>
      </c>
      <c r="P889" t="s">
        <v>9</v>
      </c>
      <c r="Q889" s="4">
        <v>0.96233796296296004</v>
      </c>
      <c r="R889" t="s">
        <v>5</v>
      </c>
      <c r="S889" t="s">
        <v>4</v>
      </c>
      <c r="T889" t="s">
        <v>3183</v>
      </c>
      <c r="U889" t="s">
        <v>10</v>
      </c>
      <c r="V889" s="5">
        <v>0</v>
      </c>
      <c r="W889" s="5">
        <v>0</v>
      </c>
      <c r="X889" s="2">
        <v>0</v>
      </c>
      <c r="Y889" t="s">
        <v>4</v>
      </c>
      <c r="Z889" t="s">
        <v>4</v>
      </c>
      <c r="AA889" t="s">
        <v>4</v>
      </c>
      <c r="AB889" t="s">
        <v>4</v>
      </c>
    </row>
    <row r="890" spans="1:28" x14ac:dyDescent="0.2">
      <c r="A890" t="s">
        <v>491</v>
      </c>
      <c r="B890" t="s">
        <v>2</v>
      </c>
      <c r="C890" t="s">
        <v>3</v>
      </c>
      <c r="D890" t="s">
        <v>4</v>
      </c>
      <c r="E890" t="s">
        <v>4</v>
      </c>
      <c r="F890" t="s">
        <v>5</v>
      </c>
      <c r="G890" t="s">
        <v>17</v>
      </c>
      <c r="H890" t="s">
        <v>3612</v>
      </c>
      <c r="I890" s="2">
        <v>1440</v>
      </c>
      <c r="J890" s="2">
        <v>0</v>
      </c>
      <c r="K890" s="2">
        <v>0</v>
      </c>
      <c r="L890" s="3">
        <v>45806</v>
      </c>
      <c r="M890" s="3">
        <v>45806</v>
      </c>
      <c r="N890" s="3"/>
      <c r="O890" t="s">
        <v>3614</v>
      </c>
      <c r="P890" t="s">
        <v>9</v>
      </c>
      <c r="Q890" s="4">
        <v>0.96233796296296004</v>
      </c>
      <c r="R890" t="s">
        <v>5</v>
      </c>
      <c r="S890" t="s">
        <v>4</v>
      </c>
      <c r="T890" t="s">
        <v>3183</v>
      </c>
      <c r="U890" t="s">
        <v>10</v>
      </c>
      <c r="V890" s="5">
        <v>0</v>
      </c>
      <c r="W890" s="5">
        <v>0</v>
      </c>
      <c r="X890" s="2">
        <v>0</v>
      </c>
      <c r="Y890" t="s">
        <v>4</v>
      </c>
      <c r="Z890" t="s">
        <v>4</v>
      </c>
      <c r="AA890" t="s">
        <v>4</v>
      </c>
      <c r="AB890" t="s">
        <v>4</v>
      </c>
    </row>
    <row r="891" spans="1:28" x14ac:dyDescent="0.2">
      <c r="A891" t="s">
        <v>817</v>
      </c>
      <c r="B891" t="s">
        <v>2</v>
      </c>
      <c r="C891" t="s">
        <v>3</v>
      </c>
      <c r="D891" t="s">
        <v>4</v>
      </c>
      <c r="E891" t="s">
        <v>4</v>
      </c>
      <c r="F891" t="s">
        <v>5</v>
      </c>
      <c r="G891" t="s">
        <v>17</v>
      </c>
      <c r="H891" t="s">
        <v>3615</v>
      </c>
      <c r="I891" s="2">
        <v>700</v>
      </c>
      <c r="J891" s="2">
        <v>0</v>
      </c>
      <c r="K891" s="2">
        <v>0</v>
      </c>
      <c r="L891" s="3">
        <v>45783</v>
      </c>
      <c r="M891" s="3">
        <v>45783</v>
      </c>
      <c r="N891" s="3"/>
      <c r="O891" t="s">
        <v>3616</v>
      </c>
      <c r="P891" t="s">
        <v>9</v>
      </c>
      <c r="Q891" s="4">
        <v>0.82946759259258995</v>
      </c>
      <c r="R891" t="s">
        <v>5</v>
      </c>
      <c r="S891" t="s">
        <v>4</v>
      </c>
      <c r="T891" t="s">
        <v>3611</v>
      </c>
      <c r="U891" t="s">
        <v>10</v>
      </c>
      <c r="V891" s="5">
        <v>0</v>
      </c>
      <c r="W891" s="5">
        <v>0</v>
      </c>
      <c r="X891" s="2">
        <v>0</v>
      </c>
      <c r="Y891" t="s">
        <v>2351</v>
      </c>
      <c r="Z891" t="s">
        <v>2351</v>
      </c>
      <c r="AA891" t="s">
        <v>2351</v>
      </c>
      <c r="AB891" t="s">
        <v>2351</v>
      </c>
    </row>
    <row r="892" spans="1:28" x14ac:dyDescent="0.2">
      <c r="A892" t="s">
        <v>817</v>
      </c>
      <c r="B892" t="s">
        <v>2</v>
      </c>
      <c r="C892" t="s">
        <v>3</v>
      </c>
      <c r="D892" t="s">
        <v>4</v>
      </c>
      <c r="E892" t="s">
        <v>4</v>
      </c>
      <c r="F892" t="s">
        <v>5</v>
      </c>
      <c r="G892" t="s">
        <v>17</v>
      </c>
      <c r="H892" t="s">
        <v>3615</v>
      </c>
      <c r="I892" s="2">
        <v>700</v>
      </c>
      <c r="J892" s="2">
        <v>0</v>
      </c>
      <c r="K892" s="2">
        <v>0</v>
      </c>
      <c r="L892" s="3">
        <v>45783</v>
      </c>
      <c r="M892" s="3">
        <v>45783</v>
      </c>
      <c r="N892" s="3"/>
      <c r="O892" t="s">
        <v>3617</v>
      </c>
      <c r="P892" t="s">
        <v>9</v>
      </c>
      <c r="Q892" s="4">
        <v>0.82946759259258995</v>
      </c>
      <c r="R892" t="s">
        <v>5</v>
      </c>
      <c r="S892" t="s">
        <v>4</v>
      </c>
      <c r="T892" t="s">
        <v>3611</v>
      </c>
      <c r="U892" t="s">
        <v>10</v>
      </c>
      <c r="V892" s="5">
        <v>0</v>
      </c>
      <c r="W892" s="5">
        <v>0</v>
      </c>
      <c r="X892" s="2">
        <v>0</v>
      </c>
      <c r="Y892" t="s">
        <v>2351</v>
      </c>
      <c r="Z892" t="s">
        <v>2351</v>
      </c>
      <c r="AA892" t="s">
        <v>2351</v>
      </c>
      <c r="AB892" t="s">
        <v>2351</v>
      </c>
    </row>
    <row r="893" spans="1:28" x14ac:dyDescent="0.2">
      <c r="A893" t="s">
        <v>1468</v>
      </c>
      <c r="B893" t="s">
        <v>2</v>
      </c>
      <c r="C893" t="s">
        <v>3</v>
      </c>
      <c r="D893" t="s">
        <v>4</v>
      </c>
      <c r="E893" t="s">
        <v>4</v>
      </c>
      <c r="F893" t="s">
        <v>5</v>
      </c>
      <c r="G893" t="s">
        <v>17</v>
      </c>
      <c r="H893" t="s">
        <v>3618</v>
      </c>
      <c r="I893" s="2">
        <v>72</v>
      </c>
      <c r="J893" s="2">
        <v>0</v>
      </c>
      <c r="K893" s="2">
        <v>0</v>
      </c>
      <c r="L893" s="3">
        <v>45742</v>
      </c>
      <c r="M893" s="3">
        <v>45742</v>
      </c>
      <c r="N893" s="3"/>
      <c r="O893" t="s">
        <v>3619</v>
      </c>
      <c r="P893" t="s">
        <v>9</v>
      </c>
      <c r="Q893" s="4">
        <v>0.94047453703703998</v>
      </c>
      <c r="R893" t="s">
        <v>5</v>
      </c>
      <c r="S893" t="s">
        <v>4</v>
      </c>
      <c r="T893" t="s">
        <v>3620</v>
      </c>
      <c r="U893" t="s">
        <v>10</v>
      </c>
      <c r="V893" s="5">
        <v>0</v>
      </c>
      <c r="W893" s="5">
        <v>0</v>
      </c>
      <c r="X893" s="2">
        <v>0</v>
      </c>
      <c r="Y893" t="s">
        <v>4</v>
      </c>
      <c r="Z893" t="s">
        <v>4</v>
      </c>
      <c r="AA893" t="s">
        <v>4</v>
      </c>
      <c r="AB893" t="s">
        <v>4</v>
      </c>
    </row>
    <row r="894" spans="1:28" x14ac:dyDescent="0.2">
      <c r="A894" t="s">
        <v>1468</v>
      </c>
      <c r="B894" t="s">
        <v>2</v>
      </c>
      <c r="C894" t="s">
        <v>3</v>
      </c>
      <c r="D894" t="s">
        <v>4</v>
      </c>
      <c r="E894" t="s">
        <v>4</v>
      </c>
      <c r="F894" t="s">
        <v>5</v>
      </c>
      <c r="G894" t="s">
        <v>17</v>
      </c>
      <c r="H894" t="s">
        <v>3618</v>
      </c>
      <c r="I894" s="2">
        <v>72</v>
      </c>
      <c r="J894" s="2">
        <v>0</v>
      </c>
      <c r="K894" s="2">
        <v>0</v>
      </c>
      <c r="L894" s="3">
        <v>45770</v>
      </c>
      <c r="M894" s="3">
        <v>45770</v>
      </c>
      <c r="N894" s="3"/>
      <c r="O894" t="s">
        <v>3621</v>
      </c>
      <c r="P894" t="s">
        <v>9</v>
      </c>
      <c r="Q894" s="4">
        <v>0.94047453703703998</v>
      </c>
      <c r="R894" t="s">
        <v>5</v>
      </c>
      <c r="S894" t="s">
        <v>4</v>
      </c>
      <c r="T894" t="s">
        <v>2722</v>
      </c>
      <c r="U894" t="s">
        <v>10</v>
      </c>
      <c r="V894" s="5">
        <v>0</v>
      </c>
      <c r="W894" s="5">
        <v>0</v>
      </c>
      <c r="X894" s="2">
        <v>0</v>
      </c>
      <c r="Y894" t="s">
        <v>4</v>
      </c>
      <c r="Z894" t="s">
        <v>4</v>
      </c>
      <c r="AA894" t="s">
        <v>4</v>
      </c>
      <c r="AB894" t="s">
        <v>4</v>
      </c>
    </row>
    <row r="895" spans="1:28" x14ac:dyDescent="0.2">
      <c r="A895" t="s">
        <v>476</v>
      </c>
      <c r="B895" t="s">
        <v>2</v>
      </c>
      <c r="C895" t="s">
        <v>3</v>
      </c>
      <c r="D895" t="s">
        <v>4</v>
      </c>
      <c r="E895" t="s">
        <v>4</v>
      </c>
      <c r="F895" t="s">
        <v>5</v>
      </c>
      <c r="G895" t="s">
        <v>17</v>
      </c>
      <c r="H895" t="s">
        <v>3622</v>
      </c>
      <c r="I895" s="2">
        <v>1440</v>
      </c>
      <c r="J895" s="2">
        <v>0</v>
      </c>
      <c r="K895" s="2">
        <v>0</v>
      </c>
      <c r="L895" s="3">
        <v>45836</v>
      </c>
      <c r="M895" s="3">
        <v>45836</v>
      </c>
      <c r="N895" s="3"/>
      <c r="O895" t="s">
        <v>3623</v>
      </c>
      <c r="P895" t="s">
        <v>9</v>
      </c>
      <c r="Q895" s="4">
        <v>0.94920138888889005</v>
      </c>
      <c r="R895" t="s">
        <v>5</v>
      </c>
      <c r="S895" t="s">
        <v>4</v>
      </c>
      <c r="T895" t="s">
        <v>2316</v>
      </c>
      <c r="U895" t="s">
        <v>10</v>
      </c>
      <c r="V895" s="5">
        <v>0</v>
      </c>
      <c r="W895" s="5">
        <v>0</v>
      </c>
      <c r="X895" s="2">
        <v>0</v>
      </c>
      <c r="Y895" t="s">
        <v>4</v>
      </c>
      <c r="Z895" t="s">
        <v>4</v>
      </c>
      <c r="AA895" t="s">
        <v>4</v>
      </c>
      <c r="AB895" t="s">
        <v>4</v>
      </c>
    </row>
    <row r="896" spans="1:28" x14ac:dyDescent="0.2">
      <c r="A896" t="s">
        <v>476</v>
      </c>
      <c r="B896" t="s">
        <v>2</v>
      </c>
      <c r="C896" t="s">
        <v>3</v>
      </c>
      <c r="D896" t="s">
        <v>4</v>
      </c>
      <c r="E896" t="s">
        <v>4</v>
      </c>
      <c r="F896" t="s">
        <v>5</v>
      </c>
      <c r="G896" t="s">
        <v>17</v>
      </c>
      <c r="H896" t="s">
        <v>3622</v>
      </c>
      <c r="I896" s="2">
        <v>240</v>
      </c>
      <c r="J896" s="2">
        <v>0</v>
      </c>
      <c r="K896" s="2">
        <v>0</v>
      </c>
      <c r="L896" s="3">
        <v>45822</v>
      </c>
      <c r="M896" s="3">
        <v>45822</v>
      </c>
      <c r="N896" s="3"/>
      <c r="O896" t="s">
        <v>3624</v>
      </c>
      <c r="P896" t="s">
        <v>9</v>
      </c>
      <c r="Q896" s="4">
        <v>0.94920138888889005</v>
      </c>
      <c r="R896" t="s">
        <v>5</v>
      </c>
      <c r="S896" t="s">
        <v>4</v>
      </c>
      <c r="T896" t="s">
        <v>3122</v>
      </c>
      <c r="U896" t="s">
        <v>10</v>
      </c>
      <c r="V896" s="5">
        <v>0</v>
      </c>
      <c r="W896" s="5">
        <v>0</v>
      </c>
      <c r="X896" s="2">
        <v>0</v>
      </c>
      <c r="Y896" t="s">
        <v>4</v>
      </c>
      <c r="Z896" t="s">
        <v>4</v>
      </c>
      <c r="AA896" t="s">
        <v>4</v>
      </c>
      <c r="AB896" t="s">
        <v>4</v>
      </c>
    </row>
    <row r="897" spans="1:28" x14ac:dyDescent="0.2">
      <c r="A897" t="s">
        <v>285</v>
      </c>
      <c r="B897" t="s">
        <v>2</v>
      </c>
      <c r="C897" t="s">
        <v>3</v>
      </c>
      <c r="D897" t="s">
        <v>4</v>
      </c>
      <c r="E897" t="s">
        <v>4</v>
      </c>
      <c r="F897" t="s">
        <v>5</v>
      </c>
      <c r="G897" t="s">
        <v>6</v>
      </c>
      <c r="H897" t="s">
        <v>3625</v>
      </c>
      <c r="I897" s="2">
        <v>30</v>
      </c>
      <c r="J897" s="2">
        <v>0</v>
      </c>
      <c r="K897" s="2">
        <v>0</v>
      </c>
      <c r="L897" s="3">
        <v>45805</v>
      </c>
      <c r="M897" s="3">
        <v>45805</v>
      </c>
      <c r="N897" s="3"/>
      <c r="O897" t="s">
        <v>3626</v>
      </c>
      <c r="P897" t="s">
        <v>9</v>
      </c>
      <c r="Q897" s="4">
        <v>0.90429398148147999</v>
      </c>
      <c r="R897" t="s">
        <v>5</v>
      </c>
      <c r="S897" t="s">
        <v>4</v>
      </c>
      <c r="T897" t="s">
        <v>3377</v>
      </c>
      <c r="U897" t="s">
        <v>10</v>
      </c>
      <c r="V897" s="5">
        <v>0</v>
      </c>
      <c r="W897" s="5">
        <v>0</v>
      </c>
      <c r="X897" s="2">
        <v>0</v>
      </c>
      <c r="Y897" t="s">
        <v>4</v>
      </c>
      <c r="Z897" t="s">
        <v>4</v>
      </c>
      <c r="AA897" t="s">
        <v>4</v>
      </c>
      <c r="AB897" t="s">
        <v>4</v>
      </c>
    </row>
    <row r="898" spans="1:28" x14ac:dyDescent="0.2">
      <c r="A898" t="s">
        <v>285</v>
      </c>
      <c r="B898" t="s">
        <v>2</v>
      </c>
      <c r="C898" t="s">
        <v>3</v>
      </c>
      <c r="D898" t="s">
        <v>4</v>
      </c>
      <c r="E898" t="s">
        <v>4</v>
      </c>
      <c r="F898" t="s">
        <v>5</v>
      </c>
      <c r="G898" t="s">
        <v>6</v>
      </c>
      <c r="H898" t="s">
        <v>3625</v>
      </c>
      <c r="I898" s="2">
        <v>30</v>
      </c>
      <c r="J898" s="2">
        <v>0</v>
      </c>
      <c r="K898" s="2">
        <v>0</v>
      </c>
      <c r="L898" s="3">
        <v>45805</v>
      </c>
      <c r="M898" s="3">
        <v>45805</v>
      </c>
      <c r="N898" s="3"/>
      <c r="O898" t="s">
        <v>3627</v>
      </c>
      <c r="P898" t="s">
        <v>9</v>
      </c>
      <c r="Q898" s="4">
        <v>0.90429398148147999</v>
      </c>
      <c r="R898" t="s">
        <v>5</v>
      </c>
      <c r="S898" t="s">
        <v>4</v>
      </c>
      <c r="T898" t="s">
        <v>3377</v>
      </c>
      <c r="U898" t="s">
        <v>10</v>
      </c>
      <c r="V898" s="5">
        <v>0</v>
      </c>
      <c r="W898" s="5">
        <v>0</v>
      </c>
      <c r="X898" s="2">
        <v>0</v>
      </c>
      <c r="Y898" t="s">
        <v>4</v>
      </c>
      <c r="Z898" t="s">
        <v>4</v>
      </c>
      <c r="AA898" t="s">
        <v>4</v>
      </c>
      <c r="AB898" t="s">
        <v>4</v>
      </c>
    </row>
    <row r="899" spans="1:28" x14ac:dyDescent="0.2">
      <c r="A899" t="s">
        <v>1031</v>
      </c>
      <c r="B899" t="s">
        <v>2</v>
      </c>
      <c r="C899" t="s">
        <v>3</v>
      </c>
      <c r="D899" t="s">
        <v>4</v>
      </c>
      <c r="E899" t="s">
        <v>4</v>
      </c>
      <c r="F899" t="s">
        <v>5</v>
      </c>
      <c r="G899" t="s">
        <v>6</v>
      </c>
      <c r="H899" t="s">
        <v>3628</v>
      </c>
      <c r="I899" s="2">
        <v>405</v>
      </c>
      <c r="J899" s="2">
        <v>0</v>
      </c>
      <c r="K899" s="2">
        <v>0</v>
      </c>
      <c r="L899" s="3">
        <v>45850</v>
      </c>
      <c r="M899" s="3">
        <v>45850</v>
      </c>
      <c r="N899" s="3"/>
      <c r="O899" t="s">
        <v>3629</v>
      </c>
      <c r="P899" t="s">
        <v>9</v>
      </c>
      <c r="Q899" s="4">
        <v>0.82663194444443999</v>
      </c>
      <c r="R899" t="s">
        <v>5</v>
      </c>
      <c r="S899" t="s">
        <v>4</v>
      </c>
      <c r="T899" t="s">
        <v>2680</v>
      </c>
      <c r="U899" t="s">
        <v>10</v>
      </c>
      <c r="V899" s="5">
        <v>0</v>
      </c>
      <c r="W899" s="5">
        <v>0</v>
      </c>
      <c r="X899" s="2">
        <v>0</v>
      </c>
      <c r="Y899" t="s">
        <v>4</v>
      </c>
      <c r="Z899" t="s">
        <v>4</v>
      </c>
      <c r="AA899" t="s">
        <v>4</v>
      </c>
      <c r="AB899" t="s">
        <v>4</v>
      </c>
    </row>
    <row r="900" spans="1:28" x14ac:dyDescent="0.2">
      <c r="A900" t="s">
        <v>1031</v>
      </c>
      <c r="B900" t="s">
        <v>2</v>
      </c>
      <c r="C900" t="s">
        <v>3</v>
      </c>
      <c r="D900" t="s">
        <v>4</v>
      </c>
      <c r="E900" t="s">
        <v>4</v>
      </c>
      <c r="F900" t="s">
        <v>5</v>
      </c>
      <c r="G900" t="s">
        <v>6</v>
      </c>
      <c r="H900" t="s">
        <v>3628</v>
      </c>
      <c r="I900" s="2">
        <v>405</v>
      </c>
      <c r="J900" s="2">
        <v>0</v>
      </c>
      <c r="K900" s="2">
        <v>0</v>
      </c>
      <c r="L900" s="3">
        <v>45855</v>
      </c>
      <c r="M900" s="3">
        <v>45855</v>
      </c>
      <c r="N900" s="3"/>
      <c r="O900" t="s">
        <v>3630</v>
      </c>
      <c r="P900" t="s">
        <v>9</v>
      </c>
      <c r="Q900" s="4">
        <v>0.82663194444443999</v>
      </c>
      <c r="R900" t="s">
        <v>5</v>
      </c>
      <c r="S900" t="s">
        <v>4</v>
      </c>
      <c r="T900" t="s">
        <v>2350</v>
      </c>
      <c r="U900" t="s">
        <v>10</v>
      </c>
      <c r="V900" s="5">
        <v>0</v>
      </c>
      <c r="W900" s="5">
        <v>0</v>
      </c>
      <c r="X900" s="2">
        <v>0</v>
      </c>
      <c r="Y900" t="s">
        <v>4</v>
      </c>
      <c r="Z900" t="s">
        <v>4</v>
      </c>
      <c r="AA900" t="s">
        <v>4</v>
      </c>
      <c r="AB900" t="s">
        <v>4</v>
      </c>
    </row>
    <row r="901" spans="1:28" x14ac:dyDescent="0.2">
      <c r="A901" t="s">
        <v>1035</v>
      </c>
      <c r="B901" t="s">
        <v>2</v>
      </c>
      <c r="C901" t="s">
        <v>3</v>
      </c>
      <c r="D901" t="s">
        <v>4</v>
      </c>
      <c r="E901" t="s">
        <v>4</v>
      </c>
      <c r="F901" t="s">
        <v>5</v>
      </c>
      <c r="G901" t="s">
        <v>6</v>
      </c>
      <c r="H901" t="s">
        <v>3631</v>
      </c>
      <c r="I901" s="2">
        <v>270</v>
      </c>
      <c r="J901" s="2">
        <v>0</v>
      </c>
      <c r="K901" s="2">
        <v>0</v>
      </c>
      <c r="L901" s="3">
        <v>45855</v>
      </c>
      <c r="M901" s="3">
        <v>45855</v>
      </c>
      <c r="N901" s="3"/>
      <c r="O901" t="s">
        <v>3632</v>
      </c>
      <c r="P901" t="s">
        <v>9</v>
      </c>
      <c r="Q901" s="4">
        <v>0.57037037037036997</v>
      </c>
      <c r="R901" t="s">
        <v>5</v>
      </c>
      <c r="S901" t="s">
        <v>4</v>
      </c>
      <c r="T901" t="s">
        <v>2350</v>
      </c>
      <c r="U901" t="s">
        <v>10</v>
      </c>
      <c r="V901" s="5">
        <v>0</v>
      </c>
      <c r="W901" s="5">
        <v>0</v>
      </c>
      <c r="X901" s="2">
        <v>0</v>
      </c>
      <c r="Y901" t="s">
        <v>4</v>
      </c>
      <c r="Z901" t="s">
        <v>4</v>
      </c>
      <c r="AA901" t="s">
        <v>4</v>
      </c>
      <c r="AB901" t="s">
        <v>4</v>
      </c>
    </row>
    <row r="902" spans="1:28" x14ac:dyDescent="0.2">
      <c r="A902" t="s">
        <v>1035</v>
      </c>
      <c r="B902" t="s">
        <v>2</v>
      </c>
      <c r="C902" t="s">
        <v>3</v>
      </c>
      <c r="D902" t="s">
        <v>4</v>
      </c>
      <c r="E902" t="s">
        <v>4</v>
      </c>
      <c r="F902" t="s">
        <v>5</v>
      </c>
      <c r="G902" t="s">
        <v>6</v>
      </c>
      <c r="H902" t="s">
        <v>3631</v>
      </c>
      <c r="I902" s="2">
        <v>270</v>
      </c>
      <c r="J902" s="2">
        <v>0</v>
      </c>
      <c r="K902" s="2">
        <v>0</v>
      </c>
      <c r="L902" s="3">
        <v>45855</v>
      </c>
      <c r="M902" s="3">
        <v>45855</v>
      </c>
      <c r="N902" s="3"/>
      <c r="O902" t="s">
        <v>3633</v>
      </c>
      <c r="P902" t="s">
        <v>9</v>
      </c>
      <c r="Q902" s="4">
        <v>0.57037037037036997</v>
      </c>
      <c r="R902" t="s">
        <v>5</v>
      </c>
      <c r="S902" t="s">
        <v>4</v>
      </c>
      <c r="T902" t="s">
        <v>2350</v>
      </c>
      <c r="U902" t="s">
        <v>10</v>
      </c>
      <c r="V902" s="5">
        <v>0</v>
      </c>
      <c r="W902" s="5">
        <v>0</v>
      </c>
      <c r="X902" s="2">
        <v>0</v>
      </c>
      <c r="Y902" t="s">
        <v>4</v>
      </c>
      <c r="Z902" t="s">
        <v>4</v>
      </c>
      <c r="AA902" t="s">
        <v>4</v>
      </c>
      <c r="AB902" t="s">
        <v>4</v>
      </c>
    </row>
    <row r="903" spans="1:28" x14ac:dyDescent="0.2">
      <c r="A903" t="s">
        <v>2008</v>
      </c>
      <c r="B903" t="s">
        <v>2</v>
      </c>
      <c r="C903" t="s">
        <v>3</v>
      </c>
      <c r="D903" t="s">
        <v>4</v>
      </c>
      <c r="E903" t="s">
        <v>4</v>
      </c>
      <c r="F903" t="s">
        <v>5</v>
      </c>
      <c r="G903" t="s">
        <v>6</v>
      </c>
      <c r="H903" t="s">
        <v>3634</v>
      </c>
      <c r="I903" s="2">
        <v>2520</v>
      </c>
      <c r="J903" s="2">
        <v>0</v>
      </c>
      <c r="K903" s="2">
        <v>0</v>
      </c>
      <c r="L903" s="3">
        <v>45839</v>
      </c>
      <c r="M903" s="3">
        <v>45839</v>
      </c>
      <c r="N903" s="3"/>
      <c r="O903" t="s">
        <v>3635</v>
      </c>
      <c r="P903" t="s">
        <v>9</v>
      </c>
      <c r="Q903" s="4">
        <v>0.72707175925926004</v>
      </c>
      <c r="R903" t="s">
        <v>5</v>
      </c>
      <c r="S903" t="s">
        <v>4</v>
      </c>
      <c r="T903" t="s">
        <v>2312</v>
      </c>
      <c r="U903" t="s">
        <v>10</v>
      </c>
      <c r="V903" s="5">
        <v>0</v>
      </c>
      <c r="W903" s="5">
        <v>0</v>
      </c>
      <c r="X903" s="2">
        <v>0</v>
      </c>
      <c r="Y903" t="s">
        <v>4</v>
      </c>
      <c r="Z903" t="s">
        <v>4</v>
      </c>
      <c r="AA903" t="s">
        <v>4</v>
      </c>
      <c r="AB903" t="s">
        <v>4</v>
      </c>
    </row>
    <row r="904" spans="1:28" x14ac:dyDescent="0.2">
      <c r="A904" t="s">
        <v>2008</v>
      </c>
      <c r="B904" t="s">
        <v>2</v>
      </c>
      <c r="C904" t="s">
        <v>3</v>
      </c>
      <c r="D904" t="s">
        <v>4</v>
      </c>
      <c r="E904" t="s">
        <v>4</v>
      </c>
      <c r="F904" t="s">
        <v>5</v>
      </c>
      <c r="G904" t="s">
        <v>6</v>
      </c>
      <c r="H904" t="s">
        <v>3634</v>
      </c>
      <c r="I904" s="2">
        <v>2520</v>
      </c>
      <c r="J904" s="2">
        <v>0</v>
      </c>
      <c r="K904" s="2">
        <v>0</v>
      </c>
      <c r="L904" s="3">
        <v>45839</v>
      </c>
      <c r="M904" s="3">
        <v>45839</v>
      </c>
      <c r="N904" s="3"/>
      <c r="O904" t="s">
        <v>3636</v>
      </c>
      <c r="P904" t="s">
        <v>9</v>
      </c>
      <c r="Q904" s="4">
        <v>0.72707175925926004</v>
      </c>
      <c r="R904" t="s">
        <v>5</v>
      </c>
      <c r="S904" t="s">
        <v>4</v>
      </c>
      <c r="T904" t="s">
        <v>2312</v>
      </c>
      <c r="U904" t="s">
        <v>10</v>
      </c>
      <c r="V904" s="5">
        <v>0</v>
      </c>
      <c r="W904" s="5">
        <v>0</v>
      </c>
      <c r="X904" s="2">
        <v>0</v>
      </c>
      <c r="Y904" t="s">
        <v>4</v>
      </c>
      <c r="Z904" t="s">
        <v>4</v>
      </c>
      <c r="AA904" t="s">
        <v>4</v>
      </c>
      <c r="AB904" t="s">
        <v>4</v>
      </c>
    </row>
    <row r="905" spans="1:28" x14ac:dyDescent="0.2">
      <c r="A905" t="s">
        <v>1822</v>
      </c>
      <c r="B905" t="s">
        <v>2</v>
      </c>
      <c r="C905" t="s">
        <v>3</v>
      </c>
      <c r="D905" t="s">
        <v>4</v>
      </c>
      <c r="E905" t="s">
        <v>4</v>
      </c>
      <c r="F905" t="s">
        <v>5</v>
      </c>
      <c r="G905" t="s">
        <v>6</v>
      </c>
      <c r="H905" t="s">
        <v>3637</v>
      </c>
      <c r="I905" s="2">
        <v>416</v>
      </c>
      <c r="J905" s="2">
        <v>0</v>
      </c>
      <c r="K905" s="2">
        <v>0</v>
      </c>
      <c r="L905" s="3">
        <v>45856</v>
      </c>
      <c r="M905" s="3">
        <v>45856</v>
      </c>
      <c r="N905" s="3"/>
      <c r="O905" t="s">
        <v>3638</v>
      </c>
      <c r="P905" t="s">
        <v>9</v>
      </c>
      <c r="Q905" s="4">
        <v>0.81348379629629997</v>
      </c>
      <c r="R905" t="s">
        <v>5</v>
      </c>
      <c r="S905" t="s">
        <v>4</v>
      </c>
      <c r="T905" t="s">
        <v>2260</v>
      </c>
      <c r="U905" t="s">
        <v>10</v>
      </c>
      <c r="V905" s="5">
        <v>0</v>
      </c>
      <c r="W905" s="5">
        <v>0</v>
      </c>
      <c r="X905" s="2">
        <v>0</v>
      </c>
      <c r="Y905" t="s">
        <v>4</v>
      </c>
      <c r="Z905" t="s">
        <v>4</v>
      </c>
      <c r="AA905" t="s">
        <v>4</v>
      </c>
      <c r="AB905" t="s">
        <v>4</v>
      </c>
    </row>
    <row r="906" spans="1:28" x14ac:dyDescent="0.2">
      <c r="A906" t="s">
        <v>1822</v>
      </c>
      <c r="B906" t="s">
        <v>2</v>
      </c>
      <c r="C906" t="s">
        <v>3</v>
      </c>
      <c r="D906" t="s">
        <v>4</v>
      </c>
      <c r="E906" t="s">
        <v>4</v>
      </c>
      <c r="F906" t="s">
        <v>5</v>
      </c>
      <c r="G906" t="s">
        <v>6</v>
      </c>
      <c r="H906" t="s">
        <v>3637</v>
      </c>
      <c r="I906" s="2">
        <v>320</v>
      </c>
      <c r="J906" s="2">
        <v>0</v>
      </c>
      <c r="K906" s="2">
        <v>0</v>
      </c>
      <c r="L906" s="3">
        <v>45856</v>
      </c>
      <c r="M906" s="3">
        <v>45856</v>
      </c>
      <c r="N906" s="3"/>
      <c r="O906" t="s">
        <v>3639</v>
      </c>
      <c r="P906" t="s">
        <v>9</v>
      </c>
      <c r="Q906" s="4">
        <v>0.81348379629629997</v>
      </c>
      <c r="R906" t="s">
        <v>5</v>
      </c>
      <c r="S906" t="s">
        <v>4</v>
      </c>
      <c r="T906" t="s">
        <v>2260</v>
      </c>
      <c r="U906" t="s">
        <v>10</v>
      </c>
      <c r="V906" s="5">
        <v>0</v>
      </c>
      <c r="W906" s="5">
        <v>0</v>
      </c>
      <c r="X906" s="2">
        <v>0</v>
      </c>
      <c r="Y906" t="s">
        <v>4</v>
      </c>
      <c r="Z906" t="s">
        <v>4</v>
      </c>
      <c r="AA906" t="s">
        <v>4</v>
      </c>
      <c r="AB906" t="s">
        <v>4</v>
      </c>
    </row>
    <row r="907" spans="1:28" x14ac:dyDescent="0.2">
      <c r="A907" t="s">
        <v>2043</v>
      </c>
      <c r="B907" t="s">
        <v>2</v>
      </c>
      <c r="C907" t="s">
        <v>3</v>
      </c>
      <c r="D907" t="s">
        <v>4</v>
      </c>
      <c r="E907" t="s">
        <v>4</v>
      </c>
      <c r="F907" t="s">
        <v>5</v>
      </c>
      <c r="G907" t="s">
        <v>6</v>
      </c>
      <c r="H907" t="s">
        <v>3640</v>
      </c>
      <c r="I907" s="2">
        <v>108</v>
      </c>
      <c r="J907" s="2">
        <v>0</v>
      </c>
      <c r="K907" s="2">
        <v>0</v>
      </c>
      <c r="L907" s="3">
        <v>45849</v>
      </c>
      <c r="M907" s="3">
        <v>45849</v>
      </c>
      <c r="N907" s="3"/>
      <c r="O907" t="s">
        <v>3641</v>
      </c>
      <c r="P907" t="s">
        <v>9</v>
      </c>
      <c r="Q907" s="4">
        <v>0.57049768518518995</v>
      </c>
      <c r="R907" t="s">
        <v>5</v>
      </c>
      <c r="S907" t="s">
        <v>4</v>
      </c>
      <c r="T907" t="s">
        <v>2321</v>
      </c>
      <c r="U907" t="s">
        <v>10</v>
      </c>
      <c r="V907" s="5">
        <v>0</v>
      </c>
      <c r="W907" s="5">
        <v>0</v>
      </c>
      <c r="X907" s="2">
        <v>0</v>
      </c>
      <c r="Y907" t="s">
        <v>4</v>
      </c>
      <c r="Z907" t="s">
        <v>4</v>
      </c>
      <c r="AA907" t="s">
        <v>4</v>
      </c>
      <c r="AB907" t="s">
        <v>4</v>
      </c>
    </row>
    <row r="908" spans="1:28" x14ac:dyDescent="0.2">
      <c r="A908" t="s">
        <v>2043</v>
      </c>
      <c r="B908" t="s">
        <v>2</v>
      </c>
      <c r="C908" t="s">
        <v>3</v>
      </c>
      <c r="D908" t="s">
        <v>4</v>
      </c>
      <c r="E908" t="s">
        <v>4</v>
      </c>
      <c r="F908" t="s">
        <v>5</v>
      </c>
      <c r="G908" t="s">
        <v>6</v>
      </c>
      <c r="H908" t="s">
        <v>3640</v>
      </c>
      <c r="I908" s="2">
        <v>108</v>
      </c>
      <c r="J908" s="2">
        <v>0</v>
      </c>
      <c r="K908" s="2">
        <v>0</v>
      </c>
      <c r="L908" s="3">
        <v>45849</v>
      </c>
      <c r="M908" s="3">
        <v>45849</v>
      </c>
      <c r="N908" s="3"/>
      <c r="O908" t="s">
        <v>3642</v>
      </c>
      <c r="P908" t="s">
        <v>9</v>
      </c>
      <c r="Q908" s="4">
        <v>0.57049768518518995</v>
      </c>
      <c r="R908" t="s">
        <v>5</v>
      </c>
      <c r="S908" t="s">
        <v>4</v>
      </c>
      <c r="T908" t="s">
        <v>2321</v>
      </c>
      <c r="U908" t="s">
        <v>10</v>
      </c>
      <c r="V908" s="5">
        <v>0</v>
      </c>
      <c r="W908" s="5">
        <v>0</v>
      </c>
      <c r="X908" s="2">
        <v>0</v>
      </c>
      <c r="Y908" t="s">
        <v>4</v>
      </c>
      <c r="Z908" t="s">
        <v>4</v>
      </c>
      <c r="AA908" t="s">
        <v>4</v>
      </c>
      <c r="AB908" t="s">
        <v>4</v>
      </c>
    </row>
    <row r="909" spans="1:28" x14ac:dyDescent="0.2">
      <c r="A909" t="s">
        <v>808</v>
      </c>
      <c r="B909" t="s">
        <v>2</v>
      </c>
      <c r="C909" t="s">
        <v>3</v>
      </c>
      <c r="D909" t="s">
        <v>4</v>
      </c>
      <c r="E909" t="s">
        <v>4</v>
      </c>
      <c r="F909" t="s">
        <v>5</v>
      </c>
      <c r="G909" t="s">
        <v>21</v>
      </c>
      <c r="H909" t="s">
        <v>3643</v>
      </c>
      <c r="I909" s="2">
        <v>20000</v>
      </c>
      <c r="J909" s="2">
        <v>0</v>
      </c>
      <c r="K909" s="2">
        <v>0</v>
      </c>
      <c r="L909" s="3">
        <v>45843</v>
      </c>
      <c r="M909" s="3">
        <v>45843</v>
      </c>
      <c r="N909" s="3"/>
      <c r="O909" t="s">
        <v>3644</v>
      </c>
      <c r="P909" t="s">
        <v>9</v>
      </c>
      <c r="Q909" s="4">
        <v>0.94395833333333001</v>
      </c>
      <c r="R909" t="s">
        <v>5</v>
      </c>
      <c r="S909" t="s">
        <v>4</v>
      </c>
      <c r="T909" t="s">
        <v>2783</v>
      </c>
      <c r="U909" t="s">
        <v>10</v>
      </c>
      <c r="V909" s="5">
        <v>0</v>
      </c>
      <c r="W909" s="5">
        <v>0</v>
      </c>
      <c r="X909" s="2">
        <v>0</v>
      </c>
      <c r="Y909" t="s">
        <v>4</v>
      </c>
      <c r="Z909" t="s">
        <v>4</v>
      </c>
      <c r="AA909" t="s">
        <v>4</v>
      </c>
      <c r="AB909" t="s">
        <v>4</v>
      </c>
    </row>
    <row r="910" spans="1:28" x14ac:dyDescent="0.2">
      <c r="A910" t="s">
        <v>2193</v>
      </c>
      <c r="B910" t="s">
        <v>2</v>
      </c>
      <c r="C910" t="s">
        <v>3</v>
      </c>
      <c r="D910" t="s">
        <v>4</v>
      </c>
      <c r="E910" t="s">
        <v>4</v>
      </c>
      <c r="F910" t="s">
        <v>5</v>
      </c>
      <c r="G910" t="s">
        <v>21</v>
      </c>
      <c r="H910" t="s">
        <v>3645</v>
      </c>
      <c r="I910" s="2">
        <v>4800</v>
      </c>
      <c r="J910" s="2">
        <v>0</v>
      </c>
      <c r="K910" s="2">
        <v>0</v>
      </c>
      <c r="L910" s="3">
        <v>45860</v>
      </c>
      <c r="M910" s="3">
        <v>45860</v>
      </c>
      <c r="N910" s="3"/>
      <c r="O910" t="s">
        <v>3646</v>
      </c>
      <c r="P910" t="s">
        <v>9</v>
      </c>
      <c r="Q910" s="4">
        <v>0.3540625</v>
      </c>
      <c r="R910" t="s">
        <v>5</v>
      </c>
      <c r="S910" t="s">
        <v>4</v>
      </c>
      <c r="T910" t="s">
        <v>2256</v>
      </c>
      <c r="U910" t="s">
        <v>10</v>
      </c>
      <c r="V910" s="5">
        <v>0</v>
      </c>
      <c r="W910" s="5">
        <v>0</v>
      </c>
      <c r="X910" s="2">
        <v>0</v>
      </c>
      <c r="Y910" t="s">
        <v>4</v>
      </c>
      <c r="Z910" t="s">
        <v>4</v>
      </c>
      <c r="AA910" t="s">
        <v>4</v>
      </c>
      <c r="AB910" t="s">
        <v>4</v>
      </c>
    </row>
    <row r="911" spans="1:28" x14ac:dyDescent="0.2">
      <c r="A911" t="s">
        <v>1019</v>
      </c>
      <c r="B911" t="s">
        <v>2</v>
      </c>
      <c r="C911" t="s">
        <v>3</v>
      </c>
      <c r="D911" t="s">
        <v>4</v>
      </c>
      <c r="E911" t="s">
        <v>4</v>
      </c>
      <c r="F911" t="s">
        <v>5</v>
      </c>
      <c r="G911" t="s">
        <v>21</v>
      </c>
      <c r="H911" t="s">
        <v>3647</v>
      </c>
      <c r="I911" s="2">
        <v>1200</v>
      </c>
      <c r="J911" s="2">
        <v>0</v>
      </c>
      <c r="K911" s="2">
        <v>0</v>
      </c>
      <c r="L911" s="3">
        <v>45813</v>
      </c>
      <c r="M911" s="3">
        <v>45813</v>
      </c>
      <c r="N911" s="3"/>
      <c r="O911" t="s">
        <v>3648</v>
      </c>
      <c r="P911" t="s">
        <v>9</v>
      </c>
      <c r="Q911" s="4">
        <v>0.43978009259258999</v>
      </c>
      <c r="R911" t="s">
        <v>5</v>
      </c>
      <c r="S911" t="s">
        <v>4</v>
      </c>
      <c r="T911" t="s">
        <v>3649</v>
      </c>
      <c r="U911" t="s">
        <v>10</v>
      </c>
      <c r="V911" s="5">
        <v>0</v>
      </c>
      <c r="W911" s="5">
        <v>0</v>
      </c>
      <c r="X911" s="2">
        <v>0</v>
      </c>
      <c r="Y911" t="s">
        <v>4</v>
      </c>
      <c r="Z911" t="s">
        <v>4</v>
      </c>
      <c r="AA911" t="s">
        <v>4</v>
      </c>
      <c r="AB911" t="s">
        <v>4</v>
      </c>
    </row>
    <row r="912" spans="1:28" x14ac:dyDescent="0.2">
      <c r="A912" t="s">
        <v>285</v>
      </c>
      <c r="B912" t="s">
        <v>2</v>
      </c>
      <c r="C912" t="s">
        <v>3</v>
      </c>
      <c r="D912" t="s">
        <v>4</v>
      </c>
      <c r="E912" t="s">
        <v>4</v>
      </c>
      <c r="F912" t="s">
        <v>5</v>
      </c>
      <c r="G912" t="s">
        <v>21</v>
      </c>
      <c r="H912" t="s">
        <v>3650</v>
      </c>
      <c r="I912" s="2">
        <v>30</v>
      </c>
      <c r="J912" s="2">
        <v>0</v>
      </c>
      <c r="K912" s="2">
        <v>0</v>
      </c>
      <c r="L912" s="3">
        <v>45805</v>
      </c>
      <c r="M912" s="3">
        <v>45805</v>
      </c>
      <c r="N912" s="3"/>
      <c r="O912" t="s">
        <v>3651</v>
      </c>
      <c r="P912" t="s">
        <v>9</v>
      </c>
      <c r="Q912" s="4">
        <v>0.90215277777778002</v>
      </c>
      <c r="R912" t="s">
        <v>5</v>
      </c>
      <c r="S912" t="s">
        <v>4</v>
      </c>
      <c r="T912" t="s">
        <v>3377</v>
      </c>
      <c r="U912" t="s">
        <v>10</v>
      </c>
      <c r="V912" s="5">
        <v>0</v>
      </c>
      <c r="W912" s="5">
        <v>0</v>
      </c>
      <c r="X912" s="2">
        <v>0</v>
      </c>
      <c r="Y912" t="s">
        <v>4</v>
      </c>
      <c r="Z912" t="s">
        <v>4</v>
      </c>
      <c r="AA912" t="s">
        <v>4</v>
      </c>
      <c r="AB912" t="s">
        <v>4</v>
      </c>
    </row>
    <row r="913" spans="1:28" x14ac:dyDescent="0.2">
      <c r="A913" t="s">
        <v>285</v>
      </c>
      <c r="B913" t="s">
        <v>2</v>
      </c>
      <c r="C913" t="s">
        <v>3</v>
      </c>
      <c r="D913" t="s">
        <v>4</v>
      </c>
      <c r="E913" t="s">
        <v>4</v>
      </c>
      <c r="F913" t="s">
        <v>5</v>
      </c>
      <c r="G913" t="s">
        <v>21</v>
      </c>
      <c r="H913" t="s">
        <v>3650</v>
      </c>
      <c r="I913" s="2">
        <v>30</v>
      </c>
      <c r="J913" s="2">
        <v>0</v>
      </c>
      <c r="K913" s="2">
        <v>0</v>
      </c>
      <c r="L913" s="3">
        <v>45805</v>
      </c>
      <c r="M913" s="3">
        <v>45805</v>
      </c>
      <c r="N913" s="3"/>
      <c r="O913" t="s">
        <v>3652</v>
      </c>
      <c r="P913" t="s">
        <v>9</v>
      </c>
      <c r="Q913" s="4">
        <v>0.90215277777778002</v>
      </c>
      <c r="R913" t="s">
        <v>5</v>
      </c>
      <c r="S913" t="s">
        <v>4</v>
      </c>
      <c r="T913" t="s">
        <v>3377</v>
      </c>
      <c r="U913" t="s">
        <v>10</v>
      </c>
      <c r="V913" s="5">
        <v>0</v>
      </c>
      <c r="W913" s="5">
        <v>0</v>
      </c>
      <c r="X913" s="2">
        <v>0</v>
      </c>
      <c r="Y913" t="s">
        <v>4</v>
      </c>
      <c r="Z913" t="s">
        <v>4</v>
      </c>
      <c r="AA913" t="s">
        <v>4</v>
      </c>
      <c r="AB913" t="s">
        <v>4</v>
      </c>
    </row>
    <row r="914" spans="1:28" x14ac:dyDescent="0.2">
      <c r="A914" t="s">
        <v>1462</v>
      </c>
      <c r="B914" t="s">
        <v>2</v>
      </c>
      <c r="C914" t="s">
        <v>3</v>
      </c>
      <c r="D914" t="s">
        <v>4</v>
      </c>
      <c r="E914" t="s">
        <v>4</v>
      </c>
      <c r="F914" t="s">
        <v>5</v>
      </c>
      <c r="G914" t="s">
        <v>17</v>
      </c>
      <c r="H914" t="s">
        <v>3653</v>
      </c>
      <c r="I914" s="2">
        <v>72</v>
      </c>
      <c r="J914" s="2">
        <v>0</v>
      </c>
      <c r="K914" s="2">
        <v>0</v>
      </c>
      <c r="L914" s="3">
        <v>45855</v>
      </c>
      <c r="M914" s="3">
        <v>45855</v>
      </c>
      <c r="N914" s="3"/>
      <c r="O914" t="s">
        <v>3654</v>
      </c>
      <c r="P914" t="s">
        <v>9</v>
      </c>
      <c r="Q914" s="4">
        <v>0.78077546296295997</v>
      </c>
      <c r="R914" t="s">
        <v>5</v>
      </c>
      <c r="S914" t="s">
        <v>4</v>
      </c>
      <c r="T914" t="s">
        <v>2350</v>
      </c>
      <c r="U914" t="s">
        <v>10</v>
      </c>
      <c r="V914" s="5">
        <v>0</v>
      </c>
      <c r="W914" s="5">
        <v>0</v>
      </c>
      <c r="X914" s="2">
        <v>0</v>
      </c>
      <c r="Y914" t="s">
        <v>4</v>
      </c>
      <c r="Z914" t="s">
        <v>4</v>
      </c>
      <c r="AA914" t="s">
        <v>4</v>
      </c>
      <c r="AB914" t="s">
        <v>4</v>
      </c>
    </row>
    <row r="915" spans="1:28" x14ac:dyDescent="0.2">
      <c r="A915" t="s">
        <v>491</v>
      </c>
      <c r="B915" t="s">
        <v>2</v>
      </c>
      <c r="C915" t="s">
        <v>3</v>
      </c>
      <c r="D915" t="s">
        <v>4</v>
      </c>
      <c r="E915" t="s">
        <v>4</v>
      </c>
      <c r="F915" t="s">
        <v>5</v>
      </c>
      <c r="G915" t="s">
        <v>17</v>
      </c>
      <c r="H915" t="s">
        <v>3655</v>
      </c>
      <c r="I915" s="2">
        <v>1440</v>
      </c>
      <c r="J915" s="2">
        <v>0</v>
      </c>
      <c r="K915" s="2">
        <v>0</v>
      </c>
      <c r="L915" s="3">
        <v>45806</v>
      </c>
      <c r="M915" s="3">
        <v>45806</v>
      </c>
      <c r="N915" s="3"/>
      <c r="O915" t="s">
        <v>3656</v>
      </c>
      <c r="P915" t="s">
        <v>9</v>
      </c>
      <c r="Q915" s="4">
        <v>0.96263888888889004</v>
      </c>
      <c r="R915" t="s">
        <v>5</v>
      </c>
      <c r="S915" t="s">
        <v>4</v>
      </c>
      <c r="T915" t="s">
        <v>3183</v>
      </c>
      <c r="U915" t="s">
        <v>10</v>
      </c>
      <c r="V915" s="5">
        <v>0</v>
      </c>
      <c r="W915" s="5">
        <v>0</v>
      </c>
      <c r="X915" s="2">
        <v>0</v>
      </c>
      <c r="Y915" t="s">
        <v>4</v>
      </c>
      <c r="Z915" t="s">
        <v>4</v>
      </c>
      <c r="AA915" t="s">
        <v>4</v>
      </c>
      <c r="AB915" t="s">
        <v>4</v>
      </c>
    </row>
    <row r="916" spans="1:28" x14ac:dyDescent="0.2">
      <c r="A916" t="s">
        <v>491</v>
      </c>
      <c r="B916" t="s">
        <v>2</v>
      </c>
      <c r="C916" t="s">
        <v>3</v>
      </c>
      <c r="D916" t="s">
        <v>4</v>
      </c>
      <c r="E916" t="s">
        <v>4</v>
      </c>
      <c r="F916" t="s">
        <v>5</v>
      </c>
      <c r="G916" t="s">
        <v>17</v>
      </c>
      <c r="H916" t="s">
        <v>3655</v>
      </c>
      <c r="I916" s="2">
        <v>1440</v>
      </c>
      <c r="J916" s="2">
        <v>0</v>
      </c>
      <c r="K916" s="2">
        <v>0</v>
      </c>
      <c r="L916" s="3">
        <v>45806</v>
      </c>
      <c r="M916" s="3">
        <v>45806</v>
      </c>
      <c r="N916" s="3"/>
      <c r="O916" t="s">
        <v>3657</v>
      </c>
      <c r="P916" t="s">
        <v>9</v>
      </c>
      <c r="Q916" s="4">
        <v>0.96263888888889004</v>
      </c>
      <c r="R916" t="s">
        <v>5</v>
      </c>
      <c r="S916" t="s">
        <v>4</v>
      </c>
      <c r="T916" t="s">
        <v>3183</v>
      </c>
      <c r="U916" t="s">
        <v>10</v>
      </c>
      <c r="V916" s="5">
        <v>0</v>
      </c>
      <c r="W916" s="5">
        <v>0</v>
      </c>
      <c r="X916" s="2">
        <v>0</v>
      </c>
      <c r="Y916" t="s">
        <v>4</v>
      </c>
      <c r="Z916" t="s">
        <v>4</v>
      </c>
      <c r="AA916" t="s">
        <v>4</v>
      </c>
      <c r="AB916" t="s">
        <v>4</v>
      </c>
    </row>
    <row r="917" spans="1:28" x14ac:dyDescent="0.2">
      <c r="A917" t="s">
        <v>1205</v>
      </c>
      <c r="B917" t="s">
        <v>2</v>
      </c>
      <c r="C917" t="s">
        <v>3</v>
      </c>
      <c r="D917" t="s">
        <v>4</v>
      </c>
      <c r="E917" t="s">
        <v>4</v>
      </c>
      <c r="F917" t="s">
        <v>5</v>
      </c>
      <c r="G917" t="s">
        <v>17</v>
      </c>
      <c r="H917" t="s">
        <v>3658</v>
      </c>
      <c r="I917" s="2">
        <v>100</v>
      </c>
      <c r="J917" s="2">
        <v>0</v>
      </c>
      <c r="K917" s="2">
        <v>0</v>
      </c>
      <c r="L917" s="3">
        <v>45670</v>
      </c>
      <c r="M917" s="3">
        <v>45670</v>
      </c>
      <c r="N917" s="3"/>
      <c r="O917" t="s">
        <v>3659</v>
      </c>
      <c r="P917" t="s">
        <v>9</v>
      </c>
      <c r="Q917" s="4">
        <v>0.86009259259258997</v>
      </c>
      <c r="R917" t="s">
        <v>5</v>
      </c>
      <c r="S917" t="s">
        <v>4</v>
      </c>
      <c r="T917" t="s">
        <v>2977</v>
      </c>
      <c r="U917" t="s">
        <v>10</v>
      </c>
      <c r="V917" s="5">
        <v>0</v>
      </c>
      <c r="W917" s="5">
        <v>0</v>
      </c>
      <c r="X917" s="2">
        <v>0</v>
      </c>
      <c r="Y917" t="s">
        <v>4</v>
      </c>
      <c r="Z917" t="s">
        <v>4</v>
      </c>
      <c r="AA917" t="s">
        <v>4</v>
      </c>
      <c r="AB917" t="s">
        <v>4</v>
      </c>
    </row>
    <row r="918" spans="1:28" x14ac:dyDescent="0.2">
      <c r="A918" t="s">
        <v>1205</v>
      </c>
      <c r="B918" t="s">
        <v>2</v>
      </c>
      <c r="C918" t="s">
        <v>3</v>
      </c>
      <c r="D918" t="s">
        <v>4</v>
      </c>
      <c r="E918" t="s">
        <v>4</v>
      </c>
      <c r="F918" t="s">
        <v>5</v>
      </c>
      <c r="G918" t="s">
        <v>17</v>
      </c>
      <c r="H918" t="s">
        <v>3658</v>
      </c>
      <c r="I918" s="2">
        <v>1200</v>
      </c>
      <c r="J918" s="2">
        <v>0</v>
      </c>
      <c r="K918" s="2">
        <v>0</v>
      </c>
      <c r="L918" s="3">
        <v>45692</v>
      </c>
      <c r="M918" s="3">
        <v>45692</v>
      </c>
      <c r="N918" s="3"/>
      <c r="O918" t="s">
        <v>3660</v>
      </c>
      <c r="P918" t="s">
        <v>9</v>
      </c>
      <c r="Q918" s="4">
        <v>0.86009259259258997</v>
      </c>
      <c r="R918" t="s">
        <v>5</v>
      </c>
      <c r="S918" t="s">
        <v>4</v>
      </c>
      <c r="T918" t="s">
        <v>3661</v>
      </c>
      <c r="U918" t="s">
        <v>10</v>
      </c>
      <c r="V918" s="5">
        <v>0</v>
      </c>
      <c r="W918" s="5">
        <v>0</v>
      </c>
      <c r="X918" s="2">
        <v>0</v>
      </c>
      <c r="Y918" t="s">
        <v>4</v>
      </c>
      <c r="Z918" t="s">
        <v>4</v>
      </c>
      <c r="AA918" t="s">
        <v>4</v>
      </c>
      <c r="AB918" t="s">
        <v>4</v>
      </c>
    </row>
    <row r="919" spans="1:28" x14ac:dyDescent="0.2">
      <c r="A919" t="s">
        <v>491</v>
      </c>
      <c r="B919" t="s">
        <v>2</v>
      </c>
      <c r="C919" t="s">
        <v>3</v>
      </c>
      <c r="D919" t="s">
        <v>4</v>
      </c>
      <c r="E919" t="s">
        <v>4</v>
      </c>
      <c r="F919" t="s">
        <v>5</v>
      </c>
      <c r="G919" t="s">
        <v>17</v>
      </c>
      <c r="H919" t="s">
        <v>3662</v>
      </c>
      <c r="I919" s="2">
        <v>1440</v>
      </c>
      <c r="J919" s="2">
        <v>0</v>
      </c>
      <c r="K919" s="2">
        <v>0</v>
      </c>
      <c r="L919" s="3">
        <v>45806</v>
      </c>
      <c r="M919" s="3">
        <v>45806</v>
      </c>
      <c r="N919" s="3"/>
      <c r="O919" t="s">
        <v>3663</v>
      </c>
      <c r="P919" t="s">
        <v>9</v>
      </c>
      <c r="Q919" s="4">
        <v>0.94421296296295998</v>
      </c>
      <c r="R919" t="s">
        <v>5</v>
      </c>
      <c r="S919" t="s">
        <v>4</v>
      </c>
      <c r="T919" t="s">
        <v>3183</v>
      </c>
      <c r="U919" t="s">
        <v>10</v>
      </c>
      <c r="V919" s="5">
        <v>0</v>
      </c>
      <c r="W919" s="5">
        <v>0</v>
      </c>
      <c r="X919" s="2">
        <v>0</v>
      </c>
      <c r="Y919" t="s">
        <v>4</v>
      </c>
      <c r="Z919" t="s">
        <v>4</v>
      </c>
      <c r="AA919" t="s">
        <v>4</v>
      </c>
      <c r="AB919" t="s">
        <v>4</v>
      </c>
    </row>
    <row r="920" spans="1:28" x14ac:dyDescent="0.2">
      <c r="A920" t="s">
        <v>491</v>
      </c>
      <c r="B920" t="s">
        <v>2</v>
      </c>
      <c r="C920" t="s">
        <v>3</v>
      </c>
      <c r="D920" t="s">
        <v>4</v>
      </c>
      <c r="E920" t="s">
        <v>4</v>
      </c>
      <c r="F920" t="s">
        <v>5</v>
      </c>
      <c r="G920" t="s">
        <v>17</v>
      </c>
      <c r="H920" t="s">
        <v>3662</v>
      </c>
      <c r="I920" s="2">
        <v>2160</v>
      </c>
      <c r="J920" s="2">
        <v>0</v>
      </c>
      <c r="K920" s="2">
        <v>0</v>
      </c>
      <c r="L920" s="3">
        <v>45836</v>
      </c>
      <c r="M920" s="3">
        <v>45836</v>
      </c>
      <c r="N920" s="3"/>
      <c r="O920" t="s">
        <v>3664</v>
      </c>
      <c r="P920" t="s">
        <v>9</v>
      </c>
      <c r="Q920" s="4">
        <v>0.94421296296295998</v>
      </c>
      <c r="R920" t="s">
        <v>5</v>
      </c>
      <c r="S920" t="s">
        <v>4</v>
      </c>
      <c r="T920" t="s">
        <v>2316</v>
      </c>
      <c r="U920" t="s">
        <v>10</v>
      </c>
      <c r="V920" s="5">
        <v>0</v>
      </c>
      <c r="W920" s="5">
        <v>0</v>
      </c>
      <c r="X920" s="2">
        <v>0</v>
      </c>
      <c r="Y920" t="s">
        <v>4</v>
      </c>
      <c r="Z920" t="s">
        <v>4</v>
      </c>
      <c r="AA920" t="s">
        <v>4</v>
      </c>
      <c r="AB920" t="s">
        <v>4</v>
      </c>
    </row>
    <row r="921" spans="1:28" x14ac:dyDescent="0.2">
      <c r="A921" t="s">
        <v>2251</v>
      </c>
      <c r="B921" t="s">
        <v>4</v>
      </c>
      <c r="C921" t="s">
        <v>4</v>
      </c>
      <c r="D921" t="s">
        <v>4</v>
      </c>
      <c r="E921" t="s">
        <v>4</v>
      </c>
      <c r="F921" t="s">
        <v>5</v>
      </c>
      <c r="G921" t="s">
        <v>17</v>
      </c>
      <c r="H921" t="s">
        <v>3665</v>
      </c>
      <c r="I921" s="5">
        <v>0</v>
      </c>
      <c r="J921" s="5">
        <v>0</v>
      </c>
      <c r="K921" s="5">
        <v>0</v>
      </c>
      <c r="L921" s="3"/>
      <c r="M921" s="3"/>
      <c r="N921" s="3"/>
      <c r="O921" t="s">
        <v>4</v>
      </c>
      <c r="P921" t="s">
        <v>9</v>
      </c>
      <c r="Q921" s="4">
        <v>0.46225694444443999</v>
      </c>
      <c r="R921" t="s">
        <v>4</v>
      </c>
      <c r="S921" t="s">
        <v>4</v>
      </c>
      <c r="T921" t="s">
        <v>2256</v>
      </c>
      <c r="U921" t="s">
        <v>4</v>
      </c>
      <c r="V921" s="5">
        <v>0</v>
      </c>
      <c r="W921" s="5">
        <v>0</v>
      </c>
      <c r="X921" s="2">
        <v>0</v>
      </c>
      <c r="Y921" t="s">
        <v>4</v>
      </c>
      <c r="Z921" t="s">
        <v>4</v>
      </c>
      <c r="AA921" t="s">
        <v>4</v>
      </c>
      <c r="AB921" t="s">
        <v>4</v>
      </c>
    </row>
    <row r="922" spans="1:28" x14ac:dyDescent="0.2">
      <c r="A922" t="s">
        <v>296</v>
      </c>
      <c r="B922" t="s">
        <v>2</v>
      </c>
      <c r="C922" t="s">
        <v>3</v>
      </c>
      <c r="D922" t="s">
        <v>4</v>
      </c>
      <c r="E922" t="s">
        <v>4</v>
      </c>
      <c r="F922" t="s">
        <v>5</v>
      </c>
      <c r="G922" t="s">
        <v>17</v>
      </c>
      <c r="H922" t="s">
        <v>3666</v>
      </c>
      <c r="I922" s="2">
        <v>350</v>
      </c>
      <c r="J922" s="2">
        <v>0</v>
      </c>
      <c r="K922" s="2">
        <v>0</v>
      </c>
      <c r="L922" s="3">
        <v>45859</v>
      </c>
      <c r="M922" s="3">
        <v>45859</v>
      </c>
      <c r="N922" s="3"/>
      <c r="O922" t="s">
        <v>3667</v>
      </c>
      <c r="P922" t="s">
        <v>9</v>
      </c>
      <c r="Q922" s="4">
        <v>0.45232638888888999</v>
      </c>
      <c r="R922" t="s">
        <v>5</v>
      </c>
      <c r="S922" t="s">
        <v>4</v>
      </c>
      <c r="T922" t="s">
        <v>2261</v>
      </c>
      <c r="U922" t="s">
        <v>10</v>
      </c>
      <c r="V922" s="5">
        <v>0</v>
      </c>
      <c r="W922" s="5">
        <v>0</v>
      </c>
      <c r="X922" s="2">
        <v>0</v>
      </c>
      <c r="Y922" t="s">
        <v>4</v>
      </c>
      <c r="Z922" t="s">
        <v>4</v>
      </c>
      <c r="AA922" t="s">
        <v>4</v>
      </c>
      <c r="AB922" t="s">
        <v>4</v>
      </c>
    </row>
    <row r="923" spans="1:28" x14ac:dyDescent="0.2">
      <c r="A923" t="s">
        <v>296</v>
      </c>
      <c r="B923" t="s">
        <v>2</v>
      </c>
      <c r="C923" t="s">
        <v>3</v>
      </c>
      <c r="D923" t="s">
        <v>4</v>
      </c>
      <c r="E923" t="s">
        <v>4</v>
      </c>
      <c r="F923" t="s">
        <v>5</v>
      </c>
      <c r="G923" t="s">
        <v>17</v>
      </c>
      <c r="H923" t="s">
        <v>3666</v>
      </c>
      <c r="I923" s="2">
        <v>420</v>
      </c>
      <c r="J923" s="2">
        <v>0</v>
      </c>
      <c r="K923" s="2">
        <v>0</v>
      </c>
      <c r="L923" s="3">
        <v>45859</v>
      </c>
      <c r="M923" s="3">
        <v>45859</v>
      </c>
      <c r="N923" s="3"/>
      <c r="O923" t="s">
        <v>3668</v>
      </c>
      <c r="P923" t="s">
        <v>9</v>
      </c>
      <c r="Q923" s="4">
        <v>0.45232638888888999</v>
      </c>
      <c r="R923" t="s">
        <v>5</v>
      </c>
      <c r="S923" t="s">
        <v>4</v>
      </c>
      <c r="T923" t="s">
        <v>2261</v>
      </c>
      <c r="U923" t="s">
        <v>10</v>
      </c>
      <c r="V923" s="5">
        <v>0</v>
      </c>
      <c r="W923" s="5">
        <v>0</v>
      </c>
      <c r="X923" s="2">
        <v>0</v>
      </c>
      <c r="Y923" t="s">
        <v>4</v>
      </c>
      <c r="Z923" t="s">
        <v>4</v>
      </c>
      <c r="AA923" t="s">
        <v>4</v>
      </c>
      <c r="AB923" t="s">
        <v>4</v>
      </c>
    </row>
    <row r="924" spans="1:28" x14ac:dyDescent="0.2">
      <c r="A924" t="s">
        <v>0</v>
      </c>
      <c r="B924" t="s">
        <v>2</v>
      </c>
      <c r="C924" t="s">
        <v>3</v>
      </c>
      <c r="D924" t="s">
        <v>4</v>
      </c>
      <c r="E924" t="s">
        <v>4</v>
      </c>
      <c r="F924" t="s">
        <v>5</v>
      </c>
      <c r="G924" t="s">
        <v>6</v>
      </c>
      <c r="H924" t="s">
        <v>98</v>
      </c>
      <c r="I924" s="2">
        <v>196</v>
      </c>
      <c r="J924" s="2">
        <v>0</v>
      </c>
      <c r="K924" s="2">
        <v>0</v>
      </c>
      <c r="L924" s="3">
        <v>45819</v>
      </c>
      <c r="M924" s="3">
        <v>45819</v>
      </c>
      <c r="N924" s="3"/>
      <c r="O924" t="s">
        <v>100</v>
      </c>
      <c r="P924" t="s">
        <v>9</v>
      </c>
      <c r="Q924" s="4">
        <v>0.48634259259259</v>
      </c>
      <c r="R924" t="s">
        <v>5</v>
      </c>
      <c r="S924" t="s">
        <v>4</v>
      </c>
      <c r="T924" t="s">
        <v>2263</v>
      </c>
      <c r="U924" t="s">
        <v>10</v>
      </c>
      <c r="V924" s="5">
        <v>0</v>
      </c>
      <c r="W924" s="5">
        <v>0</v>
      </c>
      <c r="X924" s="2">
        <v>0</v>
      </c>
      <c r="Y924" t="s">
        <v>4</v>
      </c>
      <c r="Z924" t="s">
        <v>4</v>
      </c>
      <c r="AA924" t="s">
        <v>4</v>
      </c>
      <c r="AB924" t="s">
        <v>4</v>
      </c>
    </row>
    <row r="925" spans="1:28" x14ac:dyDescent="0.2">
      <c r="A925" t="s">
        <v>0</v>
      </c>
      <c r="B925" t="s">
        <v>2</v>
      </c>
      <c r="C925" t="s">
        <v>3</v>
      </c>
      <c r="D925" t="s">
        <v>4</v>
      </c>
      <c r="E925" t="s">
        <v>4</v>
      </c>
      <c r="F925" t="s">
        <v>5</v>
      </c>
      <c r="G925" t="s">
        <v>6</v>
      </c>
      <c r="H925" t="s">
        <v>98</v>
      </c>
      <c r="I925" s="2">
        <v>196</v>
      </c>
      <c r="J925" s="2">
        <v>0</v>
      </c>
      <c r="K925" s="2">
        <v>0</v>
      </c>
      <c r="L925" s="3">
        <v>45819</v>
      </c>
      <c r="M925" s="3">
        <v>45819</v>
      </c>
      <c r="N925" s="3"/>
      <c r="O925" t="s">
        <v>99</v>
      </c>
      <c r="P925" t="s">
        <v>9</v>
      </c>
      <c r="Q925" s="4">
        <v>0.48634259259259</v>
      </c>
      <c r="R925" t="s">
        <v>5</v>
      </c>
      <c r="S925" t="s">
        <v>4</v>
      </c>
      <c r="T925" t="s">
        <v>2263</v>
      </c>
      <c r="U925" t="s">
        <v>10</v>
      </c>
      <c r="V925" s="5">
        <v>0</v>
      </c>
      <c r="W925" s="5">
        <v>0</v>
      </c>
      <c r="X925" s="2">
        <v>0</v>
      </c>
      <c r="Y925" t="s">
        <v>4</v>
      </c>
      <c r="Z925" t="s">
        <v>4</v>
      </c>
      <c r="AA925" t="s">
        <v>4</v>
      </c>
      <c r="AB925" t="s">
        <v>4</v>
      </c>
    </row>
    <row r="926" spans="1:28" x14ac:dyDescent="0.2">
      <c r="A926" t="s">
        <v>1139</v>
      </c>
      <c r="B926" t="s">
        <v>2</v>
      </c>
      <c r="C926" t="s">
        <v>3</v>
      </c>
      <c r="D926" t="s">
        <v>4</v>
      </c>
      <c r="E926" t="s">
        <v>4</v>
      </c>
      <c r="F926" t="s">
        <v>5</v>
      </c>
      <c r="G926" t="s">
        <v>6</v>
      </c>
      <c r="H926" t="s">
        <v>3669</v>
      </c>
      <c r="I926" s="2">
        <v>432</v>
      </c>
      <c r="J926" s="2">
        <v>0</v>
      </c>
      <c r="K926" s="2">
        <v>0</v>
      </c>
      <c r="L926" s="3">
        <v>45848</v>
      </c>
      <c r="M926" s="3">
        <v>45848</v>
      </c>
      <c r="N926" s="3"/>
      <c r="O926" t="s">
        <v>3670</v>
      </c>
      <c r="P926" t="s">
        <v>9</v>
      </c>
      <c r="Q926" s="4">
        <v>0.44504629629629999</v>
      </c>
      <c r="R926" t="s">
        <v>5</v>
      </c>
      <c r="S926" t="s">
        <v>4</v>
      </c>
      <c r="T926" t="s">
        <v>2580</v>
      </c>
      <c r="U926" t="s">
        <v>10</v>
      </c>
      <c r="V926" s="5">
        <v>0</v>
      </c>
      <c r="W926" s="5">
        <v>0</v>
      </c>
      <c r="X926" s="2">
        <v>0</v>
      </c>
      <c r="Y926" t="s">
        <v>4</v>
      </c>
      <c r="Z926" t="s">
        <v>4</v>
      </c>
      <c r="AA926" t="s">
        <v>4</v>
      </c>
      <c r="AB926" t="s">
        <v>4</v>
      </c>
    </row>
    <row r="927" spans="1:28" x14ac:dyDescent="0.2">
      <c r="A927" t="s">
        <v>1139</v>
      </c>
      <c r="B927" t="s">
        <v>2</v>
      </c>
      <c r="C927" t="s">
        <v>3</v>
      </c>
      <c r="D927" t="s">
        <v>4</v>
      </c>
      <c r="E927" t="s">
        <v>4</v>
      </c>
      <c r="F927" t="s">
        <v>5</v>
      </c>
      <c r="G927" t="s">
        <v>6</v>
      </c>
      <c r="H927" t="s">
        <v>3669</v>
      </c>
      <c r="I927" s="2">
        <v>432</v>
      </c>
      <c r="J927" s="2">
        <v>0</v>
      </c>
      <c r="K927" s="2">
        <v>0</v>
      </c>
      <c r="L927" s="3">
        <v>45848</v>
      </c>
      <c r="M927" s="3">
        <v>45848</v>
      </c>
      <c r="N927" s="3"/>
      <c r="O927" t="s">
        <v>3671</v>
      </c>
      <c r="P927" t="s">
        <v>9</v>
      </c>
      <c r="Q927" s="4">
        <v>0.44504629629629999</v>
      </c>
      <c r="R927" t="s">
        <v>5</v>
      </c>
      <c r="S927" t="s">
        <v>4</v>
      </c>
      <c r="T927" t="s">
        <v>2580</v>
      </c>
      <c r="U927" t="s">
        <v>10</v>
      </c>
      <c r="V927" s="5">
        <v>0</v>
      </c>
      <c r="W927" s="5">
        <v>0</v>
      </c>
      <c r="X927" s="2">
        <v>0</v>
      </c>
      <c r="Y927" t="s">
        <v>4</v>
      </c>
      <c r="Z927" t="s">
        <v>4</v>
      </c>
      <c r="AA927" t="s">
        <v>4</v>
      </c>
      <c r="AB927" t="s">
        <v>4</v>
      </c>
    </row>
    <row r="928" spans="1:28" x14ac:dyDescent="0.2">
      <c r="A928" t="s">
        <v>0</v>
      </c>
      <c r="B928" t="s">
        <v>2</v>
      </c>
      <c r="C928" t="s">
        <v>3</v>
      </c>
      <c r="D928" t="s">
        <v>4</v>
      </c>
      <c r="E928" t="s">
        <v>4</v>
      </c>
      <c r="F928" t="s">
        <v>5</v>
      </c>
      <c r="G928" t="s">
        <v>6</v>
      </c>
      <c r="H928" t="s">
        <v>101</v>
      </c>
      <c r="I928" s="2">
        <v>196</v>
      </c>
      <c r="J928" s="2">
        <v>0</v>
      </c>
      <c r="K928" s="2">
        <v>0</v>
      </c>
      <c r="L928" s="3">
        <v>45820</v>
      </c>
      <c r="M928" s="3">
        <v>45820</v>
      </c>
      <c r="N928" s="3"/>
      <c r="O928" t="s">
        <v>102</v>
      </c>
      <c r="P928" t="s">
        <v>9</v>
      </c>
      <c r="Q928" s="4">
        <v>0.90627314814814997</v>
      </c>
      <c r="R928" t="s">
        <v>5</v>
      </c>
      <c r="S928" t="s">
        <v>4</v>
      </c>
      <c r="T928" t="s">
        <v>3198</v>
      </c>
      <c r="U928" t="s">
        <v>10</v>
      </c>
      <c r="V928" s="5">
        <v>0</v>
      </c>
      <c r="W928" s="5">
        <v>0</v>
      </c>
      <c r="X928" s="2">
        <v>0</v>
      </c>
      <c r="Y928" t="s">
        <v>4</v>
      </c>
      <c r="Z928" t="s">
        <v>4</v>
      </c>
      <c r="AA928" t="s">
        <v>4</v>
      </c>
      <c r="AB928" t="s">
        <v>4</v>
      </c>
    </row>
    <row r="929" spans="1:28" x14ac:dyDescent="0.2">
      <c r="A929" t="s">
        <v>0</v>
      </c>
      <c r="B929" t="s">
        <v>2</v>
      </c>
      <c r="C929" t="s">
        <v>3</v>
      </c>
      <c r="D929" t="s">
        <v>4</v>
      </c>
      <c r="E929" t="s">
        <v>4</v>
      </c>
      <c r="F929" t="s">
        <v>5</v>
      </c>
      <c r="G929" t="s">
        <v>6</v>
      </c>
      <c r="H929" t="s">
        <v>101</v>
      </c>
      <c r="I929" s="2">
        <v>196</v>
      </c>
      <c r="J929" s="2">
        <v>0</v>
      </c>
      <c r="K929" s="2">
        <v>0</v>
      </c>
      <c r="L929" s="3">
        <v>45820</v>
      </c>
      <c r="M929" s="3">
        <v>45820</v>
      </c>
      <c r="N929" s="3"/>
      <c r="O929" t="s">
        <v>103</v>
      </c>
      <c r="P929" t="s">
        <v>9</v>
      </c>
      <c r="Q929" s="4">
        <v>0.90627314814814997</v>
      </c>
      <c r="R929" t="s">
        <v>5</v>
      </c>
      <c r="S929" t="s">
        <v>4</v>
      </c>
      <c r="T929" t="s">
        <v>3198</v>
      </c>
      <c r="U929" t="s">
        <v>10</v>
      </c>
      <c r="V929" s="5">
        <v>0</v>
      </c>
      <c r="W929" s="5">
        <v>0</v>
      </c>
      <c r="X929" s="2">
        <v>0</v>
      </c>
      <c r="Y929" t="s">
        <v>4</v>
      </c>
      <c r="Z929" t="s">
        <v>4</v>
      </c>
      <c r="AA929" t="s">
        <v>4</v>
      </c>
      <c r="AB929" t="s">
        <v>4</v>
      </c>
    </row>
    <row r="930" spans="1:28" x14ac:dyDescent="0.2">
      <c r="A930" t="s">
        <v>1131</v>
      </c>
      <c r="B930" t="s">
        <v>2</v>
      </c>
      <c r="C930" t="s">
        <v>3</v>
      </c>
      <c r="D930" t="s">
        <v>4</v>
      </c>
      <c r="E930" t="s">
        <v>4</v>
      </c>
      <c r="F930" t="s">
        <v>5</v>
      </c>
      <c r="G930" t="s">
        <v>6</v>
      </c>
      <c r="H930" t="s">
        <v>3672</v>
      </c>
      <c r="I930" s="5">
        <v>186.58</v>
      </c>
      <c r="J930" s="2">
        <v>0</v>
      </c>
      <c r="K930" s="2">
        <v>0</v>
      </c>
      <c r="L930" s="3">
        <v>45841</v>
      </c>
      <c r="M930" s="3">
        <v>45841</v>
      </c>
      <c r="N930" s="3"/>
      <c r="O930" t="s">
        <v>3673</v>
      </c>
      <c r="P930" t="s">
        <v>9</v>
      </c>
      <c r="Q930" s="4">
        <v>0.48008101851851998</v>
      </c>
      <c r="R930" t="s">
        <v>5</v>
      </c>
      <c r="S930" t="s">
        <v>4</v>
      </c>
      <c r="T930" t="s">
        <v>3152</v>
      </c>
      <c r="U930" t="s">
        <v>10</v>
      </c>
      <c r="V930" s="5">
        <v>0</v>
      </c>
      <c r="W930" s="5">
        <v>0</v>
      </c>
      <c r="X930" s="2">
        <v>0</v>
      </c>
      <c r="Y930" t="s">
        <v>2351</v>
      </c>
      <c r="Z930" t="s">
        <v>2351</v>
      </c>
      <c r="AA930" t="s">
        <v>2351</v>
      </c>
      <c r="AB930" t="s">
        <v>2351</v>
      </c>
    </row>
    <row r="931" spans="1:28" x14ac:dyDescent="0.2">
      <c r="A931" t="s">
        <v>1573</v>
      </c>
      <c r="B931" t="s">
        <v>2</v>
      </c>
      <c r="C931" t="s">
        <v>3</v>
      </c>
      <c r="D931" t="s">
        <v>4</v>
      </c>
      <c r="E931" t="s">
        <v>4</v>
      </c>
      <c r="F931" t="s">
        <v>5</v>
      </c>
      <c r="G931" t="s">
        <v>6</v>
      </c>
      <c r="H931" t="s">
        <v>3674</v>
      </c>
      <c r="I931" s="2">
        <v>45</v>
      </c>
      <c r="J931" s="2">
        <v>0</v>
      </c>
      <c r="K931" s="2">
        <v>0</v>
      </c>
      <c r="L931" s="3">
        <v>45859</v>
      </c>
      <c r="M931" s="3">
        <v>45859</v>
      </c>
      <c r="N931" s="3"/>
      <c r="O931" t="s">
        <v>3675</v>
      </c>
      <c r="P931" t="s">
        <v>9</v>
      </c>
      <c r="Q931" s="4">
        <v>0.57871527777777998</v>
      </c>
      <c r="R931" t="s">
        <v>5</v>
      </c>
      <c r="S931" t="s">
        <v>4</v>
      </c>
      <c r="T931" t="s">
        <v>2261</v>
      </c>
      <c r="U931" t="s">
        <v>10</v>
      </c>
      <c r="V931" s="5">
        <v>0</v>
      </c>
      <c r="W931" s="5">
        <v>0</v>
      </c>
      <c r="X931" s="2">
        <v>0</v>
      </c>
      <c r="Y931" t="s">
        <v>4</v>
      </c>
      <c r="Z931" t="s">
        <v>4</v>
      </c>
      <c r="AA931" t="s">
        <v>4</v>
      </c>
      <c r="AB931" t="s">
        <v>4</v>
      </c>
    </row>
    <row r="932" spans="1:28" x14ac:dyDescent="0.2">
      <c r="A932" t="s">
        <v>1573</v>
      </c>
      <c r="B932" t="s">
        <v>2</v>
      </c>
      <c r="C932" t="s">
        <v>3</v>
      </c>
      <c r="D932" t="s">
        <v>4</v>
      </c>
      <c r="E932" t="s">
        <v>4</v>
      </c>
      <c r="F932" t="s">
        <v>5</v>
      </c>
      <c r="G932" t="s">
        <v>6</v>
      </c>
      <c r="H932" t="s">
        <v>3674</v>
      </c>
      <c r="I932" s="2">
        <v>45</v>
      </c>
      <c r="J932" s="2">
        <v>0</v>
      </c>
      <c r="K932" s="2">
        <v>0</v>
      </c>
      <c r="L932" s="3">
        <v>45859</v>
      </c>
      <c r="M932" s="3">
        <v>45859</v>
      </c>
      <c r="N932" s="3"/>
      <c r="O932" t="s">
        <v>3676</v>
      </c>
      <c r="P932" t="s">
        <v>9</v>
      </c>
      <c r="Q932" s="4">
        <v>0.57871527777777998</v>
      </c>
      <c r="R932" t="s">
        <v>5</v>
      </c>
      <c r="S932" t="s">
        <v>4</v>
      </c>
      <c r="T932" t="s">
        <v>2261</v>
      </c>
      <c r="U932" t="s">
        <v>10</v>
      </c>
      <c r="V932" s="5">
        <v>0</v>
      </c>
      <c r="W932" s="5">
        <v>0</v>
      </c>
      <c r="X932" s="2">
        <v>0</v>
      </c>
      <c r="Y932" t="s">
        <v>4</v>
      </c>
      <c r="Z932" t="s">
        <v>4</v>
      </c>
      <c r="AA932" t="s">
        <v>4</v>
      </c>
      <c r="AB932" t="s">
        <v>4</v>
      </c>
    </row>
    <row r="933" spans="1:28" x14ac:dyDescent="0.2">
      <c r="A933" t="s">
        <v>2043</v>
      </c>
      <c r="B933" t="s">
        <v>2</v>
      </c>
      <c r="C933" t="s">
        <v>3</v>
      </c>
      <c r="D933" t="s">
        <v>4</v>
      </c>
      <c r="E933" t="s">
        <v>4</v>
      </c>
      <c r="F933" t="s">
        <v>5</v>
      </c>
      <c r="G933" t="s">
        <v>6</v>
      </c>
      <c r="H933" t="s">
        <v>3677</v>
      </c>
      <c r="I933" s="2">
        <v>108</v>
      </c>
      <c r="J933" s="2">
        <v>0</v>
      </c>
      <c r="K933" s="2">
        <v>0</v>
      </c>
      <c r="L933" s="3">
        <v>45849</v>
      </c>
      <c r="M933" s="3">
        <v>45849</v>
      </c>
      <c r="N933" s="3"/>
      <c r="O933" t="s">
        <v>3678</v>
      </c>
      <c r="P933" t="s">
        <v>9</v>
      </c>
      <c r="Q933" s="4">
        <v>0.57131944444444005</v>
      </c>
      <c r="R933" t="s">
        <v>5</v>
      </c>
      <c r="S933" t="s">
        <v>4</v>
      </c>
      <c r="T933" t="s">
        <v>2321</v>
      </c>
      <c r="U933" t="s">
        <v>10</v>
      </c>
      <c r="V933" s="5">
        <v>0</v>
      </c>
      <c r="W933" s="5">
        <v>0</v>
      </c>
      <c r="X933" s="2">
        <v>0</v>
      </c>
      <c r="Y933" t="s">
        <v>4</v>
      </c>
      <c r="Z933" t="s">
        <v>4</v>
      </c>
      <c r="AA933" t="s">
        <v>4</v>
      </c>
      <c r="AB933" t="s">
        <v>4</v>
      </c>
    </row>
    <row r="934" spans="1:28" x14ac:dyDescent="0.2">
      <c r="A934" t="s">
        <v>2043</v>
      </c>
      <c r="B934" t="s">
        <v>2</v>
      </c>
      <c r="C934" t="s">
        <v>3</v>
      </c>
      <c r="D934" t="s">
        <v>4</v>
      </c>
      <c r="E934" t="s">
        <v>4</v>
      </c>
      <c r="F934" t="s">
        <v>5</v>
      </c>
      <c r="G934" t="s">
        <v>6</v>
      </c>
      <c r="H934" t="s">
        <v>3677</v>
      </c>
      <c r="I934" s="2">
        <v>108</v>
      </c>
      <c r="J934" s="2">
        <v>0</v>
      </c>
      <c r="K934" s="2">
        <v>0</v>
      </c>
      <c r="L934" s="3">
        <v>45849</v>
      </c>
      <c r="M934" s="3">
        <v>45849</v>
      </c>
      <c r="N934" s="3"/>
      <c r="O934" t="s">
        <v>3679</v>
      </c>
      <c r="P934" t="s">
        <v>9</v>
      </c>
      <c r="Q934" s="4">
        <v>0.57131944444444005</v>
      </c>
      <c r="R934" t="s">
        <v>5</v>
      </c>
      <c r="S934" t="s">
        <v>4</v>
      </c>
      <c r="T934" t="s">
        <v>2321</v>
      </c>
      <c r="U934" t="s">
        <v>10</v>
      </c>
      <c r="V934" s="5">
        <v>0</v>
      </c>
      <c r="W934" s="5">
        <v>0</v>
      </c>
      <c r="X934" s="2">
        <v>0</v>
      </c>
      <c r="Y934" t="s">
        <v>4</v>
      </c>
      <c r="Z934" t="s">
        <v>4</v>
      </c>
      <c r="AA934" t="s">
        <v>4</v>
      </c>
      <c r="AB934" t="s">
        <v>4</v>
      </c>
    </row>
    <row r="935" spans="1:28" x14ac:dyDescent="0.2">
      <c r="A935" t="s">
        <v>1339</v>
      </c>
      <c r="B935" t="s">
        <v>2</v>
      </c>
      <c r="C935" t="s">
        <v>3</v>
      </c>
      <c r="D935" t="s">
        <v>4</v>
      </c>
      <c r="E935" t="s">
        <v>4</v>
      </c>
      <c r="F935" t="s">
        <v>5</v>
      </c>
      <c r="G935" t="s">
        <v>21</v>
      </c>
      <c r="H935" t="s">
        <v>3680</v>
      </c>
      <c r="I935" s="2">
        <v>1000</v>
      </c>
      <c r="J935" s="2">
        <v>0</v>
      </c>
      <c r="K935" s="2">
        <v>0</v>
      </c>
      <c r="L935" s="3">
        <v>45847</v>
      </c>
      <c r="M935" s="3">
        <v>45847</v>
      </c>
      <c r="N935" s="3"/>
      <c r="O935" t="s">
        <v>3681</v>
      </c>
      <c r="P935" t="s">
        <v>9</v>
      </c>
      <c r="Q935" s="4">
        <v>0.76591435185184997</v>
      </c>
      <c r="R935" t="s">
        <v>5</v>
      </c>
      <c r="S935" t="s">
        <v>4</v>
      </c>
      <c r="T935" t="s">
        <v>2341</v>
      </c>
      <c r="U935" t="s">
        <v>10</v>
      </c>
      <c r="V935" s="5">
        <v>0</v>
      </c>
      <c r="W935" s="5">
        <v>0</v>
      </c>
      <c r="X935" s="2">
        <v>0</v>
      </c>
      <c r="Y935" t="s">
        <v>4</v>
      </c>
      <c r="Z935" t="s">
        <v>4</v>
      </c>
      <c r="AA935" t="s">
        <v>4</v>
      </c>
      <c r="AB935" t="s">
        <v>4</v>
      </c>
    </row>
    <row r="936" spans="1:28" x14ac:dyDescent="0.2">
      <c r="A936" t="s">
        <v>1339</v>
      </c>
      <c r="B936" t="s">
        <v>2</v>
      </c>
      <c r="C936" t="s">
        <v>3</v>
      </c>
      <c r="D936" t="s">
        <v>4</v>
      </c>
      <c r="E936" t="s">
        <v>4</v>
      </c>
      <c r="F936" t="s">
        <v>5</v>
      </c>
      <c r="G936" t="s">
        <v>21</v>
      </c>
      <c r="H936" t="s">
        <v>3680</v>
      </c>
      <c r="I936" s="2">
        <v>1000</v>
      </c>
      <c r="J936" s="2">
        <v>0</v>
      </c>
      <c r="K936" s="2">
        <v>0</v>
      </c>
      <c r="L936" s="3">
        <v>45847</v>
      </c>
      <c r="M936" s="3">
        <v>45847</v>
      </c>
      <c r="N936" s="3"/>
      <c r="O936" t="s">
        <v>3682</v>
      </c>
      <c r="P936" t="s">
        <v>9</v>
      </c>
      <c r="Q936" s="4">
        <v>0.76591435185184997</v>
      </c>
      <c r="R936" t="s">
        <v>5</v>
      </c>
      <c r="S936" t="s">
        <v>4</v>
      </c>
      <c r="T936" t="s">
        <v>2341</v>
      </c>
      <c r="U936" t="s">
        <v>10</v>
      </c>
      <c r="V936" s="5">
        <v>0</v>
      </c>
      <c r="W936" s="5">
        <v>0</v>
      </c>
      <c r="X936" s="2">
        <v>0</v>
      </c>
      <c r="Y936" t="s">
        <v>4</v>
      </c>
      <c r="Z936" t="s">
        <v>4</v>
      </c>
      <c r="AA936" t="s">
        <v>4</v>
      </c>
      <c r="AB936" t="s">
        <v>4</v>
      </c>
    </row>
    <row r="937" spans="1:28" x14ac:dyDescent="0.2">
      <c r="A937" t="s">
        <v>1145</v>
      </c>
      <c r="B937" t="s">
        <v>2</v>
      </c>
      <c r="C937" t="s">
        <v>3</v>
      </c>
      <c r="D937" t="s">
        <v>4</v>
      </c>
      <c r="E937" t="s">
        <v>4</v>
      </c>
      <c r="F937" t="s">
        <v>5</v>
      </c>
      <c r="G937" t="s">
        <v>21</v>
      </c>
      <c r="H937" t="s">
        <v>3683</v>
      </c>
      <c r="I937" s="2">
        <v>450</v>
      </c>
      <c r="J937" s="2">
        <v>0</v>
      </c>
      <c r="K937" s="2">
        <v>0</v>
      </c>
      <c r="L937" s="3">
        <v>45686</v>
      </c>
      <c r="M937" s="3">
        <v>45686</v>
      </c>
      <c r="N937" s="3"/>
      <c r="O937" t="s">
        <v>3684</v>
      </c>
      <c r="P937" t="s">
        <v>9</v>
      </c>
      <c r="Q937" s="4">
        <v>0.69090277777777998</v>
      </c>
      <c r="R937" t="s">
        <v>5</v>
      </c>
      <c r="S937" t="s">
        <v>4</v>
      </c>
      <c r="T937" t="s">
        <v>2718</v>
      </c>
      <c r="U937" t="s">
        <v>10</v>
      </c>
      <c r="V937" s="5">
        <v>0</v>
      </c>
      <c r="W937" s="5">
        <v>0</v>
      </c>
      <c r="X937" s="2">
        <v>0</v>
      </c>
      <c r="Y937" t="s">
        <v>4</v>
      </c>
      <c r="Z937" t="s">
        <v>4</v>
      </c>
      <c r="AA937" t="s">
        <v>4</v>
      </c>
      <c r="AB937" t="s">
        <v>4</v>
      </c>
    </row>
    <row r="938" spans="1:28" x14ac:dyDescent="0.2">
      <c r="A938" t="s">
        <v>1145</v>
      </c>
      <c r="B938" t="s">
        <v>2</v>
      </c>
      <c r="C938" t="s">
        <v>3</v>
      </c>
      <c r="D938" t="s">
        <v>4</v>
      </c>
      <c r="E938" t="s">
        <v>4</v>
      </c>
      <c r="F938" t="s">
        <v>5</v>
      </c>
      <c r="G938" t="s">
        <v>21</v>
      </c>
      <c r="H938" t="s">
        <v>3683</v>
      </c>
      <c r="I938" s="2">
        <v>450</v>
      </c>
      <c r="J938" s="2">
        <v>0</v>
      </c>
      <c r="K938" s="2">
        <v>0</v>
      </c>
      <c r="L938" s="3">
        <v>45686</v>
      </c>
      <c r="M938" s="3">
        <v>45686</v>
      </c>
      <c r="N938" s="3"/>
      <c r="O938" t="s">
        <v>3685</v>
      </c>
      <c r="P938" t="s">
        <v>9</v>
      </c>
      <c r="Q938" s="4">
        <v>0.69090277777777998</v>
      </c>
      <c r="R938" t="s">
        <v>5</v>
      </c>
      <c r="S938" t="s">
        <v>4</v>
      </c>
      <c r="T938" t="s">
        <v>2718</v>
      </c>
      <c r="U938" t="s">
        <v>10</v>
      </c>
      <c r="V938" s="5">
        <v>0</v>
      </c>
      <c r="W938" s="5">
        <v>0</v>
      </c>
      <c r="X938" s="2">
        <v>0</v>
      </c>
      <c r="Y938" t="s">
        <v>4</v>
      </c>
      <c r="Z938" t="s">
        <v>4</v>
      </c>
      <c r="AA938" t="s">
        <v>4</v>
      </c>
      <c r="AB938" t="s">
        <v>4</v>
      </c>
    </row>
    <row r="939" spans="1:28" x14ac:dyDescent="0.2">
      <c r="A939" t="s">
        <v>1139</v>
      </c>
      <c r="B939" t="s">
        <v>2</v>
      </c>
      <c r="C939" t="s">
        <v>3</v>
      </c>
      <c r="D939" t="s">
        <v>4</v>
      </c>
      <c r="E939" t="s">
        <v>4</v>
      </c>
      <c r="F939" t="s">
        <v>5</v>
      </c>
      <c r="G939" t="s">
        <v>21</v>
      </c>
      <c r="H939" t="s">
        <v>3686</v>
      </c>
      <c r="I939" s="2">
        <v>432</v>
      </c>
      <c r="J939" s="2">
        <v>0</v>
      </c>
      <c r="K939" s="2">
        <v>0</v>
      </c>
      <c r="L939" s="3">
        <v>45832</v>
      </c>
      <c r="M939" s="3">
        <v>45832</v>
      </c>
      <c r="N939" s="3"/>
      <c r="O939" t="s">
        <v>3687</v>
      </c>
      <c r="P939" t="s">
        <v>9</v>
      </c>
      <c r="Q939" s="4">
        <v>0.47685185185184997</v>
      </c>
      <c r="R939" t="s">
        <v>5</v>
      </c>
      <c r="S939" t="s">
        <v>4</v>
      </c>
      <c r="T939" t="s">
        <v>2665</v>
      </c>
      <c r="U939" t="s">
        <v>10</v>
      </c>
      <c r="V939" s="5">
        <v>0</v>
      </c>
      <c r="W939" s="5">
        <v>0</v>
      </c>
      <c r="X939" s="2">
        <v>0</v>
      </c>
      <c r="Y939" t="s">
        <v>4</v>
      </c>
      <c r="Z939" t="s">
        <v>4</v>
      </c>
      <c r="AA939" t="s">
        <v>4</v>
      </c>
      <c r="AB939" t="s">
        <v>4</v>
      </c>
    </row>
    <row r="940" spans="1:28" x14ac:dyDescent="0.2">
      <c r="A940" t="s">
        <v>1139</v>
      </c>
      <c r="B940" t="s">
        <v>2</v>
      </c>
      <c r="C940" t="s">
        <v>3</v>
      </c>
      <c r="D940" t="s">
        <v>4</v>
      </c>
      <c r="E940" t="s">
        <v>4</v>
      </c>
      <c r="F940" t="s">
        <v>5</v>
      </c>
      <c r="G940" t="s">
        <v>21</v>
      </c>
      <c r="H940" t="s">
        <v>3686</v>
      </c>
      <c r="I940" s="2">
        <v>432</v>
      </c>
      <c r="J940" s="2">
        <v>0</v>
      </c>
      <c r="K940" s="2">
        <v>0</v>
      </c>
      <c r="L940" s="3">
        <v>45832</v>
      </c>
      <c r="M940" s="3">
        <v>45832</v>
      </c>
      <c r="N940" s="3"/>
      <c r="O940" t="s">
        <v>3688</v>
      </c>
      <c r="P940" t="s">
        <v>9</v>
      </c>
      <c r="Q940" s="4">
        <v>0.47685185185184997</v>
      </c>
      <c r="R940" t="s">
        <v>5</v>
      </c>
      <c r="S940" t="s">
        <v>4</v>
      </c>
      <c r="T940" t="s">
        <v>2665</v>
      </c>
      <c r="U940" t="s">
        <v>10</v>
      </c>
      <c r="V940" s="5">
        <v>0</v>
      </c>
      <c r="W940" s="5">
        <v>0</v>
      </c>
      <c r="X940" s="2">
        <v>0</v>
      </c>
      <c r="Y940" t="s">
        <v>4</v>
      </c>
      <c r="Z940" t="s">
        <v>4</v>
      </c>
      <c r="AA940" t="s">
        <v>4</v>
      </c>
      <c r="AB940" t="s">
        <v>4</v>
      </c>
    </row>
    <row r="941" spans="1:28" x14ac:dyDescent="0.2">
      <c r="A941" t="s">
        <v>1035</v>
      </c>
      <c r="B941" t="s">
        <v>2</v>
      </c>
      <c r="C941" t="s">
        <v>3</v>
      </c>
      <c r="D941" t="s">
        <v>4</v>
      </c>
      <c r="E941" t="s">
        <v>4</v>
      </c>
      <c r="F941" t="s">
        <v>5</v>
      </c>
      <c r="G941" t="s">
        <v>21</v>
      </c>
      <c r="H941" t="s">
        <v>3689</v>
      </c>
      <c r="I941" s="2">
        <v>90</v>
      </c>
      <c r="J941" s="2">
        <v>0</v>
      </c>
      <c r="K941" s="2">
        <v>0</v>
      </c>
      <c r="L941" s="3">
        <v>45859</v>
      </c>
      <c r="M941" s="3">
        <v>45859</v>
      </c>
      <c r="N941" s="3"/>
      <c r="O941" t="s">
        <v>3690</v>
      </c>
      <c r="P941" t="s">
        <v>9</v>
      </c>
      <c r="Q941" s="4">
        <v>0.55840277777778002</v>
      </c>
      <c r="R941" t="s">
        <v>5</v>
      </c>
      <c r="S941" t="s">
        <v>4</v>
      </c>
      <c r="T941" t="s">
        <v>2261</v>
      </c>
      <c r="U941" t="s">
        <v>10</v>
      </c>
      <c r="V941" s="5">
        <v>0</v>
      </c>
      <c r="W941" s="5">
        <v>0</v>
      </c>
      <c r="X941" s="2">
        <v>0</v>
      </c>
      <c r="Y941" t="s">
        <v>4</v>
      </c>
      <c r="Z941" t="s">
        <v>4</v>
      </c>
      <c r="AA941" t="s">
        <v>4</v>
      </c>
      <c r="AB941" t="s">
        <v>4</v>
      </c>
    </row>
    <row r="942" spans="1:28" x14ac:dyDescent="0.2">
      <c r="A942" t="s">
        <v>296</v>
      </c>
      <c r="B942" t="s">
        <v>2</v>
      </c>
      <c r="C942" t="s">
        <v>3</v>
      </c>
      <c r="D942" t="s">
        <v>4</v>
      </c>
      <c r="E942" t="s">
        <v>4</v>
      </c>
      <c r="F942" t="s">
        <v>5</v>
      </c>
      <c r="G942" t="s">
        <v>17</v>
      </c>
      <c r="H942" t="s">
        <v>3691</v>
      </c>
      <c r="I942" s="2">
        <v>700</v>
      </c>
      <c r="J942" s="2">
        <v>0</v>
      </c>
      <c r="K942" s="2">
        <v>0</v>
      </c>
      <c r="L942" s="3">
        <v>45859</v>
      </c>
      <c r="M942" s="3">
        <v>45859</v>
      </c>
      <c r="N942" s="3"/>
      <c r="O942" t="s">
        <v>3692</v>
      </c>
      <c r="P942" t="s">
        <v>9</v>
      </c>
      <c r="Q942" s="4">
        <v>0.93790509259259003</v>
      </c>
      <c r="R942" t="s">
        <v>5</v>
      </c>
      <c r="S942" t="s">
        <v>4</v>
      </c>
      <c r="T942" t="s">
        <v>2261</v>
      </c>
      <c r="U942" t="s">
        <v>10</v>
      </c>
      <c r="V942" s="5">
        <v>0</v>
      </c>
      <c r="W942" s="5">
        <v>0</v>
      </c>
      <c r="X942" s="2">
        <v>0</v>
      </c>
      <c r="Y942" t="s">
        <v>4</v>
      </c>
      <c r="Z942" t="s">
        <v>4</v>
      </c>
      <c r="AA942" t="s">
        <v>4</v>
      </c>
      <c r="AB942" t="s">
        <v>4</v>
      </c>
    </row>
    <row r="943" spans="1:28" x14ac:dyDescent="0.2">
      <c r="A943" t="s">
        <v>296</v>
      </c>
      <c r="B943" t="s">
        <v>2</v>
      </c>
      <c r="C943" t="s">
        <v>3</v>
      </c>
      <c r="D943" t="s">
        <v>4</v>
      </c>
      <c r="E943" t="s">
        <v>4</v>
      </c>
      <c r="F943" t="s">
        <v>5</v>
      </c>
      <c r="G943" t="s">
        <v>17</v>
      </c>
      <c r="H943" t="s">
        <v>3691</v>
      </c>
      <c r="I943" s="2">
        <v>700</v>
      </c>
      <c r="J943" s="2">
        <v>0</v>
      </c>
      <c r="K943" s="2">
        <v>0</v>
      </c>
      <c r="L943" s="3">
        <v>45859</v>
      </c>
      <c r="M943" s="3">
        <v>45859</v>
      </c>
      <c r="N943" s="3"/>
      <c r="O943" t="s">
        <v>3693</v>
      </c>
      <c r="P943" t="s">
        <v>9</v>
      </c>
      <c r="Q943" s="4">
        <v>0.93790509259259003</v>
      </c>
      <c r="R943" t="s">
        <v>5</v>
      </c>
      <c r="S943" t="s">
        <v>4</v>
      </c>
      <c r="T943" t="s">
        <v>2261</v>
      </c>
      <c r="U943" t="s">
        <v>10</v>
      </c>
      <c r="V943" s="5">
        <v>0</v>
      </c>
      <c r="W943" s="5">
        <v>0</v>
      </c>
      <c r="X943" s="2">
        <v>0</v>
      </c>
      <c r="Y943" t="s">
        <v>4</v>
      </c>
      <c r="Z943" t="s">
        <v>4</v>
      </c>
      <c r="AA943" t="s">
        <v>4</v>
      </c>
      <c r="AB943" t="s">
        <v>4</v>
      </c>
    </row>
    <row r="944" spans="1:28" x14ac:dyDescent="0.2">
      <c r="A944" t="s">
        <v>1028</v>
      </c>
      <c r="B944" t="s">
        <v>2</v>
      </c>
      <c r="C944" t="s">
        <v>3</v>
      </c>
      <c r="D944" t="s">
        <v>4</v>
      </c>
      <c r="E944" t="s">
        <v>4</v>
      </c>
      <c r="F944" t="s">
        <v>5</v>
      </c>
      <c r="G944" t="s">
        <v>17</v>
      </c>
      <c r="H944" t="s">
        <v>3694</v>
      </c>
      <c r="I944" s="2">
        <v>4320</v>
      </c>
      <c r="J944" s="2">
        <v>0</v>
      </c>
      <c r="K944" s="2">
        <v>0</v>
      </c>
      <c r="L944" s="3">
        <v>45859</v>
      </c>
      <c r="M944" s="3">
        <v>45859</v>
      </c>
      <c r="N944" s="3"/>
      <c r="O944" t="s">
        <v>3695</v>
      </c>
      <c r="P944" t="s">
        <v>9</v>
      </c>
      <c r="Q944" s="4">
        <v>0.93902777777778002</v>
      </c>
      <c r="R944" t="s">
        <v>5</v>
      </c>
      <c r="S944" t="s">
        <v>4</v>
      </c>
      <c r="T944" t="s">
        <v>2261</v>
      </c>
      <c r="U944" t="s">
        <v>10</v>
      </c>
      <c r="V944" s="5">
        <v>0</v>
      </c>
      <c r="W944" s="5">
        <v>0</v>
      </c>
      <c r="X944" s="2">
        <v>0</v>
      </c>
      <c r="Y944" t="s">
        <v>4</v>
      </c>
      <c r="Z944" t="s">
        <v>4</v>
      </c>
      <c r="AA944" t="s">
        <v>4</v>
      </c>
      <c r="AB944" t="s">
        <v>4</v>
      </c>
    </row>
    <row r="945" spans="1:28" x14ac:dyDescent="0.2">
      <c r="A945" t="s">
        <v>1028</v>
      </c>
      <c r="B945" t="s">
        <v>2</v>
      </c>
      <c r="C945" t="s">
        <v>3</v>
      </c>
      <c r="D945" t="s">
        <v>4</v>
      </c>
      <c r="E945" t="s">
        <v>4</v>
      </c>
      <c r="F945" t="s">
        <v>5</v>
      </c>
      <c r="G945" t="s">
        <v>17</v>
      </c>
      <c r="H945" t="s">
        <v>3694</v>
      </c>
      <c r="I945" s="2">
        <v>3621</v>
      </c>
      <c r="J945" s="2">
        <v>0</v>
      </c>
      <c r="K945" s="2">
        <v>0</v>
      </c>
      <c r="L945" s="3">
        <v>45859</v>
      </c>
      <c r="M945" s="3">
        <v>45859</v>
      </c>
      <c r="N945" s="3"/>
      <c r="O945" t="s">
        <v>3696</v>
      </c>
      <c r="P945" t="s">
        <v>9</v>
      </c>
      <c r="Q945" s="4">
        <v>0.93902777777778002</v>
      </c>
      <c r="R945" t="s">
        <v>5</v>
      </c>
      <c r="S945" t="s">
        <v>4</v>
      </c>
      <c r="T945" t="s">
        <v>2261</v>
      </c>
      <c r="U945" t="s">
        <v>10</v>
      </c>
      <c r="V945" s="5">
        <v>0</v>
      </c>
      <c r="W945" s="5">
        <v>0</v>
      </c>
      <c r="X945" s="2">
        <v>0</v>
      </c>
      <c r="Y945" t="s">
        <v>4</v>
      </c>
      <c r="Z945" t="s">
        <v>4</v>
      </c>
      <c r="AA945" t="s">
        <v>4</v>
      </c>
      <c r="AB945" t="s">
        <v>4</v>
      </c>
    </row>
    <row r="946" spans="1:28" x14ac:dyDescent="0.2">
      <c r="A946" t="s">
        <v>1135</v>
      </c>
      <c r="B946" t="s">
        <v>2</v>
      </c>
      <c r="C946" t="s">
        <v>3</v>
      </c>
      <c r="D946" t="s">
        <v>4</v>
      </c>
      <c r="E946" t="s">
        <v>4</v>
      </c>
      <c r="F946" t="s">
        <v>5</v>
      </c>
      <c r="G946" t="s">
        <v>17</v>
      </c>
      <c r="H946" t="s">
        <v>3697</v>
      </c>
      <c r="I946" s="2">
        <v>480</v>
      </c>
      <c r="J946" s="2">
        <v>0</v>
      </c>
      <c r="K946" s="2">
        <v>0</v>
      </c>
      <c r="L946" s="3">
        <v>45857</v>
      </c>
      <c r="M946" s="3">
        <v>45857</v>
      </c>
      <c r="N946" s="3"/>
      <c r="O946" t="s">
        <v>3698</v>
      </c>
      <c r="P946" t="s">
        <v>9</v>
      </c>
      <c r="Q946" s="4">
        <v>0.79599537037037005</v>
      </c>
      <c r="R946" t="s">
        <v>5</v>
      </c>
      <c r="S946" t="s">
        <v>4</v>
      </c>
      <c r="T946" t="s">
        <v>2262</v>
      </c>
      <c r="U946" t="s">
        <v>10</v>
      </c>
      <c r="V946" s="5">
        <v>0</v>
      </c>
      <c r="W946" s="5">
        <v>0</v>
      </c>
      <c r="X946" s="2">
        <v>0</v>
      </c>
      <c r="Y946" t="s">
        <v>4</v>
      </c>
      <c r="Z946" t="s">
        <v>4</v>
      </c>
      <c r="AA946" t="s">
        <v>4</v>
      </c>
      <c r="AB946" t="s">
        <v>4</v>
      </c>
    </row>
    <row r="947" spans="1:28" x14ac:dyDescent="0.2">
      <c r="A947" t="s">
        <v>1135</v>
      </c>
      <c r="B947" t="s">
        <v>2</v>
      </c>
      <c r="C947" t="s">
        <v>3</v>
      </c>
      <c r="D947" t="s">
        <v>4</v>
      </c>
      <c r="E947" t="s">
        <v>4</v>
      </c>
      <c r="F947" t="s">
        <v>5</v>
      </c>
      <c r="G947" t="s">
        <v>17</v>
      </c>
      <c r="H947" t="s">
        <v>3697</v>
      </c>
      <c r="I947" s="2">
        <v>480</v>
      </c>
      <c r="J947" s="2">
        <v>0</v>
      </c>
      <c r="K947" s="2">
        <v>0</v>
      </c>
      <c r="L947" s="3">
        <v>45857</v>
      </c>
      <c r="M947" s="3">
        <v>45857</v>
      </c>
      <c r="N947" s="3"/>
      <c r="O947" t="s">
        <v>3699</v>
      </c>
      <c r="P947" t="s">
        <v>9</v>
      </c>
      <c r="Q947" s="4">
        <v>0.79599537037037005</v>
      </c>
      <c r="R947" t="s">
        <v>5</v>
      </c>
      <c r="S947" t="s">
        <v>4</v>
      </c>
      <c r="T947" t="s">
        <v>2262</v>
      </c>
      <c r="U947" t="s">
        <v>10</v>
      </c>
      <c r="V947" s="5">
        <v>0</v>
      </c>
      <c r="W947" s="5">
        <v>0</v>
      </c>
      <c r="X947" s="2">
        <v>0</v>
      </c>
      <c r="Y947" t="s">
        <v>4</v>
      </c>
      <c r="Z947" t="s">
        <v>4</v>
      </c>
      <c r="AA947" t="s">
        <v>4</v>
      </c>
      <c r="AB947" t="s">
        <v>4</v>
      </c>
    </row>
    <row r="948" spans="1:28" x14ac:dyDescent="0.2">
      <c r="A948" t="s">
        <v>285</v>
      </c>
      <c r="B948" t="s">
        <v>2</v>
      </c>
      <c r="C948" t="s">
        <v>3</v>
      </c>
      <c r="D948" t="s">
        <v>4</v>
      </c>
      <c r="E948" t="s">
        <v>4</v>
      </c>
      <c r="F948" t="s">
        <v>5</v>
      </c>
      <c r="G948" t="s">
        <v>17</v>
      </c>
      <c r="H948" t="s">
        <v>3700</v>
      </c>
      <c r="I948" s="2">
        <v>30</v>
      </c>
      <c r="J948" s="2">
        <v>0</v>
      </c>
      <c r="K948" s="2">
        <v>0</v>
      </c>
      <c r="L948" s="3">
        <v>45835</v>
      </c>
      <c r="M948" s="3">
        <v>45835</v>
      </c>
      <c r="N948" s="3"/>
      <c r="O948" t="s">
        <v>3701</v>
      </c>
      <c r="P948" t="s">
        <v>9</v>
      </c>
      <c r="Q948" s="4">
        <v>0.62480324074074001</v>
      </c>
      <c r="R948" t="s">
        <v>5</v>
      </c>
      <c r="S948" t="s">
        <v>4</v>
      </c>
      <c r="T948" t="s">
        <v>2928</v>
      </c>
      <c r="U948" t="s">
        <v>10</v>
      </c>
      <c r="V948" s="5">
        <v>0</v>
      </c>
      <c r="W948" s="5">
        <v>0</v>
      </c>
      <c r="X948" s="2">
        <v>0</v>
      </c>
      <c r="Y948" t="s">
        <v>4</v>
      </c>
      <c r="Z948" t="s">
        <v>4</v>
      </c>
      <c r="AA948" t="s">
        <v>4</v>
      </c>
      <c r="AB948" t="s">
        <v>4</v>
      </c>
    </row>
    <row r="949" spans="1:28" x14ac:dyDescent="0.2">
      <c r="A949" t="s">
        <v>285</v>
      </c>
      <c r="B949" t="s">
        <v>2</v>
      </c>
      <c r="C949" t="s">
        <v>3</v>
      </c>
      <c r="D949" t="s">
        <v>4</v>
      </c>
      <c r="E949" t="s">
        <v>4</v>
      </c>
      <c r="F949" t="s">
        <v>5</v>
      </c>
      <c r="G949" t="s">
        <v>17</v>
      </c>
      <c r="H949" t="s">
        <v>3700</v>
      </c>
      <c r="I949" s="2">
        <v>30</v>
      </c>
      <c r="J949" s="2">
        <v>0</v>
      </c>
      <c r="K949" s="2">
        <v>0</v>
      </c>
      <c r="L949" s="3">
        <v>45835</v>
      </c>
      <c r="M949" s="3">
        <v>45835</v>
      </c>
      <c r="N949" s="3"/>
      <c r="O949" t="s">
        <v>3702</v>
      </c>
      <c r="P949" t="s">
        <v>9</v>
      </c>
      <c r="Q949" s="4">
        <v>0.62480324074074001</v>
      </c>
      <c r="R949" t="s">
        <v>5</v>
      </c>
      <c r="S949" t="s">
        <v>4</v>
      </c>
      <c r="T949" t="s">
        <v>2928</v>
      </c>
      <c r="U949" t="s">
        <v>10</v>
      </c>
      <c r="V949" s="5">
        <v>0</v>
      </c>
      <c r="W949" s="5">
        <v>0</v>
      </c>
      <c r="X949" s="2">
        <v>0</v>
      </c>
      <c r="Y949" t="s">
        <v>4</v>
      </c>
      <c r="Z949" t="s">
        <v>4</v>
      </c>
      <c r="AA949" t="s">
        <v>4</v>
      </c>
      <c r="AB949" t="s">
        <v>4</v>
      </c>
    </row>
    <row r="950" spans="1:28" x14ac:dyDescent="0.2">
      <c r="A950" t="s">
        <v>1155</v>
      </c>
      <c r="B950" t="s">
        <v>2</v>
      </c>
      <c r="C950" t="s">
        <v>3</v>
      </c>
      <c r="D950" t="s">
        <v>4</v>
      </c>
      <c r="E950" t="s">
        <v>4</v>
      </c>
      <c r="F950" t="s">
        <v>5</v>
      </c>
      <c r="G950" t="s">
        <v>17</v>
      </c>
      <c r="H950" t="s">
        <v>3703</v>
      </c>
      <c r="I950" s="2">
        <v>525</v>
      </c>
      <c r="J950" s="2">
        <v>0</v>
      </c>
      <c r="K950" s="2">
        <v>0</v>
      </c>
      <c r="L950" s="3">
        <v>45842</v>
      </c>
      <c r="M950" s="3">
        <v>45842</v>
      </c>
      <c r="N950" s="3"/>
      <c r="O950" t="s">
        <v>3704</v>
      </c>
      <c r="P950" t="s">
        <v>9</v>
      </c>
      <c r="Q950" s="4">
        <v>0.94811342592592995</v>
      </c>
      <c r="R950" t="s">
        <v>5</v>
      </c>
      <c r="S950" t="s">
        <v>4</v>
      </c>
      <c r="T950" t="s">
        <v>2610</v>
      </c>
      <c r="U950" t="s">
        <v>10</v>
      </c>
      <c r="V950" s="5">
        <v>0</v>
      </c>
      <c r="W950" s="5">
        <v>0</v>
      </c>
      <c r="X950" s="2">
        <v>0</v>
      </c>
      <c r="Y950" t="s">
        <v>4</v>
      </c>
      <c r="Z950" t="s">
        <v>4</v>
      </c>
      <c r="AA950" t="s">
        <v>4</v>
      </c>
      <c r="AB950" t="s">
        <v>4</v>
      </c>
    </row>
    <row r="951" spans="1:28" x14ac:dyDescent="0.2">
      <c r="A951" t="s">
        <v>1339</v>
      </c>
      <c r="B951" t="s">
        <v>2</v>
      </c>
      <c r="C951" t="s">
        <v>3</v>
      </c>
      <c r="D951" t="s">
        <v>4</v>
      </c>
      <c r="E951" t="s">
        <v>4</v>
      </c>
      <c r="F951" t="s">
        <v>5</v>
      </c>
      <c r="G951" t="s">
        <v>17</v>
      </c>
      <c r="H951" t="s">
        <v>3705</v>
      </c>
      <c r="I951" s="2">
        <v>1000</v>
      </c>
      <c r="J951" s="2">
        <v>0</v>
      </c>
      <c r="K951" s="2">
        <v>0</v>
      </c>
      <c r="L951" s="3">
        <v>45846</v>
      </c>
      <c r="M951" s="3">
        <v>45846</v>
      </c>
      <c r="N951" s="3"/>
      <c r="O951" t="s">
        <v>3706</v>
      </c>
      <c r="P951" t="s">
        <v>9</v>
      </c>
      <c r="Q951" s="4">
        <v>0.41476851851851998</v>
      </c>
      <c r="R951" t="s">
        <v>5</v>
      </c>
      <c r="S951" t="s">
        <v>4</v>
      </c>
      <c r="T951" t="s">
        <v>2318</v>
      </c>
      <c r="U951" t="s">
        <v>10</v>
      </c>
      <c r="V951" s="5">
        <v>0</v>
      </c>
      <c r="W951" s="5">
        <v>0</v>
      </c>
      <c r="X951" s="2">
        <v>0</v>
      </c>
      <c r="Y951" t="s">
        <v>4</v>
      </c>
      <c r="Z951" t="s">
        <v>4</v>
      </c>
      <c r="AA951" t="s">
        <v>4</v>
      </c>
      <c r="AB951" t="s">
        <v>4</v>
      </c>
    </row>
    <row r="952" spans="1:28" x14ac:dyDescent="0.2">
      <c r="A952" t="s">
        <v>1359</v>
      </c>
      <c r="B952" t="s">
        <v>2</v>
      </c>
      <c r="C952" t="s">
        <v>3</v>
      </c>
      <c r="D952" t="s">
        <v>4</v>
      </c>
      <c r="E952" t="s">
        <v>4</v>
      </c>
      <c r="F952" t="s">
        <v>5</v>
      </c>
      <c r="G952" t="s">
        <v>6</v>
      </c>
      <c r="H952" t="s">
        <v>3707</v>
      </c>
      <c r="I952" s="2">
        <v>3000</v>
      </c>
      <c r="J952" s="2">
        <v>0</v>
      </c>
      <c r="K952" s="2">
        <v>0</v>
      </c>
      <c r="L952" s="3">
        <v>45854</v>
      </c>
      <c r="M952" s="3">
        <v>45854</v>
      </c>
      <c r="N952" s="3"/>
      <c r="O952" t="s">
        <v>3708</v>
      </c>
      <c r="P952" t="s">
        <v>9</v>
      </c>
      <c r="Q952" s="4">
        <v>0.47403935185184998</v>
      </c>
      <c r="R952" t="s">
        <v>5</v>
      </c>
      <c r="S952" t="s">
        <v>4</v>
      </c>
      <c r="T952" t="s">
        <v>2299</v>
      </c>
      <c r="U952" t="s">
        <v>10</v>
      </c>
      <c r="V952" s="5">
        <v>0</v>
      </c>
      <c r="W952" s="5">
        <v>0</v>
      </c>
      <c r="X952" s="2">
        <v>0</v>
      </c>
      <c r="Y952" t="s">
        <v>4</v>
      </c>
      <c r="Z952" t="s">
        <v>4</v>
      </c>
      <c r="AA952" t="s">
        <v>4</v>
      </c>
      <c r="AB952" t="s">
        <v>4</v>
      </c>
    </row>
    <row r="953" spans="1:28" x14ac:dyDescent="0.2">
      <c r="A953" t="s">
        <v>1359</v>
      </c>
      <c r="B953" t="s">
        <v>2</v>
      </c>
      <c r="C953" t="s">
        <v>3</v>
      </c>
      <c r="D953" t="s">
        <v>4</v>
      </c>
      <c r="E953" t="s">
        <v>4</v>
      </c>
      <c r="F953" t="s">
        <v>5</v>
      </c>
      <c r="G953" t="s">
        <v>6</v>
      </c>
      <c r="H953" t="s">
        <v>3707</v>
      </c>
      <c r="I953" s="2">
        <v>3500</v>
      </c>
      <c r="J953" s="2">
        <v>0</v>
      </c>
      <c r="K953" s="2">
        <v>0</v>
      </c>
      <c r="L953" s="3">
        <v>45836</v>
      </c>
      <c r="M953" s="3">
        <v>45836</v>
      </c>
      <c r="N953" s="3"/>
      <c r="O953" t="s">
        <v>3709</v>
      </c>
      <c r="P953" t="s">
        <v>9</v>
      </c>
      <c r="Q953" s="4">
        <v>0.47403935185184998</v>
      </c>
      <c r="R953" t="s">
        <v>5</v>
      </c>
      <c r="S953" t="s">
        <v>4</v>
      </c>
      <c r="T953" t="s">
        <v>2316</v>
      </c>
      <c r="U953" t="s">
        <v>10</v>
      </c>
      <c r="V953" s="5">
        <v>0</v>
      </c>
      <c r="W953" s="5">
        <v>0</v>
      </c>
      <c r="X953" s="2">
        <v>0</v>
      </c>
      <c r="Y953" t="s">
        <v>4</v>
      </c>
      <c r="Z953" t="s">
        <v>4</v>
      </c>
      <c r="AA953" t="s">
        <v>4</v>
      </c>
      <c r="AB953" t="s">
        <v>4</v>
      </c>
    </row>
    <row r="954" spans="1:28" x14ac:dyDescent="0.2">
      <c r="A954" t="s">
        <v>1468</v>
      </c>
      <c r="B954" t="s">
        <v>2</v>
      </c>
      <c r="C954" t="s">
        <v>3</v>
      </c>
      <c r="D954" t="s">
        <v>4</v>
      </c>
      <c r="E954" t="s">
        <v>4</v>
      </c>
      <c r="F954" t="s">
        <v>5</v>
      </c>
      <c r="G954" t="s">
        <v>6</v>
      </c>
      <c r="H954" t="s">
        <v>3710</v>
      </c>
      <c r="I954" s="2">
        <v>72</v>
      </c>
      <c r="J954" s="2">
        <v>0</v>
      </c>
      <c r="K954" s="2">
        <v>0</v>
      </c>
      <c r="L954" s="3">
        <v>45747</v>
      </c>
      <c r="M954" s="3">
        <v>45747</v>
      </c>
      <c r="N954" s="3"/>
      <c r="O954" t="s">
        <v>3711</v>
      </c>
      <c r="P954" t="s">
        <v>9</v>
      </c>
      <c r="Q954" s="4">
        <v>0.56313657407407003</v>
      </c>
      <c r="R954" t="s">
        <v>5</v>
      </c>
      <c r="S954" t="s">
        <v>4</v>
      </c>
      <c r="T954" t="s">
        <v>2616</v>
      </c>
      <c r="U954" t="s">
        <v>10</v>
      </c>
      <c r="V954" s="5">
        <v>0</v>
      </c>
      <c r="W954" s="5">
        <v>0</v>
      </c>
      <c r="X954" s="2">
        <v>0</v>
      </c>
      <c r="Y954" t="s">
        <v>4</v>
      </c>
      <c r="Z954" t="s">
        <v>4</v>
      </c>
      <c r="AA954" t="s">
        <v>4</v>
      </c>
      <c r="AB954" t="s">
        <v>4</v>
      </c>
    </row>
    <row r="955" spans="1:28" x14ac:dyDescent="0.2">
      <c r="A955" t="s">
        <v>1468</v>
      </c>
      <c r="B955" t="s">
        <v>2</v>
      </c>
      <c r="C955" t="s">
        <v>3</v>
      </c>
      <c r="D955" t="s">
        <v>4</v>
      </c>
      <c r="E955" t="s">
        <v>4</v>
      </c>
      <c r="F955" t="s">
        <v>5</v>
      </c>
      <c r="G955" t="s">
        <v>6</v>
      </c>
      <c r="H955" t="s">
        <v>3710</v>
      </c>
      <c r="I955" s="2">
        <v>72</v>
      </c>
      <c r="J955" s="2">
        <v>0</v>
      </c>
      <c r="K955" s="2">
        <v>0</v>
      </c>
      <c r="L955" s="3">
        <v>45747</v>
      </c>
      <c r="M955" s="3">
        <v>45747</v>
      </c>
      <c r="N955" s="3"/>
      <c r="O955" t="s">
        <v>3712</v>
      </c>
      <c r="P955" t="s">
        <v>9</v>
      </c>
      <c r="Q955" s="4">
        <v>0.56313657407407003</v>
      </c>
      <c r="R955" t="s">
        <v>5</v>
      </c>
      <c r="S955" t="s">
        <v>4</v>
      </c>
      <c r="T955" t="s">
        <v>2616</v>
      </c>
      <c r="U955" t="s">
        <v>10</v>
      </c>
      <c r="V955" s="5">
        <v>0</v>
      </c>
      <c r="W955" s="5">
        <v>0</v>
      </c>
      <c r="X955" s="2">
        <v>0</v>
      </c>
      <c r="Y955" t="s">
        <v>4</v>
      </c>
      <c r="Z955" t="s">
        <v>4</v>
      </c>
      <c r="AA955" t="s">
        <v>4</v>
      </c>
      <c r="AB955" t="s">
        <v>4</v>
      </c>
    </row>
    <row r="956" spans="1:28" x14ac:dyDescent="0.2">
      <c r="A956" t="s">
        <v>672</v>
      </c>
      <c r="B956" t="s">
        <v>2</v>
      </c>
      <c r="C956" t="s">
        <v>3</v>
      </c>
      <c r="D956" t="s">
        <v>4</v>
      </c>
      <c r="E956" t="s">
        <v>4</v>
      </c>
      <c r="F956" t="s">
        <v>5</v>
      </c>
      <c r="G956" t="s">
        <v>6</v>
      </c>
      <c r="H956" t="s">
        <v>3713</v>
      </c>
      <c r="I956" s="2">
        <v>1350</v>
      </c>
      <c r="J956" s="2">
        <v>0</v>
      </c>
      <c r="K956" s="2">
        <v>0</v>
      </c>
      <c r="L956" s="3">
        <v>45856</v>
      </c>
      <c r="M956" s="3">
        <v>45856</v>
      </c>
      <c r="N956" s="3"/>
      <c r="O956" t="s">
        <v>3714</v>
      </c>
      <c r="P956" t="s">
        <v>9</v>
      </c>
      <c r="Q956" s="4">
        <v>0.88084490740740995</v>
      </c>
      <c r="R956" t="s">
        <v>5</v>
      </c>
      <c r="S956" t="s">
        <v>4</v>
      </c>
      <c r="T956" t="s">
        <v>2260</v>
      </c>
      <c r="U956" t="s">
        <v>10</v>
      </c>
      <c r="V956" s="5">
        <v>0</v>
      </c>
      <c r="W956" s="5">
        <v>0</v>
      </c>
      <c r="X956" s="2">
        <v>0</v>
      </c>
      <c r="Y956" t="s">
        <v>4</v>
      </c>
      <c r="Z956" t="s">
        <v>4</v>
      </c>
      <c r="AA956" t="s">
        <v>4</v>
      </c>
      <c r="AB956" t="s">
        <v>4</v>
      </c>
    </row>
    <row r="957" spans="1:28" x14ac:dyDescent="0.2">
      <c r="A957" t="s">
        <v>672</v>
      </c>
      <c r="B957" t="s">
        <v>2</v>
      </c>
      <c r="C957" t="s">
        <v>3</v>
      </c>
      <c r="D957" t="s">
        <v>4</v>
      </c>
      <c r="E957" t="s">
        <v>4</v>
      </c>
      <c r="F957" t="s">
        <v>5</v>
      </c>
      <c r="G957" t="s">
        <v>6</v>
      </c>
      <c r="H957" t="s">
        <v>3713</v>
      </c>
      <c r="I957" s="2">
        <v>1350</v>
      </c>
      <c r="J957" s="2">
        <v>0</v>
      </c>
      <c r="K957" s="2">
        <v>0</v>
      </c>
      <c r="L957" s="3">
        <v>45856</v>
      </c>
      <c r="M957" s="3">
        <v>45856</v>
      </c>
      <c r="N957" s="3"/>
      <c r="O957" t="s">
        <v>3715</v>
      </c>
      <c r="P957" t="s">
        <v>9</v>
      </c>
      <c r="Q957" s="4">
        <v>0.88084490740740995</v>
      </c>
      <c r="R957" t="s">
        <v>5</v>
      </c>
      <c r="S957" t="s">
        <v>4</v>
      </c>
      <c r="T957" t="s">
        <v>2260</v>
      </c>
      <c r="U957" t="s">
        <v>10</v>
      </c>
      <c r="V957" s="5">
        <v>0</v>
      </c>
      <c r="W957" s="5">
        <v>0</v>
      </c>
      <c r="X957" s="2">
        <v>0</v>
      </c>
      <c r="Y957" t="s">
        <v>4</v>
      </c>
      <c r="Z957" t="s">
        <v>4</v>
      </c>
      <c r="AA957" t="s">
        <v>4</v>
      </c>
      <c r="AB957" t="s">
        <v>4</v>
      </c>
    </row>
    <row r="958" spans="1:28" x14ac:dyDescent="0.2">
      <c r="A958" t="s">
        <v>672</v>
      </c>
      <c r="B958" t="s">
        <v>2</v>
      </c>
      <c r="C958" t="s">
        <v>3</v>
      </c>
      <c r="D958" t="s">
        <v>4</v>
      </c>
      <c r="E958" t="s">
        <v>4</v>
      </c>
      <c r="F958" t="s">
        <v>5</v>
      </c>
      <c r="G958" t="s">
        <v>6</v>
      </c>
      <c r="H958" t="s">
        <v>3716</v>
      </c>
      <c r="I958" s="2">
        <v>1350</v>
      </c>
      <c r="J958" s="2">
        <v>0</v>
      </c>
      <c r="K958" s="2">
        <v>0</v>
      </c>
      <c r="L958" s="3">
        <v>45856</v>
      </c>
      <c r="M958" s="3">
        <v>45856</v>
      </c>
      <c r="N958" s="3"/>
      <c r="O958" t="s">
        <v>3717</v>
      </c>
      <c r="P958" t="s">
        <v>9</v>
      </c>
      <c r="Q958" s="4">
        <v>0.88252314814815003</v>
      </c>
      <c r="R958" t="s">
        <v>5</v>
      </c>
      <c r="S958" t="s">
        <v>4</v>
      </c>
      <c r="T958" t="s">
        <v>2260</v>
      </c>
      <c r="U958" t="s">
        <v>10</v>
      </c>
      <c r="V958" s="5">
        <v>0</v>
      </c>
      <c r="W958" s="5">
        <v>0</v>
      </c>
      <c r="X958" s="2">
        <v>0</v>
      </c>
      <c r="Y958" t="s">
        <v>4</v>
      </c>
      <c r="Z958" t="s">
        <v>4</v>
      </c>
      <c r="AA958" t="s">
        <v>4</v>
      </c>
      <c r="AB958" t="s">
        <v>4</v>
      </c>
    </row>
    <row r="959" spans="1:28" x14ac:dyDescent="0.2">
      <c r="A959" t="s">
        <v>672</v>
      </c>
      <c r="B959" t="s">
        <v>2</v>
      </c>
      <c r="C959" t="s">
        <v>3</v>
      </c>
      <c r="D959" t="s">
        <v>4</v>
      </c>
      <c r="E959" t="s">
        <v>4</v>
      </c>
      <c r="F959" t="s">
        <v>5</v>
      </c>
      <c r="G959" t="s">
        <v>6</v>
      </c>
      <c r="H959" t="s">
        <v>3716</v>
      </c>
      <c r="I959" s="2">
        <v>1350</v>
      </c>
      <c r="J959" s="2">
        <v>0</v>
      </c>
      <c r="K959" s="2">
        <v>0</v>
      </c>
      <c r="L959" s="3">
        <v>45856</v>
      </c>
      <c r="M959" s="3">
        <v>45856</v>
      </c>
      <c r="N959" s="3"/>
      <c r="O959" t="s">
        <v>3718</v>
      </c>
      <c r="P959" t="s">
        <v>9</v>
      </c>
      <c r="Q959" s="4">
        <v>0.88252314814815003</v>
      </c>
      <c r="R959" t="s">
        <v>5</v>
      </c>
      <c r="S959" t="s">
        <v>4</v>
      </c>
      <c r="T959" t="s">
        <v>2260</v>
      </c>
      <c r="U959" t="s">
        <v>10</v>
      </c>
      <c r="V959" s="5">
        <v>0</v>
      </c>
      <c r="W959" s="5">
        <v>0</v>
      </c>
      <c r="X959" s="2">
        <v>0</v>
      </c>
      <c r="Y959" t="s">
        <v>4</v>
      </c>
      <c r="Z959" t="s">
        <v>4</v>
      </c>
      <c r="AA959" t="s">
        <v>4</v>
      </c>
      <c r="AB959" t="s">
        <v>4</v>
      </c>
    </row>
    <row r="960" spans="1:28" x14ac:dyDescent="0.2">
      <c r="A960" t="s">
        <v>1139</v>
      </c>
      <c r="B960" t="s">
        <v>2</v>
      </c>
      <c r="C960" t="s">
        <v>3</v>
      </c>
      <c r="D960" t="s">
        <v>4</v>
      </c>
      <c r="E960" t="s">
        <v>4</v>
      </c>
      <c r="F960" t="s">
        <v>5</v>
      </c>
      <c r="G960" t="s">
        <v>6</v>
      </c>
      <c r="H960" t="s">
        <v>3719</v>
      </c>
      <c r="I960" s="2">
        <v>432</v>
      </c>
      <c r="J960" s="2">
        <v>0</v>
      </c>
      <c r="K960" s="2">
        <v>0</v>
      </c>
      <c r="L960" s="3">
        <v>45832</v>
      </c>
      <c r="M960" s="3">
        <v>45832</v>
      </c>
      <c r="N960" s="3"/>
      <c r="O960" t="s">
        <v>3720</v>
      </c>
      <c r="P960" t="s">
        <v>9</v>
      </c>
      <c r="Q960" s="4">
        <v>0.60946759259258998</v>
      </c>
      <c r="R960" t="s">
        <v>5</v>
      </c>
      <c r="S960" t="s">
        <v>4</v>
      </c>
      <c r="T960" t="s">
        <v>2665</v>
      </c>
      <c r="U960" t="s">
        <v>10</v>
      </c>
      <c r="V960" s="5">
        <v>0</v>
      </c>
      <c r="W960" s="5">
        <v>0</v>
      </c>
      <c r="X960" s="2">
        <v>0</v>
      </c>
      <c r="Y960" t="s">
        <v>4</v>
      </c>
      <c r="Z960" t="s">
        <v>4</v>
      </c>
      <c r="AA960" t="s">
        <v>4</v>
      </c>
      <c r="AB960" t="s">
        <v>4</v>
      </c>
    </row>
    <row r="961" spans="1:28" x14ac:dyDescent="0.2">
      <c r="A961" t="s">
        <v>1139</v>
      </c>
      <c r="B961" t="s">
        <v>2</v>
      </c>
      <c r="C961" t="s">
        <v>3</v>
      </c>
      <c r="D961" t="s">
        <v>4</v>
      </c>
      <c r="E961" t="s">
        <v>4</v>
      </c>
      <c r="F961" t="s">
        <v>5</v>
      </c>
      <c r="G961" t="s">
        <v>6</v>
      </c>
      <c r="H961" t="s">
        <v>3719</v>
      </c>
      <c r="I961" s="2">
        <v>432</v>
      </c>
      <c r="J961" s="2">
        <v>0</v>
      </c>
      <c r="K961" s="2">
        <v>0</v>
      </c>
      <c r="L961" s="3">
        <v>45832</v>
      </c>
      <c r="M961" s="3">
        <v>45832</v>
      </c>
      <c r="N961" s="3"/>
      <c r="O961" t="s">
        <v>3721</v>
      </c>
      <c r="P961" t="s">
        <v>9</v>
      </c>
      <c r="Q961" s="4">
        <v>0.60946759259258998</v>
      </c>
      <c r="R961" t="s">
        <v>5</v>
      </c>
      <c r="S961" t="s">
        <v>4</v>
      </c>
      <c r="T961" t="s">
        <v>2665</v>
      </c>
      <c r="U961" t="s">
        <v>10</v>
      </c>
      <c r="V961" s="5">
        <v>0</v>
      </c>
      <c r="W961" s="5">
        <v>0</v>
      </c>
      <c r="X961" s="2">
        <v>0</v>
      </c>
      <c r="Y961" t="s">
        <v>4</v>
      </c>
      <c r="Z961" t="s">
        <v>4</v>
      </c>
      <c r="AA961" t="s">
        <v>4</v>
      </c>
      <c r="AB961" t="s">
        <v>4</v>
      </c>
    </row>
    <row r="962" spans="1:28" x14ac:dyDescent="0.2">
      <c r="A962" t="s">
        <v>672</v>
      </c>
      <c r="B962" t="s">
        <v>2</v>
      </c>
      <c r="C962" t="s">
        <v>3</v>
      </c>
      <c r="D962" t="s">
        <v>4</v>
      </c>
      <c r="E962" t="s">
        <v>4</v>
      </c>
      <c r="F962" t="s">
        <v>5</v>
      </c>
      <c r="G962" t="s">
        <v>6</v>
      </c>
      <c r="H962" t="s">
        <v>3722</v>
      </c>
      <c r="I962" s="2">
        <v>750</v>
      </c>
      <c r="J962" s="2">
        <v>0</v>
      </c>
      <c r="K962" s="2">
        <v>0</v>
      </c>
      <c r="L962" s="3">
        <v>45856</v>
      </c>
      <c r="M962" s="3">
        <v>45856</v>
      </c>
      <c r="N962" s="3"/>
      <c r="O962" t="s">
        <v>3723</v>
      </c>
      <c r="P962" t="s">
        <v>9</v>
      </c>
      <c r="Q962" s="4">
        <v>0.88339120370369995</v>
      </c>
      <c r="R962" t="s">
        <v>5</v>
      </c>
      <c r="S962" t="s">
        <v>4</v>
      </c>
      <c r="T962" t="s">
        <v>2260</v>
      </c>
      <c r="U962" t="s">
        <v>10</v>
      </c>
      <c r="V962" s="5">
        <v>0</v>
      </c>
      <c r="W962" s="5">
        <v>0</v>
      </c>
      <c r="X962" s="2">
        <v>0</v>
      </c>
      <c r="Y962" t="s">
        <v>4</v>
      </c>
      <c r="Z962" t="s">
        <v>4</v>
      </c>
      <c r="AA962" t="s">
        <v>4</v>
      </c>
      <c r="AB962" t="s">
        <v>4</v>
      </c>
    </row>
    <row r="963" spans="1:28" x14ac:dyDescent="0.2">
      <c r="A963" t="s">
        <v>1922</v>
      </c>
      <c r="B963" t="s">
        <v>2</v>
      </c>
      <c r="C963" t="s">
        <v>3</v>
      </c>
      <c r="D963" t="s">
        <v>4</v>
      </c>
      <c r="E963" t="s">
        <v>4</v>
      </c>
      <c r="F963" t="s">
        <v>5</v>
      </c>
      <c r="G963" t="s">
        <v>21</v>
      </c>
      <c r="H963" t="s">
        <v>3724</v>
      </c>
      <c r="I963" s="2">
        <v>330</v>
      </c>
      <c r="J963" s="2">
        <v>0</v>
      </c>
      <c r="K963" s="2">
        <v>0</v>
      </c>
      <c r="L963" s="3">
        <v>45843</v>
      </c>
      <c r="M963" s="3">
        <v>45843</v>
      </c>
      <c r="N963" s="3"/>
      <c r="O963" t="s">
        <v>3725</v>
      </c>
      <c r="P963" t="s">
        <v>9</v>
      </c>
      <c r="Q963" s="4">
        <v>0.54027777777777997</v>
      </c>
      <c r="R963" t="s">
        <v>5</v>
      </c>
      <c r="S963" t="s">
        <v>4</v>
      </c>
      <c r="T963" t="s">
        <v>2783</v>
      </c>
      <c r="U963" t="s">
        <v>10</v>
      </c>
      <c r="V963" s="5">
        <v>0</v>
      </c>
      <c r="W963" s="5">
        <v>0</v>
      </c>
      <c r="X963" s="2">
        <v>0</v>
      </c>
      <c r="Y963" t="s">
        <v>4</v>
      </c>
      <c r="Z963" t="s">
        <v>4</v>
      </c>
      <c r="AA963" t="s">
        <v>4</v>
      </c>
      <c r="AB963" t="s">
        <v>4</v>
      </c>
    </row>
    <row r="964" spans="1:28" x14ac:dyDescent="0.2">
      <c r="A964" t="s">
        <v>1922</v>
      </c>
      <c r="B964" t="s">
        <v>2</v>
      </c>
      <c r="C964" t="s">
        <v>3</v>
      </c>
      <c r="D964" t="s">
        <v>4</v>
      </c>
      <c r="E964" t="s">
        <v>4</v>
      </c>
      <c r="F964" t="s">
        <v>5</v>
      </c>
      <c r="G964" t="s">
        <v>21</v>
      </c>
      <c r="H964" t="s">
        <v>3724</v>
      </c>
      <c r="I964" s="2">
        <v>242</v>
      </c>
      <c r="J964" s="2">
        <v>0</v>
      </c>
      <c r="K964" s="2">
        <v>0</v>
      </c>
      <c r="L964" s="3">
        <v>45829</v>
      </c>
      <c r="M964" s="3">
        <v>45829</v>
      </c>
      <c r="N964" s="3"/>
      <c r="O964" t="s">
        <v>3726</v>
      </c>
      <c r="P964" t="s">
        <v>9</v>
      </c>
      <c r="Q964" s="4">
        <v>0.54027777777777997</v>
      </c>
      <c r="R964" t="s">
        <v>5</v>
      </c>
      <c r="S964" t="s">
        <v>4</v>
      </c>
      <c r="T964" t="s">
        <v>3242</v>
      </c>
      <c r="U964" t="s">
        <v>10</v>
      </c>
      <c r="V964" s="5">
        <v>0</v>
      </c>
      <c r="W964" s="5">
        <v>0</v>
      </c>
      <c r="X964" s="2">
        <v>0</v>
      </c>
      <c r="Y964" t="s">
        <v>4</v>
      </c>
      <c r="Z964" t="s">
        <v>4</v>
      </c>
      <c r="AA964" t="s">
        <v>4</v>
      </c>
      <c r="AB964" t="s">
        <v>4</v>
      </c>
    </row>
    <row r="965" spans="1:28" x14ac:dyDescent="0.2">
      <c r="A965" t="s">
        <v>0</v>
      </c>
      <c r="B965" t="s">
        <v>2</v>
      </c>
      <c r="C965" t="s">
        <v>3</v>
      </c>
      <c r="D965" t="s">
        <v>4</v>
      </c>
      <c r="E965" t="s">
        <v>4</v>
      </c>
      <c r="F965" t="s">
        <v>5</v>
      </c>
      <c r="G965" t="s">
        <v>21</v>
      </c>
      <c r="H965" t="s">
        <v>104</v>
      </c>
      <c r="I965" s="2">
        <v>196</v>
      </c>
      <c r="J965" s="2">
        <v>0</v>
      </c>
      <c r="K965" s="2">
        <v>0</v>
      </c>
      <c r="L965" s="3">
        <v>45820</v>
      </c>
      <c r="M965" s="3">
        <v>45820</v>
      </c>
      <c r="N965" s="3"/>
      <c r="O965" t="s">
        <v>105</v>
      </c>
      <c r="P965" t="s">
        <v>9</v>
      </c>
      <c r="Q965" s="4">
        <v>0.90826388888888998</v>
      </c>
      <c r="R965" t="s">
        <v>5</v>
      </c>
      <c r="S965" t="s">
        <v>4</v>
      </c>
      <c r="T965" t="s">
        <v>3198</v>
      </c>
      <c r="U965" t="s">
        <v>10</v>
      </c>
      <c r="V965" s="5">
        <v>0</v>
      </c>
      <c r="W965" s="5">
        <v>0</v>
      </c>
      <c r="X965" s="2">
        <v>0</v>
      </c>
      <c r="Y965" t="s">
        <v>4</v>
      </c>
      <c r="Z965" t="s">
        <v>4</v>
      </c>
      <c r="AA965" t="s">
        <v>4</v>
      </c>
      <c r="AB965" t="s">
        <v>4</v>
      </c>
    </row>
    <row r="966" spans="1:28" x14ac:dyDescent="0.2">
      <c r="A966" t="s">
        <v>0</v>
      </c>
      <c r="B966" t="s">
        <v>2</v>
      </c>
      <c r="C966" t="s">
        <v>3</v>
      </c>
      <c r="D966" t="s">
        <v>4</v>
      </c>
      <c r="E966" t="s">
        <v>4</v>
      </c>
      <c r="F966" t="s">
        <v>5</v>
      </c>
      <c r="G966" t="s">
        <v>21</v>
      </c>
      <c r="H966" t="s">
        <v>104</v>
      </c>
      <c r="I966" s="2">
        <v>196</v>
      </c>
      <c r="J966" s="2">
        <v>0</v>
      </c>
      <c r="K966" s="2">
        <v>0</v>
      </c>
      <c r="L966" s="3">
        <v>45820</v>
      </c>
      <c r="M966" s="3">
        <v>45820</v>
      </c>
      <c r="N966" s="3"/>
      <c r="O966" t="s">
        <v>106</v>
      </c>
      <c r="P966" t="s">
        <v>9</v>
      </c>
      <c r="Q966" s="4">
        <v>0.90826388888888998</v>
      </c>
      <c r="R966" t="s">
        <v>5</v>
      </c>
      <c r="S966" t="s">
        <v>4</v>
      </c>
      <c r="T966" t="s">
        <v>3198</v>
      </c>
      <c r="U966" t="s">
        <v>10</v>
      </c>
      <c r="V966" s="5">
        <v>0</v>
      </c>
      <c r="W966" s="5">
        <v>0</v>
      </c>
      <c r="X966" s="2">
        <v>0</v>
      </c>
      <c r="Y966" t="s">
        <v>4</v>
      </c>
      <c r="Z966" t="s">
        <v>4</v>
      </c>
      <c r="AA966" t="s">
        <v>4</v>
      </c>
      <c r="AB966" t="s">
        <v>4</v>
      </c>
    </row>
    <row r="967" spans="1:28" x14ac:dyDescent="0.2">
      <c r="A967" t="s">
        <v>1466</v>
      </c>
      <c r="B967" t="s">
        <v>2</v>
      </c>
      <c r="C967" t="s">
        <v>3</v>
      </c>
      <c r="D967" t="s">
        <v>4</v>
      </c>
      <c r="E967" t="s">
        <v>4</v>
      </c>
      <c r="F967" t="s">
        <v>5</v>
      </c>
      <c r="G967" t="s">
        <v>21</v>
      </c>
      <c r="H967" t="s">
        <v>3727</v>
      </c>
      <c r="I967" s="2">
        <v>60</v>
      </c>
      <c r="J967" s="2">
        <v>0</v>
      </c>
      <c r="K967" s="2">
        <v>0</v>
      </c>
      <c r="L967" s="3">
        <v>45856</v>
      </c>
      <c r="M967" s="3">
        <v>45856</v>
      </c>
      <c r="N967" s="3"/>
      <c r="O967" t="s">
        <v>3728</v>
      </c>
      <c r="P967" t="s">
        <v>9</v>
      </c>
      <c r="Q967" s="4">
        <v>0.93768518518518995</v>
      </c>
      <c r="R967" t="s">
        <v>5</v>
      </c>
      <c r="S967" t="s">
        <v>4</v>
      </c>
      <c r="T967" t="s">
        <v>2260</v>
      </c>
      <c r="U967" t="s">
        <v>10</v>
      </c>
      <c r="V967" s="5">
        <v>0</v>
      </c>
      <c r="W967" s="5">
        <v>0</v>
      </c>
      <c r="X967" s="2">
        <v>0</v>
      </c>
      <c r="Y967" t="s">
        <v>4</v>
      </c>
      <c r="Z967" t="s">
        <v>4</v>
      </c>
      <c r="AA967" t="s">
        <v>4</v>
      </c>
      <c r="AB967" t="s">
        <v>4</v>
      </c>
    </row>
    <row r="968" spans="1:28" x14ac:dyDescent="0.2">
      <c r="A968" t="s">
        <v>1466</v>
      </c>
      <c r="B968" t="s">
        <v>2</v>
      </c>
      <c r="C968" t="s">
        <v>3</v>
      </c>
      <c r="D968" t="s">
        <v>4</v>
      </c>
      <c r="E968" t="s">
        <v>4</v>
      </c>
      <c r="F968" t="s">
        <v>5</v>
      </c>
      <c r="G968" t="s">
        <v>21</v>
      </c>
      <c r="H968" t="s">
        <v>3727</v>
      </c>
      <c r="I968" s="2">
        <v>60</v>
      </c>
      <c r="J968" s="2">
        <v>0</v>
      </c>
      <c r="K968" s="2">
        <v>0</v>
      </c>
      <c r="L968" s="3">
        <v>45856</v>
      </c>
      <c r="M968" s="3">
        <v>45856</v>
      </c>
      <c r="N968" s="3"/>
      <c r="O968" t="s">
        <v>3729</v>
      </c>
      <c r="P968" t="s">
        <v>9</v>
      </c>
      <c r="Q968" s="4">
        <v>0.93768518518518995</v>
      </c>
      <c r="R968" t="s">
        <v>5</v>
      </c>
      <c r="S968" t="s">
        <v>4</v>
      </c>
      <c r="T968" t="s">
        <v>2260</v>
      </c>
      <c r="U968" t="s">
        <v>10</v>
      </c>
      <c r="V968" s="5">
        <v>0</v>
      </c>
      <c r="W968" s="5">
        <v>0</v>
      </c>
      <c r="X968" s="2">
        <v>0</v>
      </c>
      <c r="Y968" t="s">
        <v>4</v>
      </c>
      <c r="Z968" t="s">
        <v>4</v>
      </c>
      <c r="AA968" t="s">
        <v>4</v>
      </c>
      <c r="AB968" t="s">
        <v>4</v>
      </c>
    </row>
    <row r="969" spans="1:28" x14ac:dyDescent="0.2">
      <c r="A969" t="s">
        <v>2056</v>
      </c>
      <c r="B969" t="s">
        <v>2</v>
      </c>
      <c r="C969" t="s">
        <v>3</v>
      </c>
      <c r="D969" t="s">
        <v>4</v>
      </c>
      <c r="E969" t="s">
        <v>4</v>
      </c>
      <c r="F969" t="s">
        <v>5</v>
      </c>
      <c r="G969" t="s">
        <v>21</v>
      </c>
      <c r="H969" t="s">
        <v>3730</v>
      </c>
      <c r="I969" s="2">
        <v>1200</v>
      </c>
      <c r="J969" s="2">
        <v>0</v>
      </c>
      <c r="K969" s="2">
        <v>0</v>
      </c>
      <c r="L969" s="3">
        <v>45804</v>
      </c>
      <c r="M969" s="3">
        <v>45804</v>
      </c>
      <c r="N969" s="3"/>
      <c r="O969" t="s">
        <v>3731</v>
      </c>
      <c r="P969" t="s">
        <v>9</v>
      </c>
      <c r="Q969" s="4">
        <v>0.41940972222222</v>
      </c>
      <c r="R969" t="s">
        <v>5</v>
      </c>
      <c r="S969" t="s">
        <v>4</v>
      </c>
      <c r="T969" t="s">
        <v>3530</v>
      </c>
      <c r="U969" t="s">
        <v>10</v>
      </c>
      <c r="V969" s="5">
        <v>0</v>
      </c>
      <c r="W969" s="5">
        <v>0</v>
      </c>
      <c r="X969" s="2">
        <v>0</v>
      </c>
      <c r="Y969" t="s">
        <v>4</v>
      </c>
      <c r="Z969" t="s">
        <v>4</v>
      </c>
      <c r="AA969" t="s">
        <v>4</v>
      </c>
      <c r="AB969" t="s">
        <v>4</v>
      </c>
    </row>
    <row r="970" spans="1:28" x14ac:dyDescent="0.2">
      <c r="A970" t="s">
        <v>2056</v>
      </c>
      <c r="B970" t="s">
        <v>2</v>
      </c>
      <c r="C970" t="s">
        <v>3</v>
      </c>
      <c r="D970" t="s">
        <v>4</v>
      </c>
      <c r="E970" t="s">
        <v>4</v>
      </c>
      <c r="F970" t="s">
        <v>5</v>
      </c>
      <c r="G970" t="s">
        <v>21</v>
      </c>
      <c r="H970" t="s">
        <v>3730</v>
      </c>
      <c r="I970" s="2">
        <v>560</v>
      </c>
      <c r="J970" s="2">
        <v>0</v>
      </c>
      <c r="K970" s="2">
        <v>0</v>
      </c>
      <c r="L970" s="3">
        <v>45804</v>
      </c>
      <c r="M970" s="3">
        <v>45804</v>
      </c>
      <c r="N970" s="3"/>
      <c r="O970" t="s">
        <v>3732</v>
      </c>
      <c r="P970" t="s">
        <v>9</v>
      </c>
      <c r="Q970" s="4">
        <v>0.41940972222222</v>
      </c>
      <c r="R970" t="s">
        <v>5</v>
      </c>
      <c r="S970" t="s">
        <v>4</v>
      </c>
      <c r="T970" t="s">
        <v>3530</v>
      </c>
      <c r="U970" t="s">
        <v>10</v>
      </c>
      <c r="V970" s="5">
        <v>0</v>
      </c>
      <c r="W970" s="5">
        <v>0</v>
      </c>
      <c r="X970" s="2">
        <v>0</v>
      </c>
      <c r="Y970" t="s">
        <v>4</v>
      </c>
      <c r="Z970" t="s">
        <v>4</v>
      </c>
      <c r="AA970" t="s">
        <v>4</v>
      </c>
      <c r="AB970" t="s">
        <v>4</v>
      </c>
    </row>
    <row r="971" spans="1:28" x14ac:dyDescent="0.2">
      <c r="A971" t="s">
        <v>470</v>
      </c>
      <c r="B971" t="s">
        <v>2</v>
      </c>
      <c r="C971" t="s">
        <v>3</v>
      </c>
      <c r="D971" t="s">
        <v>4</v>
      </c>
      <c r="E971" t="s">
        <v>4</v>
      </c>
      <c r="F971" t="s">
        <v>5</v>
      </c>
      <c r="G971" t="s">
        <v>17</v>
      </c>
      <c r="H971" t="s">
        <v>3733</v>
      </c>
      <c r="I971" s="2">
        <v>8000</v>
      </c>
      <c r="J971" s="2">
        <v>0</v>
      </c>
      <c r="K971" s="2">
        <v>0</v>
      </c>
      <c r="L971" s="3">
        <v>45813</v>
      </c>
      <c r="M971" s="3">
        <v>45813</v>
      </c>
      <c r="N971" s="3"/>
      <c r="O971" t="s">
        <v>3734</v>
      </c>
      <c r="P971" t="s">
        <v>9</v>
      </c>
      <c r="Q971" s="4">
        <v>0.39206018518518998</v>
      </c>
      <c r="R971" t="s">
        <v>5</v>
      </c>
      <c r="S971" t="s">
        <v>4</v>
      </c>
      <c r="T971" t="s">
        <v>3649</v>
      </c>
      <c r="U971" t="s">
        <v>10</v>
      </c>
      <c r="V971" s="5">
        <v>0</v>
      </c>
      <c r="W971" s="5">
        <v>0</v>
      </c>
      <c r="X971" s="2">
        <v>0</v>
      </c>
      <c r="Y971" t="s">
        <v>4</v>
      </c>
      <c r="Z971" t="s">
        <v>4</v>
      </c>
      <c r="AA971" t="s">
        <v>4</v>
      </c>
      <c r="AB971" t="s">
        <v>4</v>
      </c>
    </row>
    <row r="972" spans="1:28" x14ac:dyDescent="0.2">
      <c r="A972" t="s">
        <v>285</v>
      </c>
      <c r="B972" t="s">
        <v>2</v>
      </c>
      <c r="C972" t="s">
        <v>3</v>
      </c>
      <c r="D972" t="s">
        <v>4</v>
      </c>
      <c r="E972" t="s">
        <v>4</v>
      </c>
      <c r="F972" t="s">
        <v>5</v>
      </c>
      <c r="G972" t="s">
        <v>17</v>
      </c>
      <c r="H972" t="s">
        <v>3735</v>
      </c>
      <c r="I972" s="2">
        <v>30</v>
      </c>
      <c r="J972" s="2">
        <v>0</v>
      </c>
      <c r="K972" s="2">
        <v>0</v>
      </c>
      <c r="L972" s="3">
        <v>45835</v>
      </c>
      <c r="M972" s="3">
        <v>45835</v>
      </c>
      <c r="N972" s="3"/>
      <c r="O972" t="s">
        <v>3736</v>
      </c>
      <c r="P972" t="s">
        <v>9</v>
      </c>
      <c r="Q972" s="4">
        <v>0.55131944444444003</v>
      </c>
      <c r="R972" t="s">
        <v>5</v>
      </c>
      <c r="S972" t="s">
        <v>4</v>
      </c>
      <c r="T972" t="s">
        <v>2928</v>
      </c>
      <c r="U972" t="s">
        <v>10</v>
      </c>
      <c r="V972" s="5">
        <v>0</v>
      </c>
      <c r="W972" s="5">
        <v>0</v>
      </c>
      <c r="X972" s="2">
        <v>0</v>
      </c>
      <c r="Y972" t="s">
        <v>4</v>
      </c>
      <c r="Z972" t="s">
        <v>4</v>
      </c>
      <c r="AA972" t="s">
        <v>4</v>
      </c>
      <c r="AB972" t="s">
        <v>4</v>
      </c>
    </row>
    <row r="973" spans="1:28" x14ac:dyDescent="0.2">
      <c r="A973" t="s">
        <v>1466</v>
      </c>
      <c r="B973" t="s">
        <v>2</v>
      </c>
      <c r="C973" t="s">
        <v>3</v>
      </c>
      <c r="D973" t="s">
        <v>4</v>
      </c>
      <c r="E973" t="s">
        <v>4</v>
      </c>
      <c r="F973" t="s">
        <v>5</v>
      </c>
      <c r="G973" t="s">
        <v>17</v>
      </c>
      <c r="H973" t="s">
        <v>3737</v>
      </c>
      <c r="I973" s="2">
        <v>60</v>
      </c>
      <c r="J973" s="2">
        <v>0</v>
      </c>
      <c r="K973" s="2">
        <v>0</v>
      </c>
      <c r="L973" s="3">
        <v>45848</v>
      </c>
      <c r="M973" s="3">
        <v>45848</v>
      </c>
      <c r="N973" s="3"/>
      <c r="O973" t="s">
        <v>3738</v>
      </c>
      <c r="P973" t="s">
        <v>9</v>
      </c>
      <c r="Q973" s="4">
        <v>0.80015046296296</v>
      </c>
      <c r="R973" t="s">
        <v>5</v>
      </c>
      <c r="S973" t="s">
        <v>4</v>
      </c>
      <c r="T973" t="s">
        <v>2580</v>
      </c>
      <c r="U973" t="s">
        <v>10</v>
      </c>
      <c r="V973" s="5">
        <v>0</v>
      </c>
      <c r="W973" s="5">
        <v>0</v>
      </c>
      <c r="X973" s="2">
        <v>0</v>
      </c>
      <c r="Y973" t="s">
        <v>4</v>
      </c>
      <c r="Z973" t="s">
        <v>4</v>
      </c>
      <c r="AA973" t="s">
        <v>4</v>
      </c>
      <c r="AB973" t="s">
        <v>4</v>
      </c>
    </row>
    <row r="974" spans="1:28" x14ac:dyDescent="0.2">
      <c r="A974" t="s">
        <v>1466</v>
      </c>
      <c r="B974" t="s">
        <v>2</v>
      </c>
      <c r="C974" t="s">
        <v>3</v>
      </c>
      <c r="D974" t="s">
        <v>4</v>
      </c>
      <c r="E974" t="s">
        <v>4</v>
      </c>
      <c r="F974" t="s">
        <v>5</v>
      </c>
      <c r="G974" t="s">
        <v>17</v>
      </c>
      <c r="H974" t="s">
        <v>3737</v>
      </c>
      <c r="I974" s="2">
        <v>60</v>
      </c>
      <c r="J974" s="2">
        <v>0</v>
      </c>
      <c r="K974" s="2">
        <v>0</v>
      </c>
      <c r="L974" s="3">
        <v>45848</v>
      </c>
      <c r="M974" s="3">
        <v>45848</v>
      </c>
      <c r="N974" s="3"/>
      <c r="O974" t="s">
        <v>3739</v>
      </c>
      <c r="P974" t="s">
        <v>9</v>
      </c>
      <c r="Q974" s="4">
        <v>0.80015046296296</v>
      </c>
      <c r="R974" t="s">
        <v>5</v>
      </c>
      <c r="S974" t="s">
        <v>4</v>
      </c>
      <c r="T974" t="s">
        <v>2580</v>
      </c>
      <c r="U974" t="s">
        <v>10</v>
      </c>
      <c r="V974" s="5">
        <v>0</v>
      </c>
      <c r="W974" s="5">
        <v>0</v>
      </c>
      <c r="X974" s="2">
        <v>0</v>
      </c>
      <c r="Y974" t="s">
        <v>4</v>
      </c>
      <c r="Z974" t="s">
        <v>4</v>
      </c>
      <c r="AA974" t="s">
        <v>4</v>
      </c>
      <c r="AB974" t="s">
        <v>4</v>
      </c>
    </row>
    <row r="975" spans="1:28" x14ac:dyDescent="0.2">
      <c r="A975" t="s">
        <v>31</v>
      </c>
      <c r="B975" t="s">
        <v>2</v>
      </c>
      <c r="C975" t="s">
        <v>3</v>
      </c>
      <c r="D975" t="s">
        <v>4</v>
      </c>
      <c r="E975" t="s">
        <v>4</v>
      </c>
      <c r="F975" t="s">
        <v>5</v>
      </c>
      <c r="G975" t="s">
        <v>17</v>
      </c>
      <c r="H975" t="s">
        <v>107</v>
      </c>
      <c r="I975" s="2">
        <v>147</v>
      </c>
      <c r="J975" s="2">
        <v>0</v>
      </c>
      <c r="K975" s="2">
        <v>0</v>
      </c>
      <c r="L975" s="3">
        <v>45851</v>
      </c>
      <c r="M975" s="3">
        <v>45851</v>
      </c>
      <c r="N975" s="3"/>
      <c r="O975" t="s">
        <v>109</v>
      </c>
      <c r="P975" t="s">
        <v>9</v>
      </c>
      <c r="Q975" s="4">
        <v>0.52979166666666999</v>
      </c>
      <c r="R975" t="s">
        <v>5</v>
      </c>
      <c r="S975" t="s">
        <v>4</v>
      </c>
      <c r="T975" t="s">
        <v>2747</v>
      </c>
      <c r="U975" t="s">
        <v>35</v>
      </c>
      <c r="V975" s="5">
        <v>0</v>
      </c>
      <c r="W975" s="5">
        <v>0</v>
      </c>
      <c r="X975" s="2">
        <v>0</v>
      </c>
      <c r="Y975" t="s">
        <v>4</v>
      </c>
      <c r="Z975" t="s">
        <v>4</v>
      </c>
      <c r="AA975" t="s">
        <v>4</v>
      </c>
      <c r="AB975" t="s">
        <v>4</v>
      </c>
    </row>
    <row r="976" spans="1:28" x14ac:dyDescent="0.2">
      <c r="A976" t="s">
        <v>31</v>
      </c>
      <c r="B976" t="s">
        <v>2</v>
      </c>
      <c r="C976" t="s">
        <v>3</v>
      </c>
      <c r="D976" t="s">
        <v>4</v>
      </c>
      <c r="E976" t="s">
        <v>4</v>
      </c>
      <c r="F976" t="s">
        <v>5</v>
      </c>
      <c r="G976" t="s">
        <v>17</v>
      </c>
      <c r="H976" t="s">
        <v>107</v>
      </c>
      <c r="I976" s="2">
        <v>147</v>
      </c>
      <c r="J976" s="2">
        <v>0</v>
      </c>
      <c r="K976" s="2">
        <v>0</v>
      </c>
      <c r="L976" s="3">
        <v>45851</v>
      </c>
      <c r="M976" s="3">
        <v>45851</v>
      </c>
      <c r="N976" s="3"/>
      <c r="O976" t="s">
        <v>108</v>
      </c>
      <c r="P976" t="s">
        <v>9</v>
      </c>
      <c r="Q976" s="4">
        <v>0.52979166666666999</v>
      </c>
      <c r="R976" t="s">
        <v>5</v>
      </c>
      <c r="S976" t="s">
        <v>4</v>
      </c>
      <c r="T976" t="s">
        <v>2747</v>
      </c>
      <c r="U976" t="s">
        <v>35</v>
      </c>
      <c r="V976" s="5">
        <v>0</v>
      </c>
      <c r="W976" s="5">
        <v>0</v>
      </c>
      <c r="X976" s="2">
        <v>0</v>
      </c>
      <c r="Y976" t="s">
        <v>4</v>
      </c>
      <c r="Z976" t="s">
        <v>4</v>
      </c>
      <c r="AA976" t="s">
        <v>4</v>
      </c>
      <c r="AB976" t="s">
        <v>4</v>
      </c>
    </row>
    <row r="977" spans="1:28" x14ac:dyDescent="0.2">
      <c r="A977" t="s">
        <v>1550</v>
      </c>
      <c r="B977" t="s">
        <v>2</v>
      </c>
      <c r="C977" t="s">
        <v>3</v>
      </c>
      <c r="D977" t="s">
        <v>4</v>
      </c>
      <c r="E977" t="s">
        <v>4</v>
      </c>
      <c r="F977" t="s">
        <v>5</v>
      </c>
      <c r="G977" t="s">
        <v>17</v>
      </c>
      <c r="H977" t="s">
        <v>3740</v>
      </c>
      <c r="I977" s="2">
        <v>260</v>
      </c>
      <c r="J977" s="2">
        <v>0</v>
      </c>
      <c r="K977" s="2">
        <v>0</v>
      </c>
      <c r="L977" s="3">
        <v>45828</v>
      </c>
      <c r="M977" s="3">
        <v>45828</v>
      </c>
      <c r="N977" s="3"/>
      <c r="O977" t="s">
        <v>3741</v>
      </c>
      <c r="P977" t="s">
        <v>9</v>
      </c>
      <c r="Q977" s="4">
        <v>0.47418981481480998</v>
      </c>
      <c r="R977" t="s">
        <v>5</v>
      </c>
      <c r="S977" t="s">
        <v>4</v>
      </c>
      <c r="T977" t="s">
        <v>3742</v>
      </c>
      <c r="U977" t="s">
        <v>10</v>
      </c>
      <c r="V977" s="5">
        <v>0</v>
      </c>
      <c r="W977" s="5">
        <v>0</v>
      </c>
      <c r="X977" s="2">
        <v>0</v>
      </c>
      <c r="Y977" t="s">
        <v>4</v>
      </c>
      <c r="Z977" t="s">
        <v>4</v>
      </c>
      <c r="AA977" t="s">
        <v>4</v>
      </c>
      <c r="AB977" t="s">
        <v>4</v>
      </c>
    </row>
    <row r="978" spans="1:28" x14ac:dyDescent="0.2">
      <c r="A978" t="s">
        <v>285</v>
      </c>
      <c r="B978" t="s">
        <v>2</v>
      </c>
      <c r="C978" t="s">
        <v>3</v>
      </c>
      <c r="D978" t="s">
        <v>4</v>
      </c>
      <c r="E978" t="s">
        <v>4</v>
      </c>
      <c r="F978" t="s">
        <v>5</v>
      </c>
      <c r="G978" t="s">
        <v>17</v>
      </c>
      <c r="H978" t="s">
        <v>3743</v>
      </c>
      <c r="I978" s="2">
        <v>30</v>
      </c>
      <c r="J978" s="2">
        <v>0</v>
      </c>
      <c r="K978" s="2">
        <v>0</v>
      </c>
      <c r="L978" s="3">
        <v>45835</v>
      </c>
      <c r="M978" s="3">
        <v>45835</v>
      </c>
      <c r="N978" s="3"/>
      <c r="O978" t="s">
        <v>3744</v>
      </c>
      <c r="P978" t="s">
        <v>9</v>
      </c>
      <c r="Q978" s="4">
        <v>0.62627314814815005</v>
      </c>
      <c r="R978" t="s">
        <v>5</v>
      </c>
      <c r="S978" t="s">
        <v>4</v>
      </c>
      <c r="T978" t="s">
        <v>2928</v>
      </c>
      <c r="U978" t="s">
        <v>10</v>
      </c>
      <c r="V978" s="5">
        <v>0</v>
      </c>
      <c r="W978" s="5">
        <v>0</v>
      </c>
      <c r="X978" s="2">
        <v>0</v>
      </c>
      <c r="Y978" t="s">
        <v>4</v>
      </c>
      <c r="Z978" t="s">
        <v>4</v>
      </c>
      <c r="AA978" t="s">
        <v>4</v>
      </c>
      <c r="AB978" t="s">
        <v>4</v>
      </c>
    </row>
    <row r="979" spans="1:28" x14ac:dyDescent="0.2">
      <c r="A979" t="s">
        <v>285</v>
      </c>
      <c r="B979" t="s">
        <v>2</v>
      </c>
      <c r="C979" t="s">
        <v>3</v>
      </c>
      <c r="D979" t="s">
        <v>4</v>
      </c>
      <c r="E979" t="s">
        <v>4</v>
      </c>
      <c r="F979" t="s">
        <v>5</v>
      </c>
      <c r="G979" t="s">
        <v>17</v>
      </c>
      <c r="H979" t="s">
        <v>3743</v>
      </c>
      <c r="I979" s="2">
        <v>30</v>
      </c>
      <c r="J979" s="2">
        <v>0</v>
      </c>
      <c r="K979" s="2">
        <v>0</v>
      </c>
      <c r="L979" s="3">
        <v>45835</v>
      </c>
      <c r="M979" s="3">
        <v>45835</v>
      </c>
      <c r="N979" s="3"/>
      <c r="O979" t="s">
        <v>3745</v>
      </c>
      <c r="P979" t="s">
        <v>9</v>
      </c>
      <c r="Q979" s="4">
        <v>0.62627314814815005</v>
      </c>
      <c r="R979" t="s">
        <v>5</v>
      </c>
      <c r="S979" t="s">
        <v>4</v>
      </c>
      <c r="T979" t="s">
        <v>2928</v>
      </c>
      <c r="U979" t="s">
        <v>10</v>
      </c>
      <c r="V979" s="5">
        <v>0</v>
      </c>
      <c r="W979" s="5">
        <v>0</v>
      </c>
      <c r="X979" s="2">
        <v>0</v>
      </c>
      <c r="Y979" t="s">
        <v>4</v>
      </c>
      <c r="Z979" t="s">
        <v>4</v>
      </c>
      <c r="AA979" t="s">
        <v>4</v>
      </c>
      <c r="AB979" t="s">
        <v>4</v>
      </c>
    </row>
    <row r="980" spans="1:28" x14ac:dyDescent="0.2">
      <c r="A980" t="s">
        <v>1139</v>
      </c>
      <c r="B980" t="s">
        <v>2</v>
      </c>
      <c r="C980" t="s">
        <v>3</v>
      </c>
      <c r="D980" t="s">
        <v>4</v>
      </c>
      <c r="E980" t="s">
        <v>4</v>
      </c>
      <c r="F980" t="s">
        <v>5</v>
      </c>
      <c r="G980" t="s">
        <v>6</v>
      </c>
      <c r="H980" t="s">
        <v>3746</v>
      </c>
      <c r="I980" s="2">
        <v>552</v>
      </c>
      <c r="J980" s="2">
        <v>0</v>
      </c>
      <c r="K980" s="2">
        <v>0</v>
      </c>
      <c r="L980" s="3">
        <v>45832</v>
      </c>
      <c r="M980" s="3">
        <v>45832</v>
      </c>
      <c r="N980" s="3"/>
      <c r="O980" t="s">
        <v>3747</v>
      </c>
      <c r="P980" t="s">
        <v>9</v>
      </c>
      <c r="Q980" s="4">
        <v>0.49619212962963</v>
      </c>
      <c r="R980" t="s">
        <v>5</v>
      </c>
      <c r="S980" t="s">
        <v>4</v>
      </c>
      <c r="T980" t="s">
        <v>2665</v>
      </c>
      <c r="U980" t="s">
        <v>10</v>
      </c>
      <c r="V980" s="5">
        <v>0</v>
      </c>
      <c r="W980" s="5">
        <v>0</v>
      </c>
      <c r="X980" s="2">
        <v>0</v>
      </c>
      <c r="Y980" t="s">
        <v>4</v>
      </c>
      <c r="Z980" t="s">
        <v>4</v>
      </c>
      <c r="AA980" t="s">
        <v>4</v>
      </c>
      <c r="AB980" t="s">
        <v>4</v>
      </c>
    </row>
    <row r="981" spans="1:28" x14ac:dyDescent="0.2">
      <c r="A981" t="s">
        <v>1139</v>
      </c>
      <c r="B981" t="s">
        <v>2</v>
      </c>
      <c r="C981" t="s">
        <v>3</v>
      </c>
      <c r="D981" t="s">
        <v>4</v>
      </c>
      <c r="E981" t="s">
        <v>4</v>
      </c>
      <c r="F981" t="s">
        <v>5</v>
      </c>
      <c r="G981" t="s">
        <v>6</v>
      </c>
      <c r="H981" t="s">
        <v>3746</v>
      </c>
      <c r="I981" s="2">
        <v>432</v>
      </c>
      <c r="J981" s="2">
        <v>0</v>
      </c>
      <c r="K981" s="2">
        <v>0</v>
      </c>
      <c r="L981" s="3">
        <v>45834</v>
      </c>
      <c r="M981" s="3">
        <v>45834</v>
      </c>
      <c r="N981" s="3"/>
      <c r="O981" t="s">
        <v>3748</v>
      </c>
      <c r="P981" t="s">
        <v>9</v>
      </c>
      <c r="Q981" s="4">
        <v>0.49619212962963</v>
      </c>
      <c r="R981" t="s">
        <v>5</v>
      </c>
      <c r="S981" t="s">
        <v>4</v>
      </c>
      <c r="T981" t="s">
        <v>2817</v>
      </c>
      <c r="U981" t="s">
        <v>10</v>
      </c>
      <c r="V981" s="5">
        <v>0</v>
      </c>
      <c r="W981" s="5">
        <v>0</v>
      </c>
      <c r="X981" s="2">
        <v>0</v>
      </c>
      <c r="Y981" t="s">
        <v>4</v>
      </c>
      <c r="Z981" t="s">
        <v>4</v>
      </c>
      <c r="AA981" t="s">
        <v>4</v>
      </c>
      <c r="AB981" t="s">
        <v>4</v>
      </c>
    </row>
    <row r="982" spans="1:28" x14ac:dyDescent="0.2">
      <c r="A982" t="s">
        <v>404</v>
      </c>
      <c r="B982" t="s">
        <v>2</v>
      </c>
      <c r="C982" t="s">
        <v>3</v>
      </c>
      <c r="D982" t="s">
        <v>4</v>
      </c>
      <c r="E982" t="s">
        <v>4</v>
      </c>
      <c r="F982" t="s">
        <v>5</v>
      </c>
      <c r="G982" t="s">
        <v>6</v>
      </c>
      <c r="H982" t="s">
        <v>3749</v>
      </c>
      <c r="I982" s="2">
        <v>840</v>
      </c>
      <c r="J982" s="2">
        <v>0</v>
      </c>
      <c r="K982" s="2">
        <v>0</v>
      </c>
      <c r="L982" s="3">
        <v>45849</v>
      </c>
      <c r="M982" s="3">
        <v>45849</v>
      </c>
      <c r="N982" s="3"/>
      <c r="O982" t="s">
        <v>3750</v>
      </c>
      <c r="P982" t="s">
        <v>9</v>
      </c>
      <c r="Q982" s="4">
        <v>0.42899305555556</v>
      </c>
      <c r="R982" t="s">
        <v>5</v>
      </c>
      <c r="S982" t="s">
        <v>4</v>
      </c>
      <c r="T982" t="s">
        <v>2321</v>
      </c>
      <c r="U982" t="s">
        <v>10</v>
      </c>
      <c r="V982" s="5">
        <v>0</v>
      </c>
      <c r="W982" s="5">
        <v>0</v>
      </c>
      <c r="X982" s="2">
        <v>0</v>
      </c>
      <c r="Y982" t="s">
        <v>4</v>
      </c>
      <c r="Z982" t="s">
        <v>4</v>
      </c>
      <c r="AA982" t="s">
        <v>4</v>
      </c>
      <c r="AB982" t="s">
        <v>4</v>
      </c>
    </row>
    <row r="983" spans="1:28" x14ac:dyDescent="0.2">
      <c r="A983" t="s">
        <v>1466</v>
      </c>
      <c r="B983" t="s">
        <v>2</v>
      </c>
      <c r="C983" t="s">
        <v>3</v>
      </c>
      <c r="D983" t="s">
        <v>4</v>
      </c>
      <c r="E983" t="s">
        <v>4</v>
      </c>
      <c r="F983" t="s">
        <v>5</v>
      </c>
      <c r="G983" t="s">
        <v>6</v>
      </c>
      <c r="H983" t="s">
        <v>3751</v>
      </c>
      <c r="I983" s="2">
        <v>60</v>
      </c>
      <c r="J983" s="2">
        <v>0</v>
      </c>
      <c r="K983" s="2">
        <v>0</v>
      </c>
      <c r="L983" s="3">
        <v>45856</v>
      </c>
      <c r="M983" s="3">
        <v>45856</v>
      </c>
      <c r="N983" s="3"/>
      <c r="O983" t="s">
        <v>3752</v>
      </c>
      <c r="P983" t="s">
        <v>9</v>
      </c>
      <c r="Q983" s="4">
        <v>0.93438657407407</v>
      </c>
      <c r="R983" t="s">
        <v>5</v>
      </c>
      <c r="S983" t="s">
        <v>4</v>
      </c>
      <c r="T983" t="s">
        <v>2260</v>
      </c>
      <c r="U983" t="s">
        <v>10</v>
      </c>
      <c r="V983" s="5">
        <v>0</v>
      </c>
      <c r="W983" s="5">
        <v>0</v>
      </c>
      <c r="X983" s="2">
        <v>0</v>
      </c>
      <c r="Y983" t="s">
        <v>4</v>
      </c>
      <c r="Z983" t="s">
        <v>4</v>
      </c>
      <c r="AA983" t="s">
        <v>4</v>
      </c>
      <c r="AB983" t="s">
        <v>4</v>
      </c>
    </row>
    <row r="984" spans="1:28" x14ac:dyDescent="0.2">
      <c r="A984" t="s">
        <v>1466</v>
      </c>
      <c r="B984" t="s">
        <v>2</v>
      </c>
      <c r="C984" t="s">
        <v>3</v>
      </c>
      <c r="D984" t="s">
        <v>4</v>
      </c>
      <c r="E984" t="s">
        <v>4</v>
      </c>
      <c r="F984" t="s">
        <v>5</v>
      </c>
      <c r="G984" t="s">
        <v>6</v>
      </c>
      <c r="H984" t="s">
        <v>3751</v>
      </c>
      <c r="I984" s="2">
        <v>0</v>
      </c>
      <c r="J984" s="2">
        <v>60</v>
      </c>
      <c r="K984" s="2">
        <v>0</v>
      </c>
      <c r="L984" s="3">
        <v>45856</v>
      </c>
      <c r="M984" s="3">
        <v>45856</v>
      </c>
      <c r="N984" s="3"/>
      <c r="O984" t="s">
        <v>3753</v>
      </c>
      <c r="P984" t="s">
        <v>9</v>
      </c>
      <c r="Q984" s="4">
        <v>0.93438657407407</v>
      </c>
      <c r="R984" t="s">
        <v>5</v>
      </c>
      <c r="S984" t="s">
        <v>4</v>
      </c>
      <c r="T984" t="s">
        <v>2260</v>
      </c>
      <c r="U984" t="s">
        <v>10</v>
      </c>
      <c r="V984" s="5">
        <v>0</v>
      </c>
      <c r="W984" s="5">
        <v>0</v>
      </c>
      <c r="X984" s="2">
        <v>0</v>
      </c>
      <c r="Y984" t="s">
        <v>4</v>
      </c>
      <c r="Z984" t="s">
        <v>4</v>
      </c>
      <c r="AA984" t="s">
        <v>4</v>
      </c>
      <c r="AB984" t="s">
        <v>4</v>
      </c>
    </row>
    <row r="985" spans="1:28" x14ac:dyDescent="0.2">
      <c r="A985" t="s">
        <v>1573</v>
      </c>
      <c r="B985" t="s">
        <v>2</v>
      </c>
      <c r="C985" t="s">
        <v>3</v>
      </c>
      <c r="D985" t="s">
        <v>4</v>
      </c>
      <c r="E985" t="s">
        <v>4</v>
      </c>
      <c r="F985" t="s">
        <v>5</v>
      </c>
      <c r="G985" t="s">
        <v>6</v>
      </c>
      <c r="H985" t="s">
        <v>3754</v>
      </c>
      <c r="I985" s="2">
        <v>45</v>
      </c>
      <c r="J985" s="2">
        <v>0</v>
      </c>
      <c r="K985" s="2">
        <v>0</v>
      </c>
      <c r="L985" s="3">
        <v>45859</v>
      </c>
      <c r="M985" s="3">
        <v>45859</v>
      </c>
      <c r="N985" s="3"/>
      <c r="O985" t="s">
        <v>3755</v>
      </c>
      <c r="P985" t="s">
        <v>9</v>
      </c>
      <c r="Q985" s="4">
        <v>0.59</v>
      </c>
      <c r="R985" t="s">
        <v>5</v>
      </c>
      <c r="S985" t="s">
        <v>4</v>
      </c>
      <c r="T985" t="s">
        <v>2261</v>
      </c>
      <c r="U985" t="s">
        <v>10</v>
      </c>
      <c r="V985" s="5">
        <v>0</v>
      </c>
      <c r="W985" s="5">
        <v>0</v>
      </c>
      <c r="X985" s="2">
        <v>0</v>
      </c>
      <c r="Y985" t="s">
        <v>4</v>
      </c>
      <c r="Z985" t="s">
        <v>4</v>
      </c>
      <c r="AA985" t="s">
        <v>4</v>
      </c>
      <c r="AB985" t="s">
        <v>4</v>
      </c>
    </row>
    <row r="986" spans="1:28" x14ac:dyDescent="0.2">
      <c r="A986" t="s">
        <v>1573</v>
      </c>
      <c r="B986" t="s">
        <v>2</v>
      </c>
      <c r="C986" t="s">
        <v>3</v>
      </c>
      <c r="D986" t="s">
        <v>4</v>
      </c>
      <c r="E986" t="s">
        <v>4</v>
      </c>
      <c r="F986" t="s">
        <v>5</v>
      </c>
      <c r="G986" t="s">
        <v>6</v>
      </c>
      <c r="H986" t="s">
        <v>3754</v>
      </c>
      <c r="I986" s="2">
        <v>45</v>
      </c>
      <c r="J986" s="2">
        <v>0</v>
      </c>
      <c r="K986" s="2">
        <v>0</v>
      </c>
      <c r="L986" s="3">
        <v>45859</v>
      </c>
      <c r="M986" s="3">
        <v>45859</v>
      </c>
      <c r="N986" s="3"/>
      <c r="O986" t="s">
        <v>3756</v>
      </c>
      <c r="P986" t="s">
        <v>9</v>
      </c>
      <c r="Q986" s="4">
        <v>0.59</v>
      </c>
      <c r="R986" t="s">
        <v>5</v>
      </c>
      <c r="S986" t="s">
        <v>4</v>
      </c>
      <c r="T986" t="s">
        <v>2261</v>
      </c>
      <c r="U986" t="s">
        <v>10</v>
      </c>
      <c r="V986" s="5">
        <v>0</v>
      </c>
      <c r="W986" s="5">
        <v>0</v>
      </c>
      <c r="X986" s="2">
        <v>0</v>
      </c>
      <c r="Y986" t="s">
        <v>4</v>
      </c>
      <c r="Z986" t="s">
        <v>4</v>
      </c>
      <c r="AA986" t="s">
        <v>4</v>
      </c>
      <c r="AB986" t="s">
        <v>4</v>
      </c>
    </row>
    <row r="987" spans="1:28" x14ac:dyDescent="0.2">
      <c r="A987" t="s">
        <v>1297</v>
      </c>
      <c r="B987" t="s">
        <v>2</v>
      </c>
      <c r="C987" t="s">
        <v>3</v>
      </c>
      <c r="D987" t="s">
        <v>4</v>
      </c>
      <c r="E987" t="s">
        <v>4</v>
      </c>
      <c r="F987" t="s">
        <v>5</v>
      </c>
      <c r="G987" t="s">
        <v>6</v>
      </c>
      <c r="H987" t="s">
        <v>3757</v>
      </c>
      <c r="I987" s="2">
        <v>1000</v>
      </c>
      <c r="J987" s="2">
        <v>0</v>
      </c>
      <c r="K987" s="2">
        <v>0</v>
      </c>
      <c r="L987" s="3">
        <v>45856</v>
      </c>
      <c r="M987" s="3">
        <v>45856</v>
      </c>
      <c r="N987" s="3"/>
      <c r="O987" t="s">
        <v>3758</v>
      </c>
      <c r="P987" t="s">
        <v>9</v>
      </c>
      <c r="Q987" s="4">
        <v>0.95655092592593005</v>
      </c>
      <c r="R987" t="s">
        <v>5</v>
      </c>
      <c r="S987" t="s">
        <v>4</v>
      </c>
      <c r="T987" t="s">
        <v>2260</v>
      </c>
      <c r="U987" t="s">
        <v>10</v>
      </c>
      <c r="V987" s="5">
        <v>0</v>
      </c>
      <c r="W987" s="5">
        <v>0</v>
      </c>
      <c r="X987" s="2">
        <v>0</v>
      </c>
      <c r="Y987" t="s">
        <v>4</v>
      </c>
      <c r="Z987" t="s">
        <v>4</v>
      </c>
      <c r="AA987" t="s">
        <v>4</v>
      </c>
      <c r="AB987" t="s">
        <v>4</v>
      </c>
    </row>
    <row r="988" spans="1:28" x14ac:dyDescent="0.2">
      <c r="A988" t="s">
        <v>1573</v>
      </c>
      <c r="B988" t="s">
        <v>2</v>
      </c>
      <c r="C988" t="s">
        <v>3</v>
      </c>
      <c r="D988" t="s">
        <v>4</v>
      </c>
      <c r="E988" t="s">
        <v>4</v>
      </c>
      <c r="F988" t="s">
        <v>5</v>
      </c>
      <c r="G988" t="s">
        <v>6</v>
      </c>
      <c r="H988" t="s">
        <v>3759</v>
      </c>
      <c r="I988" s="2">
        <v>45</v>
      </c>
      <c r="J988" s="2">
        <v>0</v>
      </c>
      <c r="K988" s="2">
        <v>0</v>
      </c>
      <c r="L988" s="3">
        <v>45859</v>
      </c>
      <c r="M988" s="3">
        <v>45859</v>
      </c>
      <c r="N988" s="3"/>
      <c r="O988" t="s">
        <v>3760</v>
      </c>
      <c r="P988" t="s">
        <v>9</v>
      </c>
      <c r="Q988" s="4">
        <v>0.96961805555556002</v>
      </c>
      <c r="R988" t="s">
        <v>5</v>
      </c>
      <c r="S988" t="s">
        <v>4</v>
      </c>
      <c r="T988" t="s">
        <v>2261</v>
      </c>
      <c r="U988" t="s">
        <v>10</v>
      </c>
      <c r="V988" s="5">
        <v>0</v>
      </c>
      <c r="W988" s="5">
        <v>0</v>
      </c>
      <c r="X988" s="2">
        <v>0</v>
      </c>
      <c r="Y988" t="s">
        <v>4</v>
      </c>
      <c r="Z988" t="s">
        <v>4</v>
      </c>
      <c r="AA988" t="s">
        <v>4</v>
      </c>
      <c r="AB988" t="s">
        <v>4</v>
      </c>
    </row>
    <row r="989" spans="1:28" x14ac:dyDescent="0.2">
      <c r="A989" t="s">
        <v>331</v>
      </c>
      <c r="B989" t="s">
        <v>2</v>
      </c>
      <c r="C989" t="s">
        <v>3</v>
      </c>
      <c r="D989" t="s">
        <v>4</v>
      </c>
      <c r="E989" t="s">
        <v>4</v>
      </c>
      <c r="F989" t="s">
        <v>5</v>
      </c>
      <c r="G989" t="s">
        <v>21</v>
      </c>
      <c r="H989" t="s">
        <v>3761</v>
      </c>
      <c r="I989" s="2">
        <v>1260</v>
      </c>
      <c r="J989" s="2">
        <v>0</v>
      </c>
      <c r="K989" s="2">
        <v>0</v>
      </c>
      <c r="L989" s="3">
        <v>45810</v>
      </c>
      <c r="M989" s="3">
        <v>45810</v>
      </c>
      <c r="N989" s="3"/>
      <c r="O989" t="s">
        <v>3762</v>
      </c>
      <c r="P989" t="s">
        <v>9</v>
      </c>
      <c r="Q989" s="4">
        <v>0.60091435185185005</v>
      </c>
      <c r="R989" t="s">
        <v>5</v>
      </c>
      <c r="S989" t="s">
        <v>4</v>
      </c>
      <c r="T989" t="s">
        <v>3383</v>
      </c>
      <c r="U989" t="s">
        <v>10</v>
      </c>
      <c r="V989" s="5">
        <v>0</v>
      </c>
      <c r="W989" s="5">
        <v>0</v>
      </c>
      <c r="X989" s="2">
        <v>0</v>
      </c>
      <c r="Y989" t="s">
        <v>4</v>
      </c>
      <c r="Z989" t="s">
        <v>4</v>
      </c>
      <c r="AA989" t="s">
        <v>4</v>
      </c>
      <c r="AB989" t="s">
        <v>4</v>
      </c>
    </row>
    <row r="990" spans="1:28" x14ac:dyDescent="0.2">
      <c r="A990" t="s">
        <v>331</v>
      </c>
      <c r="B990" t="s">
        <v>2</v>
      </c>
      <c r="C990" t="s">
        <v>3</v>
      </c>
      <c r="D990" t="s">
        <v>4</v>
      </c>
      <c r="E990" t="s">
        <v>4</v>
      </c>
      <c r="F990" t="s">
        <v>5</v>
      </c>
      <c r="G990" t="s">
        <v>21</v>
      </c>
      <c r="H990" t="s">
        <v>3761</v>
      </c>
      <c r="I990" s="2">
        <v>1260</v>
      </c>
      <c r="J990" s="2">
        <v>0</v>
      </c>
      <c r="K990" s="2">
        <v>0</v>
      </c>
      <c r="L990" s="3">
        <v>45810</v>
      </c>
      <c r="M990" s="3">
        <v>45810</v>
      </c>
      <c r="N990" s="3"/>
      <c r="O990" t="s">
        <v>3763</v>
      </c>
      <c r="P990" t="s">
        <v>9</v>
      </c>
      <c r="Q990" s="4">
        <v>0.60091435185185005</v>
      </c>
      <c r="R990" t="s">
        <v>5</v>
      </c>
      <c r="S990" t="s">
        <v>4</v>
      </c>
      <c r="T990" t="s">
        <v>3383</v>
      </c>
      <c r="U990" t="s">
        <v>10</v>
      </c>
      <c r="V990" s="5">
        <v>0</v>
      </c>
      <c r="W990" s="5">
        <v>0</v>
      </c>
      <c r="X990" s="2">
        <v>0</v>
      </c>
      <c r="Y990" t="s">
        <v>4</v>
      </c>
      <c r="Z990" t="s">
        <v>4</v>
      </c>
      <c r="AA990" t="s">
        <v>4</v>
      </c>
      <c r="AB990" t="s">
        <v>4</v>
      </c>
    </row>
    <row r="991" spans="1:28" x14ac:dyDescent="0.2">
      <c r="A991" t="s">
        <v>1924</v>
      </c>
      <c r="B991" t="s">
        <v>2</v>
      </c>
      <c r="C991" t="s">
        <v>3</v>
      </c>
      <c r="D991" t="s">
        <v>4</v>
      </c>
      <c r="E991" t="s">
        <v>4</v>
      </c>
      <c r="F991" t="s">
        <v>5</v>
      </c>
      <c r="G991" t="s">
        <v>21</v>
      </c>
      <c r="H991" t="s">
        <v>3764</v>
      </c>
      <c r="I991" s="2">
        <v>286</v>
      </c>
      <c r="J991" s="2">
        <v>0</v>
      </c>
      <c r="K991" s="2">
        <v>0</v>
      </c>
      <c r="L991" s="3">
        <v>45840</v>
      </c>
      <c r="M991" s="3">
        <v>45840</v>
      </c>
      <c r="N991" s="3"/>
      <c r="O991" t="s">
        <v>3765</v>
      </c>
      <c r="P991" t="s">
        <v>9</v>
      </c>
      <c r="Q991" s="4">
        <v>0.54229166666666995</v>
      </c>
      <c r="R991" t="s">
        <v>5</v>
      </c>
      <c r="S991" t="s">
        <v>4</v>
      </c>
      <c r="T991" t="s">
        <v>2766</v>
      </c>
      <c r="U991" t="s">
        <v>10</v>
      </c>
      <c r="V991" s="5">
        <v>0</v>
      </c>
      <c r="W991" s="5">
        <v>0</v>
      </c>
      <c r="X991" s="2">
        <v>0</v>
      </c>
      <c r="Y991" t="s">
        <v>4</v>
      </c>
      <c r="Z991" t="s">
        <v>4</v>
      </c>
      <c r="AA991" t="s">
        <v>4</v>
      </c>
      <c r="AB991" t="s">
        <v>4</v>
      </c>
    </row>
    <row r="992" spans="1:28" x14ac:dyDescent="0.2">
      <c r="A992" t="s">
        <v>1924</v>
      </c>
      <c r="B992" t="s">
        <v>2</v>
      </c>
      <c r="C992" t="s">
        <v>3</v>
      </c>
      <c r="D992" t="s">
        <v>4</v>
      </c>
      <c r="E992" t="s">
        <v>4</v>
      </c>
      <c r="F992" t="s">
        <v>5</v>
      </c>
      <c r="G992" t="s">
        <v>21</v>
      </c>
      <c r="H992" t="s">
        <v>3764</v>
      </c>
      <c r="I992" s="2">
        <v>330</v>
      </c>
      <c r="J992" s="2">
        <v>0</v>
      </c>
      <c r="K992" s="2">
        <v>0</v>
      </c>
      <c r="L992" s="3">
        <v>45843</v>
      </c>
      <c r="M992" s="3">
        <v>45843</v>
      </c>
      <c r="N992" s="3"/>
      <c r="O992" t="s">
        <v>3766</v>
      </c>
      <c r="P992" t="s">
        <v>9</v>
      </c>
      <c r="Q992" s="4">
        <v>0.54229166666666995</v>
      </c>
      <c r="R992" t="s">
        <v>5</v>
      </c>
      <c r="S992" t="s">
        <v>4</v>
      </c>
      <c r="T992" t="s">
        <v>2783</v>
      </c>
      <c r="U992" t="s">
        <v>10</v>
      </c>
      <c r="V992" s="5">
        <v>0</v>
      </c>
      <c r="W992" s="5">
        <v>0</v>
      </c>
      <c r="X992" s="2">
        <v>0</v>
      </c>
      <c r="Y992" t="s">
        <v>4</v>
      </c>
      <c r="Z992" t="s">
        <v>4</v>
      </c>
      <c r="AA992" t="s">
        <v>4</v>
      </c>
      <c r="AB992" t="s">
        <v>4</v>
      </c>
    </row>
    <row r="993" spans="1:28" x14ac:dyDescent="0.2">
      <c r="A993" t="s">
        <v>1215</v>
      </c>
      <c r="B993" t="s">
        <v>2</v>
      </c>
      <c r="C993" t="s">
        <v>3</v>
      </c>
      <c r="D993" t="s">
        <v>4</v>
      </c>
      <c r="E993" t="s">
        <v>4</v>
      </c>
      <c r="F993" t="s">
        <v>5</v>
      </c>
      <c r="G993" t="s">
        <v>21</v>
      </c>
      <c r="H993" t="s">
        <v>3767</v>
      </c>
      <c r="I993" s="2">
        <v>1200</v>
      </c>
      <c r="J993" s="2">
        <v>0</v>
      </c>
      <c r="K993" s="2">
        <v>0</v>
      </c>
      <c r="L993" s="3">
        <v>45853</v>
      </c>
      <c r="M993" s="3">
        <v>45853</v>
      </c>
      <c r="N993" s="3"/>
      <c r="O993" t="s">
        <v>3768</v>
      </c>
      <c r="P993" t="s">
        <v>9</v>
      </c>
      <c r="Q993" s="4">
        <v>0.88918981481480996</v>
      </c>
      <c r="R993" t="s">
        <v>5</v>
      </c>
      <c r="S993" t="s">
        <v>4</v>
      </c>
      <c r="T993" t="s">
        <v>2272</v>
      </c>
      <c r="U993" t="s">
        <v>10</v>
      </c>
      <c r="V993" s="5">
        <v>0</v>
      </c>
      <c r="W993" s="5">
        <v>0</v>
      </c>
      <c r="X993" s="2">
        <v>0</v>
      </c>
      <c r="Y993" t="s">
        <v>4</v>
      </c>
      <c r="Z993" t="s">
        <v>4</v>
      </c>
      <c r="AA993" t="s">
        <v>4</v>
      </c>
      <c r="AB993" t="s">
        <v>4</v>
      </c>
    </row>
    <row r="994" spans="1:28" x14ac:dyDescent="0.2">
      <c r="A994" t="s">
        <v>1215</v>
      </c>
      <c r="B994" t="s">
        <v>2</v>
      </c>
      <c r="C994" t="s">
        <v>3</v>
      </c>
      <c r="D994" t="s">
        <v>4</v>
      </c>
      <c r="E994" t="s">
        <v>4</v>
      </c>
      <c r="F994" t="s">
        <v>5</v>
      </c>
      <c r="G994" t="s">
        <v>21</v>
      </c>
      <c r="H994" t="s">
        <v>3767</v>
      </c>
      <c r="I994" s="2">
        <v>1200</v>
      </c>
      <c r="J994" s="2">
        <v>0</v>
      </c>
      <c r="K994" s="2">
        <v>0</v>
      </c>
      <c r="L994" s="3">
        <v>45818</v>
      </c>
      <c r="M994" s="3">
        <v>45818</v>
      </c>
      <c r="N994" s="3"/>
      <c r="O994" t="s">
        <v>3769</v>
      </c>
      <c r="P994" t="s">
        <v>9</v>
      </c>
      <c r="Q994" s="4">
        <v>0.88918981481480996</v>
      </c>
      <c r="R994" t="s">
        <v>5</v>
      </c>
      <c r="S994" t="s">
        <v>4</v>
      </c>
      <c r="T994" t="s">
        <v>2290</v>
      </c>
      <c r="U994" t="s">
        <v>10</v>
      </c>
      <c r="V994" s="5">
        <v>0</v>
      </c>
      <c r="W994" s="5">
        <v>0</v>
      </c>
      <c r="X994" s="2">
        <v>0</v>
      </c>
      <c r="Y994" t="s">
        <v>4</v>
      </c>
      <c r="Z994" t="s">
        <v>4</v>
      </c>
      <c r="AA994" t="s">
        <v>4</v>
      </c>
      <c r="AB994" t="s">
        <v>4</v>
      </c>
    </row>
    <row r="995" spans="1:28" x14ac:dyDescent="0.2">
      <c r="A995" t="s">
        <v>1563</v>
      </c>
      <c r="B995" t="s">
        <v>2</v>
      </c>
      <c r="C995" t="s">
        <v>3</v>
      </c>
      <c r="D995" t="s">
        <v>4</v>
      </c>
      <c r="E995" t="s">
        <v>4</v>
      </c>
      <c r="F995" t="s">
        <v>5</v>
      </c>
      <c r="G995" t="s">
        <v>21</v>
      </c>
      <c r="H995" t="s">
        <v>3770</v>
      </c>
      <c r="I995" s="2">
        <v>300</v>
      </c>
      <c r="J995" s="2">
        <v>0</v>
      </c>
      <c r="K995" s="2">
        <v>0</v>
      </c>
      <c r="L995" s="3">
        <v>45859</v>
      </c>
      <c r="M995" s="3">
        <v>45859</v>
      </c>
      <c r="N995" s="3"/>
      <c r="O995" t="s">
        <v>3771</v>
      </c>
      <c r="P995" t="s">
        <v>9</v>
      </c>
      <c r="Q995" s="4">
        <v>0.73993055555555998</v>
      </c>
      <c r="R995" t="s">
        <v>5</v>
      </c>
      <c r="S995" t="s">
        <v>4</v>
      </c>
      <c r="T995" t="s">
        <v>2261</v>
      </c>
      <c r="U995" t="s">
        <v>10</v>
      </c>
      <c r="V995" s="5">
        <v>0</v>
      </c>
      <c r="W995" s="5">
        <v>0</v>
      </c>
      <c r="X995" s="2">
        <v>0</v>
      </c>
      <c r="Y995" t="s">
        <v>4</v>
      </c>
      <c r="Z995" t="s">
        <v>4</v>
      </c>
      <c r="AA995" t="s">
        <v>4</v>
      </c>
      <c r="AB995" t="s">
        <v>4</v>
      </c>
    </row>
    <row r="996" spans="1:28" x14ac:dyDescent="0.2">
      <c r="A996" t="s">
        <v>1563</v>
      </c>
      <c r="B996" t="s">
        <v>2</v>
      </c>
      <c r="C996" t="s">
        <v>3</v>
      </c>
      <c r="D996" t="s">
        <v>4</v>
      </c>
      <c r="E996" t="s">
        <v>4</v>
      </c>
      <c r="F996" t="s">
        <v>5</v>
      </c>
      <c r="G996" t="s">
        <v>21</v>
      </c>
      <c r="H996" t="s">
        <v>3770</v>
      </c>
      <c r="I996" s="2">
        <v>300</v>
      </c>
      <c r="J996" s="2">
        <v>0</v>
      </c>
      <c r="K996" s="2">
        <v>0</v>
      </c>
      <c r="L996" s="3">
        <v>45859</v>
      </c>
      <c r="M996" s="3">
        <v>45859</v>
      </c>
      <c r="N996" s="3"/>
      <c r="O996" t="s">
        <v>3772</v>
      </c>
      <c r="P996" t="s">
        <v>9</v>
      </c>
      <c r="Q996" s="4">
        <v>0.73993055555555998</v>
      </c>
      <c r="R996" t="s">
        <v>5</v>
      </c>
      <c r="S996" t="s">
        <v>4</v>
      </c>
      <c r="T996" t="s">
        <v>2261</v>
      </c>
      <c r="U996" t="s">
        <v>10</v>
      </c>
      <c r="V996" s="5">
        <v>0</v>
      </c>
      <c r="W996" s="5">
        <v>0</v>
      </c>
      <c r="X996" s="2">
        <v>0</v>
      </c>
      <c r="Y996" t="s">
        <v>4</v>
      </c>
      <c r="Z996" t="s">
        <v>4</v>
      </c>
      <c r="AA996" t="s">
        <v>4</v>
      </c>
      <c r="AB996" t="s">
        <v>4</v>
      </c>
    </row>
    <row r="997" spans="1:28" x14ac:dyDescent="0.2">
      <c r="A997" t="s">
        <v>837</v>
      </c>
      <c r="B997" t="s">
        <v>2</v>
      </c>
      <c r="C997" t="s">
        <v>3</v>
      </c>
      <c r="D997" t="s">
        <v>4</v>
      </c>
      <c r="E997" t="s">
        <v>4</v>
      </c>
      <c r="F997" t="s">
        <v>5</v>
      </c>
      <c r="G997" t="s">
        <v>17</v>
      </c>
      <c r="H997" t="s">
        <v>3773</v>
      </c>
      <c r="I997" s="2">
        <v>30000</v>
      </c>
      <c r="J997" s="2">
        <v>0</v>
      </c>
      <c r="K997" s="2">
        <v>0</v>
      </c>
      <c r="L997" s="3">
        <v>45844</v>
      </c>
      <c r="M997" s="3">
        <v>45844</v>
      </c>
      <c r="N997" s="3"/>
      <c r="O997" t="s">
        <v>3774</v>
      </c>
      <c r="P997" t="s">
        <v>9</v>
      </c>
      <c r="Q997" s="4">
        <v>0.43693287037036999</v>
      </c>
      <c r="R997" t="s">
        <v>5</v>
      </c>
      <c r="S997" t="s">
        <v>4</v>
      </c>
      <c r="T997" t="s">
        <v>2792</v>
      </c>
      <c r="U997" t="s">
        <v>10</v>
      </c>
      <c r="V997" s="5">
        <v>0</v>
      </c>
      <c r="W997" s="5">
        <v>0</v>
      </c>
      <c r="X997" s="2">
        <v>0</v>
      </c>
      <c r="Y997" t="s">
        <v>4</v>
      </c>
      <c r="Z997" t="s">
        <v>4</v>
      </c>
      <c r="AA997" t="s">
        <v>4</v>
      </c>
      <c r="AB997" t="s">
        <v>4</v>
      </c>
    </row>
    <row r="998" spans="1:28" x14ac:dyDescent="0.2">
      <c r="A998" t="s">
        <v>837</v>
      </c>
      <c r="B998" t="s">
        <v>2</v>
      </c>
      <c r="C998" t="s">
        <v>3</v>
      </c>
      <c r="D998" t="s">
        <v>4</v>
      </c>
      <c r="E998" t="s">
        <v>4</v>
      </c>
      <c r="F998" t="s">
        <v>5</v>
      </c>
      <c r="G998" t="s">
        <v>17</v>
      </c>
      <c r="H998" t="s">
        <v>3773</v>
      </c>
      <c r="I998" s="2">
        <v>30000</v>
      </c>
      <c r="J998" s="2">
        <v>0</v>
      </c>
      <c r="K998" s="2">
        <v>0</v>
      </c>
      <c r="L998" s="3">
        <v>45844</v>
      </c>
      <c r="M998" s="3">
        <v>45844</v>
      </c>
      <c r="N998" s="3"/>
      <c r="O998" t="s">
        <v>3775</v>
      </c>
      <c r="P998" t="s">
        <v>9</v>
      </c>
      <c r="Q998" s="4">
        <v>0.43693287037036999</v>
      </c>
      <c r="R998" t="s">
        <v>5</v>
      </c>
      <c r="S998" t="s">
        <v>4</v>
      </c>
      <c r="T998" t="s">
        <v>2792</v>
      </c>
      <c r="U998" t="s">
        <v>10</v>
      </c>
      <c r="V998" s="5">
        <v>0</v>
      </c>
      <c r="W998" s="5">
        <v>0</v>
      </c>
      <c r="X998" s="2">
        <v>0</v>
      </c>
      <c r="Y998" t="s">
        <v>4</v>
      </c>
      <c r="Z998" t="s">
        <v>4</v>
      </c>
      <c r="AA998" t="s">
        <v>4</v>
      </c>
      <c r="AB998" t="s">
        <v>4</v>
      </c>
    </row>
    <row r="999" spans="1:28" x14ac:dyDescent="0.2">
      <c r="A999" t="s">
        <v>1466</v>
      </c>
      <c r="B999" t="s">
        <v>2</v>
      </c>
      <c r="C999" t="s">
        <v>3</v>
      </c>
      <c r="D999" t="s">
        <v>4</v>
      </c>
      <c r="E999" t="s">
        <v>4</v>
      </c>
      <c r="F999" t="s">
        <v>5</v>
      </c>
      <c r="G999" t="s">
        <v>17</v>
      </c>
      <c r="H999" t="s">
        <v>3776</v>
      </c>
      <c r="I999" s="2">
        <v>56</v>
      </c>
      <c r="J999" s="2">
        <v>0</v>
      </c>
      <c r="K999" s="2">
        <v>0</v>
      </c>
      <c r="L999" s="3">
        <v>45849</v>
      </c>
      <c r="M999" s="3">
        <v>45849</v>
      </c>
      <c r="N999" s="3"/>
      <c r="O999" t="s">
        <v>3777</v>
      </c>
      <c r="P999" t="s">
        <v>9</v>
      </c>
      <c r="Q999" s="4">
        <v>0.36579861111111001</v>
      </c>
      <c r="R999" t="s">
        <v>5</v>
      </c>
      <c r="S999" t="s">
        <v>4</v>
      </c>
      <c r="T999" t="s">
        <v>2321</v>
      </c>
      <c r="U999" t="s">
        <v>10</v>
      </c>
      <c r="V999" s="5">
        <v>0</v>
      </c>
      <c r="W999" s="5">
        <v>0</v>
      </c>
      <c r="X999" s="2">
        <v>0</v>
      </c>
      <c r="Y999" t="s">
        <v>4</v>
      </c>
      <c r="Z999" t="s">
        <v>4</v>
      </c>
      <c r="AA999" t="s">
        <v>4</v>
      </c>
      <c r="AB999" t="s">
        <v>4</v>
      </c>
    </row>
    <row r="1000" spans="1:28" x14ac:dyDescent="0.2">
      <c r="A1000" t="s">
        <v>1466</v>
      </c>
      <c r="B1000" t="s">
        <v>2</v>
      </c>
      <c r="C1000" t="s">
        <v>3</v>
      </c>
      <c r="D1000" t="s">
        <v>4</v>
      </c>
      <c r="E1000" t="s">
        <v>4</v>
      </c>
      <c r="F1000" t="s">
        <v>5</v>
      </c>
      <c r="G1000" t="s">
        <v>17</v>
      </c>
      <c r="H1000" t="s">
        <v>3776</v>
      </c>
      <c r="I1000" s="2">
        <v>60</v>
      </c>
      <c r="J1000" s="2">
        <v>0</v>
      </c>
      <c r="K1000" s="2">
        <v>0</v>
      </c>
      <c r="L1000" s="3">
        <v>45848</v>
      </c>
      <c r="M1000" s="3">
        <v>45848</v>
      </c>
      <c r="N1000" s="3"/>
      <c r="O1000" t="s">
        <v>3778</v>
      </c>
      <c r="P1000" t="s">
        <v>9</v>
      </c>
      <c r="Q1000" s="4">
        <v>0.36579861111111001</v>
      </c>
      <c r="R1000" t="s">
        <v>5</v>
      </c>
      <c r="S1000" t="s">
        <v>4</v>
      </c>
      <c r="T1000" t="s">
        <v>2580</v>
      </c>
      <c r="U1000" t="s">
        <v>10</v>
      </c>
      <c r="V1000" s="5">
        <v>0</v>
      </c>
      <c r="W1000" s="5">
        <v>0</v>
      </c>
      <c r="X1000" s="2">
        <v>0</v>
      </c>
      <c r="Y1000" t="s">
        <v>4</v>
      </c>
      <c r="Z1000" t="s">
        <v>4</v>
      </c>
      <c r="AA1000" t="s">
        <v>4</v>
      </c>
      <c r="AB1000" t="s">
        <v>4</v>
      </c>
    </row>
    <row r="1001" spans="1:28" x14ac:dyDescent="0.2">
      <c r="A1001" t="s">
        <v>593</v>
      </c>
      <c r="B1001" t="s">
        <v>2</v>
      </c>
      <c r="C1001" t="s">
        <v>3</v>
      </c>
      <c r="D1001" t="s">
        <v>4</v>
      </c>
      <c r="E1001" t="s">
        <v>4</v>
      </c>
      <c r="F1001" t="s">
        <v>5</v>
      </c>
      <c r="G1001" t="s">
        <v>17</v>
      </c>
      <c r="H1001" t="s">
        <v>3779</v>
      </c>
      <c r="I1001" s="2">
        <v>240000</v>
      </c>
      <c r="J1001" s="2">
        <v>0</v>
      </c>
      <c r="K1001" s="2">
        <v>0</v>
      </c>
      <c r="L1001" s="3">
        <v>45856</v>
      </c>
      <c r="M1001" s="3">
        <v>45856</v>
      </c>
      <c r="N1001" s="3"/>
      <c r="O1001" t="s">
        <v>3780</v>
      </c>
      <c r="P1001" t="s">
        <v>9</v>
      </c>
      <c r="Q1001" s="4">
        <v>0.91646990740740997</v>
      </c>
      <c r="R1001" t="s">
        <v>5</v>
      </c>
      <c r="S1001" t="s">
        <v>4</v>
      </c>
      <c r="T1001" t="s">
        <v>2260</v>
      </c>
      <c r="U1001" t="s">
        <v>10</v>
      </c>
      <c r="V1001" s="5">
        <v>0</v>
      </c>
      <c r="W1001" s="5">
        <v>0</v>
      </c>
      <c r="X1001" s="2">
        <v>0</v>
      </c>
      <c r="Y1001" t="s">
        <v>4</v>
      </c>
      <c r="Z1001" t="s">
        <v>4</v>
      </c>
      <c r="AA1001" t="s">
        <v>4</v>
      </c>
      <c r="AB1001" t="s">
        <v>4</v>
      </c>
    </row>
    <row r="1002" spans="1:28" x14ac:dyDescent="0.2">
      <c r="A1002" t="s">
        <v>1131</v>
      </c>
      <c r="B1002" t="s">
        <v>2</v>
      </c>
      <c r="C1002" t="s">
        <v>3</v>
      </c>
      <c r="D1002" t="s">
        <v>4</v>
      </c>
      <c r="E1002" t="s">
        <v>4</v>
      </c>
      <c r="F1002" t="s">
        <v>5</v>
      </c>
      <c r="G1002" t="s">
        <v>17</v>
      </c>
      <c r="H1002" t="s">
        <v>3781</v>
      </c>
      <c r="I1002" s="5">
        <v>203.3</v>
      </c>
      <c r="J1002" s="2">
        <v>0</v>
      </c>
      <c r="K1002" s="2">
        <v>0</v>
      </c>
      <c r="L1002" s="3">
        <v>45854</v>
      </c>
      <c r="M1002" s="3">
        <v>45854</v>
      </c>
      <c r="N1002" s="3"/>
      <c r="O1002" t="s">
        <v>3782</v>
      </c>
      <c r="P1002" t="s">
        <v>9</v>
      </c>
      <c r="Q1002" s="4">
        <v>0.99721064814814997</v>
      </c>
      <c r="R1002" t="s">
        <v>5</v>
      </c>
      <c r="S1002" t="s">
        <v>4</v>
      </c>
      <c r="T1002" t="s">
        <v>2299</v>
      </c>
      <c r="U1002" t="s">
        <v>10</v>
      </c>
      <c r="V1002" s="5">
        <v>0</v>
      </c>
      <c r="W1002" s="5">
        <v>0</v>
      </c>
      <c r="X1002" s="2">
        <v>0</v>
      </c>
      <c r="Y1002" t="s">
        <v>4</v>
      </c>
      <c r="Z1002" t="s">
        <v>4</v>
      </c>
      <c r="AA1002" t="s">
        <v>4</v>
      </c>
      <c r="AB1002" t="s">
        <v>4</v>
      </c>
    </row>
    <row r="1003" spans="1:28" x14ac:dyDescent="0.2">
      <c r="A1003" t="s">
        <v>2251</v>
      </c>
      <c r="B1003" t="s">
        <v>4</v>
      </c>
      <c r="C1003" t="s">
        <v>4</v>
      </c>
      <c r="D1003" t="s">
        <v>4</v>
      </c>
      <c r="E1003" t="s">
        <v>4</v>
      </c>
      <c r="F1003" t="s">
        <v>5</v>
      </c>
      <c r="G1003" t="s">
        <v>17</v>
      </c>
      <c r="H1003" t="s">
        <v>3783</v>
      </c>
      <c r="I1003" s="5">
        <v>0</v>
      </c>
      <c r="J1003" s="5">
        <v>0</v>
      </c>
      <c r="K1003" s="5">
        <v>0</v>
      </c>
      <c r="L1003" s="3"/>
      <c r="M1003" s="3"/>
      <c r="N1003" s="3"/>
      <c r="O1003" t="s">
        <v>4</v>
      </c>
      <c r="P1003" t="s">
        <v>9</v>
      </c>
      <c r="Q1003" s="4">
        <v>0.98620370370370003</v>
      </c>
      <c r="R1003" t="s">
        <v>4</v>
      </c>
      <c r="S1003" t="s">
        <v>4</v>
      </c>
      <c r="T1003" t="s">
        <v>2256</v>
      </c>
      <c r="U1003" t="s">
        <v>4</v>
      </c>
      <c r="V1003" s="5">
        <v>0</v>
      </c>
      <c r="W1003" s="5">
        <v>0</v>
      </c>
      <c r="X1003" s="2">
        <v>0</v>
      </c>
      <c r="Y1003" t="s">
        <v>4</v>
      </c>
      <c r="Z1003" t="s">
        <v>4</v>
      </c>
      <c r="AA1003" t="s">
        <v>4</v>
      </c>
      <c r="AB1003" t="s">
        <v>4</v>
      </c>
    </row>
    <row r="1004" spans="1:28" x14ac:dyDescent="0.2">
      <c r="A1004" t="s">
        <v>817</v>
      </c>
      <c r="B1004" t="s">
        <v>2</v>
      </c>
      <c r="C1004" t="s">
        <v>3</v>
      </c>
      <c r="D1004" t="s">
        <v>4</v>
      </c>
      <c r="E1004" t="s">
        <v>4</v>
      </c>
      <c r="F1004" t="s">
        <v>5</v>
      </c>
      <c r="G1004" t="s">
        <v>17</v>
      </c>
      <c r="H1004" t="s">
        <v>3784</v>
      </c>
      <c r="I1004" s="2">
        <v>700</v>
      </c>
      <c r="J1004" s="2">
        <v>0</v>
      </c>
      <c r="K1004" s="2">
        <v>0</v>
      </c>
      <c r="L1004" s="3">
        <v>45786</v>
      </c>
      <c r="M1004" s="3">
        <v>45786</v>
      </c>
      <c r="N1004" s="3"/>
      <c r="O1004" t="s">
        <v>3785</v>
      </c>
      <c r="P1004" t="s">
        <v>9</v>
      </c>
      <c r="Q1004" s="4">
        <v>0.97521990740741005</v>
      </c>
      <c r="R1004" t="s">
        <v>5</v>
      </c>
      <c r="S1004" t="s">
        <v>4</v>
      </c>
      <c r="T1004" t="s">
        <v>2922</v>
      </c>
      <c r="U1004" t="s">
        <v>10</v>
      </c>
      <c r="V1004" s="5">
        <v>0</v>
      </c>
      <c r="W1004" s="5">
        <v>0</v>
      </c>
      <c r="X1004" s="2">
        <v>0</v>
      </c>
      <c r="Y1004" t="s">
        <v>2351</v>
      </c>
      <c r="Z1004" t="s">
        <v>2351</v>
      </c>
      <c r="AA1004" t="s">
        <v>2351</v>
      </c>
      <c r="AB1004" t="s">
        <v>2351</v>
      </c>
    </row>
    <row r="1005" spans="1:28" x14ac:dyDescent="0.2">
      <c r="A1005" t="s">
        <v>817</v>
      </c>
      <c r="B1005" t="s">
        <v>2</v>
      </c>
      <c r="C1005" t="s">
        <v>3</v>
      </c>
      <c r="D1005" t="s">
        <v>4</v>
      </c>
      <c r="E1005" t="s">
        <v>4</v>
      </c>
      <c r="F1005" t="s">
        <v>5</v>
      </c>
      <c r="G1005" t="s">
        <v>17</v>
      </c>
      <c r="H1005" t="s">
        <v>3784</v>
      </c>
      <c r="I1005" s="2">
        <v>700</v>
      </c>
      <c r="J1005" s="2">
        <v>0</v>
      </c>
      <c r="K1005" s="2">
        <v>0</v>
      </c>
      <c r="L1005" s="3">
        <v>45789</v>
      </c>
      <c r="M1005" s="3">
        <v>45789</v>
      </c>
      <c r="N1005" s="3"/>
      <c r="O1005" t="s">
        <v>3786</v>
      </c>
      <c r="P1005" t="s">
        <v>9</v>
      </c>
      <c r="Q1005" s="4">
        <v>0.97521990740741005</v>
      </c>
      <c r="R1005" t="s">
        <v>5</v>
      </c>
      <c r="S1005" t="s">
        <v>4</v>
      </c>
      <c r="T1005" t="s">
        <v>3787</v>
      </c>
      <c r="U1005" t="s">
        <v>10</v>
      </c>
      <c r="V1005" s="5">
        <v>0</v>
      </c>
      <c r="W1005" s="5">
        <v>0</v>
      </c>
      <c r="X1005" s="2">
        <v>0</v>
      </c>
      <c r="Y1005" t="s">
        <v>2351</v>
      </c>
      <c r="Z1005" t="s">
        <v>2351</v>
      </c>
      <c r="AA1005" t="s">
        <v>2351</v>
      </c>
      <c r="AB1005" t="s">
        <v>2351</v>
      </c>
    </row>
    <row r="1006" spans="1:28" x14ac:dyDescent="0.2">
      <c r="A1006" t="s">
        <v>1466</v>
      </c>
      <c r="B1006" t="s">
        <v>2</v>
      </c>
      <c r="C1006" t="s">
        <v>3</v>
      </c>
      <c r="D1006" t="s">
        <v>4</v>
      </c>
      <c r="E1006" t="s">
        <v>4</v>
      </c>
      <c r="F1006" t="s">
        <v>5</v>
      </c>
      <c r="G1006" t="s">
        <v>6</v>
      </c>
      <c r="H1006" t="s">
        <v>3788</v>
      </c>
      <c r="I1006" s="2">
        <v>60</v>
      </c>
      <c r="J1006" s="2">
        <v>0</v>
      </c>
      <c r="K1006" s="2">
        <v>0</v>
      </c>
      <c r="L1006" s="3">
        <v>45856</v>
      </c>
      <c r="M1006" s="3">
        <v>45856</v>
      </c>
      <c r="N1006" s="3"/>
      <c r="O1006" t="s">
        <v>3789</v>
      </c>
      <c r="P1006" t="s">
        <v>9</v>
      </c>
      <c r="Q1006" s="4">
        <v>0.93496527777778005</v>
      </c>
      <c r="R1006" t="s">
        <v>5</v>
      </c>
      <c r="S1006" t="s">
        <v>4</v>
      </c>
      <c r="T1006" t="s">
        <v>2260</v>
      </c>
      <c r="U1006" t="s">
        <v>10</v>
      </c>
      <c r="V1006" s="5">
        <v>0</v>
      </c>
      <c r="W1006" s="5">
        <v>0</v>
      </c>
      <c r="X1006" s="2">
        <v>0</v>
      </c>
      <c r="Y1006" t="s">
        <v>4</v>
      </c>
      <c r="Z1006" t="s">
        <v>4</v>
      </c>
      <c r="AA1006" t="s">
        <v>4</v>
      </c>
      <c r="AB1006" t="s">
        <v>4</v>
      </c>
    </row>
    <row r="1007" spans="1:28" x14ac:dyDescent="0.2">
      <c r="A1007" t="s">
        <v>1466</v>
      </c>
      <c r="B1007" t="s">
        <v>2</v>
      </c>
      <c r="C1007" t="s">
        <v>3</v>
      </c>
      <c r="D1007" t="s">
        <v>4</v>
      </c>
      <c r="E1007" t="s">
        <v>4</v>
      </c>
      <c r="F1007" t="s">
        <v>5</v>
      </c>
      <c r="G1007" t="s">
        <v>6</v>
      </c>
      <c r="H1007" t="s">
        <v>3788</v>
      </c>
      <c r="I1007" s="2">
        <v>60</v>
      </c>
      <c r="J1007" s="2">
        <v>0</v>
      </c>
      <c r="K1007" s="2">
        <v>0</v>
      </c>
      <c r="L1007" s="3">
        <v>45856</v>
      </c>
      <c r="M1007" s="3">
        <v>45856</v>
      </c>
      <c r="N1007" s="3"/>
      <c r="O1007" t="s">
        <v>3790</v>
      </c>
      <c r="P1007" t="s">
        <v>9</v>
      </c>
      <c r="Q1007" s="4">
        <v>0.93496527777778005</v>
      </c>
      <c r="R1007" t="s">
        <v>5</v>
      </c>
      <c r="S1007" t="s">
        <v>4</v>
      </c>
      <c r="T1007" t="s">
        <v>2260</v>
      </c>
      <c r="U1007" t="s">
        <v>10</v>
      </c>
      <c r="V1007" s="5">
        <v>0</v>
      </c>
      <c r="W1007" s="5">
        <v>0</v>
      </c>
      <c r="X1007" s="2">
        <v>0</v>
      </c>
      <c r="Y1007" t="s">
        <v>4</v>
      </c>
      <c r="Z1007" t="s">
        <v>4</v>
      </c>
      <c r="AA1007" t="s">
        <v>4</v>
      </c>
      <c r="AB1007" t="s">
        <v>4</v>
      </c>
    </row>
    <row r="1008" spans="1:28" x14ac:dyDescent="0.2">
      <c r="A1008" t="s">
        <v>327</v>
      </c>
      <c r="B1008" t="s">
        <v>2</v>
      </c>
      <c r="C1008" t="s">
        <v>3</v>
      </c>
      <c r="D1008" t="s">
        <v>4</v>
      </c>
      <c r="E1008" t="s">
        <v>4</v>
      </c>
      <c r="F1008" t="s">
        <v>5</v>
      </c>
      <c r="G1008" t="s">
        <v>6</v>
      </c>
      <c r="H1008" t="s">
        <v>3791</v>
      </c>
      <c r="I1008" s="2">
        <v>1080</v>
      </c>
      <c r="J1008" s="2">
        <v>0</v>
      </c>
      <c r="K1008" s="2">
        <v>0</v>
      </c>
      <c r="L1008" s="3">
        <v>45844</v>
      </c>
      <c r="M1008" s="3">
        <v>45844</v>
      </c>
      <c r="N1008" s="3"/>
      <c r="O1008" t="s">
        <v>3792</v>
      </c>
      <c r="P1008" t="s">
        <v>9</v>
      </c>
      <c r="Q1008" s="4">
        <v>0.64739583333332995</v>
      </c>
      <c r="R1008" t="s">
        <v>5</v>
      </c>
      <c r="S1008" t="s">
        <v>4</v>
      </c>
      <c r="T1008" t="s">
        <v>2792</v>
      </c>
      <c r="U1008" t="s">
        <v>10</v>
      </c>
      <c r="V1008" s="5">
        <v>0</v>
      </c>
      <c r="W1008" s="5">
        <v>0</v>
      </c>
      <c r="X1008" s="2">
        <v>0</v>
      </c>
      <c r="Y1008" t="s">
        <v>4</v>
      </c>
      <c r="Z1008" t="s">
        <v>4</v>
      </c>
      <c r="AA1008" t="s">
        <v>4</v>
      </c>
      <c r="AB1008" t="s">
        <v>4</v>
      </c>
    </row>
    <row r="1009" spans="1:28" x14ac:dyDescent="0.2">
      <c r="A1009" t="s">
        <v>327</v>
      </c>
      <c r="B1009" t="s">
        <v>2</v>
      </c>
      <c r="C1009" t="s">
        <v>3</v>
      </c>
      <c r="D1009" t="s">
        <v>4</v>
      </c>
      <c r="E1009" t="s">
        <v>4</v>
      </c>
      <c r="F1009" t="s">
        <v>5</v>
      </c>
      <c r="G1009" t="s">
        <v>6</v>
      </c>
      <c r="H1009" t="s">
        <v>3791</v>
      </c>
      <c r="I1009" s="2">
        <v>660</v>
      </c>
      <c r="J1009" s="2">
        <v>0</v>
      </c>
      <c r="K1009" s="2">
        <v>0</v>
      </c>
      <c r="L1009" s="3">
        <v>45855</v>
      </c>
      <c r="M1009" s="3">
        <v>45855</v>
      </c>
      <c r="N1009" s="3"/>
      <c r="O1009" t="s">
        <v>3793</v>
      </c>
      <c r="P1009" t="s">
        <v>9</v>
      </c>
      <c r="Q1009" s="4">
        <v>0.64739583333332995</v>
      </c>
      <c r="R1009" t="s">
        <v>5</v>
      </c>
      <c r="S1009" t="s">
        <v>4</v>
      </c>
      <c r="T1009" t="s">
        <v>2350</v>
      </c>
      <c r="U1009" t="s">
        <v>10</v>
      </c>
      <c r="V1009" s="5">
        <v>0</v>
      </c>
      <c r="W1009" s="5">
        <v>0</v>
      </c>
      <c r="X1009" s="2">
        <v>0</v>
      </c>
      <c r="Y1009" t="s">
        <v>4</v>
      </c>
      <c r="Z1009" t="s">
        <v>4</v>
      </c>
      <c r="AA1009" t="s">
        <v>4</v>
      </c>
      <c r="AB1009" t="s">
        <v>4</v>
      </c>
    </row>
    <row r="1010" spans="1:28" x14ac:dyDescent="0.2">
      <c r="A1010" t="s">
        <v>285</v>
      </c>
      <c r="B1010" t="s">
        <v>2</v>
      </c>
      <c r="C1010" t="s">
        <v>3</v>
      </c>
      <c r="D1010" t="s">
        <v>4</v>
      </c>
      <c r="E1010" t="s">
        <v>4</v>
      </c>
      <c r="F1010" t="s">
        <v>5</v>
      </c>
      <c r="G1010" t="s">
        <v>6</v>
      </c>
      <c r="H1010" t="s">
        <v>3794</v>
      </c>
      <c r="I1010" s="2">
        <v>30</v>
      </c>
      <c r="J1010" s="2">
        <v>0</v>
      </c>
      <c r="K1010" s="2">
        <v>0</v>
      </c>
      <c r="L1010" s="3">
        <v>45805</v>
      </c>
      <c r="M1010" s="3">
        <v>45805</v>
      </c>
      <c r="N1010" s="3"/>
      <c r="O1010" t="s">
        <v>3795</v>
      </c>
      <c r="P1010" t="s">
        <v>9</v>
      </c>
      <c r="Q1010" s="4">
        <v>0.90444444444444005</v>
      </c>
      <c r="R1010" t="s">
        <v>5</v>
      </c>
      <c r="S1010" t="s">
        <v>4</v>
      </c>
      <c r="T1010" t="s">
        <v>3377</v>
      </c>
      <c r="U1010" t="s">
        <v>10</v>
      </c>
      <c r="V1010" s="5">
        <v>0</v>
      </c>
      <c r="W1010" s="5">
        <v>0</v>
      </c>
      <c r="X1010" s="2">
        <v>0</v>
      </c>
      <c r="Y1010" t="s">
        <v>4</v>
      </c>
      <c r="Z1010" t="s">
        <v>4</v>
      </c>
      <c r="AA1010" t="s">
        <v>4</v>
      </c>
      <c r="AB1010" t="s">
        <v>4</v>
      </c>
    </row>
    <row r="1011" spans="1:28" x14ac:dyDescent="0.2">
      <c r="A1011" t="s">
        <v>285</v>
      </c>
      <c r="B1011" t="s">
        <v>2</v>
      </c>
      <c r="C1011" t="s">
        <v>3</v>
      </c>
      <c r="D1011" t="s">
        <v>4</v>
      </c>
      <c r="E1011" t="s">
        <v>4</v>
      </c>
      <c r="F1011" t="s">
        <v>5</v>
      </c>
      <c r="G1011" t="s">
        <v>6</v>
      </c>
      <c r="H1011" t="s">
        <v>3794</v>
      </c>
      <c r="I1011" s="2">
        <v>30</v>
      </c>
      <c r="J1011" s="2">
        <v>0</v>
      </c>
      <c r="K1011" s="2">
        <v>0</v>
      </c>
      <c r="L1011" s="3">
        <v>45805</v>
      </c>
      <c r="M1011" s="3">
        <v>45805</v>
      </c>
      <c r="N1011" s="3"/>
      <c r="O1011" t="s">
        <v>3796</v>
      </c>
      <c r="P1011" t="s">
        <v>9</v>
      </c>
      <c r="Q1011" s="4">
        <v>0.90444444444444005</v>
      </c>
      <c r="R1011" t="s">
        <v>5</v>
      </c>
      <c r="S1011" t="s">
        <v>4</v>
      </c>
      <c r="T1011" t="s">
        <v>3377</v>
      </c>
      <c r="U1011" t="s">
        <v>10</v>
      </c>
      <c r="V1011" s="5">
        <v>0</v>
      </c>
      <c r="W1011" s="5">
        <v>0</v>
      </c>
      <c r="X1011" s="2">
        <v>0</v>
      </c>
      <c r="Y1011" t="s">
        <v>4</v>
      </c>
      <c r="Z1011" t="s">
        <v>4</v>
      </c>
      <c r="AA1011" t="s">
        <v>4</v>
      </c>
      <c r="AB1011" t="s">
        <v>4</v>
      </c>
    </row>
    <row r="1012" spans="1:28" x14ac:dyDescent="0.2">
      <c r="A1012" t="s">
        <v>1471</v>
      </c>
      <c r="B1012" t="s">
        <v>2</v>
      </c>
      <c r="C1012" t="s">
        <v>3</v>
      </c>
      <c r="D1012" t="s">
        <v>4</v>
      </c>
      <c r="E1012" t="s">
        <v>4</v>
      </c>
      <c r="F1012" t="s">
        <v>5</v>
      </c>
      <c r="G1012" t="s">
        <v>6</v>
      </c>
      <c r="H1012" t="s">
        <v>3797</v>
      </c>
      <c r="I1012" s="2">
        <v>60</v>
      </c>
      <c r="J1012" s="2">
        <v>0</v>
      </c>
      <c r="K1012" s="2">
        <v>0</v>
      </c>
      <c r="L1012" s="3">
        <v>45856</v>
      </c>
      <c r="M1012" s="3">
        <v>45856</v>
      </c>
      <c r="N1012" s="3"/>
      <c r="O1012" t="s">
        <v>3798</v>
      </c>
      <c r="P1012" t="s">
        <v>9</v>
      </c>
      <c r="Q1012" s="4">
        <v>0.93635416666667004</v>
      </c>
      <c r="R1012" t="s">
        <v>5</v>
      </c>
      <c r="S1012" t="s">
        <v>4</v>
      </c>
      <c r="T1012" t="s">
        <v>2260</v>
      </c>
      <c r="U1012" t="s">
        <v>10</v>
      </c>
      <c r="V1012" s="5">
        <v>0</v>
      </c>
      <c r="W1012" s="5">
        <v>0</v>
      </c>
      <c r="X1012" s="2">
        <v>0</v>
      </c>
      <c r="Y1012" t="s">
        <v>4</v>
      </c>
      <c r="Z1012" t="s">
        <v>4</v>
      </c>
      <c r="AA1012" t="s">
        <v>4</v>
      </c>
      <c r="AB1012" t="s">
        <v>4</v>
      </c>
    </row>
    <row r="1013" spans="1:28" x14ac:dyDescent="0.2">
      <c r="A1013" t="s">
        <v>1471</v>
      </c>
      <c r="B1013" t="s">
        <v>2</v>
      </c>
      <c r="C1013" t="s">
        <v>3</v>
      </c>
      <c r="D1013" t="s">
        <v>4</v>
      </c>
      <c r="E1013" t="s">
        <v>4</v>
      </c>
      <c r="F1013" t="s">
        <v>5</v>
      </c>
      <c r="G1013" t="s">
        <v>6</v>
      </c>
      <c r="H1013" t="s">
        <v>3797</v>
      </c>
      <c r="I1013" s="2">
        <v>60</v>
      </c>
      <c r="J1013" s="2">
        <v>0</v>
      </c>
      <c r="K1013" s="2">
        <v>0</v>
      </c>
      <c r="L1013" s="3">
        <v>45856</v>
      </c>
      <c r="M1013" s="3">
        <v>45856</v>
      </c>
      <c r="N1013" s="3"/>
      <c r="O1013" t="s">
        <v>3799</v>
      </c>
      <c r="P1013" t="s">
        <v>9</v>
      </c>
      <c r="Q1013" s="4">
        <v>0.93635416666667004</v>
      </c>
      <c r="R1013" t="s">
        <v>5</v>
      </c>
      <c r="S1013" t="s">
        <v>4</v>
      </c>
      <c r="T1013" t="s">
        <v>2260</v>
      </c>
      <c r="U1013" t="s">
        <v>10</v>
      </c>
      <c r="V1013" s="5">
        <v>0</v>
      </c>
      <c r="W1013" s="5">
        <v>0</v>
      </c>
      <c r="X1013" s="2">
        <v>0</v>
      </c>
      <c r="Y1013" t="s">
        <v>4</v>
      </c>
      <c r="Z1013" t="s">
        <v>4</v>
      </c>
      <c r="AA1013" t="s">
        <v>4</v>
      </c>
      <c r="AB1013" t="s">
        <v>4</v>
      </c>
    </row>
    <row r="1014" spans="1:28" x14ac:dyDescent="0.2">
      <c r="A1014" t="s">
        <v>2251</v>
      </c>
      <c r="B1014" t="s">
        <v>4</v>
      </c>
      <c r="C1014" t="s">
        <v>4</v>
      </c>
      <c r="D1014" t="s">
        <v>4</v>
      </c>
      <c r="E1014" t="s">
        <v>4</v>
      </c>
      <c r="F1014" t="s">
        <v>5</v>
      </c>
      <c r="G1014" t="s">
        <v>6</v>
      </c>
      <c r="H1014" t="s">
        <v>3800</v>
      </c>
      <c r="I1014" s="5">
        <v>0</v>
      </c>
      <c r="J1014" s="5">
        <v>0</v>
      </c>
      <c r="K1014" s="5">
        <v>0</v>
      </c>
      <c r="L1014" s="3"/>
      <c r="M1014" s="3"/>
      <c r="N1014" s="3"/>
      <c r="O1014" t="s">
        <v>4</v>
      </c>
      <c r="P1014" t="s">
        <v>9</v>
      </c>
      <c r="Q1014" s="4">
        <v>0.42675925925926</v>
      </c>
      <c r="R1014" t="s">
        <v>4</v>
      </c>
      <c r="S1014" t="s">
        <v>4</v>
      </c>
      <c r="T1014" t="s">
        <v>2256</v>
      </c>
      <c r="U1014" t="s">
        <v>4</v>
      </c>
      <c r="V1014" s="5">
        <v>0</v>
      </c>
      <c r="W1014" s="5">
        <v>0</v>
      </c>
      <c r="X1014" s="2">
        <v>0</v>
      </c>
      <c r="Y1014" t="s">
        <v>4</v>
      </c>
      <c r="Z1014" t="s">
        <v>4</v>
      </c>
      <c r="AA1014" t="s">
        <v>4</v>
      </c>
      <c r="AB1014" t="s">
        <v>4</v>
      </c>
    </row>
    <row r="1015" spans="1:28" x14ac:dyDescent="0.2">
      <c r="A1015" t="s">
        <v>285</v>
      </c>
      <c r="B1015" t="s">
        <v>2</v>
      </c>
      <c r="C1015" t="s">
        <v>3</v>
      </c>
      <c r="D1015" t="s">
        <v>4</v>
      </c>
      <c r="E1015" t="s">
        <v>4</v>
      </c>
      <c r="F1015" t="s">
        <v>5</v>
      </c>
      <c r="G1015" t="s">
        <v>6</v>
      </c>
      <c r="H1015" t="s">
        <v>3801</v>
      </c>
      <c r="I1015" s="2">
        <v>30</v>
      </c>
      <c r="J1015" s="2">
        <v>0</v>
      </c>
      <c r="K1015" s="2">
        <v>0</v>
      </c>
      <c r="L1015" s="3">
        <v>45805</v>
      </c>
      <c r="M1015" s="3">
        <v>45805</v>
      </c>
      <c r="N1015" s="3"/>
      <c r="O1015" t="s">
        <v>3802</v>
      </c>
      <c r="P1015" t="s">
        <v>9</v>
      </c>
      <c r="Q1015" s="4">
        <v>0.90930555555556003</v>
      </c>
      <c r="R1015" t="s">
        <v>5</v>
      </c>
      <c r="S1015" t="s">
        <v>4</v>
      </c>
      <c r="T1015" t="s">
        <v>3377</v>
      </c>
      <c r="U1015" t="s">
        <v>10</v>
      </c>
      <c r="V1015" s="5">
        <v>0</v>
      </c>
      <c r="W1015" s="5">
        <v>0</v>
      </c>
      <c r="X1015" s="2">
        <v>0</v>
      </c>
      <c r="Y1015" t="s">
        <v>4</v>
      </c>
      <c r="Z1015" t="s">
        <v>4</v>
      </c>
      <c r="AA1015" t="s">
        <v>4</v>
      </c>
      <c r="AB1015" t="s">
        <v>4</v>
      </c>
    </row>
    <row r="1016" spans="1:28" x14ac:dyDescent="0.2">
      <c r="A1016" t="s">
        <v>285</v>
      </c>
      <c r="B1016" t="s">
        <v>2</v>
      </c>
      <c r="C1016" t="s">
        <v>3</v>
      </c>
      <c r="D1016" t="s">
        <v>4</v>
      </c>
      <c r="E1016" t="s">
        <v>4</v>
      </c>
      <c r="F1016" t="s">
        <v>5</v>
      </c>
      <c r="G1016" t="s">
        <v>6</v>
      </c>
      <c r="H1016" t="s">
        <v>3801</v>
      </c>
      <c r="I1016" s="2">
        <v>30</v>
      </c>
      <c r="J1016" s="2">
        <v>0</v>
      </c>
      <c r="K1016" s="2">
        <v>0</v>
      </c>
      <c r="L1016" s="3">
        <v>45805</v>
      </c>
      <c r="M1016" s="3">
        <v>45805</v>
      </c>
      <c r="N1016" s="3"/>
      <c r="O1016" t="s">
        <v>3803</v>
      </c>
      <c r="P1016" t="s">
        <v>9</v>
      </c>
      <c r="Q1016" s="4">
        <v>0.90930555555556003</v>
      </c>
      <c r="R1016" t="s">
        <v>5</v>
      </c>
      <c r="S1016" t="s">
        <v>4</v>
      </c>
      <c r="T1016" t="s">
        <v>3377</v>
      </c>
      <c r="U1016" t="s">
        <v>10</v>
      </c>
      <c r="V1016" s="5">
        <v>0</v>
      </c>
      <c r="W1016" s="5">
        <v>0</v>
      </c>
      <c r="X1016" s="2">
        <v>0</v>
      </c>
      <c r="Y1016" t="s">
        <v>4</v>
      </c>
      <c r="Z1016" t="s">
        <v>4</v>
      </c>
      <c r="AA1016" t="s">
        <v>4</v>
      </c>
      <c r="AB1016" t="s">
        <v>4</v>
      </c>
    </row>
    <row r="1017" spans="1:28" x14ac:dyDescent="0.2">
      <c r="A1017" t="s">
        <v>1035</v>
      </c>
      <c r="B1017" t="s">
        <v>2</v>
      </c>
      <c r="C1017" t="s">
        <v>3</v>
      </c>
      <c r="D1017" t="s">
        <v>4</v>
      </c>
      <c r="E1017" t="s">
        <v>4</v>
      </c>
      <c r="F1017" t="s">
        <v>5</v>
      </c>
      <c r="G1017" t="s">
        <v>21</v>
      </c>
      <c r="H1017" t="s">
        <v>3804</v>
      </c>
      <c r="I1017" s="2">
        <v>270</v>
      </c>
      <c r="J1017" s="2">
        <v>0</v>
      </c>
      <c r="K1017" s="2">
        <v>0</v>
      </c>
      <c r="L1017" s="3">
        <v>45846</v>
      </c>
      <c r="M1017" s="3">
        <v>45846</v>
      </c>
      <c r="N1017" s="3"/>
      <c r="O1017" t="s">
        <v>3805</v>
      </c>
      <c r="P1017" t="s">
        <v>9</v>
      </c>
      <c r="Q1017" s="4">
        <v>0.49905092592592998</v>
      </c>
      <c r="R1017" t="s">
        <v>5</v>
      </c>
      <c r="S1017" t="s">
        <v>4</v>
      </c>
      <c r="T1017" t="s">
        <v>2318</v>
      </c>
      <c r="U1017" t="s">
        <v>10</v>
      </c>
      <c r="V1017" s="5">
        <v>0</v>
      </c>
      <c r="W1017" s="5">
        <v>0</v>
      </c>
      <c r="X1017" s="2">
        <v>0</v>
      </c>
      <c r="Y1017" t="s">
        <v>4</v>
      </c>
      <c r="Z1017" t="s">
        <v>4</v>
      </c>
      <c r="AA1017" t="s">
        <v>4</v>
      </c>
      <c r="AB1017" t="s">
        <v>4</v>
      </c>
    </row>
    <row r="1018" spans="1:28" x14ac:dyDescent="0.2">
      <c r="A1018" t="s">
        <v>1035</v>
      </c>
      <c r="B1018" t="s">
        <v>2</v>
      </c>
      <c r="C1018" t="s">
        <v>3</v>
      </c>
      <c r="D1018" t="s">
        <v>4</v>
      </c>
      <c r="E1018" t="s">
        <v>4</v>
      </c>
      <c r="F1018" t="s">
        <v>5</v>
      </c>
      <c r="G1018" t="s">
        <v>21</v>
      </c>
      <c r="H1018" t="s">
        <v>3804</v>
      </c>
      <c r="I1018" s="2">
        <v>270</v>
      </c>
      <c r="J1018" s="2">
        <v>0</v>
      </c>
      <c r="K1018" s="2">
        <v>0</v>
      </c>
      <c r="L1018" s="3">
        <v>45846</v>
      </c>
      <c r="M1018" s="3">
        <v>45846</v>
      </c>
      <c r="N1018" s="3"/>
      <c r="O1018" t="s">
        <v>3806</v>
      </c>
      <c r="P1018" t="s">
        <v>9</v>
      </c>
      <c r="Q1018" s="4">
        <v>0.49905092592592998</v>
      </c>
      <c r="R1018" t="s">
        <v>5</v>
      </c>
      <c r="S1018" t="s">
        <v>4</v>
      </c>
      <c r="T1018" t="s">
        <v>2318</v>
      </c>
      <c r="U1018" t="s">
        <v>10</v>
      </c>
      <c r="V1018" s="5">
        <v>0</v>
      </c>
      <c r="W1018" s="5">
        <v>0</v>
      </c>
      <c r="X1018" s="2">
        <v>0</v>
      </c>
      <c r="Y1018" t="s">
        <v>4</v>
      </c>
      <c r="Z1018" t="s">
        <v>4</v>
      </c>
      <c r="AA1018" t="s">
        <v>4</v>
      </c>
      <c r="AB1018" t="s">
        <v>4</v>
      </c>
    </row>
    <row r="1019" spans="1:28" x14ac:dyDescent="0.2">
      <c r="A1019" t="s">
        <v>435</v>
      </c>
      <c r="B1019" t="s">
        <v>2</v>
      </c>
      <c r="C1019" t="s">
        <v>3</v>
      </c>
      <c r="D1019" t="s">
        <v>4</v>
      </c>
      <c r="E1019" t="s">
        <v>4</v>
      </c>
      <c r="F1019" t="s">
        <v>5</v>
      </c>
      <c r="G1019" t="s">
        <v>21</v>
      </c>
      <c r="H1019" t="s">
        <v>3807</v>
      </c>
      <c r="I1019" s="2">
        <v>640</v>
      </c>
      <c r="J1019" s="2">
        <v>0</v>
      </c>
      <c r="K1019" s="2">
        <v>0</v>
      </c>
      <c r="L1019" s="3">
        <v>45804</v>
      </c>
      <c r="M1019" s="3">
        <v>45804</v>
      </c>
      <c r="N1019" s="3"/>
      <c r="O1019" t="s">
        <v>3808</v>
      </c>
      <c r="P1019" t="s">
        <v>9</v>
      </c>
      <c r="Q1019" s="4">
        <v>0.43017361111111002</v>
      </c>
      <c r="R1019" t="s">
        <v>5</v>
      </c>
      <c r="S1019" t="s">
        <v>4</v>
      </c>
      <c r="T1019" t="s">
        <v>3530</v>
      </c>
      <c r="U1019" t="s">
        <v>10</v>
      </c>
      <c r="V1019" s="5">
        <v>0</v>
      </c>
      <c r="W1019" s="5">
        <v>0</v>
      </c>
      <c r="X1019" s="2">
        <v>0</v>
      </c>
      <c r="Y1019" t="s">
        <v>4</v>
      </c>
      <c r="Z1019" t="s">
        <v>4</v>
      </c>
      <c r="AA1019" t="s">
        <v>4</v>
      </c>
      <c r="AB1019" t="s">
        <v>4</v>
      </c>
    </row>
    <row r="1020" spans="1:28" x14ac:dyDescent="0.2">
      <c r="A1020" t="s">
        <v>285</v>
      </c>
      <c r="B1020" t="s">
        <v>2</v>
      </c>
      <c r="C1020" t="s">
        <v>3</v>
      </c>
      <c r="D1020" t="s">
        <v>4</v>
      </c>
      <c r="E1020" t="s">
        <v>4</v>
      </c>
      <c r="F1020" t="s">
        <v>5</v>
      </c>
      <c r="G1020" t="s">
        <v>21</v>
      </c>
      <c r="H1020" t="s">
        <v>3809</v>
      </c>
      <c r="I1020" s="2">
        <v>30</v>
      </c>
      <c r="J1020" s="2">
        <v>0</v>
      </c>
      <c r="K1020" s="2">
        <v>0</v>
      </c>
      <c r="L1020" s="3">
        <v>45805</v>
      </c>
      <c r="M1020" s="3">
        <v>45805</v>
      </c>
      <c r="N1020" s="3"/>
      <c r="O1020" t="s">
        <v>3810</v>
      </c>
      <c r="P1020" t="s">
        <v>9</v>
      </c>
      <c r="Q1020" s="4">
        <v>0.90271990740741004</v>
      </c>
      <c r="R1020" t="s">
        <v>5</v>
      </c>
      <c r="S1020" t="s">
        <v>4</v>
      </c>
      <c r="T1020" t="s">
        <v>3377</v>
      </c>
      <c r="U1020" t="s">
        <v>10</v>
      </c>
      <c r="V1020" s="5">
        <v>0</v>
      </c>
      <c r="W1020" s="5">
        <v>0</v>
      </c>
      <c r="X1020" s="2">
        <v>0</v>
      </c>
      <c r="Y1020" t="s">
        <v>4</v>
      </c>
      <c r="Z1020" t="s">
        <v>4</v>
      </c>
      <c r="AA1020" t="s">
        <v>4</v>
      </c>
      <c r="AB1020" t="s">
        <v>4</v>
      </c>
    </row>
    <row r="1021" spans="1:28" x14ac:dyDescent="0.2">
      <c r="A1021" t="s">
        <v>285</v>
      </c>
      <c r="B1021" t="s">
        <v>2</v>
      </c>
      <c r="C1021" t="s">
        <v>3</v>
      </c>
      <c r="D1021" t="s">
        <v>4</v>
      </c>
      <c r="E1021" t="s">
        <v>4</v>
      </c>
      <c r="F1021" t="s">
        <v>5</v>
      </c>
      <c r="G1021" t="s">
        <v>21</v>
      </c>
      <c r="H1021" t="s">
        <v>3809</v>
      </c>
      <c r="I1021" s="2">
        <v>30</v>
      </c>
      <c r="J1021" s="2">
        <v>0</v>
      </c>
      <c r="K1021" s="2">
        <v>0</v>
      </c>
      <c r="L1021" s="3">
        <v>45805</v>
      </c>
      <c r="M1021" s="3">
        <v>45805</v>
      </c>
      <c r="N1021" s="3"/>
      <c r="O1021" t="s">
        <v>3811</v>
      </c>
      <c r="P1021" t="s">
        <v>9</v>
      </c>
      <c r="Q1021" s="4">
        <v>0.90271990740741004</v>
      </c>
      <c r="R1021" t="s">
        <v>5</v>
      </c>
      <c r="S1021" t="s">
        <v>4</v>
      </c>
      <c r="T1021" t="s">
        <v>3377</v>
      </c>
      <c r="U1021" t="s">
        <v>10</v>
      </c>
      <c r="V1021" s="5">
        <v>0</v>
      </c>
      <c r="W1021" s="5">
        <v>0</v>
      </c>
      <c r="X1021" s="2">
        <v>0</v>
      </c>
      <c r="Y1021" t="s">
        <v>4</v>
      </c>
      <c r="Z1021" t="s">
        <v>4</v>
      </c>
      <c r="AA1021" t="s">
        <v>4</v>
      </c>
      <c r="AB1021" t="s">
        <v>4</v>
      </c>
    </row>
    <row r="1022" spans="1:28" x14ac:dyDescent="0.2">
      <c r="A1022" t="s">
        <v>620</v>
      </c>
      <c r="B1022" t="s">
        <v>2</v>
      </c>
      <c r="C1022" t="s">
        <v>3</v>
      </c>
      <c r="D1022" t="s">
        <v>4</v>
      </c>
      <c r="E1022" t="s">
        <v>4</v>
      </c>
      <c r="F1022" t="s">
        <v>5</v>
      </c>
      <c r="G1022" t="s">
        <v>21</v>
      </c>
      <c r="H1022" t="s">
        <v>3812</v>
      </c>
      <c r="I1022" s="2">
        <v>5250</v>
      </c>
      <c r="J1022" s="2">
        <v>0</v>
      </c>
      <c r="K1022" s="2">
        <v>0</v>
      </c>
      <c r="L1022" s="3">
        <v>45850</v>
      </c>
      <c r="M1022" s="3">
        <v>45850</v>
      </c>
      <c r="N1022" s="3"/>
      <c r="O1022" t="s">
        <v>3813</v>
      </c>
      <c r="P1022" t="s">
        <v>9</v>
      </c>
      <c r="Q1022" s="4">
        <v>0.63350694444444</v>
      </c>
      <c r="R1022" t="s">
        <v>5</v>
      </c>
      <c r="S1022" t="s">
        <v>4</v>
      </c>
      <c r="T1022" t="s">
        <v>2680</v>
      </c>
      <c r="U1022" t="s">
        <v>10</v>
      </c>
      <c r="V1022" s="5">
        <v>0</v>
      </c>
      <c r="W1022" s="5">
        <v>0</v>
      </c>
      <c r="X1022" s="2">
        <v>0</v>
      </c>
      <c r="Y1022" t="s">
        <v>4</v>
      </c>
      <c r="Z1022" t="s">
        <v>4</v>
      </c>
      <c r="AA1022" t="s">
        <v>4</v>
      </c>
      <c r="AB1022" t="s">
        <v>4</v>
      </c>
    </row>
    <row r="1023" spans="1:28" x14ac:dyDescent="0.2">
      <c r="A1023" t="s">
        <v>491</v>
      </c>
      <c r="B1023" t="s">
        <v>2</v>
      </c>
      <c r="C1023" t="s">
        <v>3</v>
      </c>
      <c r="D1023" t="s">
        <v>4</v>
      </c>
      <c r="E1023" t="s">
        <v>4</v>
      </c>
      <c r="F1023" t="s">
        <v>5</v>
      </c>
      <c r="G1023" t="s">
        <v>17</v>
      </c>
      <c r="H1023" t="s">
        <v>3814</v>
      </c>
      <c r="I1023" s="2">
        <v>1440</v>
      </c>
      <c r="J1023" s="2">
        <v>0</v>
      </c>
      <c r="K1023" s="2">
        <v>0</v>
      </c>
      <c r="L1023" s="3">
        <v>45854</v>
      </c>
      <c r="M1023" s="3">
        <v>45854</v>
      </c>
      <c r="N1023" s="3"/>
      <c r="O1023" t="s">
        <v>3815</v>
      </c>
      <c r="P1023" t="s">
        <v>9</v>
      </c>
      <c r="Q1023" s="4">
        <v>0.91905092592592996</v>
      </c>
      <c r="R1023" t="s">
        <v>5</v>
      </c>
      <c r="S1023" t="s">
        <v>4</v>
      </c>
      <c r="T1023" t="s">
        <v>2299</v>
      </c>
      <c r="U1023" t="s">
        <v>10</v>
      </c>
      <c r="V1023" s="5">
        <v>0</v>
      </c>
      <c r="W1023" s="5">
        <v>0</v>
      </c>
      <c r="X1023" s="2">
        <v>0</v>
      </c>
      <c r="Y1023" t="s">
        <v>4</v>
      </c>
      <c r="Z1023" t="s">
        <v>4</v>
      </c>
      <c r="AA1023" t="s">
        <v>4</v>
      </c>
      <c r="AB1023" t="s">
        <v>4</v>
      </c>
    </row>
    <row r="1024" spans="1:28" x14ac:dyDescent="0.2">
      <c r="A1024" t="s">
        <v>2043</v>
      </c>
      <c r="B1024" t="s">
        <v>2</v>
      </c>
      <c r="C1024" t="s">
        <v>3</v>
      </c>
      <c r="D1024" t="s">
        <v>4</v>
      </c>
      <c r="E1024" t="s">
        <v>4</v>
      </c>
      <c r="F1024" t="s">
        <v>5</v>
      </c>
      <c r="G1024" t="s">
        <v>17</v>
      </c>
      <c r="H1024" t="s">
        <v>3816</v>
      </c>
      <c r="I1024" s="2">
        <v>108</v>
      </c>
      <c r="J1024" s="2">
        <v>0</v>
      </c>
      <c r="K1024" s="2">
        <v>0</v>
      </c>
      <c r="L1024" s="3">
        <v>45857</v>
      </c>
      <c r="M1024" s="3">
        <v>45857</v>
      </c>
      <c r="N1024" s="3"/>
      <c r="O1024" t="s">
        <v>3817</v>
      </c>
      <c r="P1024" t="s">
        <v>9</v>
      </c>
      <c r="Q1024" s="4">
        <v>0.32917824074073998</v>
      </c>
      <c r="R1024" t="s">
        <v>5</v>
      </c>
      <c r="S1024" t="s">
        <v>4</v>
      </c>
      <c r="T1024" t="s">
        <v>2262</v>
      </c>
      <c r="U1024" t="s">
        <v>10</v>
      </c>
      <c r="V1024" s="5">
        <v>0</v>
      </c>
      <c r="W1024" s="5">
        <v>0</v>
      </c>
      <c r="X1024" s="2">
        <v>0</v>
      </c>
      <c r="Y1024" t="s">
        <v>4</v>
      </c>
      <c r="Z1024" t="s">
        <v>4</v>
      </c>
      <c r="AA1024" t="s">
        <v>4</v>
      </c>
      <c r="AB1024" t="s">
        <v>4</v>
      </c>
    </row>
    <row r="1025" spans="1:28" x14ac:dyDescent="0.2">
      <c r="A1025" t="s">
        <v>2043</v>
      </c>
      <c r="B1025" t="s">
        <v>2</v>
      </c>
      <c r="C1025" t="s">
        <v>3</v>
      </c>
      <c r="D1025" t="s">
        <v>4</v>
      </c>
      <c r="E1025" t="s">
        <v>4</v>
      </c>
      <c r="F1025" t="s">
        <v>5</v>
      </c>
      <c r="G1025" t="s">
        <v>17</v>
      </c>
      <c r="H1025" t="s">
        <v>3816</v>
      </c>
      <c r="I1025" s="2">
        <v>108</v>
      </c>
      <c r="J1025" s="2">
        <v>0</v>
      </c>
      <c r="K1025" s="2">
        <v>0</v>
      </c>
      <c r="L1025" s="3">
        <v>45858</v>
      </c>
      <c r="M1025" s="3">
        <v>45858</v>
      </c>
      <c r="N1025" s="3"/>
      <c r="O1025" t="s">
        <v>3818</v>
      </c>
      <c r="P1025" t="s">
        <v>9</v>
      </c>
      <c r="Q1025" s="4">
        <v>0.32917824074073998</v>
      </c>
      <c r="R1025" t="s">
        <v>5</v>
      </c>
      <c r="S1025" t="s">
        <v>4</v>
      </c>
      <c r="T1025" t="s">
        <v>2337</v>
      </c>
      <c r="U1025" t="s">
        <v>10</v>
      </c>
      <c r="V1025" s="5">
        <v>0</v>
      </c>
      <c r="W1025" s="5">
        <v>0</v>
      </c>
      <c r="X1025" s="2">
        <v>0</v>
      </c>
      <c r="Y1025" t="s">
        <v>4</v>
      </c>
      <c r="Z1025" t="s">
        <v>4</v>
      </c>
      <c r="AA1025" t="s">
        <v>4</v>
      </c>
      <c r="AB1025" t="s">
        <v>4</v>
      </c>
    </row>
    <row r="1026" spans="1:28" x14ac:dyDescent="0.2">
      <c r="A1026" t="s">
        <v>845</v>
      </c>
      <c r="B1026" t="s">
        <v>2</v>
      </c>
      <c r="C1026" t="s">
        <v>3</v>
      </c>
      <c r="D1026" t="s">
        <v>4</v>
      </c>
      <c r="E1026" t="s">
        <v>4</v>
      </c>
      <c r="F1026" t="s">
        <v>5</v>
      </c>
      <c r="G1026" t="s">
        <v>17</v>
      </c>
      <c r="H1026" t="s">
        <v>3819</v>
      </c>
      <c r="I1026" s="2">
        <v>7750</v>
      </c>
      <c r="J1026" s="2">
        <v>0</v>
      </c>
      <c r="K1026" s="2">
        <v>0</v>
      </c>
      <c r="L1026" s="3">
        <v>45825</v>
      </c>
      <c r="M1026" s="3">
        <v>45825</v>
      </c>
      <c r="N1026" s="3"/>
      <c r="O1026" t="s">
        <v>3820</v>
      </c>
      <c r="P1026" t="s">
        <v>9</v>
      </c>
      <c r="Q1026" s="4">
        <v>0.40940972222222</v>
      </c>
      <c r="R1026" t="s">
        <v>5</v>
      </c>
      <c r="S1026" t="s">
        <v>4</v>
      </c>
      <c r="T1026" t="s">
        <v>3105</v>
      </c>
      <c r="U1026" t="s">
        <v>10</v>
      </c>
      <c r="V1026" s="5">
        <v>0</v>
      </c>
      <c r="W1026" s="5">
        <v>0</v>
      </c>
      <c r="X1026" s="2">
        <v>0</v>
      </c>
      <c r="Y1026" t="s">
        <v>4</v>
      </c>
      <c r="Z1026" t="s">
        <v>4</v>
      </c>
      <c r="AA1026" t="s">
        <v>4</v>
      </c>
      <c r="AB1026" t="s">
        <v>4</v>
      </c>
    </row>
    <row r="1027" spans="1:28" x14ac:dyDescent="0.2">
      <c r="A1027" t="s">
        <v>845</v>
      </c>
      <c r="B1027" t="s">
        <v>2</v>
      </c>
      <c r="C1027" t="s">
        <v>3</v>
      </c>
      <c r="D1027" t="s">
        <v>4</v>
      </c>
      <c r="E1027" t="s">
        <v>4</v>
      </c>
      <c r="F1027" t="s">
        <v>5</v>
      </c>
      <c r="G1027" t="s">
        <v>17</v>
      </c>
      <c r="H1027" t="s">
        <v>3819</v>
      </c>
      <c r="I1027" s="2">
        <v>7750</v>
      </c>
      <c r="J1027" s="2">
        <v>0</v>
      </c>
      <c r="K1027" s="2">
        <v>0</v>
      </c>
      <c r="L1027" s="3">
        <v>45842</v>
      </c>
      <c r="M1027" s="3">
        <v>45842</v>
      </c>
      <c r="N1027" s="3"/>
      <c r="O1027" t="s">
        <v>3821</v>
      </c>
      <c r="P1027" t="s">
        <v>9</v>
      </c>
      <c r="Q1027" s="4">
        <v>0.40940972222222</v>
      </c>
      <c r="R1027" t="s">
        <v>5</v>
      </c>
      <c r="S1027" t="s">
        <v>4</v>
      </c>
      <c r="T1027" t="s">
        <v>2610</v>
      </c>
      <c r="U1027" t="s">
        <v>10</v>
      </c>
      <c r="V1027" s="5">
        <v>0</v>
      </c>
      <c r="W1027" s="5">
        <v>0</v>
      </c>
      <c r="X1027" s="2">
        <v>0</v>
      </c>
      <c r="Y1027" t="s">
        <v>4</v>
      </c>
      <c r="Z1027" t="s">
        <v>4</v>
      </c>
      <c r="AA1027" t="s">
        <v>4</v>
      </c>
      <c r="AB1027" t="s">
        <v>4</v>
      </c>
    </row>
    <row r="1028" spans="1:28" x14ac:dyDescent="0.2">
      <c r="A1028" t="s">
        <v>1466</v>
      </c>
      <c r="B1028" t="s">
        <v>2</v>
      </c>
      <c r="C1028" t="s">
        <v>3</v>
      </c>
      <c r="D1028" t="s">
        <v>4</v>
      </c>
      <c r="E1028" t="s">
        <v>4</v>
      </c>
      <c r="F1028" t="s">
        <v>5</v>
      </c>
      <c r="G1028" t="s">
        <v>17</v>
      </c>
      <c r="H1028" t="s">
        <v>3822</v>
      </c>
      <c r="I1028" s="2">
        <v>60</v>
      </c>
      <c r="J1028" s="2">
        <v>0</v>
      </c>
      <c r="K1028" s="2">
        <v>0</v>
      </c>
      <c r="L1028" s="3">
        <v>45856</v>
      </c>
      <c r="M1028" s="3">
        <v>45856</v>
      </c>
      <c r="N1028" s="3"/>
      <c r="O1028" t="s">
        <v>3823</v>
      </c>
      <c r="P1028" t="s">
        <v>9</v>
      </c>
      <c r="Q1028" s="4">
        <v>0.94140046296295998</v>
      </c>
      <c r="R1028" t="s">
        <v>5</v>
      </c>
      <c r="S1028" t="s">
        <v>4</v>
      </c>
      <c r="T1028" t="s">
        <v>2260</v>
      </c>
      <c r="U1028" t="s">
        <v>10</v>
      </c>
      <c r="V1028" s="5">
        <v>0</v>
      </c>
      <c r="W1028" s="5">
        <v>0</v>
      </c>
      <c r="X1028" s="2">
        <v>0</v>
      </c>
      <c r="Y1028" t="s">
        <v>4</v>
      </c>
      <c r="Z1028" t="s">
        <v>4</v>
      </c>
      <c r="AA1028" t="s">
        <v>4</v>
      </c>
      <c r="AB1028" t="s">
        <v>4</v>
      </c>
    </row>
    <row r="1029" spans="1:28" x14ac:dyDescent="0.2">
      <c r="A1029" t="s">
        <v>1466</v>
      </c>
      <c r="B1029" t="s">
        <v>2</v>
      </c>
      <c r="C1029" t="s">
        <v>3</v>
      </c>
      <c r="D1029" t="s">
        <v>4</v>
      </c>
      <c r="E1029" t="s">
        <v>4</v>
      </c>
      <c r="F1029" t="s">
        <v>5</v>
      </c>
      <c r="G1029" t="s">
        <v>17</v>
      </c>
      <c r="H1029" t="s">
        <v>3822</v>
      </c>
      <c r="I1029" s="2">
        <v>60</v>
      </c>
      <c r="J1029" s="2">
        <v>0</v>
      </c>
      <c r="K1029" s="2">
        <v>0</v>
      </c>
      <c r="L1029" s="3">
        <v>45856</v>
      </c>
      <c r="M1029" s="3">
        <v>45856</v>
      </c>
      <c r="N1029" s="3"/>
      <c r="O1029" t="s">
        <v>3824</v>
      </c>
      <c r="P1029" t="s">
        <v>9</v>
      </c>
      <c r="Q1029" s="4">
        <v>0.94140046296295998</v>
      </c>
      <c r="R1029" t="s">
        <v>5</v>
      </c>
      <c r="S1029" t="s">
        <v>4</v>
      </c>
      <c r="T1029" t="s">
        <v>2260</v>
      </c>
      <c r="U1029" t="s">
        <v>10</v>
      </c>
      <c r="V1029" s="5">
        <v>0</v>
      </c>
      <c r="W1029" s="5">
        <v>0</v>
      </c>
      <c r="X1029" s="2">
        <v>0</v>
      </c>
      <c r="Y1029" t="s">
        <v>4</v>
      </c>
      <c r="Z1029" t="s">
        <v>4</v>
      </c>
      <c r="AA1029" t="s">
        <v>4</v>
      </c>
      <c r="AB1029" t="s">
        <v>4</v>
      </c>
    </row>
    <row r="1030" spans="1:28" x14ac:dyDescent="0.2">
      <c r="A1030" t="s">
        <v>1135</v>
      </c>
      <c r="B1030" t="s">
        <v>2</v>
      </c>
      <c r="C1030" t="s">
        <v>3</v>
      </c>
      <c r="D1030" t="s">
        <v>4</v>
      </c>
      <c r="E1030" t="s">
        <v>4</v>
      </c>
      <c r="F1030" t="s">
        <v>5</v>
      </c>
      <c r="G1030" t="s">
        <v>17</v>
      </c>
      <c r="H1030" t="s">
        <v>3825</v>
      </c>
      <c r="I1030" s="2">
        <v>480</v>
      </c>
      <c r="J1030" s="2">
        <v>0</v>
      </c>
      <c r="K1030" s="2">
        <v>0</v>
      </c>
      <c r="L1030" s="3">
        <v>45857</v>
      </c>
      <c r="M1030" s="3">
        <v>45857</v>
      </c>
      <c r="N1030" s="3"/>
      <c r="O1030" t="s">
        <v>3826</v>
      </c>
      <c r="P1030" t="s">
        <v>9</v>
      </c>
      <c r="Q1030" s="4">
        <v>0.79627314814814998</v>
      </c>
      <c r="R1030" t="s">
        <v>5</v>
      </c>
      <c r="S1030" t="s">
        <v>4</v>
      </c>
      <c r="T1030" t="s">
        <v>2262</v>
      </c>
      <c r="U1030" t="s">
        <v>10</v>
      </c>
      <c r="V1030" s="5">
        <v>0</v>
      </c>
      <c r="W1030" s="5">
        <v>0</v>
      </c>
      <c r="X1030" s="2">
        <v>0</v>
      </c>
      <c r="Y1030" t="s">
        <v>4</v>
      </c>
      <c r="Z1030" t="s">
        <v>4</v>
      </c>
      <c r="AA1030" t="s">
        <v>4</v>
      </c>
      <c r="AB1030" t="s">
        <v>4</v>
      </c>
    </row>
    <row r="1031" spans="1:28" x14ac:dyDescent="0.2">
      <c r="A1031" t="s">
        <v>1135</v>
      </c>
      <c r="B1031" t="s">
        <v>2</v>
      </c>
      <c r="C1031" t="s">
        <v>3</v>
      </c>
      <c r="D1031" t="s">
        <v>4</v>
      </c>
      <c r="E1031" t="s">
        <v>4</v>
      </c>
      <c r="F1031" t="s">
        <v>5</v>
      </c>
      <c r="G1031" t="s">
        <v>17</v>
      </c>
      <c r="H1031" t="s">
        <v>3825</v>
      </c>
      <c r="I1031" s="2">
        <v>480</v>
      </c>
      <c r="J1031" s="2">
        <v>0</v>
      </c>
      <c r="K1031" s="2">
        <v>0</v>
      </c>
      <c r="L1031" s="3">
        <v>45857</v>
      </c>
      <c r="M1031" s="3">
        <v>45857</v>
      </c>
      <c r="N1031" s="3"/>
      <c r="O1031" t="s">
        <v>3827</v>
      </c>
      <c r="P1031" t="s">
        <v>9</v>
      </c>
      <c r="Q1031" s="4">
        <v>0.79627314814814998</v>
      </c>
      <c r="R1031" t="s">
        <v>5</v>
      </c>
      <c r="S1031" t="s">
        <v>4</v>
      </c>
      <c r="T1031" t="s">
        <v>2262</v>
      </c>
      <c r="U1031" t="s">
        <v>10</v>
      </c>
      <c r="V1031" s="5">
        <v>0</v>
      </c>
      <c r="W1031" s="5">
        <v>0</v>
      </c>
      <c r="X1031" s="2">
        <v>0</v>
      </c>
      <c r="Y1031" t="s">
        <v>4</v>
      </c>
      <c r="Z1031" t="s">
        <v>4</v>
      </c>
      <c r="AA1031" t="s">
        <v>4</v>
      </c>
      <c r="AB1031" t="s">
        <v>4</v>
      </c>
    </row>
    <row r="1032" spans="1:28" x14ac:dyDescent="0.2">
      <c r="A1032" t="s">
        <v>296</v>
      </c>
      <c r="B1032" t="s">
        <v>2</v>
      </c>
      <c r="C1032" t="s">
        <v>3</v>
      </c>
      <c r="D1032" t="s">
        <v>4</v>
      </c>
      <c r="E1032" t="s">
        <v>4</v>
      </c>
      <c r="F1032" t="s">
        <v>5</v>
      </c>
      <c r="G1032" t="s">
        <v>17</v>
      </c>
      <c r="H1032" t="s">
        <v>3828</v>
      </c>
      <c r="I1032" s="2">
        <v>700</v>
      </c>
      <c r="J1032" s="2">
        <v>0</v>
      </c>
      <c r="K1032" s="2">
        <v>0</v>
      </c>
      <c r="L1032" s="3">
        <v>45859</v>
      </c>
      <c r="M1032" s="3">
        <v>45859</v>
      </c>
      <c r="N1032" s="3"/>
      <c r="O1032" t="s">
        <v>3829</v>
      </c>
      <c r="P1032" t="s">
        <v>9</v>
      </c>
      <c r="Q1032" s="4">
        <v>0.93834490740740994</v>
      </c>
      <c r="R1032" t="s">
        <v>5</v>
      </c>
      <c r="S1032" t="s">
        <v>4</v>
      </c>
      <c r="T1032" t="s">
        <v>2261</v>
      </c>
      <c r="U1032" t="s">
        <v>10</v>
      </c>
      <c r="V1032" s="5">
        <v>0</v>
      </c>
      <c r="W1032" s="5">
        <v>0</v>
      </c>
      <c r="X1032" s="2">
        <v>0</v>
      </c>
      <c r="Y1032" t="s">
        <v>4</v>
      </c>
      <c r="Z1032" t="s">
        <v>4</v>
      </c>
      <c r="AA1032" t="s">
        <v>4</v>
      </c>
      <c r="AB1032" t="s">
        <v>4</v>
      </c>
    </row>
    <row r="1033" spans="1:28" x14ac:dyDescent="0.2">
      <c r="A1033" t="s">
        <v>296</v>
      </c>
      <c r="B1033" t="s">
        <v>2</v>
      </c>
      <c r="C1033" t="s">
        <v>3</v>
      </c>
      <c r="D1033" t="s">
        <v>4</v>
      </c>
      <c r="E1033" t="s">
        <v>4</v>
      </c>
      <c r="F1033" t="s">
        <v>5</v>
      </c>
      <c r="G1033" t="s">
        <v>17</v>
      </c>
      <c r="H1033" t="s">
        <v>3828</v>
      </c>
      <c r="I1033" s="2">
        <v>700</v>
      </c>
      <c r="J1033" s="2">
        <v>0</v>
      </c>
      <c r="K1033" s="2">
        <v>0</v>
      </c>
      <c r="L1033" s="3">
        <v>45859</v>
      </c>
      <c r="M1033" s="3">
        <v>45859</v>
      </c>
      <c r="N1033" s="3"/>
      <c r="O1033" t="s">
        <v>3830</v>
      </c>
      <c r="P1033" t="s">
        <v>9</v>
      </c>
      <c r="Q1033" s="4">
        <v>0.93834490740740994</v>
      </c>
      <c r="R1033" t="s">
        <v>5</v>
      </c>
      <c r="S1033" t="s">
        <v>4</v>
      </c>
      <c r="T1033" t="s">
        <v>2261</v>
      </c>
      <c r="U1033" t="s">
        <v>10</v>
      </c>
      <c r="V1033" s="5">
        <v>0</v>
      </c>
      <c r="W1033" s="5">
        <v>0</v>
      </c>
      <c r="X1033" s="2">
        <v>0</v>
      </c>
      <c r="Y1033" t="s">
        <v>4</v>
      </c>
      <c r="Z1033" t="s">
        <v>4</v>
      </c>
      <c r="AA1033" t="s">
        <v>4</v>
      </c>
      <c r="AB1033" t="s">
        <v>4</v>
      </c>
    </row>
    <row r="1034" spans="1:28" x14ac:dyDescent="0.2">
      <c r="A1034" t="s">
        <v>2030</v>
      </c>
      <c r="B1034" t="s">
        <v>2</v>
      </c>
      <c r="C1034" t="s">
        <v>3</v>
      </c>
      <c r="D1034" t="s">
        <v>4</v>
      </c>
      <c r="E1034" t="s">
        <v>4</v>
      </c>
      <c r="F1034" t="s">
        <v>5</v>
      </c>
      <c r="G1034" t="s">
        <v>6</v>
      </c>
      <c r="H1034" t="s">
        <v>3831</v>
      </c>
      <c r="I1034" s="2">
        <v>336</v>
      </c>
      <c r="J1034" s="2">
        <v>0</v>
      </c>
      <c r="K1034" s="2">
        <v>0</v>
      </c>
      <c r="L1034" s="3">
        <v>45843</v>
      </c>
      <c r="M1034" s="3">
        <v>45843</v>
      </c>
      <c r="N1034" s="3"/>
      <c r="O1034" t="s">
        <v>3832</v>
      </c>
      <c r="P1034" t="s">
        <v>9</v>
      </c>
      <c r="Q1034" s="4">
        <v>0.50997685185185004</v>
      </c>
      <c r="R1034" t="s">
        <v>5</v>
      </c>
      <c r="S1034" t="s">
        <v>4</v>
      </c>
      <c r="T1034" t="s">
        <v>2783</v>
      </c>
      <c r="U1034" t="s">
        <v>10</v>
      </c>
      <c r="V1034" s="5">
        <v>0</v>
      </c>
      <c r="W1034" s="5">
        <v>0</v>
      </c>
      <c r="X1034" s="2">
        <v>0</v>
      </c>
      <c r="Y1034" t="s">
        <v>4</v>
      </c>
      <c r="Z1034" t="s">
        <v>4</v>
      </c>
      <c r="AA1034" t="s">
        <v>4</v>
      </c>
      <c r="AB1034" t="s">
        <v>4</v>
      </c>
    </row>
    <row r="1035" spans="1:28" x14ac:dyDescent="0.2">
      <c r="A1035" t="s">
        <v>2030</v>
      </c>
      <c r="B1035" t="s">
        <v>2</v>
      </c>
      <c r="C1035" t="s">
        <v>3</v>
      </c>
      <c r="D1035" t="s">
        <v>4</v>
      </c>
      <c r="E1035" t="s">
        <v>4</v>
      </c>
      <c r="F1035" t="s">
        <v>5</v>
      </c>
      <c r="G1035" t="s">
        <v>6</v>
      </c>
      <c r="H1035" t="s">
        <v>3831</v>
      </c>
      <c r="I1035" s="2">
        <v>1260</v>
      </c>
      <c r="J1035" s="2">
        <v>0</v>
      </c>
      <c r="K1035" s="2">
        <v>0</v>
      </c>
      <c r="L1035" s="3">
        <v>45847</v>
      </c>
      <c r="M1035" s="3">
        <v>45847</v>
      </c>
      <c r="N1035" s="3"/>
      <c r="O1035" t="s">
        <v>3833</v>
      </c>
      <c r="P1035" t="s">
        <v>9</v>
      </c>
      <c r="Q1035" s="4">
        <v>0.50997685185185004</v>
      </c>
      <c r="R1035" t="s">
        <v>5</v>
      </c>
      <c r="S1035" t="s">
        <v>4</v>
      </c>
      <c r="T1035" t="s">
        <v>2341</v>
      </c>
      <c r="U1035" t="s">
        <v>10</v>
      </c>
      <c r="V1035" s="5">
        <v>0</v>
      </c>
      <c r="W1035" s="5">
        <v>0</v>
      </c>
      <c r="X1035" s="2">
        <v>0</v>
      </c>
      <c r="Y1035" t="s">
        <v>4</v>
      </c>
      <c r="Z1035" t="s">
        <v>4</v>
      </c>
      <c r="AA1035" t="s">
        <v>4</v>
      </c>
      <c r="AB1035" t="s">
        <v>4</v>
      </c>
    </row>
    <row r="1036" spans="1:28" x14ac:dyDescent="0.2">
      <c r="A1036" t="s">
        <v>2251</v>
      </c>
      <c r="B1036" t="s">
        <v>4</v>
      </c>
      <c r="C1036" t="s">
        <v>4</v>
      </c>
      <c r="D1036" t="s">
        <v>4</v>
      </c>
      <c r="E1036" t="s">
        <v>4</v>
      </c>
      <c r="F1036" t="s">
        <v>5</v>
      </c>
      <c r="G1036" t="s">
        <v>6</v>
      </c>
      <c r="H1036" t="s">
        <v>3834</v>
      </c>
      <c r="I1036" s="5">
        <v>0</v>
      </c>
      <c r="J1036" s="5">
        <v>0</v>
      </c>
      <c r="K1036" s="5">
        <v>0</v>
      </c>
      <c r="L1036" s="3"/>
      <c r="M1036" s="3"/>
      <c r="N1036" s="3"/>
      <c r="O1036" t="s">
        <v>4</v>
      </c>
      <c r="P1036" t="s">
        <v>9</v>
      </c>
      <c r="Q1036" s="4">
        <v>0.93864583333332996</v>
      </c>
      <c r="R1036" t="s">
        <v>4</v>
      </c>
      <c r="S1036" t="s">
        <v>4</v>
      </c>
      <c r="T1036" t="s">
        <v>2256</v>
      </c>
      <c r="U1036" t="s">
        <v>4</v>
      </c>
      <c r="V1036" s="5">
        <v>0</v>
      </c>
      <c r="W1036" s="5">
        <v>0</v>
      </c>
      <c r="X1036" s="2">
        <v>0</v>
      </c>
      <c r="Y1036" t="s">
        <v>4</v>
      </c>
      <c r="Z1036" t="s">
        <v>4</v>
      </c>
      <c r="AA1036" t="s">
        <v>4</v>
      </c>
      <c r="AB1036" t="s">
        <v>4</v>
      </c>
    </row>
    <row r="1037" spans="1:28" x14ac:dyDescent="0.2">
      <c r="A1037" t="s">
        <v>641</v>
      </c>
      <c r="B1037" t="s">
        <v>2</v>
      </c>
      <c r="C1037" t="s">
        <v>3</v>
      </c>
      <c r="D1037" t="s">
        <v>4</v>
      </c>
      <c r="E1037" t="s">
        <v>4</v>
      </c>
      <c r="F1037" t="s">
        <v>5</v>
      </c>
      <c r="G1037" t="s">
        <v>6</v>
      </c>
      <c r="H1037" t="s">
        <v>3835</v>
      </c>
      <c r="I1037" s="2">
        <v>2304</v>
      </c>
      <c r="J1037" s="2">
        <v>0</v>
      </c>
      <c r="K1037" s="2">
        <v>0</v>
      </c>
      <c r="L1037" s="3">
        <v>45750</v>
      </c>
      <c r="M1037" s="3">
        <v>45750</v>
      </c>
      <c r="N1037" s="3"/>
      <c r="O1037" t="s">
        <v>3836</v>
      </c>
      <c r="P1037" t="s">
        <v>9</v>
      </c>
      <c r="Q1037" s="4">
        <v>0.40399305555555998</v>
      </c>
      <c r="R1037" t="s">
        <v>5</v>
      </c>
      <c r="S1037" t="s">
        <v>4</v>
      </c>
      <c r="T1037" t="s">
        <v>3303</v>
      </c>
      <c r="U1037" t="s">
        <v>10</v>
      </c>
      <c r="V1037" s="5">
        <v>0</v>
      </c>
      <c r="W1037" s="5">
        <v>0</v>
      </c>
      <c r="X1037" s="2">
        <v>0</v>
      </c>
      <c r="Y1037" t="s">
        <v>4</v>
      </c>
      <c r="Z1037" t="s">
        <v>4</v>
      </c>
      <c r="AA1037" t="s">
        <v>4</v>
      </c>
      <c r="AB1037" t="s">
        <v>4</v>
      </c>
    </row>
    <row r="1038" spans="1:28" x14ac:dyDescent="0.2">
      <c r="A1038" t="s">
        <v>641</v>
      </c>
      <c r="B1038" t="s">
        <v>2</v>
      </c>
      <c r="C1038" t="s">
        <v>3</v>
      </c>
      <c r="D1038" t="s">
        <v>4</v>
      </c>
      <c r="E1038" t="s">
        <v>4</v>
      </c>
      <c r="F1038" t="s">
        <v>5</v>
      </c>
      <c r="G1038" t="s">
        <v>6</v>
      </c>
      <c r="H1038" t="s">
        <v>3835</v>
      </c>
      <c r="I1038" s="2">
        <v>2304</v>
      </c>
      <c r="J1038" s="2">
        <v>0</v>
      </c>
      <c r="K1038" s="2">
        <v>0</v>
      </c>
      <c r="L1038" s="3">
        <v>45785</v>
      </c>
      <c r="M1038" s="3">
        <v>45785</v>
      </c>
      <c r="N1038" s="3"/>
      <c r="O1038" t="s">
        <v>3837</v>
      </c>
      <c r="P1038" t="s">
        <v>9</v>
      </c>
      <c r="Q1038" s="4">
        <v>0.40399305555555998</v>
      </c>
      <c r="R1038" t="s">
        <v>5</v>
      </c>
      <c r="S1038" t="s">
        <v>4</v>
      </c>
      <c r="T1038" t="s">
        <v>2780</v>
      </c>
      <c r="U1038" t="s">
        <v>10</v>
      </c>
      <c r="V1038" s="5">
        <v>0</v>
      </c>
      <c r="W1038" s="5">
        <v>0</v>
      </c>
      <c r="X1038" s="2">
        <v>0</v>
      </c>
      <c r="Y1038" t="s">
        <v>4</v>
      </c>
      <c r="Z1038" t="s">
        <v>4</v>
      </c>
      <c r="AA1038" t="s">
        <v>4</v>
      </c>
      <c r="AB1038" t="s">
        <v>4</v>
      </c>
    </row>
    <row r="1039" spans="1:28" x14ac:dyDescent="0.2">
      <c r="A1039" t="s">
        <v>2056</v>
      </c>
      <c r="B1039" t="s">
        <v>2</v>
      </c>
      <c r="C1039" t="s">
        <v>3</v>
      </c>
      <c r="D1039" t="s">
        <v>4</v>
      </c>
      <c r="E1039" t="s">
        <v>4</v>
      </c>
      <c r="F1039" t="s">
        <v>5</v>
      </c>
      <c r="G1039" t="s">
        <v>6</v>
      </c>
      <c r="H1039" t="s">
        <v>3838</v>
      </c>
      <c r="I1039" s="2">
        <v>520</v>
      </c>
      <c r="J1039" s="2">
        <v>0</v>
      </c>
      <c r="K1039" s="2">
        <v>0</v>
      </c>
      <c r="L1039" s="3">
        <v>45768</v>
      </c>
      <c r="M1039" s="3">
        <v>45768</v>
      </c>
      <c r="N1039" s="3"/>
      <c r="O1039" t="s">
        <v>3839</v>
      </c>
      <c r="P1039" t="s">
        <v>9</v>
      </c>
      <c r="Q1039" s="4">
        <v>0.73391203703704</v>
      </c>
      <c r="R1039" t="s">
        <v>5</v>
      </c>
      <c r="S1039" t="s">
        <v>4</v>
      </c>
      <c r="T1039" t="s">
        <v>2777</v>
      </c>
      <c r="U1039" t="s">
        <v>10</v>
      </c>
      <c r="V1039" s="5">
        <v>0</v>
      </c>
      <c r="W1039" s="5">
        <v>0</v>
      </c>
      <c r="X1039" s="2">
        <v>0</v>
      </c>
      <c r="Y1039" t="s">
        <v>4</v>
      </c>
      <c r="Z1039" t="s">
        <v>4</v>
      </c>
      <c r="AA1039" t="s">
        <v>4</v>
      </c>
      <c r="AB1039" t="s">
        <v>4</v>
      </c>
    </row>
    <row r="1040" spans="1:28" x14ac:dyDescent="0.2">
      <c r="A1040" t="s">
        <v>2056</v>
      </c>
      <c r="B1040" t="s">
        <v>2</v>
      </c>
      <c r="C1040" t="s">
        <v>3</v>
      </c>
      <c r="D1040" t="s">
        <v>4</v>
      </c>
      <c r="E1040" t="s">
        <v>4</v>
      </c>
      <c r="F1040" t="s">
        <v>5</v>
      </c>
      <c r="G1040" t="s">
        <v>6</v>
      </c>
      <c r="H1040" t="s">
        <v>3838</v>
      </c>
      <c r="I1040" s="2">
        <v>680</v>
      </c>
      <c r="J1040" s="2">
        <v>0</v>
      </c>
      <c r="K1040" s="2">
        <v>0</v>
      </c>
      <c r="L1040" s="3">
        <v>45752</v>
      </c>
      <c r="M1040" s="3">
        <v>45752</v>
      </c>
      <c r="N1040" s="3"/>
      <c r="O1040" t="s">
        <v>3840</v>
      </c>
      <c r="P1040" t="s">
        <v>9</v>
      </c>
      <c r="Q1040" s="4">
        <v>0.73391203703704</v>
      </c>
      <c r="R1040" t="s">
        <v>5</v>
      </c>
      <c r="S1040" t="s">
        <v>4</v>
      </c>
      <c r="T1040" t="s">
        <v>3432</v>
      </c>
      <c r="U1040" t="s">
        <v>10</v>
      </c>
      <c r="V1040" s="5">
        <v>0</v>
      </c>
      <c r="W1040" s="5">
        <v>0</v>
      </c>
      <c r="X1040" s="2">
        <v>0</v>
      </c>
      <c r="Y1040" t="s">
        <v>4</v>
      </c>
      <c r="Z1040" t="s">
        <v>4</v>
      </c>
      <c r="AA1040" t="s">
        <v>4</v>
      </c>
      <c r="AB1040" t="s">
        <v>4</v>
      </c>
    </row>
    <row r="1041" spans="1:28" x14ac:dyDescent="0.2">
      <c r="A1041" t="s">
        <v>0</v>
      </c>
      <c r="B1041" t="s">
        <v>2</v>
      </c>
      <c r="C1041" t="s">
        <v>3</v>
      </c>
      <c r="D1041" t="s">
        <v>4</v>
      </c>
      <c r="E1041" t="s">
        <v>4</v>
      </c>
      <c r="F1041" t="s">
        <v>5</v>
      </c>
      <c r="G1041" t="s">
        <v>6</v>
      </c>
      <c r="H1041" t="s">
        <v>110</v>
      </c>
      <c r="I1041" s="2">
        <v>196</v>
      </c>
      <c r="J1041" s="2">
        <v>0</v>
      </c>
      <c r="K1041" s="2">
        <v>0</v>
      </c>
      <c r="L1041" s="3">
        <v>45819</v>
      </c>
      <c r="M1041" s="3">
        <v>45819</v>
      </c>
      <c r="N1041" s="3"/>
      <c r="O1041" t="s">
        <v>111</v>
      </c>
      <c r="P1041" t="s">
        <v>9</v>
      </c>
      <c r="Q1041" s="4">
        <v>0.48657407407407</v>
      </c>
      <c r="R1041" t="s">
        <v>5</v>
      </c>
      <c r="S1041" t="s">
        <v>4</v>
      </c>
      <c r="T1041" t="s">
        <v>2263</v>
      </c>
      <c r="U1041" t="s">
        <v>10</v>
      </c>
      <c r="V1041" s="5">
        <v>0</v>
      </c>
      <c r="W1041" s="5">
        <v>0</v>
      </c>
      <c r="X1041" s="2">
        <v>0</v>
      </c>
      <c r="Y1041" t="s">
        <v>4</v>
      </c>
      <c r="Z1041" t="s">
        <v>4</v>
      </c>
      <c r="AA1041" t="s">
        <v>4</v>
      </c>
      <c r="AB1041" t="s">
        <v>4</v>
      </c>
    </row>
    <row r="1042" spans="1:28" x14ac:dyDescent="0.2">
      <c r="A1042" t="s">
        <v>0</v>
      </c>
      <c r="B1042" t="s">
        <v>2</v>
      </c>
      <c r="C1042" t="s">
        <v>3</v>
      </c>
      <c r="D1042" t="s">
        <v>4</v>
      </c>
      <c r="E1042" t="s">
        <v>4</v>
      </c>
      <c r="F1042" t="s">
        <v>5</v>
      </c>
      <c r="G1042" t="s">
        <v>6</v>
      </c>
      <c r="H1042" t="s">
        <v>110</v>
      </c>
      <c r="I1042" s="2">
        <v>196</v>
      </c>
      <c r="J1042" s="2">
        <v>0</v>
      </c>
      <c r="K1042" s="2">
        <v>0</v>
      </c>
      <c r="L1042" s="3">
        <v>45819</v>
      </c>
      <c r="M1042" s="3">
        <v>45819</v>
      </c>
      <c r="N1042" s="3"/>
      <c r="O1042" t="s">
        <v>112</v>
      </c>
      <c r="P1042" t="s">
        <v>9</v>
      </c>
      <c r="Q1042" s="4">
        <v>0.48657407407407</v>
      </c>
      <c r="R1042" t="s">
        <v>5</v>
      </c>
      <c r="S1042" t="s">
        <v>4</v>
      </c>
      <c r="T1042" t="s">
        <v>2263</v>
      </c>
      <c r="U1042" t="s">
        <v>10</v>
      </c>
      <c r="V1042" s="5">
        <v>0</v>
      </c>
      <c r="W1042" s="5">
        <v>0</v>
      </c>
      <c r="X1042" s="2">
        <v>0</v>
      </c>
      <c r="Y1042" t="s">
        <v>4</v>
      </c>
      <c r="Z1042" t="s">
        <v>4</v>
      </c>
      <c r="AA1042" t="s">
        <v>4</v>
      </c>
      <c r="AB1042" t="s">
        <v>4</v>
      </c>
    </row>
    <row r="1043" spans="1:28" x14ac:dyDescent="0.2">
      <c r="A1043" t="s">
        <v>0</v>
      </c>
      <c r="B1043" t="s">
        <v>2</v>
      </c>
      <c r="C1043" t="s">
        <v>3</v>
      </c>
      <c r="D1043" t="s">
        <v>4</v>
      </c>
      <c r="E1043" t="s">
        <v>4</v>
      </c>
      <c r="F1043" t="s">
        <v>5</v>
      </c>
      <c r="G1043" t="s">
        <v>6</v>
      </c>
      <c r="H1043" t="s">
        <v>113</v>
      </c>
      <c r="I1043" s="2">
        <v>196</v>
      </c>
      <c r="J1043" s="2">
        <v>0</v>
      </c>
      <c r="K1043" s="2">
        <v>0</v>
      </c>
      <c r="L1043" s="3">
        <v>45840</v>
      </c>
      <c r="M1043" s="3">
        <v>45840</v>
      </c>
      <c r="N1043" s="3"/>
      <c r="O1043" t="s">
        <v>115</v>
      </c>
      <c r="P1043" t="s">
        <v>9</v>
      </c>
      <c r="Q1043" s="4">
        <v>0.38354166666667</v>
      </c>
      <c r="R1043" t="s">
        <v>5</v>
      </c>
      <c r="S1043" t="s">
        <v>4</v>
      </c>
      <c r="T1043" t="s">
        <v>2766</v>
      </c>
      <c r="U1043" t="s">
        <v>10</v>
      </c>
      <c r="V1043" s="5">
        <v>0</v>
      </c>
      <c r="W1043" s="5">
        <v>0</v>
      </c>
      <c r="X1043" s="2">
        <v>0</v>
      </c>
      <c r="Y1043" t="s">
        <v>4</v>
      </c>
      <c r="Z1043" t="s">
        <v>4</v>
      </c>
      <c r="AA1043" t="s">
        <v>4</v>
      </c>
      <c r="AB1043" t="s">
        <v>4</v>
      </c>
    </row>
    <row r="1044" spans="1:28" x14ac:dyDescent="0.2">
      <c r="A1044" t="s">
        <v>0</v>
      </c>
      <c r="B1044" t="s">
        <v>2</v>
      </c>
      <c r="C1044" t="s">
        <v>3</v>
      </c>
      <c r="D1044" t="s">
        <v>4</v>
      </c>
      <c r="E1044" t="s">
        <v>4</v>
      </c>
      <c r="F1044" t="s">
        <v>5</v>
      </c>
      <c r="G1044" t="s">
        <v>6</v>
      </c>
      <c r="H1044" t="s">
        <v>113</v>
      </c>
      <c r="I1044" s="2">
        <v>196</v>
      </c>
      <c r="J1044" s="2">
        <v>0</v>
      </c>
      <c r="K1044" s="2">
        <v>0</v>
      </c>
      <c r="L1044" s="3">
        <v>45839</v>
      </c>
      <c r="M1044" s="3">
        <v>45839</v>
      </c>
      <c r="N1044" s="3"/>
      <c r="O1044" t="s">
        <v>114</v>
      </c>
      <c r="P1044" t="s">
        <v>9</v>
      </c>
      <c r="Q1044" s="4">
        <v>0.38354166666667</v>
      </c>
      <c r="R1044" t="s">
        <v>5</v>
      </c>
      <c r="S1044" t="s">
        <v>4</v>
      </c>
      <c r="T1044" t="s">
        <v>2312</v>
      </c>
      <c r="U1044" t="s">
        <v>10</v>
      </c>
      <c r="V1044" s="5">
        <v>0</v>
      </c>
      <c r="W1044" s="5">
        <v>0</v>
      </c>
      <c r="X1044" s="2">
        <v>0</v>
      </c>
      <c r="Y1044" t="s">
        <v>4</v>
      </c>
      <c r="Z1044" t="s">
        <v>4</v>
      </c>
      <c r="AA1044" t="s">
        <v>4</v>
      </c>
      <c r="AB1044" t="s">
        <v>4</v>
      </c>
    </row>
    <row r="1045" spans="1:28" x14ac:dyDescent="0.2">
      <c r="A1045" t="s">
        <v>1139</v>
      </c>
      <c r="B1045" t="s">
        <v>2</v>
      </c>
      <c r="C1045" t="s">
        <v>3</v>
      </c>
      <c r="D1045" t="s">
        <v>4</v>
      </c>
      <c r="E1045" t="s">
        <v>4</v>
      </c>
      <c r="F1045" t="s">
        <v>5</v>
      </c>
      <c r="G1045" t="s">
        <v>21</v>
      </c>
      <c r="H1045" t="s">
        <v>3841</v>
      </c>
      <c r="I1045" s="2">
        <v>432</v>
      </c>
      <c r="J1045" s="2">
        <v>0</v>
      </c>
      <c r="K1045" s="2">
        <v>0</v>
      </c>
      <c r="L1045" s="3">
        <v>45848</v>
      </c>
      <c r="M1045" s="3">
        <v>45848</v>
      </c>
      <c r="N1045" s="3"/>
      <c r="O1045" t="s">
        <v>3842</v>
      </c>
      <c r="P1045" t="s">
        <v>9</v>
      </c>
      <c r="Q1045" s="4">
        <v>0.41049768518518998</v>
      </c>
      <c r="R1045" t="s">
        <v>5</v>
      </c>
      <c r="S1045" t="s">
        <v>4</v>
      </c>
      <c r="T1045" t="s">
        <v>2580</v>
      </c>
      <c r="U1045" t="s">
        <v>10</v>
      </c>
      <c r="V1045" s="5">
        <v>0</v>
      </c>
      <c r="W1045" s="5">
        <v>0</v>
      </c>
      <c r="X1045" s="2">
        <v>0</v>
      </c>
      <c r="Y1045" t="s">
        <v>4</v>
      </c>
      <c r="Z1045" t="s">
        <v>4</v>
      </c>
      <c r="AA1045" t="s">
        <v>4</v>
      </c>
      <c r="AB1045" t="s">
        <v>4</v>
      </c>
    </row>
    <row r="1046" spans="1:28" x14ac:dyDescent="0.2">
      <c r="A1046" t="s">
        <v>1139</v>
      </c>
      <c r="B1046" t="s">
        <v>2</v>
      </c>
      <c r="C1046" t="s">
        <v>3</v>
      </c>
      <c r="D1046" t="s">
        <v>4</v>
      </c>
      <c r="E1046" t="s">
        <v>4</v>
      </c>
      <c r="F1046" t="s">
        <v>5</v>
      </c>
      <c r="G1046" t="s">
        <v>21</v>
      </c>
      <c r="H1046" t="s">
        <v>3841</v>
      </c>
      <c r="I1046" s="2">
        <v>432</v>
      </c>
      <c r="J1046" s="2">
        <v>0</v>
      </c>
      <c r="K1046" s="2">
        <v>0</v>
      </c>
      <c r="L1046" s="3">
        <v>45848</v>
      </c>
      <c r="M1046" s="3">
        <v>45848</v>
      </c>
      <c r="N1046" s="3"/>
      <c r="O1046" t="s">
        <v>3843</v>
      </c>
      <c r="P1046" t="s">
        <v>9</v>
      </c>
      <c r="Q1046" s="4">
        <v>0.41049768518518998</v>
      </c>
      <c r="R1046" t="s">
        <v>5</v>
      </c>
      <c r="S1046" t="s">
        <v>4</v>
      </c>
      <c r="T1046" t="s">
        <v>2580</v>
      </c>
      <c r="U1046" t="s">
        <v>10</v>
      </c>
      <c r="V1046" s="5">
        <v>0</v>
      </c>
      <c r="W1046" s="5">
        <v>0</v>
      </c>
      <c r="X1046" s="2">
        <v>0</v>
      </c>
      <c r="Y1046" t="s">
        <v>4</v>
      </c>
      <c r="Z1046" t="s">
        <v>4</v>
      </c>
      <c r="AA1046" t="s">
        <v>4</v>
      </c>
      <c r="AB1046" t="s">
        <v>4</v>
      </c>
    </row>
    <row r="1047" spans="1:28" x14ac:dyDescent="0.2">
      <c r="A1047" t="s">
        <v>1139</v>
      </c>
      <c r="B1047" t="s">
        <v>2</v>
      </c>
      <c r="C1047" t="s">
        <v>3</v>
      </c>
      <c r="D1047" t="s">
        <v>4</v>
      </c>
      <c r="E1047" t="s">
        <v>4</v>
      </c>
      <c r="F1047" t="s">
        <v>5</v>
      </c>
      <c r="G1047" t="s">
        <v>21</v>
      </c>
      <c r="H1047" t="s">
        <v>3844</v>
      </c>
      <c r="I1047" s="2">
        <v>432</v>
      </c>
      <c r="J1047" s="2">
        <v>0</v>
      </c>
      <c r="K1047" s="2">
        <v>0</v>
      </c>
      <c r="L1047" s="3">
        <v>45834</v>
      </c>
      <c r="M1047" s="3">
        <v>45834</v>
      </c>
      <c r="N1047" s="3"/>
      <c r="O1047" t="s">
        <v>3845</v>
      </c>
      <c r="P1047" t="s">
        <v>9</v>
      </c>
      <c r="Q1047" s="4">
        <v>0.48438657407406999</v>
      </c>
      <c r="R1047" t="s">
        <v>5</v>
      </c>
      <c r="S1047" t="s">
        <v>4</v>
      </c>
      <c r="T1047" t="s">
        <v>2817</v>
      </c>
      <c r="U1047" t="s">
        <v>10</v>
      </c>
      <c r="V1047" s="5">
        <v>0</v>
      </c>
      <c r="W1047" s="5">
        <v>0</v>
      </c>
      <c r="X1047" s="2">
        <v>0</v>
      </c>
      <c r="Y1047" t="s">
        <v>4</v>
      </c>
      <c r="Z1047" t="s">
        <v>4</v>
      </c>
      <c r="AA1047" t="s">
        <v>4</v>
      </c>
      <c r="AB1047" t="s">
        <v>4</v>
      </c>
    </row>
    <row r="1048" spans="1:28" x14ac:dyDescent="0.2">
      <c r="A1048" t="s">
        <v>1139</v>
      </c>
      <c r="B1048" t="s">
        <v>2</v>
      </c>
      <c r="C1048" t="s">
        <v>3</v>
      </c>
      <c r="D1048" t="s">
        <v>4</v>
      </c>
      <c r="E1048" t="s">
        <v>4</v>
      </c>
      <c r="F1048" t="s">
        <v>5</v>
      </c>
      <c r="G1048" t="s">
        <v>21</v>
      </c>
      <c r="H1048" t="s">
        <v>3844</v>
      </c>
      <c r="I1048" s="2">
        <v>432</v>
      </c>
      <c r="J1048" s="2">
        <v>0</v>
      </c>
      <c r="K1048" s="2">
        <v>0</v>
      </c>
      <c r="L1048" s="3">
        <v>45844</v>
      </c>
      <c r="M1048" s="3">
        <v>45844</v>
      </c>
      <c r="N1048" s="3"/>
      <c r="O1048" t="s">
        <v>3846</v>
      </c>
      <c r="P1048" t="s">
        <v>9</v>
      </c>
      <c r="Q1048" s="4">
        <v>0.48438657407406999</v>
      </c>
      <c r="R1048" t="s">
        <v>5</v>
      </c>
      <c r="S1048" t="s">
        <v>4</v>
      </c>
      <c r="T1048" t="s">
        <v>2792</v>
      </c>
      <c r="U1048" t="s">
        <v>10</v>
      </c>
      <c r="V1048" s="5">
        <v>0</v>
      </c>
      <c r="W1048" s="5">
        <v>0</v>
      </c>
      <c r="X1048" s="2">
        <v>0</v>
      </c>
      <c r="Y1048" t="s">
        <v>4</v>
      </c>
      <c r="Z1048" t="s">
        <v>4</v>
      </c>
      <c r="AA1048" t="s">
        <v>4</v>
      </c>
      <c r="AB1048" t="s">
        <v>4</v>
      </c>
    </row>
    <row r="1049" spans="1:28" x14ac:dyDescent="0.2">
      <c r="A1049" t="s">
        <v>1922</v>
      </c>
      <c r="B1049" t="s">
        <v>2</v>
      </c>
      <c r="C1049" t="s">
        <v>3</v>
      </c>
      <c r="D1049" t="s">
        <v>4</v>
      </c>
      <c r="E1049" t="s">
        <v>4</v>
      </c>
      <c r="F1049" t="s">
        <v>5</v>
      </c>
      <c r="G1049" t="s">
        <v>21</v>
      </c>
      <c r="H1049" t="s">
        <v>3847</v>
      </c>
      <c r="I1049" s="2">
        <v>330</v>
      </c>
      <c r="J1049" s="2">
        <v>0</v>
      </c>
      <c r="K1049" s="2">
        <v>0</v>
      </c>
      <c r="L1049" s="3">
        <v>45857</v>
      </c>
      <c r="M1049" s="3">
        <v>45857</v>
      </c>
      <c r="N1049" s="3"/>
      <c r="O1049" t="s">
        <v>3848</v>
      </c>
      <c r="P1049" t="s">
        <v>9</v>
      </c>
      <c r="Q1049" s="4">
        <v>0.59908564814815002</v>
      </c>
      <c r="R1049" t="s">
        <v>5</v>
      </c>
      <c r="S1049" t="s">
        <v>4</v>
      </c>
      <c r="T1049" t="s">
        <v>2262</v>
      </c>
      <c r="U1049" t="s">
        <v>10</v>
      </c>
      <c r="V1049" s="5">
        <v>0</v>
      </c>
      <c r="W1049" s="5">
        <v>0</v>
      </c>
      <c r="X1049" s="2">
        <v>0</v>
      </c>
      <c r="Y1049" t="s">
        <v>4</v>
      </c>
      <c r="Z1049" t="s">
        <v>4</v>
      </c>
      <c r="AA1049" t="s">
        <v>4</v>
      </c>
      <c r="AB1049" t="s">
        <v>4</v>
      </c>
    </row>
    <row r="1050" spans="1:28" x14ac:dyDescent="0.2">
      <c r="A1050" t="s">
        <v>1922</v>
      </c>
      <c r="B1050" t="s">
        <v>2</v>
      </c>
      <c r="C1050" t="s">
        <v>3</v>
      </c>
      <c r="D1050" t="s">
        <v>4</v>
      </c>
      <c r="E1050" t="s">
        <v>4</v>
      </c>
      <c r="F1050" t="s">
        <v>5</v>
      </c>
      <c r="G1050" t="s">
        <v>21</v>
      </c>
      <c r="H1050" t="s">
        <v>3847</v>
      </c>
      <c r="I1050" s="2">
        <v>22</v>
      </c>
      <c r="J1050" s="2">
        <v>0</v>
      </c>
      <c r="K1050" s="2">
        <v>0</v>
      </c>
      <c r="L1050" s="3">
        <v>45858</v>
      </c>
      <c r="M1050" s="3">
        <v>45858</v>
      </c>
      <c r="N1050" s="3"/>
      <c r="O1050" t="s">
        <v>3849</v>
      </c>
      <c r="P1050" t="s">
        <v>9</v>
      </c>
      <c r="Q1050" s="4">
        <v>0.59908564814815002</v>
      </c>
      <c r="R1050" t="s">
        <v>5</v>
      </c>
      <c r="S1050" t="s">
        <v>4</v>
      </c>
      <c r="T1050" t="s">
        <v>2337</v>
      </c>
      <c r="U1050" t="s">
        <v>10</v>
      </c>
      <c r="V1050" s="5">
        <v>0</v>
      </c>
      <c r="W1050" s="5">
        <v>0</v>
      </c>
      <c r="X1050" s="2">
        <v>0</v>
      </c>
      <c r="Y1050" t="s">
        <v>4</v>
      </c>
      <c r="Z1050" t="s">
        <v>4</v>
      </c>
      <c r="AA1050" t="s">
        <v>4</v>
      </c>
      <c r="AB1050" t="s">
        <v>4</v>
      </c>
    </row>
    <row r="1051" spans="1:28" x14ac:dyDescent="0.2">
      <c r="A1051" t="s">
        <v>1135</v>
      </c>
      <c r="B1051" t="s">
        <v>2</v>
      </c>
      <c r="C1051" t="s">
        <v>3</v>
      </c>
      <c r="D1051" t="s">
        <v>4</v>
      </c>
      <c r="E1051" t="s">
        <v>4</v>
      </c>
      <c r="F1051" t="s">
        <v>5</v>
      </c>
      <c r="G1051" t="s">
        <v>21</v>
      </c>
      <c r="H1051" t="s">
        <v>3850</v>
      </c>
      <c r="I1051" s="2">
        <v>480</v>
      </c>
      <c r="J1051" s="2">
        <v>0</v>
      </c>
      <c r="K1051" s="2">
        <v>0</v>
      </c>
      <c r="L1051" s="3">
        <v>45822</v>
      </c>
      <c r="M1051" s="3">
        <v>45822</v>
      </c>
      <c r="N1051" s="3"/>
      <c r="O1051" t="s">
        <v>3851</v>
      </c>
      <c r="P1051" t="s">
        <v>9</v>
      </c>
      <c r="Q1051" s="4">
        <v>0.86458333333333004</v>
      </c>
      <c r="R1051" t="s">
        <v>5</v>
      </c>
      <c r="S1051" t="s">
        <v>4</v>
      </c>
      <c r="T1051" t="s">
        <v>3122</v>
      </c>
      <c r="U1051" t="s">
        <v>10</v>
      </c>
      <c r="V1051" s="5">
        <v>0</v>
      </c>
      <c r="W1051" s="5">
        <v>0</v>
      </c>
      <c r="X1051" s="2">
        <v>0</v>
      </c>
      <c r="Y1051" t="s">
        <v>4</v>
      </c>
      <c r="Z1051" t="s">
        <v>4</v>
      </c>
      <c r="AA1051" t="s">
        <v>4</v>
      </c>
      <c r="AB1051" t="s">
        <v>4</v>
      </c>
    </row>
    <row r="1052" spans="1:28" x14ac:dyDescent="0.2">
      <c r="A1052" t="s">
        <v>1135</v>
      </c>
      <c r="B1052" t="s">
        <v>2</v>
      </c>
      <c r="C1052" t="s">
        <v>3</v>
      </c>
      <c r="D1052" t="s">
        <v>4</v>
      </c>
      <c r="E1052" t="s">
        <v>4</v>
      </c>
      <c r="F1052" t="s">
        <v>5</v>
      </c>
      <c r="G1052" t="s">
        <v>21</v>
      </c>
      <c r="H1052" t="s">
        <v>3850</v>
      </c>
      <c r="I1052" s="2">
        <v>471</v>
      </c>
      <c r="J1052" s="2">
        <v>0</v>
      </c>
      <c r="K1052" s="2">
        <v>0</v>
      </c>
      <c r="L1052" s="3">
        <v>45822</v>
      </c>
      <c r="M1052" s="3">
        <v>45822</v>
      </c>
      <c r="N1052" s="3"/>
      <c r="O1052" t="s">
        <v>3852</v>
      </c>
      <c r="P1052" t="s">
        <v>9</v>
      </c>
      <c r="Q1052" s="4">
        <v>0.86458333333333004</v>
      </c>
      <c r="R1052" t="s">
        <v>5</v>
      </c>
      <c r="S1052" t="s">
        <v>4</v>
      </c>
      <c r="T1052" t="s">
        <v>3122</v>
      </c>
      <c r="U1052" t="s">
        <v>10</v>
      </c>
      <c r="V1052" s="5">
        <v>0</v>
      </c>
      <c r="W1052" s="5">
        <v>0</v>
      </c>
      <c r="X1052" s="2">
        <v>0</v>
      </c>
      <c r="Y1052" t="s">
        <v>4</v>
      </c>
      <c r="Z1052" t="s">
        <v>4</v>
      </c>
      <c r="AA1052" t="s">
        <v>4</v>
      </c>
      <c r="AB1052" t="s">
        <v>4</v>
      </c>
    </row>
    <row r="1053" spans="1:28" x14ac:dyDescent="0.2">
      <c r="A1053" t="s">
        <v>285</v>
      </c>
      <c r="B1053" t="s">
        <v>2</v>
      </c>
      <c r="C1053" t="s">
        <v>3</v>
      </c>
      <c r="D1053" t="s">
        <v>4</v>
      </c>
      <c r="E1053" t="s">
        <v>4</v>
      </c>
      <c r="F1053" t="s">
        <v>5</v>
      </c>
      <c r="G1053" t="s">
        <v>17</v>
      </c>
      <c r="H1053" t="s">
        <v>3853</v>
      </c>
      <c r="I1053" s="2">
        <v>30</v>
      </c>
      <c r="J1053" s="2">
        <v>0</v>
      </c>
      <c r="K1053" s="2">
        <v>0</v>
      </c>
      <c r="L1053" s="3">
        <v>45835</v>
      </c>
      <c r="M1053" s="3">
        <v>45835</v>
      </c>
      <c r="N1053" s="3"/>
      <c r="O1053" t="s">
        <v>3854</v>
      </c>
      <c r="P1053" t="s">
        <v>9</v>
      </c>
      <c r="Q1053" s="4">
        <v>0.62817129629629997</v>
      </c>
      <c r="R1053" t="s">
        <v>5</v>
      </c>
      <c r="S1053" t="s">
        <v>4</v>
      </c>
      <c r="T1053" t="s">
        <v>2928</v>
      </c>
      <c r="U1053" t="s">
        <v>10</v>
      </c>
      <c r="V1053" s="5">
        <v>0</v>
      </c>
      <c r="W1053" s="5">
        <v>0</v>
      </c>
      <c r="X1053" s="2">
        <v>0</v>
      </c>
      <c r="Y1053" t="s">
        <v>4</v>
      </c>
      <c r="Z1053" t="s">
        <v>4</v>
      </c>
      <c r="AA1053" t="s">
        <v>4</v>
      </c>
      <c r="AB1053" t="s">
        <v>4</v>
      </c>
    </row>
    <row r="1054" spans="1:28" x14ac:dyDescent="0.2">
      <c r="A1054" t="s">
        <v>285</v>
      </c>
      <c r="B1054" t="s">
        <v>2</v>
      </c>
      <c r="C1054" t="s">
        <v>3</v>
      </c>
      <c r="D1054" t="s">
        <v>4</v>
      </c>
      <c r="E1054" t="s">
        <v>4</v>
      </c>
      <c r="F1054" t="s">
        <v>5</v>
      </c>
      <c r="G1054" t="s">
        <v>17</v>
      </c>
      <c r="H1054" t="s">
        <v>3853</v>
      </c>
      <c r="I1054" s="2">
        <v>30</v>
      </c>
      <c r="J1054" s="2">
        <v>0</v>
      </c>
      <c r="K1054" s="2">
        <v>0</v>
      </c>
      <c r="L1054" s="3">
        <v>45835</v>
      </c>
      <c r="M1054" s="3">
        <v>45835</v>
      </c>
      <c r="N1054" s="3"/>
      <c r="O1054" t="s">
        <v>3855</v>
      </c>
      <c r="P1054" t="s">
        <v>9</v>
      </c>
      <c r="Q1054" s="4">
        <v>0.62817129629629997</v>
      </c>
      <c r="R1054" t="s">
        <v>5</v>
      </c>
      <c r="S1054" t="s">
        <v>4</v>
      </c>
      <c r="T1054" t="s">
        <v>2928</v>
      </c>
      <c r="U1054" t="s">
        <v>10</v>
      </c>
      <c r="V1054" s="5">
        <v>0</v>
      </c>
      <c r="W1054" s="5">
        <v>0</v>
      </c>
      <c r="X1054" s="2">
        <v>0</v>
      </c>
      <c r="Y1054" t="s">
        <v>4</v>
      </c>
      <c r="Z1054" t="s">
        <v>4</v>
      </c>
      <c r="AA1054" t="s">
        <v>4</v>
      </c>
      <c r="AB1054" t="s">
        <v>4</v>
      </c>
    </row>
    <row r="1055" spans="1:28" x14ac:dyDescent="0.2">
      <c r="A1055" t="s">
        <v>285</v>
      </c>
      <c r="B1055" t="s">
        <v>2</v>
      </c>
      <c r="C1055" t="s">
        <v>3</v>
      </c>
      <c r="D1055" t="s">
        <v>4</v>
      </c>
      <c r="E1055" t="s">
        <v>4</v>
      </c>
      <c r="F1055" t="s">
        <v>5</v>
      </c>
      <c r="G1055" t="s">
        <v>17</v>
      </c>
      <c r="H1055" t="s">
        <v>3856</v>
      </c>
      <c r="I1055" s="2">
        <v>30</v>
      </c>
      <c r="J1055" s="2">
        <v>0</v>
      </c>
      <c r="K1055" s="2">
        <v>0</v>
      </c>
      <c r="L1055" s="3">
        <v>45835</v>
      </c>
      <c r="M1055" s="3">
        <v>45835</v>
      </c>
      <c r="N1055" s="3"/>
      <c r="O1055" t="s">
        <v>3857</v>
      </c>
      <c r="P1055" t="s">
        <v>9</v>
      </c>
      <c r="Q1055" s="4">
        <v>0.62839120370370005</v>
      </c>
      <c r="R1055" t="s">
        <v>5</v>
      </c>
      <c r="S1055" t="s">
        <v>4</v>
      </c>
      <c r="T1055" t="s">
        <v>2928</v>
      </c>
      <c r="U1055" t="s">
        <v>10</v>
      </c>
      <c r="V1055" s="5">
        <v>0</v>
      </c>
      <c r="W1055" s="5">
        <v>0</v>
      </c>
      <c r="X1055" s="2">
        <v>0</v>
      </c>
      <c r="Y1055" t="s">
        <v>4</v>
      </c>
      <c r="Z1055" t="s">
        <v>4</v>
      </c>
      <c r="AA1055" t="s">
        <v>4</v>
      </c>
      <c r="AB1055" t="s">
        <v>4</v>
      </c>
    </row>
    <row r="1056" spans="1:28" x14ac:dyDescent="0.2">
      <c r="A1056" t="s">
        <v>285</v>
      </c>
      <c r="B1056" t="s">
        <v>2</v>
      </c>
      <c r="C1056" t="s">
        <v>3</v>
      </c>
      <c r="D1056" t="s">
        <v>4</v>
      </c>
      <c r="E1056" t="s">
        <v>4</v>
      </c>
      <c r="F1056" t="s">
        <v>5</v>
      </c>
      <c r="G1056" t="s">
        <v>17</v>
      </c>
      <c r="H1056" t="s">
        <v>3856</v>
      </c>
      <c r="I1056" s="2">
        <v>30</v>
      </c>
      <c r="J1056" s="2">
        <v>0</v>
      </c>
      <c r="K1056" s="2">
        <v>0</v>
      </c>
      <c r="L1056" s="3">
        <v>45835</v>
      </c>
      <c r="M1056" s="3">
        <v>45835</v>
      </c>
      <c r="N1056" s="3"/>
      <c r="O1056" t="s">
        <v>3858</v>
      </c>
      <c r="P1056" t="s">
        <v>9</v>
      </c>
      <c r="Q1056" s="4">
        <v>0.62839120370370005</v>
      </c>
      <c r="R1056" t="s">
        <v>5</v>
      </c>
      <c r="S1056" t="s">
        <v>4</v>
      </c>
      <c r="T1056" t="s">
        <v>2928</v>
      </c>
      <c r="U1056" t="s">
        <v>10</v>
      </c>
      <c r="V1056" s="5">
        <v>0</v>
      </c>
      <c r="W1056" s="5">
        <v>0</v>
      </c>
      <c r="X1056" s="2">
        <v>0</v>
      </c>
      <c r="Y1056" t="s">
        <v>4</v>
      </c>
      <c r="Z1056" t="s">
        <v>4</v>
      </c>
      <c r="AA1056" t="s">
        <v>4</v>
      </c>
      <c r="AB1056" t="s">
        <v>4</v>
      </c>
    </row>
    <row r="1057" spans="1:28" x14ac:dyDescent="0.2">
      <c r="A1057" t="s">
        <v>476</v>
      </c>
      <c r="B1057" t="s">
        <v>2</v>
      </c>
      <c r="C1057" t="s">
        <v>3</v>
      </c>
      <c r="D1057" t="s">
        <v>4</v>
      </c>
      <c r="E1057" t="s">
        <v>4</v>
      </c>
      <c r="F1057" t="s">
        <v>5</v>
      </c>
      <c r="G1057" t="s">
        <v>17</v>
      </c>
      <c r="H1057" t="s">
        <v>3859</v>
      </c>
      <c r="I1057" s="2">
        <v>1440</v>
      </c>
      <c r="J1057" s="2">
        <v>0</v>
      </c>
      <c r="K1057" s="2">
        <v>0</v>
      </c>
      <c r="L1057" s="3">
        <v>45851</v>
      </c>
      <c r="M1057" s="3">
        <v>45851</v>
      </c>
      <c r="N1057" s="3"/>
      <c r="O1057" t="s">
        <v>3860</v>
      </c>
      <c r="P1057" t="s">
        <v>9</v>
      </c>
      <c r="Q1057" s="4">
        <v>0.41148148148148</v>
      </c>
      <c r="R1057" t="s">
        <v>5</v>
      </c>
      <c r="S1057" t="s">
        <v>4</v>
      </c>
      <c r="T1057" t="s">
        <v>2747</v>
      </c>
      <c r="U1057" t="s">
        <v>10</v>
      </c>
      <c r="V1057" s="5">
        <v>0</v>
      </c>
      <c r="W1057" s="5">
        <v>0</v>
      </c>
      <c r="X1057" s="2">
        <v>0</v>
      </c>
      <c r="Y1057" t="s">
        <v>4</v>
      </c>
      <c r="Z1057" t="s">
        <v>4</v>
      </c>
      <c r="AA1057" t="s">
        <v>4</v>
      </c>
      <c r="AB1057" t="s">
        <v>4</v>
      </c>
    </row>
    <row r="1058" spans="1:28" x14ac:dyDescent="0.2">
      <c r="A1058" t="s">
        <v>476</v>
      </c>
      <c r="B1058" t="s">
        <v>2</v>
      </c>
      <c r="C1058" t="s">
        <v>3</v>
      </c>
      <c r="D1058" t="s">
        <v>4</v>
      </c>
      <c r="E1058" t="s">
        <v>4</v>
      </c>
      <c r="F1058" t="s">
        <v>5</v>
      </c>
      <c r="G1058" t="s">
        <v>17</v>
      </c>
      <c r="H1058" t="s">
        <v>3859</v>
      </c>
      <c r="I1058" s="2">
        <v>1800</v>
      </c>
      <c r="J1058" s="2">
        <v>0</v>
      </c>
      <c r="K1058" s="2">
        <v>0</v>
      </c>
      <c r="L1058" s="3">
        <v>45851</v>
      </c>
      <c r="M1058" s="3">
        <v>45851</v>
      </c>
      <c r="N1058" s="3"/>
      <c r="O1058" t="s">
        <v>3861</v>
      </c>
      <c r="P1058" t="s">
        <v>9</v>
      </c>
      <c r="Q1058" s="4">
        <v>0.41148148148148</v>
      </c>
      <c r="R1058" t="s">
        <v>5</v>
      </c>
      <c r="S1058" t="s">
        <v>4</v>
      </c>
      <c r="T1058" t="s">
        <v>2747</v>
      </c>
      <c r="U1058" t="s">
        <v>10</v>
      </c>
      <c r="V1058" s="5">
        <v>0</v>
      </c>
      <c r="W1058" s="5">
        <v>0</v>
      </c>
      <c r="X1058" s="2">
        <v>0</v>
      </c>
      <c r="Y1058" t="s">
        <v>4</v>
      </c>
      <c r="Z1058" t="s">
        <v>4</v>
      </c>
      <c r="AA1058" t="s">
        <v>4</v>
      </c>
      <c r="AB1058" t="s">
        <v>4</v>
      </c>
    </row>
    <row r="1059" spans="1:28" x14ac:dyDescent="0.2">
      <c r="A1059" t="s">
        <v>1152</v>
      </c>
      <c r="B1059" t="s">
        <v>2</v>
      </c>
      <c r="C1059" t="s">
        <v>3</v>
      </c>
      <c r="D1059" t="s">
        <v>4</v>
      </c>
      <c r="E1059" t="s">
        <v>4</v>
      </c>
      <c r="F1059" t="s">
        <v>5</v>
      </c>
      <c r="G1059" t="s">
        <v>17</v>
      </c>
      <c r="H1059" t="s">
        <v>3862</v>
      </c>
      <c r="I1059" s="2">
        <v>850</v>
      </c>
      <c r="J1059" s="2">
        <v>0</v>
      </c>
      <c r="K1059" s="2">
        <v>0</v>
      </c>
      <c r="L1059" s="3">
        <v>45836</v>
      </c>
      <c r="M1059" s="3">
        <v>45836</v>
      </c>
      <c r="N1059" s="3"/>
      <c r="O1059" t="s">
        <v>3863</v>
      </c>
      <c r="P1059" t="s">
        <v>9</v>
      </c>
      <c r="Q1059" s="4">
        <v>0.42104166666666998</v>
      </c>
      <c r="R1059" t="s">
        <v>5</v>
      </c>
      <c r="S1059" t="s">
        <v>4</v>
      </c>
      <c r="T1059" t="s">
        <v>2316</v>
      </c>
      <c r="U1059" t="s">
        <v>10</v>
      </c>
      <c r="V1059" s="5">
        <v>0</v>
      </c>
      <c r="W1059" s="5">
        <v>0</v>
      </c>
      <c r="X1059" s="2">
        <v>0</v>
      </c>
      <c r="Y1059" t="s">
        <v>4</v>
      </c>
      <c r="Z1059" t="s">
        <v>4</v>
      </c>
      <c r="AA1059" t="s">
        <v>4</v>
      </c>
      <c r="AB1059" t="s">
        <v>4</v>
      </c>
    </row>
    <row r="1060" spans="1:28" x14ac:dyDescent="0.2">
      <c r="A1060" t="s">
        <v>662</v>
      </c>
      <c r="B1060" t="s">
        <v>2</v>
      </c>
      <c r="C1060" t="s">
        <v>3</v>
      </c>
      <c r="D1060" t="s">
        <v>4</v>
      </c>
      <c r="E1060" t="s">
        <v>4</v>
      </c>
      <c r="F1060" t="s">
        <v>5</v>
      </c>
      <c r="G1060" t="s">
        <v>17</v>
      </c>
      <c r="H1060" t="s">
        <v>3864</v>
      </c>
      <c r="I1060" s="2">
        <v>270</v>
      </c>
      <c r="J1060" s="2">
        <v>0</v>
      </c>
      <c r="K1060" s="2">
        <v>0</v>
      </c>
      <c r="L1060" s="3">
        <v>45836</v>
      </c>
      <c r="M1060" s="3">
        <v>45836</v>
      </c>
      <c r="N1060" s="3"/>
      <c r="O1060" t="s">
        <v>3865</v>
      </c>
      <c r="P1060" t="s">
        <v>9</v>
      </c>
      <c r="Q1060" s="4">
        <v>0.49701388888888998</v>
      </c>
      <c r="R1060" t="s">
        <v>5</v>
      </c>
      <c r="S1060" t="s">
        <v>4</v>
      </c>
      <c r="T1060" t="s">
        <v>2316</v>
      </c>
      <c r="U1060" t="s">
        <v>10</v>
      </c>
      <c r="V1060" s="5">
        <v>0</v>
      </c>
      <c r="W1060" s="5">
        <v>0</v>
      </c>
      <c r="X1060" s="2">
        <v>0</v>
      </c>
      <c r="Y1060" t="s">
        <v>4</v>
      </c>
      <c r="Z1060" t="s">
        <v>4</v>
      </c>
      <c r="AA1060" t="s">
        <v>4</v>
      </c>
      <c r="AB1060" t="s">
        <v>4</v>
      </c>
    </row>
    <row r="1061" spans="1:28" x14ac:dyDescent="0.2">
      <c r="A1061" t="s">
        <v>662</v>
      </c>
      <c r="B1061" t="s">
        <v>2</v>
      </c>
      <c r="C1061" t="s">
        <v>3</v>
      </c>
      <c r="D1061" t="s">
        <v>4</v>
      </c>
      <c r="E1061" t="s">
        <v>4</v>
      </c>
      <c r="F1061" t="s">
        <v>5</v>
      </c>
      <c r="G1061" t="s">
        <v>17</v>
      </c>
      <c r="H1061" t="s">
        <v>3864</v>
      </c>
      <c r="I1061" s="2">
        <v>270</v>
      </c>
      <c r="J1061" s="2">
        <v>0</v>
      </c>
      <c r="K1061" s="2">
        <v>0</v>
      </c>
      <c r="L1061" s="3">
        <v>45836</v>
      </c>
      <c r="M1061" s="3">
        <v>45836</v>
      </c>
      <c r="N1061" s="3"/>
      <c r="O1061" t="s">
        <v>3866</v>
      </c>
      <c r="P1061" t="s">
        <v>9</v>
      </c>
      <c r="Q1061" s="4">
        <v>0.49701388888888998</v>
      </c>
      <c r="R1061" t="s">
        <v>5</v>
      </c>
      <c r="S1061" t="s">
        <v>4</v>
      </c>
      <c r="T1061" t="s">
        <v>2316</v>
      </c>
      <c r="U1061" t="s">
        <v>10</v>
      </c>
      <c r="V1061" s="5">
        <v>0</v>
      </c>
      <c r="W1061" s="5">
        <v>0</v>
      </c>
      <c r="X1061" s="2">
        <v>0</v>
      </c>
      <c r="Y1061" t="s">
        <v>4</v>
      </c>
      <c r="Z1061" t="s">
        <v>4</v>
      </c>
      <c r="AA1061" t="s">
        <v>4</v>
      </c>
      <c r="AB1061" t="s">
        <v>4</v>
      </c>
    </row>
    <row r="1062" spans="1:28" x14ac:dyDescent="0.2">
      <c r="A1062" t="s">
        <v>845</v>
      </c>
      <c r="B1062" t="s">
        <v>2</v>
      </c>
      <c r="C1062" t="s">
        <v>3</v>
      </c>
      <c r="D1062" t="s">
        <v>4</v>
      </c>
      <c r="E1062" t="s">
        <v>4</v>
      </c>
      <c r="F1062" t="s">
        <v>5</v>
      </c>
      <c r="G1062" t="s">
        <v>17</v>
      </c>
      <c r="H1062" t="s">
        <v>3867</v>
      </c>
      <c r="I1062" s="2">
        <v>3500</v>
      </c>
      <c r="J1062" s="2">
        <v>0</v>
      </c>
      <c r="K1062" s="2">
        <v>0</v>
      </c>
      <c r="L1062" s="3">
        <v>45849</v>
      </c>
      <c r="M1062" s="3">
        <v>45849</v>
      </c>
      <c r="N1062" s="3"/>
      <c r="O1062" t="s">
        <v>3868</v>
      </c>
      <c r="P1062" t="s">
        <v>9</v>
      </c>
      <c r="Q1062" s="4">
        <v>0.37188657407407</v>
      </c>
      <c r="R1062" t="s">
        <v>5</v>
      </c>
      <c r="S1062" t="s">
        <v>4</v>
      </c>
      <c r="T1062" t="s">
        <v>2321</v>
      </c>
      <c r="U1062" t="s">
        <v>10</v>
      </c>
      <c r="V1062" s="5">
        <v>0</v>
      </c>
      <c r="W1062" s="5">
        <v>0</v>
      </c>
      <c r="X1062" s="2">
        <v>0</v>
      </c>
      <c r="Y1062" t="s">
        <v>4</v>
      </c>
      <c r="Z1062" t="s">
        <v>4</v>
      </c>
      <c r="AA1062" t="s">
        <v>4</v>
      </c>
      <c r="AB1062" t="s">
        <v>4</v>
      </c>
    </row>
    <row r="1063" spans="1:28" x14ac:dyDescent="0.2">
      <c r="A1063" t="s">
        <v>845</v>
      </c>
      <c r="B1063" t="s">
        <v>2</v>
      </c>
      <c r="C1063" t="s">
        <v>3</v>
      </c>
      <c r="D1063" t="s">
        <v>4</v>
      </c>
      <c r="E1063" t="s">
        <v>4</v>
      </c>
      <c r="F1063" t="s">
        <v>5</v>
      </c>
      <c r="G1063" t="s">
        <v>17</v>
      </c>
      <c r="H1063" t="s">
        <v>3867</v>
      </c>
      <c r="I1063" s="2">
        <v>7750</v>
      </c>
      <c r="J1063" s="2">
        <v>0</v>
      </c>
      <c r="K1063" s="2">
        <v>0</v>
      </c>
      <c r="L1063" s="3">
        <v>45849</v>
      </c>
      <c r="M1063" s="3">
        <v>45849</v>
      </c>
      <c r="N1063" s="3"/>
      <c r="O1063" t="s">
        <v>3869</v>
      </c>
      <c r="P1063" t="s">
        <v>9</v>
      </c>
      <c r="Q1063" s="4">
        <v>0.37188657407407</v>
      </c>
      <c r="R1063" t="s">
        <v>5</v>
      </c>
      <c r="S1063" t="s">
        <v>4</v>
      </c>
      <c r="T1063" t="s">
        <v>2321</v>
      </c>
      <c r="U1063" t="s">
        <v>10</v>
      </c>
      <c r="V1063" s="5">
        <v>0</v>
      </c>
      <c r="W1063" s="5">
        <v>0</v>
      </c>
      <c r="X1063" s="2">
        <v>0</v>
      </c>
      <c r="Y1063" t="s">
        <v>4</v>
      </c>
      <c r="Z1063" t="s">
        <v>4</v>
      </c>
      <c r="AA1063" t="s">
        <v>4</v>
      </c>
      <c r="AB1063" t="s">
        <v>4</v>
      </c>
    </row>
    <row r="1064" spans="1:28" x14ac:dyDescent="0.2">
      <c r="A1064" t="s">
        <v>2251</v>
      </c>
      <c r="B1064" t="s">
        <v>4</v>
      </c>
      <c r="C1064" t="s">
        <v>4</v>
      </c>
      <c r="D1064" t="s">
        <v>4</v>
      </c>
      <c r="E1064" t="s">
        <v>4</v>
      </c>
      <c r="F1064" t="s">
        <v>5</v>
      </c>
      <c r="G1064" t="s">
        <v>6</v>
      </c>
      <c r="H1064" t="s">
        <v>3870</v>
      </c>
      <c r="I1064" s="5">
        <v>0</v>
      </c>
      <c r="J1064" s="5">
        <v>0</v>
      </c>
      <c r="K1064" s="5">
        <v>0</v>
      </c>
      <c r="L1064" s="3"/>
      <c r="M1064" s="3"/>
      <c r="N1064" s="3"/>
      <c r="O1064" t="s">
        <v>4</v>
      </c>
      <c r="P1064" t="s">
        <v>9</v>
      </c>
      <c r="Q1064" s="4">
        <v>0.93853009259259002</v>
      </c>
      <c r="R1064" t="s">
        <v>4</v>
      </c>
      <c r="S1064" t="s">
        <v>4</v>
      </c>
      <c r="T1064" t="s">
        <v>2256</v>
      </c>
      <c r="U1064" t="s">
        <v>4</v>
      </c>
      <c r="V1064" s="5">
        <v>0</v>
      </c>
      <c r="W1064" s="5">
        <v>0</v>
      </c>
      <c r="X1064" s="2">
        <v>0</v>
      </c>
      <c r="Y1064" t="s">
        <v>4</v>
      </c>
      <c r="Z1064" t="s">
        <v>4</v>
      </c>
      <c r="AA1064" t="s">
        <v>4</v>
      </c>
      <c r="AB1064" t="s">
        <v>4</v>
      </c>
    </row>
    <row r="1065" spans="1:28" x14ac:dyDescent="0.2">
      <c r="A1065" t="s">
        <v>1569</v>
      </c>
      <c r="B1065" t="s">
        <v>2</v>
      </c>
      <c r="C1065" t="s">
        <v>3</v>
      </c>
      <c r="D1065" t="s">
        <v>4</v>
      </c>
      <c r="E1065" t="s">
        <v>4</v>
      </c>
      <c r="F1065" t="s">
        <v>5</v>
      </c>
      <c r="G1065" t="s">
        <v>6</v>
      </c>
      <c r="H1065" t="s">
        <v>3871</v>
      </c>
      <c r="I1065" s="2">
        <v>40</v>
      </c>
      <c r="J1065" s="2">
        <v>0</v>
      </c>
      <c r="K1065" s="2">
        <v>0</v>
      </c>
      <c r="L1065" s="3">
        <v>45854</v>
      </c>
      <c r="M1065" s="3">
        <v>45854</v>
      </c>
      <c r="N1065" s="3"/>
      <c r="O1065" t="s">
        <v>3872</v>
      </c>
      <c r="P1065" t="s">
        <v>9</v>
      </c>
      <c r="Q1065" s="4">
        <v>0.40262731481481001</v>
      </c>
      <c r="R1065" t="s">
        <v>5</v>
      </c>
      <c r="S1065" t="s">
        <v>4</v>
      </c>
      <c r="T1065" t="s">
        <v>2299</v>
      </c>
      <c r="U1065" t="s">
        <v>10</v>
      </c>
      <c r="V1065" s="5">
        <v>0</v>
      </c>
      <c r="W1065" s="5">
        <v>0</v>
      </c>
      <c r="X1065" s="2">
        <v>0</v>
      </c>
      <c r="Y1065" t="s">
        <v>4</v>
      </c>
      <c r="Z1065" t="s">
        <v>4</v>
      </c>
      <c r="AA1065" t="s">
        <v>4</v>
      </c>
      <c r="AB1065" t="s">
        <v>4</v>
      </c>
    </row>
    <row r="1066" spans="1:28" x14ac:dyDescent="0.2">
      <c r="A1066" t="s">
        <v>0</v>
      </c>
      <c r="B1066" t="s">
        <v>2</v>
      </c>
      <c r="C1066" t="s">
        <v>3</v>
      </c>
      <c r="D1066" t="s">
        <v>4</v>
      </c>
      <c r="E1066" t="s">
        <v>4</v>
      </c>
      <c r="F1066" t="s">
        <v>5</v>
      </c>
      <c r="G1066" t="s">
        <v>6</v>
      </c>
      <c r="H1066" t="s">
        <v>116</v>
      </c>
      <c r="I1066" s="2">
        <v>196</v>
      </c>
      <c r="J1066" s="2">
        <v>0</v>
      </c>
      <c r="K1066" s="2">
        <v>0</v>
      </c>
      <c r="L1066" s="3">
        <v>45839</v>
      </c>
      <c r="M1066" s="3">
        <v>45839</v>
      </c>
      <c r="N1066" s="3"/>
      <c r="O1066" t="s">
        <v>118</v>
      </c>
      <c r="P1066" t="s">
        <v>9</v>
      </c>
      <c r="Q1066" s="4">
        <v>0.58222222222221998</v>
      </c>
      <c r="R1066" t="s">
        <v>5</v>
      </c>
      <c r="S1066" t="s">
        <v>4</v>
      </c>
      <c r="T1066" t="s">
        <v>2312</v>
      </c>
      <c r="U1066" t="s">
        <v>10</v>
      </c>
      <c r="V1066" s="5">
        <v>0</v>
      </c>
      <c r="W1066" s="5">
        <v>0</v>
      </c>
      <c r="X1066" s="2">
        <v>0</v>
      </c>
      <c r="Y1066" t="s">
        <v>4</v>
      </c>
      <c r="Z1066" t="s">
        <v>4</v>
      </c>
      <c r="AA1066" t="s">
        <v>4</v>
      </c>
      <c r="AB1066" t="s">
        <v>4</v>
      </c>
    </row>
    <row r="1067" spans="1:28" x14ac:dyDescent="0.2">
      <c r="A1067" t="s">
        <v>0</v>
      </c>
      <c r="B1067" t="s">
        <v>2</v>
      </c>
      <c r="C1067" t="s">
        <v>3</v>
      </c>
      <c r="D1067" t="s">
        <v>4</v>
      </c>
      <c r="E1067" t="s">
        <v>4</v>
      </c>
      <c r="F1067" t="s">
        <v>5</v>
      </c>
      <c r="G1067" t="s">
        <v>6</v>
      </c>
      <c r="H1067" t="s">
        <v>116</v>
      </c>
      <c r="I1067" s="2">
        <v>196</v>
      </c>
      <c r="J1067" s="2">
        <v>0</v>
      </c>
      <c r="K1067" s="2">
        <v>0</v>
      </c>
      <c r="L1067" s="3">
        <v>45839</v>
      </c>
      <c r="M1067" s="3">
        <v>45839</v>
      </c>
      <c r="N1067" s="3"/>
      <c r="O1067" t="s">
        <v>117</v>
      </c>
      <c r="P1067" t="s">
        <v>9</v>
      </c>
      <c r="Q1067" s="4">
        <v>0.58222222222221998</v>
      </c>
      <c r="R1067" t="s">
        <v>5</v>
      </c>
      <c r="S1067" t="s">
        <v>4</v>
      </c>
      <c r="T1067" t="s">
        <v>2312</v>
      </c>
      <c r="U1067" t="s">
        <v>10</v>
      </c>
      <c r="V1067" s="5">
        <v>0</v>
      </c>
      <c r="W1067" s="5">
        <v>0</v>
      </c>
      <c r="X1067" s="2">
        <v>0</v>
      </c>
      <c r="Y1067" t="s">
        <v>4</v>
      </c>
      <c r="Z1067" t="s">
        <v>4</v>
      </c>
      <c r="AA1067" t="s">
        <v>4</v>
      </c>
      <c r="AB1067" t="s">
        <v>4</v>
      </c>
    </row>
    <row r="1068" spans="1:28" x14ac:dyDescent="0.2">
      <c r="A1068" t="s">
        <v>672</v>
      </c>
      <c r="B1068" t="s">
        <v>2</v>
      </c>
      <c r="C1068" t="s">
        <v>3</v>
      </c>
      <c r="D1068" t="s">
        <v>4</v>
      </c>
      <c r="E1068" t="s">
        <v>4</v>
      </c>
      <c r="F1068" t="s">
        <v>5</v>
      </c>
      <c r="G1068" t="s">
        <v>6</v>
      </c>
      <c r="H1068" t="s">
        <v>3873</v>
      </c>
      <c r="I1068" s="2">
        <v>1350</v>
      </c>
      <c r="J1068" s="2">
        <v>0</v>
      </c>
      <c r="K1068" s="2">
        <v>0</v>
      </c>
      <c r="L1068" s="3">
        <v>45847</v>
      </c>
      <c r="M1068" s="3">
        <v>45847</v>
      </c>
      <c r="N1068" s="3"/>
      <c r="O1068" t="s">
        <v>3874</v>
      </c>
      <c r="P1068" t="s">
        <v>9</v>
      </c>
      <c r="Q1068" s="4">
        <v>0.77755787037037005</v>
      </c>
      <c r="R1068" t="s">
        <v>5</v>
      </c>
      <c r="S1068" t="s">
        <v>4</v>
      </c>
      <c r="T1068" t="s">
        <v>2341</v>
      </c>
      <c r="U1068" t="s">
        <v>10</v>
      </c>
      <c r="V1068" s="5">
        <v>0</v>
      </c>
      <c r="W1068" s="5">
        <v>0</v>
      </c>
      <c r="X1068" s="2">
        <v>0</v>
      </c>
      <c r="Y1068" t="s">
        <v>4</v>
      </c>
      <c r="Z1068" t="s">
        <v>4</v>
      </c>
      <c r="AA1068" t="s">
        <v>4</v>
      </c>
      <c r="AB1068" t="s">
        <v>4</v>
      </c>
    </row>
    <row r="1069" spans="1:28" x14ac:dyDescent="0.2">
      <c r="A1069" t="s">
        <v>672</v>
      </c>
      <c r="B1069" t="s">
        <v>2</v>
      </c>
      <c r="C1069" t="s">
        <v>3</v>
      </c>
      <c r="D1069" t="s">
        <v>4</v>
      </c>
      <c r="E1069" t="s">
        <v>4</v>
      </c>
      <c r="F1069" t="s">
        <v>5</v>
      </c>
      <c r="G1069" t="s">
        <v>6</v>
      </c>
      <c r="H1069" t="s">
        <v>3873</v>
      </c>
      <c r="I1069" s="2">
        <v>1150</v>
      </c>
      <c r="J1069" s="2">
        <v>0</v>
      </c>
      <c r="K1069" s="2">
        <v>0</v>
      </c>
      <c r="L1069" s="3">
        <v>45847</v>
      </c>
      <c r="M1069" s="3">
        <v>45847</v>
      </c>
      <c r="N1069" s="3"/>
      <c r="O1069" t="s">
        <v>3875</v>
      </c>
      <c r="P1069" t="s">
        <v>9</v>
      </c>
      <c r="Q1069" s="4">
        <v>0.77755787037037005</v>
      </c>
      <c r="R1069" t="s">
        <v>5</v>
      </c>
      <c r="S1069" t="s">
        <v>4</v>
      </c>
      <c r="T1069" t="s">
        <v>2341</v>
      </c>
      <c r="U1069" t="s">
        <v>10</v>
      </c>
      <c r="V1069" s="5">
        <v>0</v>
      </c>
      <c r="W1069" s="5">
        <v>0</v>
      </c>
      <c r="X1069" s="2">
        <v>0</v>
      </c>
      <c r="Y1069" t="s">
        <v>4</v>
      </c>
      <c r="Z1069" t="s">
        <v>4</v>
      </c>
      <c r="AA1069" t="s">
        <v>4</v>
      </c>
      <c r="AB1069" t="s">
        <v>4</v>
      </c>
    </row>
    <row r="1070" spans="1:28" x14ac:dyDescent="0.2">
      <c r="A1070" t="s">
        <v>2043</v>
      </c>
      <c r="B1070" t="s">
        <v>2</v>
      </c>
      <c r="C1070" t="s">
        <v>3</v>
      </c>
      <c r="D1070" t="s">
        <v>4</v>
      </c>
      <c r="E1070" t="s">
        <v>4</v>
      </c>
      <c r="F1070" t="s">
        <v>5</v>
      </c>
      <c r="G1070" t="s">
        <v>6</v>
      </c>
      <c r="H1070" t="s">
        <v>3876</v>
      </c>
      <c r="I1070" s="2">
        <v>108</v>
      </c>
      <c r="J1070" s="2">
        <v>0</v>
      </c>
      <c r="K1070" s="2">
        <v>0</v>
      </c>
      <c r="L1070" s="3">
        <v>45857</v>
      </c>
      <c r="M1070" s="3">
        <v>45857</v>
      </c>
      <c r="N1070" s="3"/>
      <c r="O1070" t="s">
        <v>3877</v>
      </c>
      <c r="P1070" t="s">
        <v>9</v>
      </c>
      <c r="Q1070" s="4">
        <v>0.58929398148148004</v>
      </c>
      <c r="R1070" t="s">
        <v>5</v>
      </c>
      <c r="S1070" t="s">
        <v>4</v>
      </c>
      <c r="T1070" t="s">
        <v>2262</v>
      </c>
      <c r="U1070" t="s">
        <v>10</v>
      </c>
      <c r="V1070" s="5">
        <v>0</v>
      </c>
      <c r="W1070" s="5">
        <v>0</v>
      </c>
      <c r="X1070" s="2">
        <v>0</v>
      </c>
      <c r="Y1070" t="s">
        <v>4</v>
      </c>
      <c r="Z1070" t="s">
        <v>4</v>
      </c>
      <c r="AA1070" t="s">
        <v>4</v>
      </c>
      <c r="AB1070" t="s">
        <v>4</v>
      </c>
    </row>
    <row r="1071" spans="1:28" x14ac:dyDescent="0.2">
      <c r="A1071" t="s">
        <v>2043</v>
      </c>
      <c r="B1071" t="s">
        <v>2</v>
      </c>
      <c r="C1071" t="s">
        <v>3</v>
      </c>
      <c r="D1071" t="s">
        <v>4</v>
      </c>
      <c r="E1071" t="s">
        <v>4</v>
      </c>
      <c r="F1071" t="s">
        <v>5</v>
      </c>
      <c r="G1071" t="s">
        <v>6</v>
      </c>
      <c r="H1071" t="s">
        <v>3876</v>
      </c>
      <c r="I1071" s="2">
        <v>108</v>
      </c>
      <c r="J1071" s="2">
        <v>0</v>
      </c>
      <c r="K1071" s="2">
        <v>0</v>
      </c>
      <c r="L1071" s="3">
        <v>45857</v>
      </c>
      <c r="M1071" s="3">
        <v>45857</v>
      </c>
      <c r="N1071" s="3"/>
      <c r="O1071" t="s">
        <v>3878</v>
      </c>
      <c r="P1071" t="s">
        <v>9</v>
      </c>
      <c r="Q1071" s="4">
        <v>0.58929398148148004</v>
      </c>
      <c r="R1071" t="s">
        <v>5</v>
      </c>
      <c r="S1071" t="s">
        <v>4</v>
      </c>
      <c r="T1071" t="s">
        <v>2262</v>
      </c>
      <c r="U1071" t="s">
        <v>10</v>
      </c>
      <c r="V1071" s="5">
        <v>0</v>
      </c>
      <c r="W1071" s="5">
        <v>0</v>
      </c>
      <c r="X1071" s="2">
        <v>0</v>
      </c>
      <c r="Y1071" t="s">
        <v>4</v>
      </c>
      <c r="Z1071" t="s">
        <v>4</v>
      </c>
      <c r="AA1071" t="s">
        <v>4</v>
      </c>
      <c r="AB1071" t="s">
        <v>4</v>
      </c>
    </row>
    <row r="1072" spans="1:28" x14ac:dyDescent="0.2">
      <c r="A1072" t="s">
        <v>629</v>
      </c>
      <c r="B1072" t="s">
        <v>2</v>
      </c>
      <c r="C1072" t="s">
        <v>3</v>
      </c>
      <c r="D1072" t="s">
        <v>4</v>
      </c>
      <c r="E1072" t="s">
        <v>4</v>
      </c>
      <c r="F1072" t="s">
        <v>5</v>
      </c>
      <c r="G1072" t="s">
        <v>6</v>
      </c>
      <c r="H1072" t="s">
        <v>3879</v>
      </c>
      <c r="I1072" s="2">
        <v>720</v>
      </c>
      <c r="J1072" s="2">
        <v>0</v>
      </c>
      <c r="K1072" s="2">
        <v>0</v>
      </c>
      <c r="L1072" s="3">
        <v>45673</v>
      </c>
      <c r="M1072" s="3">
        <v>45673</v>
      </c>
      <c r="N1072" s="3"/>
      <c r="O1072" t="s">
        <v>3880</v>
      </c>
      <c r="P1072" t="s">
        <v>9</v>
      </c>
      <c r="Q1072" s="4">
        <v>0.59326388888889003</v>
      </c>
      <c r="R1072" t="s">
        <v>5</v>
      </c>
      <c r="S1072" t="s">
        <v>4</v>
      </c>
      <c r="T1072" t="s">
        <v>3353</v>
      </c>
      <c r="U1072" t="s">
        <v>10</v>
      </c>
      <c r="V1072" s="5">
        <v>0</v>
      </c>
      <c r="W1072" s="5">
        <v>0</v>
      </c>
      <c r="X1072" s="2">
        <v>0</v>
      </c>
      <c r="Y1072" t="s">
        <v>4</v>
      </c>
      <c r="Z1072" t="s">
        <v>4</v>
      </c>
      <c r="AA1072" t="s">
        <v>4</v>
      </c>
      <c r="AB1072" t="s">
        <v>4</v>
      </c>
    </row>
    <row r="1073" spans="1:28" x14ac:dyDescent="0.2">
      <c r="A1073" t="s">
        <v>629</v>
      </c>
      <c r="B1073" t="s">
        <v>2</v>
      </c>
      <c r="C1073" t="s">
        <v>3</v>
      </c>
      <c r="D1073" t="s">
        <v>4</v>
      </c>
      <c r="E1073" t="s">
        <v>4</v>
      </c>
      <c r="F1073" t="s">
        <v>5</v>
      </c>
      <c r="G1073" t="s">
        <v>6</v>
      </c>
      <c r="H1073" t="s">
        <v>3879</v>
      </c>
      <c r="I1073" s="2">
        <v>720</v>
      </c>
      <c r="J1073" s="2">
        <v>0</v>
      </c>
      <c r="K1073" s="2">
        <v>0</v>
      </c>
      <c r="L1073" s="3">
        <v>45673</v>
      </c>
      <c r="M1073" s="3">
        <v>45673</v>
      </c>
      <c r="N1073" s="3"/>
      <c r="O1073" t="s">
        <v>3881</v>
      </c>
      <c r="P1073" t="s">
        <v>9</v>
      </c>
      <c r="Q1073" s="4">
        <v>0.59326388888889003</v>
      </c>
      <c r="R1073" t="s">
        <v>5</v>
      </c>
      <c r="S1073" t="s">
        <v>4</v>
      </c>
      <c r="T1073" t="s">
        <v>3353</v>
      </c>
      <c r="U1073" t="s">
        <v>10</v>
      </c>
      <c r="V1073" s="5">
        <v>0</v>
      </c>
      <c r="W1073" s="5">
        <v>0</v>
      </c>
      <c r="X1073" s="2">
        <v>0</v>
      </c>
      <c r="Y1073" t="s">
        <v>4</v>
      </c>
      <c r="Z1073" t="s">
        <v>4</v>
      </c>
      <c r="AA1073" t="s">
        <v>4</v>
      </c>
      <c r="AB1073" t="s">
        <v>4</v>
      </c>
    </row>
    <row r="1074" spans="1:28" x14ac:dyDescent="0.2">
      <c r="A1074" t="s">
        <v>1135</v>
      </c>
      <c r="B1074" t="s">
        <v>2</v>
      </c>
      <c r="C1074" t="s">
        <v>3</v>
      </c>
      <c r="D1074" t="s">
        <v>4</v>
      </c>
      <c r="E1074" t="s">
        <v>4</v>
      </c>
      <c r="F1074" t="s">
        <v>5</v>
      </c>
      <c r="G1074" t="s">
        <v>21</v>
      </c>
      <c r="H1074" t="s">
        <v>3882</v>
      </c>
      <c r="I1074" s="2">
        <v>480</v>
      </c>
      <c r="J1074" s="2">
        <v>0</v>
      </c>
      <c r="K1074" s="2">
        <v>0</v>
      </c>
      <c r="L1074" s="3">
        <v>45822</v>
      </c>
      <c r="M1074" s="3">
        <v>45822</v>
      </c>
      <c r="N1074" s="3"/>
      <c r="O1074" t="s">
        <v>3883</v>
      </c>
      <c r="P1074" t="s">
        <v>9</v>
      </c>
      <c r="Q1074" s="4">
        <v>0.86553240740741</v>
      </c>
      <c r="R1074" t="s">
        <v>5</v>
      </c>
      <c r="S1074" t="s">
        <v>4</v>
      </c>
      <c r="T1074" t="s">
        <v>3122</v>
      </c>
      <c r="U1074" t="s">
        <v>10</v>
      </c>
      <c r="V1074" s="5">
        <v>0</v>
      </c>
      <c r="W1074" s="5">
        <v>0</v>
      </c>
      <c r="X1074" s="2">
        <v>0</v>
      </c>
      <c r="Y1074" t="s">
        <v>4</v>
      </c>
      <c r="Z1074" t="s">
        <v>4</v>
      </c>
      <c r="AA1074" t="s">
        <v>4</v>
      </c>
      <c r="AB1074" t="s">
        <v>4</v>
      </c>
    </row>
    <row r="1075" spans="1:28" x14ac:dyDescent="0.2">
      <c r="A1075" t="s">
        <v>1135</v>
      </c>
      <c r="B1075" t="s">
        <v>2</v>
      </c>
      <c r="C1075" t="s">
        <v>3</v>
      </c>
      <c r="D1075" t="s">
        <v>4</v>
      </c>
      <c r="E1075" t="s">
        <v>4</v>
      </c>
      <c r="F1075" t="s">
        <v>5</v>
      </c>
      <c r="G1075" t="s">
        <v>21</v>
      </c>
      <c r="H1075" t="s">
        <v>3882</v>
      </c>
      <c r="I1075" s="2">
        <v>480</v>
      </c>
      <c r="J1075" s="2">
        <v>0</v>
      </c>
      <c r="K1075" s="2">
        <v>0</v>
      </c>
      <c r="L1075" s="3">
        <v>45822</v>
      </c>
      <c r="M1075" s="3">
        <v>45822</v>
      </c>
      <c r="N1075" s="3"/>
      <c r="O1075" t="s">
        <v>3884</v>
      </c>
      <c r="P1075" t="s">
        <v>9</v>
      </c>
      <c r="Q1075" s="4">
        <v>0.86553240740741</v>
      </c>
      <c r="R1075" t="s">
        <v>5</v>
      </c>
      <c r="S1075" t="s">
        <v>4</v>
      </c>
      <c r="T1075" t="s">
        <v>3122</v>
      </c>
      <c r="U1075" t="s">
        <v>10</v>
      </c>
      <c r="V1075" s="5">
        <v>0</v>
      </c>
      <c r="W1075" s="5">
        <v>0</v>
      </c>
      <c r="X1075" s="2">
        <v>0</v>
      </c>
      <c r="Y1075" t="s">
        <v>4</v>
      </c>
      <c r="Z1075" t="s">
        <v>4</v>
      </c>
      <c r="AA1075" t="s">
        <v>4</v>
      </c>
      <c r="AB1075" t="s">
        <v>4</v>
      </c>
    </row>
    <row r="1076" spans="1:28" x14ac:dyDescent="0.2">
      <c r="A1076" t="s">
        <v>2005</v>
      </c>
      <c r="B1076" t="s">
        <v>2</v>
      </c>
      <c r="C1076" t="s">
        <v>3</v>
      </c>
      <c r="D1076" t="s">
        <v>4</v>
      </c>
      <c r="E1076" t="s">
        <v>4</v>
      </c>
      <c r="F1076" t="s">
        <v>5</v>
      </c>
      <c r="G1076" t="s">
        <v>21</v>
      </c>
      <c r="H1076" t="s">
        <v>3885</v>
      </c>
      <c r="I1076" s="2">
        <v>1960</v>
      </c>
      <c r="J1076" s="2">
        <v>0</v>
      </c>
      <c r="K1076" s="2">
        <v>0</v>
      </c>
      <c r="L1076" s="3">
        <v>45794</v>
      </c>
      <c r="M1076" s="3">
        <v>45794</v>
      </c>
      <c r="N1076" s="3"/>
      <c r="O1076" t="s">
        <v>3886</v>
      </c>
      <c r="P1076" t="s">
        <v>9</v>
      </c>
      <c r="Q1076" s="4">
        <v>0.71062499999999995</v>
      </c>
      <c r="R1076" t="s">
        <v>5</v>
      </c>
      <c r="S1076" t="s">
        <v>4</v>
      </c>
      <c r="T1076" t="s">
        <v>3887</v>
      </c>
      <c r="U1076" t="s">
        <v>10</v>
      </c>
      <c r="V1076" s="5">
        <v>0</v>
      </c>
      <c r="W1076" s="5">
        <v>0</v>
      </c>
      <c r="X1076" s="2">
        <v>0</v>
      </c>
      <c r="Y1076" t="s">
        <v>4</v>
      </c>
      <c r="Z1076" t="s">
        <v>4</v>
      </c>
      <c r="AA1076" t="s">
        <v>4</v>
      </c>
      <c r="AB1076" t="s">
        <v>4</v>
      </c>
    </row>
    <row r="1077" spans="1:28" x14ac:dyDescent="0.2">
      <c r="A1077" t="s">
        <v>1139</v>
      </c>
      <c r="B1077" t="s">
        <v>2</v>
      </c>
      <c r="C1077" t="s">
        <v>3</v>
      </c>
      <c r="D1077" t="s">
        <v>4</v>
      </c>
      <c r="E1077" t="s">
        <v>4</v>
      </c>
      <c r="F1077" t="s">
        <v>5</v>
      </c>
      <c r="G1077" t="s">
        <v>21</v>
      </c>
      <c r="H1077" t="s">
        <v>3888</v>
      </c>
      <c r="I1077" s="2">
        <v>432</v>
      </c>
      <c r="J1077" s="2">
        <v>0</v>
      </c>
      <c r="K1077" s="2">
        <v>0</v>
      </c>
      <c r="L1077" s="3">
        <v>45832</v>
      </c>
      <c r="M1077" s="3">
        <v>45832</v>
      </c>
      <c r="N1077" s="3"/>
      <c r="O1077" t="s">
        <v>3889</v>
      </c>
      <c r="P1077" t="s">
        <v>9</v>
      </c>
      <c r="Q1077" s="4">
        <v>0.59429398148148005</v>
      </c>
      <c r="R1077" t="s">
        <v>5</v>
      </c>
      <c r="S1077" t="s">
        <v>4</v>
      </c>
      <c r="T1077" t="s">
        <v>2665</v>
      </c>
      <c r="U1077" t="s">
        <v>10</v>
      </c>
      <c r="V1077" s="5">
        <v>0</v>
      </c>
      <c r="W1077" s="5">
        <v>0</v>
      </c>
      <c r="X1077" s="2">
        <v>0</v>
      </c>
      <c r="Y1077" t="s">
        <v>4</v>
      </c>
      <c r="Z1077" t="s">
        <v>4</v>
      </c>
      <c r="AA1077" t="s">
        <v>4</v>
      </c>
      <c r="AB1077" t="s">
        <v>4</v>
      </c>
    </row>
    <row r="1078" spans="1:28" x14ac:dyDescent="0.2">
      <c r="A1078" t="s">
        <v>1139</v>
      </c>
      <c r="B1078" t="s">
        <v>2</v>
      </c>
      <c r="C1078" t="s">
        <v>3</v>
      </c>
      <c r="D1078" t="s">
        <v>4</v>
      </c>
      <c r="E1078" t="s">
        <v>4</v>
      </c>
      <c r="F1078" t="s">
        <v>5</v>
      </c>
      <c r="G1078" t="s">
        <v>21</v>
      </c>
      <c r="H1078" t="s">
        <v>3888</v>
      </c>
      <c r="I1078" s="2">
        <v>432</v>
      </c>
      <c r="J1078" s="2">
        <v>0</v>
      </c>
      <c r="K1078" s="2">
        <v>0</v>
      </c>
      <c r="L1078" s="3">
        <v>45832</v>
      </c>
      <c r="M1078" s="3">
        <v>45832</v>
      </c>
      <c r="N1078" s="3"/>
      <c r="O1078" t="s">
        <v>3890</v>
      </c>
      <c r="P1078" t="s">
        <v>9</v>
      </c>
      <c r="Q1078" s="4">
        <v>0.59429398148148005</v>
      </c>
      <c r="R1078" t="s">
        <v>5</v>
      </c>
      <c r="S1078" t="s">
        <v>4</v>
      </c>
      <c r="T1078" t="s">
        <v>2665</v>
      </c>
      <c r="U1078" t="s">
        <v>10</v>
      </c>
      <c r="V1078" s="5">
        <v>0</v>
      </c>
      <c r="W1078" s="5">
        <v>0</v>
      </c>
      <c r="X1078" s="2">
        <v>0</v>
      </c>
      <c r="Y1078" t="s">
        <v>4</v>
      </c>
      <c r="Z1078" t="s">
        <v>4</v>
      </c>
      <c r="AA1078" t="s">
        <v>4</v>
      </c>
      <c r="AB1078" t="s">
        <v>4</v>
      </c>
    </row>
    <row r="1079" spans="1:28" x14ac:dyDescent="0.2">
      <c r="A1079" t="s">
        <v>0</v>
      </c>
      <c r="B1079" t="s">
        <v>2</v>
      </c>
      <c r="C1079" t="s">
        <v>3</v>
      </c>
      <c r="D1079" t="s">
        <v>4</v>
      </c>
      <c r="E1079" t="s">
        <v>4</v>
      </c>
      <c r="F1079" t="s">
        <v>5</v>
      </c>
      <c r="G1079" t="s">
        <v>21</v>
      </c>
      <c r="H1079" t="s">
        <v>119</v>
      </c>
      <c r="I1079" s="2">
        <v>196</v>
      </c>
      <c r="J1079" s="2">
        <v>0</v>
      </c>
      <c r="K1079" s="2">
        <v>0</v>
      </c>
      <c r="L1079" s="3">
        <v>45819</v>
      </c>
      <c r="M1079" s="3">
        <v>45819</v>
      </c>
      <c r="N1079" s="3"/>
      <c r="O1079" t="s">
        <v>120</v>
      </c>
      <c r="P1079" t="s">
        <v>9</v>
      </c>
      <c r="Q1079" s="4">
        <v>0.47006944444443999</v>
      </c>
      <c r="R1079" t="s">
        <v>5</v>
      </c>
      <c r="S1079" t="s">
        <v>4</v>
      </c>
      <c r="T1079" t="s">
        <v>2263</v>
      </c>
      <c r="U1079" t="s">
        <v>10</v>
      </c>
      <c r="V1079" s="5">
        <v>0</v>
      </c>
      <c r="W1079" s="5">
        <v>0</v>
      </c>
      <c r="X1079" s="2">
        <v>0</v>
      </c>
      <c r="Y1079" t="s">
        <v>4</v>
      </c>
      <c r="Z1079" t="s">
        <v>4</v>
      </c>
      <c r="AA1079" t="s">
        <v>4</v>
      </c>
      <c r="AB1079" t="s">
        <v>4</v>
      </c>
    </row>
    <row r="1080" spans="1:28" x14ac:dyDescent="0.2">
      <c r="A1080" t="s">
        <v>0</v>
      </c>
      <c r="B1080" t="s">
        <v>2</v>
      </c>
      <c r="C1080" t="s">
        <v>3</v>
      </c>
      <c r="D1080" t="s">
        <v>4</v>
      </c>
      <c r="E1080" t="s">
        <v>4</v>
      </c>
      <c r="F1080" t="s">
        <v>5</v>
      </c>
      <c r="G1080" t="s">
        <v>21</v>
      </c>
      <c r="H1080" t="s">
        <v>119</v>
      </c>
      <c r="I1080" s="2">
        <v>196</v>
      </c>
      <c r="J1080" s="2">
        <v>0</v>
      </c>
      <c r="K1080" s="2">
        <v>0</v>
      </c>
      <c r="L1080" s="3">
        <v>45819</v>
      </c>
      <c r="M1080" s="3">
        <v>45819</v>
      </c>
      <c r="N1080" s="3"/>
      <c r="O1080" t="s">
        <v>121</v>
      </c>
      <c r="P1080" t="s">
        <v>9</v>
      </c>
      <c r="Q1080" s="4">
        <v>0.47006944444443999</v>
      </c>
      <c r="R1080" t="s">
        <v>5</v>
      </c>
      <c r="S1080" t="s">
        <v>4</v>
      </c>
      <c r="T1080" t="s">
        <v>2263</v>
      </c>
      <c r="U1080" t="s">
        <v>10</v>
      </c>
      <c r="V1080" s="5">
        <v>0</v>
      </c>
      <c r="W1080" s="5">
        <v>0</v>
      </c>
      <c r="X1080" s="2">
        <v>0</v>
      </c>
      <c r="Y1080" t="s">
        <v>4</v>
      </c>
      <c r="Z1080" t="s">
        <v>4</v>
      </c>
      <c r="AA1080" t="s">
        <v>4</v>
      </c>
      <c r="AB1080" t="s">
        <v>4</v>
      </c>
    </row>
    <row r="1081" spans="1:28" x14ac:dyDescent="0.2">
      <c r="A1081" t="s">
        <v>1135</v>
      </c>
      <c r="B1081" t="s">
        <v>2</v>
      </c>
      <c r="C1081" t="s">
        <v>3</v>
      </c>
      <c r="D1081" t="s">
        <v>4</v>
      </c>
      <c r="E1081" t="s">
        <v>4</v>
      </c>
      <c r="F1081" t="s">
        <v>5</v>
      </c>
      <c r="G1081" t="s">
        <v>17</v>
      </c>
      <c r="H1081" t="s">
        <v>3891</v>
      </c>
      <c r="I1081" s="2">
        <v>480</v>
      </c>
      <c r="J1081" s="2">
        <v>0</v>
      </c>
      <c r="K1081" s="2">
        <v>0</v>
      </c>
      <c r="L1081" s="3">
        <v>45857</v>
      </c>
      <c r="M1081" s="3">
        <v>45857</v>
      </c>
      <c r="N1081" s="3"/>
      <c r="O1081" t="s">
        <v>3892</v>
      </c>
      <c r="P1081" t="s">
        <v>9</v>
      </c>
      <c r="Q1081" s="4">
        <v>0.79670138888888997</v>
      </c>
      <c r="R1081" t="s">
        <v>5</v>
      </c>
      <c r="S1081" t="s">
        <v>4</v>
      </c>
      <c r="T1081" t="s">
        <v>2262</v>
      </c>
      <c r="U1081" t="s">
        <v>10</v>
      </c>
      <c r="V1081" s="5">
        <v>0</v>
      </c>
      <c r="W1081" s="5">
        <v>0</v>
      </c>
      <c r="X1081" s="2">
        <v>0</v>
      </c>
      <c r="Y1081" t="s">
        <v>4</v>
      </c>
      <c r="Z1081" t="s">
        <v>4</v>
      </c>
      <c r="AA1081" t="s">
        <v>4</v>
      </c>
      <c r="AB1081" t="s">
        <v>4</v>
      </c>
    </row>
    <row r="1082" spans="1:28" x14ac:dyDescent="0.2">
      <c r="A1082" t="s">
        <v>1135</v>
      </c>
      <c r="B1082" t="s">
        <v>2</v>
      </c>
      <c r="C1082" t="s">
        <v>3</v>
      </c>
      <c r="D1082" t="s">
        <v>4</v>
      </c>
      <c r="E1082" t="s">
        <v>4</v>
      </c>
      <c r="F1082" t="s">
        <v>5</v>
      </c>
      <c r="G1082" t="s">
        <v>17</v>
      </c>
      <c r="H1082" t="s">
        <v>3891</v>
      </c>
      <c r="I1082" s="2">
        <v>480</v>
      </c>
      <c r="J1082" s="2">
        <v>0</v>
      </c>
      <c r="K1082" s="2">
        <v>0</v>
      </c>
      <c r="L1082" s="3">
        <v>45857</v>
      </c>
      <c r="M1082" s="3">
        <v>45857</v>
      </c>
      <c r="N1082" s="3"/>
      <c r="O1082" t="s">
        <v>3893</v>
      </c>
      <c r="P1082" t="s">
        <v>9</v>
      </c>
      <c r="Q1082" s="4">
        <v>0.79670138888888997</v>
      </c>
      <c r="R1082" t="s">
        <v>5</v>
      </c>
      <c r="S1082" t="s">
        <v>4</v>
      </c>
      <c r="T1082" t="s">
        <v>2262</v>
      </c>
      <c r="U1082" t="s">
        <v>10</v>
      </c>
      <c r="V1082" s="5">
        <v>0</v>
      </c>
      <c r="W1082" s="5">
        <v>0</v>
      </c>
      <c r="X1082" s="2">
        <v>0</v>
      </c>
      <c r="Y1082" t="s">
        <v>4</v>
      </c>
      <c r="Z1082" t="s">
        <v>4</v>
      </c>
      <c r="AA1082" t="s">
        <v>4</v>
      </c>
      <c r="AB1082" t="s">
        <v>4</v>
      </c>
    </row>
    <row r="1083" spans="1:28" x14ac:dyDescent="0.2">
      <c r="A1083" t="s">
        <v>1466</v>
      </c>
      <c r="B1083" t="s">
        <v>2</v>
      </c>
      <c r="C1083" t="s">
        <v>3</v>
      </c>
      <c r="D1083" t="s">
        <v>4</v>
      </c>
      <c r="E1083" t="s">
        <v>4</v>
      </c>
      <c r="F1083" t="s">
        <v>5</v>
      </c>
      <c r="G1083" t="s">
        <v>17</v>
      </c>
      <c r="H1083" t="s">
        <v>3894</v>
      </c>
      <c r="I1083" s="2">
        <v>60</v>
      </c>
      <c r="J1083" s="2">
        <v>0</v>
      </c>
      <c r="K1083" s="2">
        <v>0</v>
      </c>
      <c r="L1083" s="3">
        <v>45848</v>
      </c>
      <c r="M1083" s="3">
        <v>45848</v>
      </c>
      <c r="N1083" s="3"/>
      <c r="O1083" t="s">
        <v>3895</v>
      </c>
      <c r="P1083" t="s">
        <v>9</v>
      </c>
      <c r="Q1083" s="4">
        <v>0.67357638888889004</v>
      </c>
      <c r="R1083" t="s">
        <v>5</v>
      </c>
      <c r="S1083" t="s">
        <v>4</v>
      </c>
      <c r="T1083" t="s">
        <v>2580</v>
      </c>
      <c r="U1083" t="s">
        <v>10</v>
      </c>
      <c r="V1083" s="5">
        <v>0</v>
      </c>
      <c r="W1083" s="5">
        <v>0</v>
      </c>
      <c r="X1083" s="2">
        <v>0</v>
      </c>
      <c r="Y1083" t="s">
        <v>4</v>
      </c>
      <c r="Z1083" t="s">
        <v>4</v>
      </c>
      <c r="AA1083" t="s">
        <v>4</v>
      </c>
      <c r="AB1083" t="s">
        <v>4</v>
      </c>
    </row>
    <row r="1084" spans="1:28" x14ac:dyDescent="0.2">
      <c r="A1084" t="s">
        <v>1466</v>
      </c>
      <c r="B1084" t="s">
        <v>2</v>
      </c>
      <c r="C1084" t="s">
        <v>3</v>
      </c>
      <c r="D1084" t="s">
        <v>4</v>
      </c>
      <c r="E1084" t="s">
        <v>4</v>
      </c>
      <c r="F1084" t="s">
        <v>5</v>
      </c>
      <c r="G1084" t="s">
        <v>17</v>
      </c>
      <c r="H1084" t="s">
        <v>3894</v>
      </c>
      <c r="I1084" s="2">
        <v>60</v>
      </c>
      <c r="J1084" s="2">
        <v>0</v>
      </c>
      <c r="K1084" s="2">
        <v>0</v>
      </c>
      <c r="L1084" s="3">
        <v>45848</v>
      </c>
      <c r="M1084" s="3">
        <v>45848</v>
      </c>
      <c r="N1084" s="3"/>
      <c r="O1084" t="s">
        <v>3896</v>
      </c>
      <c r="P1084" t="s">
        <v>9</v>
      </c>
      <c r="Q1084" s="4">
        <v>0.67357638888889004</v>
      </c>
      <c r="R1084" t="s">
        <v>5</v>
      </c>
      <c r="S1084" t="s">
        <v>4</v>
      </c>
      <c r="T1084" t="s">
        <v>2580</v>
      </c>
      <c r="U1084" t="s">
        <v>10</v>
      </c>
      <c r="V1084" s="5">
        <v>0</v>
      </c>
      <c r="W1084" s="5">
        <v>0</v>
      </c>
      <c r="X1084" s="2">
        <v>0</v>
      </c>
      <c r="Y1084" t="s">
        <v>4</v>
      </c>
      <c r="Z1084" t="s">
        <v>4</v>
      </c>
      <c r="AA1084" t="s">
        <v>4</v>
      </c>
      <c r="AB1084" t="s">
        <v>4</v>
      </c>
    </row>
    <row r="1085" spans="1:28" x14ac:dyDescent="0.2">
      <c r="A1085" t="s">
        <v>1805</v>
      </c>
      <c r="B1085" t="s">
        <v>2</v>
      </c>
      <c r="C1085" t="s">
        <v>3</v>
      </c>
      <c r="D1085" t="s">
        <v>4</v>
      </c>
      <c r="E1085" t="s">
        <v>4</v>
      </c>
      <c r="F1085" t="s">
        <v>5</v>
      </c>
      <c r="G1085" t="s">
        <v>17</v>
      </c>
      <c r="H1085" t="s">
        <v>3897</v>
      </c>
      <c r="I1085" s="2">
        <v>5950</v>
      </c>
      <c r="J1085" s="2">
        <v>0</v>
      </c>
      <c r="K1085" s="2">
        <v>0</v>
      </c>
      <c r="L1085" s="3">
        <v>45858</v>
      </c>
      <c r="M1085" s="3">
        <v>45858</v>
      </c>
      <c r="N1085" s="3"/>
      <c r="O1085" t="s">
        <v>3898</v>
      </c>
      <c r="P1085" t="s">
        <v>9</v>
      </c>
      <c r="Q1085" s="4">
        <v>0.48508101851851998</v>
      </c>
      <c r="R1085" t="s">
        <v>5</v>
      </c>
      <c r="S1085" t="s">
        <v>4</v>
      </c>
      <c r="T1085" t="s">
        <v>2337</v>
      </c>
      <c r="U1085" t="s">
        <v>10</v>
      </c>
      <c r="V1085" s="5">
        <v>0</v>
      </c>
      <c r="W1085" s="5">
        <v>0</v>
      </c>
      <c r="X1085" s="2">
        <v>0</v>
      </c>
      <c r="Y1085" t="s">
        <v>4</v>
      </c>
      <c r="Z1085" t="s">
        <v>4</v>
      </c>
      <c r="AA1085" t="s">
        <v>4</v>
      </c>
      <c r="AB1085" t="s">
        <v>4</v>
      </c>
    </row>
    <row r="1086" spans="1:28" x14ac:dyDescent="0.2">
      <c r="A1086" t="s">
        <v>1135</v>
      </c>
      <c r="B1086" t="s">
        <v>2</v>
      </c>
      <c r="C1086" t="s">
        <v>3</v>
      </c>
      <c r="D1086" t="s">
        <v>4</v>
      </c>
      <c r="E1086" t="s">
        <v>4</v>
      </c>
      <c r="F1086" t="s">
        <v>5</v>
      </c>
      <c r="G1086" t="s">
        <v>17</v>
      </c>
      <c r="H1086" t="s">
        <v>3899</v>
      </c>
      <c r="I1086" s="2">
        <v>480</v>
      </c>
      <c r="J1086" s="2">
        <v>0</v>
      </c>
      <c r="K1086" s="2">
        <v>0</v>
      </c>
      <c r="L1086" s="3">
        <v>45857</v>
      </c>
      <c r="M1086" s="3">
        <v>45857</v>
      </c>
      <c r="N1086" s="3"/>
      <c r="O1086" t="s">
        <v>3900</v>
      </c>
      <c r="P1086" t="s">
        <v>9</v>
      </c>
      <c r="Q1086" s="4">
        <v>0.79697916666667001</v>
      </c>
      <c r="R1086" t="s">
        <v>5</v>
      </c>
      <c r="S1086" t="s">
        <v>4</v>
      </c>
      <c r="T1086" t="s">
        <v>2262</v>
      </c>
      <c r="U1086" t="s">
        <v>10</v>
      </c>
      <c r="V1086" s="5">
        <v>0</v>
      </c>
      <c r="W1086" s="5">
        <v>0</v>
      </c>
      <c r="X1086" s="2">
        <v>0</v>
      </c>
      <c r="Y1086" t="s">
        <v>4</v>
      </c>
      <c r="Z1086" t="s">
        <v>4</v>
      </c>
      <c r="AA1086" t="s">
        <v>4</v>
      </c>
      <c r="AB1086" t="s">
        <v>4</v>
      </c>
    </row>
    <row r="1087" spans="1:28" x14ac:dyDescent="0.2">
      <c r="A1087" t="s">
        <v>1135</v>
      </c>
      <c r="B1087" t="s">
        <v>2</v>
      </c>
      <c r="C1087" t="s">
        <v>3</v>
      </c>
      <c r="D1087" t="s">
        <v>4</v>
      </c>
      <c r="E1087" t="s">
        <v>4</v>
      </c>
      <c r="F1087" t="s">
        <v>5</v>
      </c>
      <c r="G1087" t="s">
        <v>17</v>
      </c>
      <c r="H1087" t="s">
        <v>3899</v>
      </c>
      <c r="I1087" s="2">
        <v>480</v>
      </c>
      <c r="J1087" s="2">
        <v>0</v>
      </c>
      <c r="K1087" s="2">
        <v>0</v>
      </c>
      <c r="L1087" s="3">
        <v>45857</v>
      </c>
      <c r="M1087" s="3">
        <v>45857</v>
      </c>
      <c r="N1087" s="3"/>
      <c r="O1087" t="s">
        <v>3901</v>
      </c>
      <c r="P1087" t="s">
        <v>9</v>
      </c>
      <c r="Q1087" s="4">
        <v>0.79697916666667001</v>
      </c>
      <c r="R1087" t="s">
        <v>5</v>
      </c>
      <c r="S1087" t="s">
        <v>4</v>
      </c>
      <c r="T1087" t="s">
        <v>2262</v>
      </c>
      <c r="U1087" t="s">
        <v>10</v>
      </c>
      <c r="V1087" s="5">
        <v>0</v>
      </c>
      <c r="W1087" s="5">
        <v>0</v>
      </c>
      <c r="X1087" s="2">
        <v>0</v>
      </c>
      <c r="Y1087" t="s">
        <v>4</v>
      </c>
      <c r="Z1087" t="s">
        <v>4</v>
      </c>
      <c r="AA1087" t="s">
        <v>4</v>
      </c>
      <c r="AB1087" t="s">
        <v>4</v>
      </c>
    </row>
    <row r="1088" spans="1:28" x14ac:dyDescent="0.2">
      <c r="A1088" t="s">
        <v>1471</v>
      </c>
      <c r="B1088" t="s">
        <v>2</v>
      </c>
      <c r="C1088" t="s">
        <v>3</v>
      </c>
      <c r="D1088" t="s">
        <v>4</v>
      </c>
      <c r="E1088" t="s">
        <v>4</v>
      </c>
      <c r="F1088" t="s">
        <v>5</v>
      </c>
      <c r="G1088" t="s">
        <v>6</v>
      </c>
      <c r="H1088" t="s">
        <v>3902</v>
      </c>
      <c r="I1088" s="2">
        <v>60</v>
      </c>
      <c r="J1088" s="2">
        <v>0</v>
      </c>
      <c r="K1088" s="2">
        <v>0</v>
      </c>
      <c r="L1088" s="3">
        <v>45856</v>
      </c>
      <c r="M1088" s="3">
        <v>45856</v>
      </c>
      <c r="N1088" s="3"/>
      <c r="O1088" t="s">
        <v>3903</v>
      </c>
      <c r="P1088" t="s">
        <v>9</v>
      </c>
      <c r="Q1088" s="4">
        <v>0.56943287037037005</v>
      </c>
      <c r="R1088" t="s">
        <v>5</v>
      </c>
      <c r="S1088" t="s">
        <v>4</v>
      </c>
      <c r="T1088" t="s">
        <v>2260</v>
      </c>
      <c r="U1088" t="s">
        <v>10</v>
      </c>
      <c r="V1088" s="5">
        <v>0</v>
      </c>
      <c r="W1088" s="5">
        <v>0</v>
      </c>
      <c r="X1088" s="2">
        <v>0</v>
      </c>
      <c r="Y1088" t="s">
        <v>4</v>
      </c>
      <c r="Z1088" t="s">
        <v>4</v>
      </c>
      <c r="AA1088" t="s">
        <v>4</v>
      </c>
      <c r="AB1088" t="s">
        <v>4</v>
      </c>
    </row>
    <row r="1089" spans="1:28" x14ac:dyDescent="0.2">
      <c r="A1089" t="s">
        <v>1471</v>
      </c>
      <c r="B1089" t="s">
        <v>2</v>
      </c>
      <c r="C1089" t="s">
        <v>3</v>
      </c>
      <c r="D1089" t="s">
        <v>4</v>
      </c>
      <c r="E1089" t="s">
        <v>4</v>
      </c>
      <c r="F1089" t="s">
        <v>5</v>
      </c>
      <c r="G1089" t="s">
        <v>6</v>
      </c>
      <c r="H1089" t="s">
        <v>3902</v>
      </c>
      <c r="I1089" s="2">
        <v>60</v>
      </c>
      <c r="J1089" s="2">
        <v>0</v>
      </c>
      <c r="K1089" s="2">
        <v>0</v>
      </c>
      <c r="L1089" s="3">
        <v>45858</v>
      </c>
      <c r="M1089" s="3">
        <v>45858</v>
      </c>
      <c r="N1089" s="3"/>
      <c r="O1089" t="s">
        <v>3904</v>
      </c>
      <c r="P1089" t="s">
        <v>9</v>
      </c>
      <c r="Q1089" s="4">
        <v>0.56943287037037005</v>
      </c>
      <c r="R1089" t="s">
        <v>5</v>
      </c>
      <c r="S1089" t="s">
        <v>4</v>
      </c>
      <c r="T1089" t="s">
        <v>2337</v>
      </c>
      <c r="U1089" t="s">
        <v>10</v>
      </c>
      <c r="V1089" s="5">
        <v>0</v>
      </c>
      <c r="W1089" s="5">
        <v>0</v>
      </c>
      <c r="X1089" s="2">
        <v>0</v>
      </c>
      <c r="Y1089" t="s">
        <v>4</v>
      </c>
      <c r="Z1089" t="s">
        <v>4</v>
      </c>
      <c r="AA1089" t="s">
        <v>4</v>
      </c>
      <c r="AB1089" t="s">
        <v>4</v>
      </c>
    </row>
    <row r="1090" spans="1:28" x14ac:dyDescent="0.2">
      <c r="A1090" t="s">
        <v>1031</v>
      </c>
      <c r="B1090" t="s">
        <v>2</v>
      </c>
      <c r="C1090" t="s">
        <v>3</v>
      </c>
      <c r="D1090" t="s">
        <v>4</v>
      </c>
      <c r="E1090" t="s">
        <v>4</v>
      </c>
      <c r="F1090" t="s">
        <v>5</v>
      </c>
      <c r="G1090" t="s">
        <v>6</v>
      </c>
      <c r="H1090" t="s">
        <v>3905</v>
      </c>
      <c r="I1090" s="2">
        <v>405</v>
      </c>
      <c r="J1090" s="2">
        <v>0</v>
      </c>
      <c r="K1090" s="2">
        <v>0</v>
      </c>
      <c r="L1090" s="3">
        <v>45849</v>
      </c>
      <c r="M1090" s="3">
        <v>45849</v>
      </c>
      <c r="N1090" s="3"/>
      <c r="O1090" t="s">
        <v>3906</v>
      </c>
      <c r="P1090" t="s">
        <v>9</v>
      </c>
      <c r="Q1090" s="4">
        <v>0.94098379629630002</v>
      </c>
      <c r="R1090" t="s">
        <v>5</v>
      </c>
      <c r="S1090" t="s">
        <v>4</v>
      </c>
      <c r="T1090" t="s">
        <v>2321</v>
      </c>
      <c r="U1090" t="s">
        <v>10</v>
      </c>
      <c r="V1090" s="5">
        <v>0</v>
      </c>
      <c r="W1090" s="5">
        <v>0</v>
      </c>
      <c r="X1090" s="2">
        <v>0</v>
      </c>
      <c r="Y1090" t="s">
        <v>4</v>
      </c>
      <c r="Z1090" t="s">
        <v>4</v>
      </c>
      <c r="AA1090" t="s">
        <v>4</v>
      </c>
      <c r="AB1090" t="s">
        <v>4</v>
      </c>
    </row>
    <row r="1091" spans="1:28" x14ac:dyDescent="0.2">
      <c r="A1091" t="s">
        <v>1031</v>
      </c>
      <c r="B1091" t="s">
        <v>2</v>
      </c>
      <c r="C1091" t="s">
        <v>3</v>
      </c>
      <c r="D1091" t="s">
        <v>4</v>
      </c>
      <c r="E1091" t="s">
        <v>4</v>
      </c>
      <c r="F1091" t="s">
        <v>5</v>
      </c>
      <c r="G1091" t="s">
        <v>6</v>
      </c>
      <c r="H1091" t="s">
        <v>3905</v>
      </c>
      <c r="I1091" s="2">
        <v>405</v>
      </c>
      <c r="J1091" s="2">
        <v>0</v>
      </c>
      <c r="K1091" s="2">
        <v>0</v>
      </c>
      <c r="L1091" s="3">
        <v>45849</v>
      </c>
      <c r="M1091" s="3">
        <v>45849</v>
      </c>
      <c r="N1091" s="3"/>
      <c r="O1091" t="s">
        <v>3907</v>
      </c>
      <c r="P1091" t="s">
        <v>9</v>
      </c>
      <c r="Q1091" s="4">
        <v>0.94098379629630002</v>
      </c>
      <c r="R1091" t="s">
        <v>5</v>
      </c>
      <c r="S1091" t="s">
        <v>4</v>
      </c>
      <c r="T1091" t="s">
        <v>2321</v>
      </c>
      <c r="U1091" t="s">
        <v>10</v>
      </c>
      <c r="V1091" s="5">
        <v>0</v>
      </c>
      <c r="W1091" s="5">
        <v>0</v>
      </c>
      <c r="X1091" s="2">
        <v>0</v>
      </c>
      <c r="Y1091" t="s">
        <v>4</v>
      </c>
      <c r="Z1091" t="s">
        <v>4</v>
      </c>
      <c r="AA1091" t="s">
        <v>4</v>
      </c>
      <c r="AB1091" t="s">
        <v>4</v>
      </c>
    </row>
    <row r="1092" spans="1:28" x14ac:dyDescent="0.2">
      <c r="A1092" t="s">
        <v>0</v>
      </c>
      <c r="B1092" t="s">
        <v>2</v>
      </c>
      <c r="C1092" t="s">
        <v>3</v>
      </c>
      <c r="D1092" t="s">
        <v>4</v>
      </c>
      <c r="E1092" t="s">
        <v>4</v>
      </c>
      <c r="F1092" t="s">
        <v>5</v>
      </c>
      <c r="G1092" t="s">
        <v>6</v>
      </c>
      <c r="H1092" t="s">
        <v>139</v>
      </c>
      <c r="I1092" s="2">
        <v>196</v>
      </c>
      <c r="J1092" s="2">
        <v>0</v>
      </c>
      <c r="K1092" s="2">
        <v>0</v>
      </c>
      <c r="L1092" s="3">
        <v>45819</v>
      </c>
      <c r="M1092" s="3">
        <v>45819</v>
      </c>
      <c r="N1092" s="3"/>
      <c r="O1092" t="s">
        <v>140</v>
      </c>
      <c r="P1092" t="s">
        <v>9</v>
      </c>
      <c r="Q1092" s="4">
        <v>0.48680555555555999</v>
      </c>
      <c r="R1092" t="s">
        <v>5</v>
      </c>
      <c r="S1092" t="s">
        <v>4</v>
      </c>
      <c r="T1092" t="s">
        <v>2263</v>
      </c>
      <c r="U1092" t="s">
        <v>10</v>
      </c>
      <c r="V1092" s="5">
        <v>0</v>
      </c>
      <c r="W1092" s="5">
        <v>0</v>
      </c>
      <c r="X1092" s="2">
        <v>0</v>
      </c>
      <c r="Y1092" t="s">
        <v>4</v>
      </c>
      <c r="Z1092" t="s">
        <v>4</v>
      </c>
      <c r="AA1092" t="s">
        <v>4</v>
      </c>
      <c r="AB1092" t="s">
        <v>4</v>
      </c>
    </row>
    <row r="1093" spans="1:28" x14ac:dyDescent="0.2">
      <c r="A1093" t="s">
        <v>0</v>
      </c>
      <c r="B1093" t="s">
        <v>2</v>
      </c>
      <c r="C1093" t="s">
        <v>3</v>
      </c>
      <c r="D1093" t="s">
        <v>4</v>
      </c>
      <c r="E1093" t="s">
        <v>4</v>
      </c>
      <c r="F1093" t="s">
        <v>5</v>
      </c>
      <c r="G1093" t="s">
        <v>6</v>
      </c>
      <c r="H1093" t="s">
        <v>139</v>
      </c>
      <c r="I1093" s="2">
        <v>196</v>
      </c>
      <c r="J1093" s="2">
        <v>0</v>
      </c>
      <c r="K1093" s="2">
        <v>0</v>
      </c>
      <c r="L1093" s="3">
        <v>45819</v>
      </c>
      <c r="M1093" s="3">
        <v>45819</v>
      </c>
      <c r="N1093" s="3"/>
      <c r="O1093" t="s">
        <v>141</v>
      </c>
      <c r="P1093" t="s">
        <v>9</v>
      </c>
      <c r="Q1093" s="4">
        <v>0.48680555555555999</v>
      </c>
      <c r="R1093" t="s">
        <v>5</v>
      </c>
      <c r="S1093" t="s">
        <v>4</v>
      </c>
      <c r="T1093" t="s">
        <v>2263</v>
      </c>
      <c r="U1093" t="s">
        <v>10</v>
      </c>
      <c r="V1093" s="5">
        <v>0</v>
      </c>
      <c r="W1093" s="5">
        <v>0</v>
      </c>
      <c r="X1093" s="2">
        <v>0</v>
      </c>
      <c r="Y1093" t="s">
        <v>4</v>
      </c>
      <c r="Z1093" t="s">
        <v>4</v>
      </c>
      <c r="AA1093" t="s">
        <v>4</v>
      </c>
      <c r="AB1093" t="s">
        <v>4</v>
      </c>
    </row>
    <row r="1094" spans="1:28" x14ac:dyDescent="0.2">
      <c r="A1094" t="s">
        <v>1982</v>
      </c>
      <c r="B1094" t="s">
        <v>2</v>
      </c>
      <c r="C1094" t="s">
        <v>3</v>
      </c>
      <c r="D1094" t="s">
        <v>4</v>
      </c>
      <c r="E1094" t="s">
        <v>4</v>
      </c>
      <c r="F1094" t="s">
        <v>5</v>
      </c>
      <c r="G1094" t="s">
        <v>6</v>
      </c>
      <c r="H1094" t="s">
        <v>3908</v>
      </c>
      <c r="I1094" s="2">
        <v>3360</v>
      </c>
      <c r="J1094" s="2">
        <v>0</v>
      </c>
      <c r="K1094" s="2">
        <v>0</v>
      </c>
      <c r="L1094" s="3">
        <v>45808</v>
      </c>
      <c r="M1094" s="3">
        <v>45808</v>
      </c>
      <c r="N1094" s="3"/>
      <c r="O1094" t="s">
        <v>3909</v>
      </c>
      <c r="P1094" t="s">
        <v>9</v>
      </c>
      <c r="Q1094" s="4">
        <v>0.93737268518519001</v>
      </c>
      <c r="R1094" t="s">
        <v>5</v>
      </c>
      <c r="S1094" t="s">
        <v>4</v>
      </c>
      <c r="T1094" t="s">
        <v>3328</v>
      </c>
      <c r="U1094" t="s">
        <v>10</v>
      </c>
      <c r="V1094" s="5">
        <v>0</v>
      </c>
      <c r="W1094" s="5">
        <v>0</v>
      </c>
      <c r="X1094" s="2">
        <v>0</v>
      </c>
      <c r="Y1094" t="s">
        <v>4</v>
      </c>
      <c r="Z1094" t="s">
        <v>4</v>
      </c>
      <c r="AA1094" t="s">
        <v>4</v>
      </c>
      <c r="AB1094" t="s">
        <v>4</v>
      </c>
    </row>
    <row r="1095" spans="1:28" x14ac:dyDescent="0.2">
      <c r="A1095" t="s">
        <v>1982</v>
      </c>
      <c r="B1095" t="s">
        <v>2</v>
      </c>
      <c r="C1095" t="s">
        <v>3</v>
      </c>
      <c r="D1095" t="s">
        <v>4</v>
      </c>
      <c r="E1095" t="s">
        <v>4</v>
      </c>
      <c r="F1095" t="s">
        <v>5</v>
      </c>
      <c r="G1095" t="s">
        <v>6</v>
      </c>
      <c r="H1095" t="s">
        <v>3908</v>
      </c>
      <c r="I1095" s="2">
        <v>3360</v>
      </c>
      <c r="J1095" s="2">
        <v>0</v>
      </c>
      <c r="K1095" s="2">
        <v>0</v>
      </c>
      <c r="L1095" s="3">
        <v>45808</v>
      </c>
      <c r="M1095" s="3">
        <v>45808</v>
      </c>
      <c r="N1095" s="3"/>
      <c r="O1095" t="s">
        <v>3910</v>
      </c>
      <c r="P1095" t="s">
        <v>9</v>
      </c>
      <c r="Q1095" s="4">
        <v>0.93737268518519001</v>
      </c>
      <c r="R1095" t="s">
        <v>5</v>
      </c>
      <c r="S1095" t="s">
        <v>4</v>
      </c>
      <c r="T1095" t="s">
        <v>3328</v>
      </c>
      <c r="U1095" t="s">
        <v>10</v>
      </c>
      <c r="V1095" s="5">
        <v>0</v>
      </c>
      <c r="W1095" s="5">
        <v>0</v>
      </c>
      <c r="X1095" s="2">
        <v>0</v>
      </c>
      <c r="Y1095" t="s">
        <v>4</v>
      </c>
      <c r="Z1095" t="s">
        <v>4</v>
      </c>
      <c r="AA1095" t="s">
        <v>4</v>
      </c>
      <c r="AB1095" t="s">
        <v>4</v>
      </c>
    </row>
    <row r="1096" spans="1:28" x14ac:dyDescent="0.2">
      <c r="A1096" t="s">
        <v>2187</v>
      </c>
      <c r="B1096" t="s">
        <v>2</v>
      </c>
      <c r="C1096" t="s">
        <v>3</v>
      </c>
      <c r="D1096" t="s">
        <v>4</v>
      </c>
      <c r="E1096" t="s">
        <v>4</v>
      </c>
      <c r="F1096" t="s">
        <v>5</v>
      </c>
      <c r="G1096" t="s">
        <v>6</v>
      </c>
      <c r="H1096" t="s">
        <v>3911</v>
      </c>
      <c r="I1096" s="2">
        <v>144</v>
      </c>
      <c r="J1096" s="2">
        <v>0</v>
      </c>
      <c r="K1096" s="2">
        <v>0</v>
      </c>
      <c r="L1096" s="3">
        <v>45847</v>
      </c>
      <c r="M1096" s="3">
        <v>45847</v>
      </c>
      <c r="N1096" s="3"/>
      <c r="O1096" t="s">
        <v>3912</v>
      </c>
      <c r="P1096" t="s">
        <v>9</v>
      </c>
      <c r="Q1096" s="4">
        <v>0.93204861111111004</v>
      </c>
      <c r="R1096" t="s">
        <v>5</v>
      </c>
      <c r="S1096" t="s">
        <v>4</v>
      </c>
      <c r="T1096" t="s">
        <v>2341</v>
      </c>
      <c r="U1096" t="s">
        <v>10</v>
      </c>
      <c r="V1096" s="5">
        <v>0</v>
      </c>
      <c r="W1096" s="5">
        <v>0</v>
      </c>
      <c r="X1096" s="2">
        <v>0</v>
      </c>
      <c r="Y1096" t="s">
        <v>4</v>
      </c>
      <c r="Z1096" t="s">
        <v>4</v>
      </c>
      <c r="AA1096" t="s">
        <v>4</v>
      </c>
      <c r="AB1096" t="s">
        <v>4</v>
      </c>
    </row>
    <row r="1097" spans="1:28" x14ac:dyDescent="0.2">
      <c r="A1097" t="s">
        <v>2187</v>
      </c>
      <c r="B1097" t="s">
        <v>2</v>
      </c>
      <c r="C1097" t="s">
        <v>3</v>
      </c>
      <c r="D1097" t="s">
        <v>4</v>
      </c>
      <c r="E1097" t="s">
        <v>4</v>
      </c>
      <c r="F1097" t="s">
        <v>5</v>
      </c>
      <c r="G1097" t="s">
        <v>6</v>
      </c>
      <c r="H1097" t="s">
        <v>3911</v>
      </c>
      <c r="I1097" s="2">
        <v>48</v>
      </c>
      <c r="J1097" s="2">
        <v>0</v>
      </c>
      <c r="K1097" s="2">
        <v>0</v>
      </c>
      <c r="L1097" s="3">
        <v>45847</v>
      </c>
      <c r="M1097" s="3">
        <v>45847</v>
      </c>
      <c r="N1097" s="3"/>
      <c r="O1097" t="s">
        <v>3913</v>
      </c>
      <c r="P1097" t="s">
        <v>9</v>
      </c>
      <c r="Q1097" s="4">
        <v>0.93204861111111004</v>
      </c>
      <c r="R1097" t="s">
        <v>5</v>
      </c>
      <c r="S1097" t="s">
        <v>4</v>
      </c>
      <c r="T1097" t="s">
        <v>2341</v>
      </c>
      <c r="U1097" t="s">
        <v>10</v>
      </c>
      <c r="V1097" s="5">
        <v>0</v>
      </c>
      <c r="W1097" s="5">
        <v>0</v>
      </c>
      <c r="X1097" s="2">
        <v>0</v>
      </c>
      <c r="Y1097" t="s">
        <v>4</v>
      </c>
      <c r="Z1097" t="s">
        <v>4</v>
      </c>
      <c r="AA1097" t="s">
        <v>4</v>
      </c>
      <c r="AB1097" t="s">
        <v>4</v>
      </c>
    </row>
    <row r="1098" spans="1:28" x14ac:dyDescent="0.2">
      <c r="A1098" t="s">
        <v>2008</v>
      </c>
      <c r="B1098" t="s">
        <v>2</v>
      </c>
      <c r="C1098" t="s">
        <v>3</v>
      </c>
      <c r="D1098" t="s">
        <v>4</v>
      </c>
      <c r="E1098" t="s">
        <v>4</v>
      </c>
      <c r="F1098" t="s">
        <v>5</v>
      </c>
      <c r="G1098" t="s">
        <v>6</v>
      </c>
      <c r="H1098" t="s">
        <v>3914</v>
      </c>
      <c r="I1098" s="2">
        <v>2520</v>
      </c>
      <c r="J1098" s="2">
        <v>0</v>
      </c>
      <c r="K1098" s="2">
        <v>0</v>
      </c>
      <c r="L1098" s="3">
        <v>45810</v>
      </c>
      <c r="M1098" s="3">
        <v>45810</v>
      </c>
      <c r="N1098" s="3"/>
      <c r="O1098" t="s">
        <v>3915</v>
      </c>
      <c r="P1098" t="s">
        <v>9</v>
      </c>
      <c r="Q1098" s="4">
        <v>0.70862268518519</v>
      </c>
      <c r="R1098" t="s">
        <v>5</v>
      </c>
      <c r="S1098" t="s">
        <v>4</v>
      </c>
      <c r="T1098" t="s">
        <v>3383</v>
      </c>
      <c r="U1098" t="s">
        <v>10</v>
      </c>
      <c r="V1098" s="5">
        <v>0</v>
      </c>
      <c r="W1098" s="5">
        <v>0</v>
      </c>
      <c r="X1098" s="2">
        <v>0</v>
      </c>
      <c r="Y1098" t="s">
        <v>4</v>
      </c>
      <c r="Z1098" t="s">
        <v>4</v>
      </c>
      <c r="AA1098" t="s">
        <v>4</v>
      </c>
      <c r="AB1098" t="s">
        <v>4</v>
      </c>
    </row>
    <row r="1099" spans="1:28" x14ac:dyDescent="0.2">
      <c r="A1099" t="s">
        <v>1922</v>
      </c>
      <c r="B1099" t="s">
        <v>2</v>
      </c>
      <c r="C1099" t="s">
        <v>3</v>
      </c>
      <c r="D1099" t="s">
        <v>4</v>
      </c>
      <c r="E1099" t="s">
        <v>4</v>
      </c>
      <c r="F1099" t="s">
        <v>5</v>
      </c>
      <c r="G1099" t="s">
        <v>21</v>
      </c>
      <c r="H1099" t="s">
        <v>3916</v>
      </c>
      <c r="I1099" s="2">
        <v>22</v>
      </c>
      <c r="J1099" s="2">
        <v>0</v>
      </c>
      <c r="K1099" s="2">
        <v>0</v>
      </c>
      <c r="L1099" s="3">
        <v>45851</v>
      </c>
      <c r="M1099" s="3">
        <v>45851</v>
      </c>
      <c r="N1099" s="3"/>
      <c r="O1099" t="s">
        <v>3917</v>
      </c>
      <c r="P1099" t="s">
        <v>9</v>
      </c>
      <c r="Q1099" s="4">
        <v>0.54182870370369995</v>
      </c>
      <c r="R1099" t="s">
        <v>5</v>
      </c>
      <c r="S1099" t="s">
        <v>4</v>
      </c>
      <c r="T1099" t="s">
        <v>2747</v>
      </c>
      <c r="U1099" t="s">
        <v>10</v>
      </c>
      <c r="V1099" s="5">
        <v>0</v>
      </c>
      <c r="W1099" s="5">
        <v>0</v>
      </c>
      <c r="X1099" s="2">
        <v>0</v>
      </c>
      <c r="Y1099" t="s">
        <v>4</v>
      </c>
      <c r="Z1099" t="s">
        <v>4</v>
      </c>
      <c r="AA1099" t="s">
        <v>4</v>
      </c>
      <c r="AB1099" t="s">
        <v>4</v>
      </c>
    </row>
    <row r="1100" spans="1:28" x14ac:dyDescent="0.2">
      <c r="A1100" t="s">
        <v>1922</v>
      </c>
      <c r="B1100" t="s">
        <v>2</v>
      </c>
      <c r="C1100" t="s">
        <v>3</v>
      </c>
      <c r="D1100" t="s">
        <v>4</v>
      </c>
      <c r="E1100" t="s">
        <v>4</v>
      </c>
      <c r="F1100" t="s">
        <v>5</v>
      </c>
      <c r="G1100" t="s">
        <v>21</v>
      </c>
      <c r="H1100" t="s">
        <v>3916</v>
      </c>
      <c r="I1100" s="2">
        <v>330</v>
      </c>
      <c r="J1100" s="2">
        <v>0</v>
      </c>
      <c r="K1100" s="2">
        <v>0</v>
      </c>
      <c r="L1100" s="3">
        <v>45857</v>
      </c>
      <c r="M1100" s="3">
        <v>45857</v>
      </c>
      <c r="N1100" s="3"/>
      <c r="O1100" t="s">
        <v>3918</v>
      </c>
      <c r="P1100" t="s">
        <v>9</v>
      </c>
      <c r="Q1100" s="4">
        <v>0.54182870370369995</v>
      </c>
      <c r="R1100" t="s">
        <v>5</v>
      </c>
      <c r="S1100" t="s">
        <v>4</v>
      </c>
      <c r="T1100" t="s">
        <v>2262</v>
      </c>
      <c r="U1100" t="s">
        <v>10</v>
      </c>
      <c r="V1100" s="5">
        <v>0</v>
      </c>
      <c r="W1100" s="5">
        <v>0</v>
      </c>
      <c r="X1100" s="2">
        <v>0</v>
      </c>
      <c r="Y1100" t="s">
        <v>4</v>
      </c>
      <c r="Z1100" t="s">
        <v>4</v>
      </c>
      <c r="AA1100" t="s">
        <v>4</v>
      </c>
      <c r="AB1100" t="s">
        <v>4</v>
      </c>
    </row>
    <row r="1101" spans="1:28" x14ac:dyDescent="0.2">
      <c r="A1101" t="s">
        <v>0</v>
      </c>
      <c r="B1101" t="s">
        <v>2</v>
      </c>
      <c r="C1101" t="s">
        <v>3</v>
      </c>
      <c r="D1101" t="s">
        <v>4</v>
      </c>
      <c r="E1101" t="s">
        <v>4</v>
      </c>
      <c r="F1101" t="s">
        <v>5</v>
      </c>
      <c r="G1101" t="s">
        <v>21</v>
      </c>
      <c r="H1101" t="s">
        <v>142</v>
      </c>
      <c r="I1101" s="2">
        <v>196</v>
      </c>
      <c r="J1101" s="2">
        <v>0</v>
      </c>
      <c r="K1101" s="2">
        <v>0</v>
      </c>
      <c r="L1101" s="3">
        <v>45820</v>
      </c>
      <c r="M1101" s="3">
        <v>45820</v>
      </c>
      <c r="N1101" s="3"/>
      <c r="O1101" t="s">
        <v>143</v>
      </c>
      <c r="P1101" t="s">
        <v>9</v>
      </c>
      <c r="Q1101" s="4">
        <v>0.89498842592592998</v>
      </c>
      <c r="R1101" t="s">
        <v>5</v>
      </c>
      <c r="S1101" t="s">
        <v>4</v>
      </c>
      <c r="T1101" t="s">
        <v>3198</v>
      </c>
      <c r="U1101" t="s">
        <v>10</v>
      </c>
      <c r="V1101" s="5">
        <v>0</v>
      </c>
      <c r="W1101" s="5">
        <v>0</v>
      </c>
      <c r="X1101" s="2">
        <v>0</v>
      </c>
      <c r="Y1101" t="s">
        <v>4</v>
      </c>
      <c r="Z1101" t="s">
        <v>4</v>
      </c>
      <c r="AA1101" t="s">
        <v>4</v>
      </c>
      <c r="AB1101" t="s">
        <v>4</v>
      </c>
    </row>
    <row r="1102" spans="1:28" x14ac:dyDescent="0.2">
      <c r="A1102" t="s">
        <v>0</v>
      </c>
      <c r="B1102" t="s">
        <v>2</v>
      </c>
      <c r="C1102" t="s">
        <v>3</v>
      </c>
      <c r="D1102" t="s">
        <v>4</v>
      </c>
      <c r="E1102" t="s">
        <v>4</v>
      </c>
      <c r="F1102" t="s">
        <v>5</v>
      </c>
      <c r="G1102" t="s">
        <v>21</v>
      </c>
      <c r="H1102" t="s">
        <v>142</v>
      </c>
      <c r="I1102" s="2">
        <v>196</v>
      </c>
      <c r="J1102" s="2">
        <v>0</v>
      </c>
      <c r="K1102" s="2">
        <v>0</v>
      </c>
      <c r="L1102" s="3">
        <v>45820</v>
      </c>
      <c r="M1102" s="3">
        <v>45820</v>
      </c>
      <c r="N1102" s="3"/>
      <c r="O1102" t="s">
        <v>144</v>
      </c>
      <c r="P1102" t="s">
        <v>9</v>
      </c>
      <c r="Q1102" s="4">
        <v>0.89498842592592998</v>
      </c>
      <c r="R1102" t="s">
        <v>5</v>
      </c>
      <c r="S1102" t="s">
        <v>4</v>
      </c>
      <c r="T1102" t="s">
        <v>3198</v>
      </c>
      <c r="U1102" t="s">
        <v>10</v>
      </c>
      <c r="V1102" s="5">
        <v>0</v>
      </c>
      <c r="W1102" s="5">
        <v>0</v>
      </c>
      <c r="X1102" s="2">
        <v>0</v>
      </c>
      <c r="Y1102" t="s">
        <v>4</v>
      </c>
      <c r="Z1102" t="s">
        <v>4</v>
      </c>
      <c r="AA1102" t="s">
        <v>4</v>
      </c>
      <c r="AB1102" t="s">
        <v>4</v>
      </c>
    </row>
    <row r="1103" spans="1:28" x14ac:dyDescent="0.2">
      <c r="A1103" t="s">
        <v>2187</v>
      </c>
      <c r="B1103" t="s">
        <v>2</v>
      </c>
      <c r="C1103" t="s">
        <v>3</v>
      </c>
      <c r="D1103" t="s">
        <v>4</v>
      </c>
      <c r="E1103" t="s">
        <v>4</v>
      </c>
      <c r="F1103" t="s">
        <v>5</v>
      </c>
      <c r="G1103" t="s">
        <v>21</v>
      </c>
      <c r="H1103" t="s">
        <v>3919</v>
      </c>
      <c r="I1103" s="2">
        <v>144</v>
      </c>
      <c r="J1103" s="2">
        <v>0</v>
      </c>
      <c r="K1103" s="2">
        <v>0</v>
      </c>
      <c r="L1103" s="3">
        <v>45847</v>
      </c>
      <c r="M1103" s="3">
        <v>45847</v>
      </c>
      <c r="N1103" s="3"/>
      <c r="O1103" t="s">
        <v>3920</v>
      </c>
      <c r="P1103" t="s">
        <v>9</v>
      </c>
      <c r="Q1103" s="4">
        <v>0.91432870370370001</v>
      </c>
      <c r="R1103" t="s">
        <v>5</v>
      </c>
      <c r="S1103" t="s">
        <v>4</v>
      </c>
      <c r="T1103" t="s">
        <v>2341</v>
      </c>
      <c r="U1103" t="s">
        <v>10</v>
      </c>
      <c r="V1103" s="5">
        <v>0</v>
      </c>
      <c r="W1103" s="5">
        <v>0</v>
      </c>
      <c r="X1103" s="2">
        <v>0</v>
      </c>
      <c r="Y1103" t="s">
        <v>4</v>
      </c>
      <c r="Z1103" t="s">
        <v>4</v>
      </c>
      <c r="AA1103" t="s">
        <v>4</v>
      </c>
      <c r="AB1103" t="s">
        <v>4</v>
      </c>
    </row>
    <row r="1104" spans="1:28" x14ac:dyDescent="0.2">
      <c r="A1104" t="s">
        <v>2187</v>
      </c>
      <c r="B1104" t="s">
        <v>2</v>
      </c>
      <c r="C1104" t="s">
        <v>3</v>
      </c>
      <c r="D1104" t="s">
        <v>4</v>
      </c>
      <c r="E1104" t="s">
        <v>4</v>
      </c>
      <c r="F1104" t="s">
        <v>5</v>
      </c>
      <c r="G1104" t="s">
        <v>21</v>
      </c>
      <c r="H1104" t="s">
        <v>3919</v>
      </c>
      <c r="I1104" s="2">
        <v>144</v>
      </c>
      <c r="J1104" s="2">
        <v>0</v>
      </c>
      <c r="K1104" s="2">
        <v>0</v>
      </c>
      <c r="L1104" s="3">
        <v>45847</v>
      </c>
      <c r="M1104" s="3">
        <v>45847</v>
      </c>
      <c r="N1104" s="3"/>
      <c r="O1104" t="s">
        <v>3921</v>
      </c>
      <c r="P1104" t="s">
        <v>9</v>
      </c>
      <c r="Q1104" s="4">
        <v>0.91432870370370001</v>
      </c>
      <c r="R1104" t="s">
        <v>5</v>
      </c>
      <c r="S1104" t="s">
        <v>4</v>
      </c>
      <c r="T1104" t="s">
        <v>2341</v>
      </c>
      <c r="U1104" t="s">
        <v>10</v>
      </c>
      <c r="V1104" s="5">
        <v>0</v>
      </c>
      <c r="W1104" s="5">
        <v>0</v>
      </c>
      <c r="X1104" s="2">
        <v>0</v>
      </c>
      <c r="Y1104" t="s">
        <v>4</v>
      </c>
      <c r="Z1104" t="s">
        <v>4</v>
      </c>
      <c r="AA1104" t="s">
        <v>4</v>
      </c>
      <c r="AB1104" t="s">
        <v>4</v>
      </c>
    </row>
    <row r="1105" spans="1:28" x14ac:dyDescent="0.2">
      <c r="A1105" t="s">
        <v>2005</v>
      </c>
      <c r="B1105" t="s">
        <v>2</v>
      </c>
      <c r="C1105" t="s">
        <v>3</v>
      </c>
      <c r="D1105" t="s">
        <v>4</v>
      </c>
      <c r="E1105" t="s">
        <v>4</v>
      </c>
      <c r="F1105" t="s">
        <v>5</v>
      </c>
      <c r="G1105" t="s">
        <v>21</v>
      </c>
      <c r="H1105" t="s">
        <v>3922</v>
      </c>
      <c r="I1105" s="2">
        <v>1960</v>
      </c>
      <c r="J1105" s="2">
        <v>0</v>
      </c>
      <c r="K1105" s="2">
        <v>0</v>
      </c>
      <c r="L1105" s="3">
        <v>45807</v>
      </c>
      <c r="M1105" s="3">
        <v>45807</v>
      </c>
      <c r="N1105" s="3"/>
      <c r="O1105" t="s">
        <v>3923</v>
      </c>
      <c r="P1105" t="s">
        <v>9</v>
      </c>
      <c r="Q1105" s="4">
        <v>0.77614583333332998</v>
      </c>
      <c r="R1105" t="s">
        <v>5</v>
      </c>
      <c r="S1105" t="s">
        <v>4</v>
      </c>
      <c r="T1105" t="s">
        <v>3482</v>
      </c>
      <c r="U1105" t="s">
        <v>10</v>
      </c>
      <c r="V1105" s="5">
        <v>0</v>
      </c>
      <c r="W1105" s="5">
        <v>0</v>
      </c>
      <c r="X1105" s="2">
        <v>0</v>
      </c>
      <c r="Y1105" t="s">
        <v>4</v>
      </c>
      <c r="Z1105" t="s">
        <v>4</v>
      </c>
      <c r="AA1105" t="s">
        <v>4</v>
      </c>
      <c r="AB1105" t="s">
        <v>4</v>
      </c>
    </row>
    <row r="1106" spans="1:28" x14ac:dyDescent="0.2">
      <c r="A1106" t="s">
        <v>845</v>
      </c>
      <c r="B1106" t="s">
        <v>2</v>
      </c>
      <c r="C1106" t="s">
        <v>3</v>
      </c>
      <c r="D1106" t="s">
        <v>4</v>
      </c>
      <c r="E1106" t="s">
        <v>4</v>
      </c>
      <c r="F1106" t="s">
        <v>5</v>
      </c>
      <c r="G1106" t="s">
        <v>17</v>
      </c>
      <c r="H1106" t="s">
        <v>3924</v>
      </c>
      <c r="I1106" s="2">
        <v>3500</v>
      </c>
      <c r="J1106" s="2">
        <v>0</v>
      </c>
      <c r="K1106" s="2">
        <v>0</v>
      </c>
      <c r="L1106" s="3">
        <v>45842</v>
      </c>
      <c r="M1106" s="3">
        <v>45842</v>
      </c>
      <c r="N1106" s="3"/>
      <c r="O1106" t="s">
        <v>3925</v>
      </c>
      <c r="P1106" t="s">
        <v>9</v>
      </c>
      <c r="Q1106" s="4">
        <v>0.45349537037037002</v>
      </c>
      <c r="R1106" t="s">
        <v>5</v>
      </c>
      <c r="S1106" t="s">
        <v>4</v>
      </c>
      <c r="T1106" t="s">
        <v>2610</v>
      </c>
      <c r="U1106" t="s">
        <v>10</v>
      </c>
      <c r="V1106" s="5">
        <v>0</v>
      </c>
      <c r="W1106" s="5">
        <v>0</v>
      </c>
      <c r="X1106" s="2">
        <v>0</v>
      </c>
      <c r="Y1106" t="s">
        <v>4</v>
      </c>
      <c r="Z1106" t="s">
        <v>4</v>
      </c>
      <c r="AA1106" t="s">
        <v>4</v>
      </c>
      <c r="AB1106" t="s">
        <v>4</v>
      </c>
    </row>
    <row r="1107" spans="1:28" x14ac:dyDescent="0.2">
      <c r="A1107" t="s">
        <v>845</v>
      </c>
      <c r="B1107" t="s">
        <v>2</v>
      </c>
      <c r="C1107" t="s">
        <v>3</v>
      </c>
      <c r="D1107" t="s">
        <v>4</v>
      </c>
      <c r="E1107" t="s">
        <v>4</v>
      </c>
      <c r="F1107" t="s">
        <v>5</v>
      </c>
      <c r="G1107" t="s">
        <v>17</v>
      </c>
      <c r="H1107" t="s">
        <v>3924</v>
      </c>
      <c r="I1107" s="2">
        <v>7750</v>
      </c>
      <c r="J1107" s="2">
        <v>0</v>
      </c>
      <c r="K1107" s="2">
        <v>0</v>
      </c>
      <c r="L1107" s="3">
        <v>45842</v>
      </c>
      <c r="M1107" s="3">
        <v>45842</v>
      </c>
      <c r="N1107" s="3"/>
      <c r="O1107" t="s">
        <v>3926</v>
      </c>
      <c r="P1107" t="s">
        <v>9</v>
      </c>
      <c r="Q1107" s="4">
        <v>0.45349537037037002</v>
      </c>
      <c r="R1107" t="s">
        <v>5</v>
      </c>
      <c r="S1107" t="s">
        <v>4</v>
      </c>
      <c r="T1107" t="s">
        <v>2610</v>
      </c>
      <c r="U1107" t="s">
        <v>10</v>
      </c>
      <c r="V1107" s="5">
        <v>0</v>
      </c>
      <c r="W1107" s="5">
        <v>0</v>
      </c>
      <c r="X1107" s="2">
        <v>0</v>
      </c>
      <c r="Y1107" t="s">
        <v>4</v>
      </c>
      <c r="Z1107" t="s">
        <v>4</v>
      </c>
      <c r="AA1107" t="s">
        <v>4</v>
      </c>
      <c r="AB1107" t="s">
        <v>4</v>
      </c>
    </row>
    <row r="1108" spans="1:28" x14ac:dyDescent="0.2">
      <c r="A1108" t="s">
        <v>1462</v>
      </c>
      <c r="B1108" t="s">
        <v>2</v>
      </c>
      <c r="C1108" t="s">
        <v>3</v>
      </c>
      <c r="D1108" t="s">
        <v>4</v>
      </c>
      <c r="E1108" t="s">
        <v>4</v>
      </c>
      <c r="F1108" t="s">
        <v>5</v>
      </c>
      <c r="G1108" t="s">
        <v>17</v>
      </c>
      <c r="H1108" t="s">
        <v>3927</v>
      </c>
      <c r="I1108" s="2">
        <v>72</v>
      </c>
      <c r="J1108" s="2">
        <v>0</v>
      </c>
      <c r="K1108" s="2">
        <v>0</v>
      </c>
      <c r="L1108" s="3">
        <v>45850</v>
      </c>
      <c r="M1108" s="3">
        <v>45850</v>
      </c>
      <c r="N1108" s="3"/>
      <c r="O1108" t="s">
        <v>3928</v>
      </c>
      <c r="P1108" t="s">
        <v>9</v>
      </c>
      <c r="Q1108" s="4">
        <v>0.58603009259258998</v>
      </c>
      <c r="R1108" t="s">
        <v>5</v>
      </c>
      <c r="S1108" t="s">
        <v>4</v>
      </c>
      <c r="T1108" t="s">
        <v>2680</v>
      </c>
      <c r="U1108" t="s">
        <v>10</v>
      </c>
      <c r="V1108" s="5">
        <v>0</v>
      </c>
      <c r="W1108" s="5">
        <v>0</v>
      </c>
      <c r="X1108" s="2">
        <v>0</v>
      </c>
      <c r="Y1108" t="s">
        <v>4</v>
      </c>
      <c r="Z1108" t="s">
        <v>4</v>
      </c>
      <c r="AA1108" t="s">
        <v>4</v>
      </c>
      <c r="AB1108" t="s">
        <v>4</v>
      </c>
    </row>
    <row r="1109" spans="1:28" x14ac:dyDescent="0.2">
      <c r="A1109" t="s">
        <v>1462</v>
      </c>
      <c r="B1109" t="s">
        <v>2</v>
      </c>
      <c r="C1109" t="s">
        <v>3</v>
      </c>
      <c r="D1109" t="s">
        <v>4</v>
      </c>
      <c r="E1109" t="s">
        <v>4</v>
      </c>
      <c r="F1109" t="s">
        <v>5</v>
      </c>
      <c r="G1109" t="s">
        <v>17</v>
      </c>
      <c r="H1109" t="s">
        <v>3927</v>
      </c>
      <c r="I1109" s="2">
        <v>72</v>
      </c>
      <c r="J1109" s="2">
        <v>0</v>
      </c>
      <c r="K1109" s="2">
        <v>0</v>
      </c>
      <c r="L1109" s="3">
        <v>45850</v>
      </c>
      <c r="M1109" s="3">
        <v>45850</v>
      </c>
      <c r="N1109" s="3"/>
      <c r="O1109" t="s">
        <v>3929</v>
      </c>
      <c r="P1109" t="s">
        <v>9</v>
      </c>
      <c r="Q1109" s="4">
        <v>0.58603009259258998</v>
      </c>
      <c r="R1109" t="s">
        <v>5</v>
      </c>
      <c r="S1109" t="s">
        <v>4</v>
      </c>
      <c r="T1109" t="s">
        <v>2680</v>
      </c>
      <c r="U1109" t="s">
        <v>10</v>
      </c>
      <c r="V1109" s="5">
        <v>0</v>
      </c>
      <c r="W1109" s="5">
        <v>0</v>
      </c>
      <c r="X1109" s="2">
        <v>0</v>
      </c>
      <c r="Y1109" t="s">
        <v>4</v>
      </c>
      <c r="Z1109" t="s">
        <v>4</v>
      </c>
      <c r="AA1109" t="s">
        <v>4</v>
      </c>
      <c r="AB1109" t="s">
        <v>4</v>
      </c>
    </row>
    <row r="1110" spans="1:28" x14ac:dyDescent="0.2">
      <c r="A1110" t="s">
        <v>296</v>
      </c>
      <c r="B1110" t="s">
        <v>2</v>
      </c>
      <c r="C1110" t="s">
        <v>3</v>
      </c>
      <c r="D1110" t="s">
        <v>4</v>
      </c>
      <c r="E1110" t="s">
        <v>4</v>
      </c>
      <c r="F1110" t="s">
        <v>5</v>
      </c>
      <c r="G1110" t="s">
        <v>17</v>
      </c>
      <c r="H1110" t="s">
        <v>3930</v>
      </c>
      <c r="I1110" s="2">
        <v>700</v>
      </c>
      <c r="J1110" s="2">
        <v>0</v>
      </c>
      <c r="K1110" s="2">
        <v>0</v>
      </c>
      <c r="L1110" s="3">
        <v>45859</v>
      </c>
      <c r="M1110" s="3">
        <v>45859</v>
      </c>
      <c r="N1110" s="3"/>
      <c r="O1110" t="s">
        <v>3931</v>
      </c>
      <c r="P1110" t="s">
        <v>9</v>
      </c>
      <c r="Q1110" s="4">
        <v>0.93848379629629997</v>
      </c>
      <c r="R1110" t="s">
        <v>5</v>
      </c>
      <c r="S1110" t="s">
        <v>4</v>
      </c>
      <c r="T1110" t="s">
        <v>2261</v>
      </c>
      <c r="U1110" t="s">
        <v>10</v>
      </c>
      <c r="V1110" s="5">
        <v>0</v>
      </c>
      <c r="W1110" s="5">
        <v>0</v>
      </c>
      <c r="X1110" s="2">
        <v>0</v>
      </c>
      <c r="Y1110" t="s">
        <v>4</v>
      </c>
      <c r="Z1110" t="s">
        <v>4</v>
      </c>
      <c r="AA1110" t="s">
        <v>4</v>
      </c>
      <c r="AB1110" t="s">
        <v>4</v>
      </c>
    </row>
    <row r="1111" spans="1:28" x14ac:dyDescent="0.2">
      <c r="A1111" t="s">
        <v>1466</v>
      </c>
      <c r="B1111" t="s">
        <v>2</v>
      </c>
      <c r="C1111" t="s">
        <v>3</v>
      </c>
      <c r="D1111" t="s">
        <v>4</v>
      </c>
      <c r="E1111" t="s">
        <v>4</v>
      </c>
      <c r="F1111" t="s">
        <v>5</v>
      </c>
      <c r="G1111" t="s">
        <v>17</v>
      </c>
      <c r="H1111" t="s">
        <v>3932</v>
      </c>
      <c r="I1111" s="2">
        <v>60</v>
      </c>
      <c r="J1111" s="2">
        <v>0</v>
      </c>
      <c r="K1111" s="2">
        <v>0</v>
      </c>
      <c r="L1111" s="3">
        <v>45848</v>
      </c>
      <c r="M1111" s="3">
        <v>45848</v>
      </c>
      <c r="N1111" s="3"/>
      <c r="O1111" t="s">
        <v>3933</v>
      </c>
      <c r="P1111" t="s">
        <v>9</v>
      </c>
      <c r="Q1111" s="4">
        <v>0.91188657407407003</v>
      </c>
      <c r="R1111" t="s">
        <v>5</v>
      </c>
      <c r="S1111" t="s">
        <v>4</v>
      </c>
      <c r="T1111" t="s">
        <v>2580</v>
      </c>
      <c r="U1111" t="s">
        <v>10</v>
      </c>
      <c r="V1111" s="5">
        <v>0</v>
      </c>
      <c r="W1111" s="5">
        <v>0</v>
      </c>
      <c r="X1111" s="2">
        <v>0</v>
      </c>
      <c r="Y1111" t="s">
        <v>4</v>
      </c>
      <c r="Z1111" t="s">
        <v>4</v>
      </c>
      <c r="AA1111" t="s">
        <v>4</v>
      </c>
      <c r="AB1111" t="s">
        <v>4</v>
      </c>
    </row>
    <row r="1112" spans="1:28" x14ac:dyDescent="0.2">
      <c r="A1112" t="s">
        <v>1466</v>
      </c>
      <c r="B1112" t="s">
        <v>2</v>
      </c>
      <c r="C1112" t="s">
        <v>3</v>
      </c>
      <c r="D1112" t="s">
        <v>4</v>
      </c>
      <c r="E1112" t="s">
        <v>4</v>
      </c>
      <c r="F1112" t="s">
        <v>5</v>
      </c>
      <c r="G1112" t="s">
        <v>17</v>
      </c>
      <c r="H1112" t="s">
        <v>3932</v>
      </c>
      <c r="I1112" s="2">
        <v>60</v>
      </c>
      <c r="J1112" s="2">
        <v>0</v>
      </c>
      <c r="K1112" s="2">
        <v>0</v>
      </c>
      <c r="L1112" s="3">
        <v>45848</v>
      </c>
      <c r="M1112" s="3">
        <v>45848</v>
      </c>
      <c r="N1112" s="3"/>
      <c r="O1112" t="s">
        <v>3934</v>
      </c>
      <c r="P1112" t="s">
        <v>9</v>
      </c>
      <c r="Q1112" s="4">
        <v>0.91188657407407003</v>
      </c>
      <c r="R1112" t="s">
        <v>5</v>
      </c>
      <c r="S1112" t="s">
        <v>4</v>
      </c>
      <c r="T1112" t="s">
        <v>2580</v>
      </c>
      <c r="U1112" t="s">
        <v>10</v>
      </c>
      <c r="V1112" s="5">
        <v>0</v>
      </c>
      <c r="W1112" s="5">
        <v>0</v>
      </c>
      <c r="X1112" s="2">
        <v>0</v>
      </c>
      <c r="Y1112" t="s">
        <v>4</v>
      </c>
      <c r="Z1112" t="s">
        <v>4</v>
      </c>
      <c r="AA1112" t="s">
        <v>4</v>
      </c>
      <c r="AB1112" t="s">
        <v>4</v>
      </c>
    </row>
    <row r="1113" spans="1:28" x14ac:dyDescent="0.2">
      <c r="A1113" t="s">
        <v>2043</v>
      </c>
      <c r="B1113" t="s">
        <v>2</v>
      </c>
      <c r="C1113" t="s">
        <v>3</v>
      </c>
      <c r="D1113" t="s">
        <v>4</v>
      </c>
      <c r="E1113" t="s">
        <v>4</v>
      </c>
      <c r="F1113" t="s">
        <v>5</v>
      </c>
      <c r="G1113" t="s">
        <v>6</v>
      </c>
      <c r="H1113" t="s">
        <v>3935</v>
      </c>
      <c r="I1113" s="2">
        <v>108</v>
      </c>
      <c r="J1113" s="2">
        <v>0</v>
      </c>
      <c r="K1113" s="2">
        <v>0</v>
      </c>
      <c r="L1113" s="3">
        <v>45849</v>
      </c>
      <c r="M1113" s="3">
        <v>45849</v>
      </c>
      <c r="N1113" s="3"/>
      <c r="O1113" t="s">
        <v>3936</v>
      </c>
      <c r="P1113" t="s">
        <v>9</v>
      </c>
      <c r="Q1113" s="4">
        <v>0.57157407407407002</v>
      </c>
      <c r="R1113" t="s">
        <v>5</v>
      </c>
      <c r="S1113" t="s">
        <v>4</v>
      </c>
      <c r="T1113" t="s">
        <v>2321</v>
      </c>
      <c r="U1113" t="s">
        <v>10</v>
      </c>
      <c r="V1113" s="5">
        <v>0</v>
      </c>
      <c r="W1113" s="5">
        <v>0</v>
      </c>
      <c r="X1113" s="2">
        <v>0</v>
      </c>
      <c r="Y1113" t="s">
        <v>4</v>
      </c>
      <c r="Z1113" t="s">
        <v>4</v>
      </c>
      <c r="AA1113" t="s">
        <v>4</v>
      </c>
      <c r="AB1113" t="s">
        <v>4</v>
      </c>
    </row>
    <row r="1114" spans="1:28" x14ac:dyDescent="0.2">
      <c r="A1114" t="s">
        <v>2043</v>
      </c>
      <c r="B1114" t="s">
        <v>2</v>
      </c>
      <c r="C1114" t="s">
        <v>3</v>
      </c>
      <c r="D1114" t="s">
        <v>4</v>
      </c>
      <c r="E1114" t="s">
        <v>4</v>
      </c>
      <c r="F1114" t="s">
        <v>5</v>
      </c>
      <c r="G1114" t="s">
        <v>6</v>
      </c>
      <c r="H1114" t="s">
        <v>3935</v>
      </c>
      <c r="I1114" s="2">
        <v>108</v>
      </c>
      <c r="J1114" s="2">
        <v>0</v>
      </c>
      <c r="K1114" s="2">
        <v>0</v>
      </c>
      <c r="L1114" s="3">
        <v>45849</v>
      </c>
      <c r="M1114" s="3">
        <v>45849</v>
      </c>
      <c r="N1114" s="3"/>
      <c r="O1114" t="s">
        <v>3937</v>
      </c>
      <c r="P1114" t="s">
        <v>9</v>
      </c>
      <c r="Q1114" s="4">
        <v>0.57157407407407002</v>
      </c>
      <c r="R1114" t="s">
        <v>5</v>
      </c>
      <c r="S1114" t="s">
        <v>4</v>
      </c>
      <c r="T1114" t="s">
        <v>2321</v>
      </c>
      <c r="U1114" t="s">
        <v>10</v>
      </c>
      <c r="V1114" s="5">
        <v>0</v>
      </c>
      <c r="W1114" s="5">
        <v>0</v>
      </c>
      <c r="X1114" s="2">
        <v>0</v>
      </c>
      <c r="Y1114" t="s">
        <v>4</v>
      </c>
      <c r="Z1114" t="s">
        <v>4</v>
      </c>
      <c r="AA1114" t="s">
        <v>4</v>
      </c>
      <c r="AB1114" t="s">
        <v>4</v>
      </c>
    </row>
    <row r="1115" spans="1:28" x14ac:dyDescent="0.2">
      <c r="A1115" t="s">
        <v>0</v>
      </c>
      <c r="B1115" t="s">
        <v>2</v>
      </c>
      <c r="C1115" t="s">
        <v>3</v>
      </c>
      <c r="D1115" t="s">
        <v>4</v>
      </c>
      <c r="E1115" t="s">
        <v>4</v>
      </c>
      <c r="F1115" t="s">
        <v>5</v>
      </c>
      <c r="G1115" t="s">
        <v>6</v>
      </c>
      <c r="H1115" t="s">
        <v>145</v>
      </c>
      <c r="I1115" s="2">
        <v>196</v>
      </c>
      <c r="J1115" s="2">
        <v>0</v>
      </c>
      <c r="K1115" s="2">
        <v>0</v>
      </c>
      <c r="L1115" s="3">
        <v>45839</v>
      </c>
      <c r="M1115" s="3">
        <v>45839</v>
      </c>
      <c r="N1115" s="3"/>
      <c r="O1115" t="s">
        <v>146</v>
      </c>
      <c r="P1115" t="s">
        <v>9</v>
      </c>
      <c r="Q1115" s="4">
        <v>0.58240740740741004</v>
      </c>
      <c r="R1115" t="s">
        <v>5</v>
      </c>
      <c r="S1115" t="s">
        <v>4</v>
      </c>
      <c r="T1115" t="s">
        <v>2312</v>
      </c>
      <c r="U1115" t="s">
        <v>10</v>
      </c>
      <c r="V1115" s="5">
        <v>0</v>
      </c>
      <c r="W1115" s="5">
        <v>0</v>
      </c>
      <c r="X1115" s="2">
        <v>0</v>
      </c>
      <c r="Y1115" t="s">
        <v>4</v>
      </c>
      <c r="Z1115" t="s">
        <v>4</v>
      </c>
      <c r="AA1115" t="s">
        <v>4</v>
      </c>
      <c r="AB1115" t="s">
        <v>4</v>
      </c>
    </row>
    <row r="1116" spans="1:28" x14ac:dyDescent="0.2">
      <c r="A1116" t="s">
        <v>0</v>
      </c>
      <c r="B1116" t="s">
        <v>2</v>
      </c>
      <c r="C1116" t="s">
        <v>3</v>
      </c>
      <c r="D1116" t="s">
        <v>4</v>
      </c>
      <c r="E1116" t="s">
        <v>4</v>
      </c>
      <c r="F1116" t="s">
        <v>5</v>
      </c>
      <c r="G1116" t="s">
        <v>6</v>
      </c>
      <c r="H1116" t="s">
        <v>145</v>
      </c>
      <c r="I1116" s="2">
        <v>196</v>
      </c>
      <c r="J1116" s="2">
        <v>0</v>
      </c>
      <c r="K1116" s="2">
        <v>0</v>
      </c>
      <c r="L1116" s="3">
        <v>45839</v>
      </c>
      <c r="M1116" s="3">
        <v>45839</v>
      </c>
      <c r="N1116" s="3"/>
      <c r="O1116" t="s">
        <v>147</v>
      </c>
      <c r="P1116" t="s">
        <v>9</v>
      </c>
      <c r="Q1116" s="4">
        <v>0.58240740740741004</v>
      </c>
      <c r="R1116" t="s">
        <v>5</v>
      </c>
      <c r="S1116" t="s">
        <v>4</v>
      </c>
      <c r="T1116" t="s">
        <v>2312</v>
      </c>
      <c r="U1116" t="s">
        <v>10</v>
      </c>
      <c r="V1116" s="5">
        <v>0</v>
      </c>
      <c r="W1116" s="5">
        <v>0</v>
      </c>
      <c r="X1116" s="2">
        <v>0</v>
      </c>
      <c r="Y1116" t="s">
        <v>4</v>
      </c>
      <c r="Z1116" t="s">
        <v>4</v>
      </c>
      <c r="AA1116" t="s">
        <v>4</v>
      </c>
      <c r="AB1116" t="s">
        <v>4</v>
      </c>
    </row>
    <row r="1117" spans="1:28" x14ac:dyDescent="0.2">
      <c r="A1117" t="s">
        <v>641</v>
      </c>
      <c r="B1117" t="s">
        <v>2</v>
      </c>
      <c r="C1117" t="s">
        <v>3</v>
      </c>
      <c r="D1117" t="s">
        <v>4</v>
      </c>
      <c r="E1117" t="s">
        <v>4</v>
      </c>
      <c r="F1117" t="s">
        <v>5</v>
      </c>
      <c r="G1117" t="s">
        <v>6</v>
      </c>
      <c r="H1117" t="s">
        <v>3938</v>
      </c>
      <c r="I1117" s="2">
        <v>2304</v>
      </c>
      <c r="J1117" s="2">
        <v>0</v>
      </c>
      <c r="K1117" s="2">
        <v>0</v>
      </c>
      <c r="L1117" s="3">
        <v>45802</v>
      </c>
      <c r="M1117" s="3">
        <v>45802</v>
      </c>
      <c r="N1117" s="3"/>
      <c r="O1117" t="s">
        <v>3939</v>
      </c>
      <c r="P1117" t="s">
        <v>9</v>
      </c>
      <c r="Q1117" s="4">
        <v>0.44465277777778001</v>
      </c>
      <c r="R1117" t="s">
        <v>5</v>
      </c>
      <c r="S1117" t="s">
        <v>4</v>
      </c>
      <c r="T1117" t="s">
        <v>3252</v>
      </c>
      <c r="U1117" t="s">
        <v>10</v>
      </c>
      <c r="V1117" s="5">
        <v>0</v>
      </c>
      <c r="W1117" s="5">
        <v>0</v>
      </c>
      <c r="X1117" s="2">
        <v>0</v>
      </c>
      <c r="Y1117" t="s">
        <v>4</v>
      </c>
      <c r="Z1117" t="s">
        <v>4</v>
      </c>
      <c r="AA1117" t="s">
        <v>4</v>
      </c>
      <c r="AB1117" t="s">
        <v>4</v>
      </c>
    </row>
    <row r="1118" spans="1:28" x14ac:dyDescent="0.2">
      <c r="A1118" t="s">
        <v>641</v>
      </c>
      <c r="B1118" t="s">
        <v>2</v>
      </c>
      <c r="C1118" t="s">
        <v>3</v>
      </c>
      <c r="D1118" t="s">
        <v>4</v>
      </c>
      <c r="E1118" t="s">
        <v>4</v>
      </c>
      <c r="F1118" t="s">
        <v>5</v>
      </c>
      <c r="G1118" t="s">
        <v>6</v>
      </c>
      <c r="H1118" t="s">
        <v>3938</v>
      </c>
      <c r="I1118" s="2">
        <v>2304</v>
      </c>
      <c r="J1118" s="2">
        <v>0</v>
      </c>
      <c r="K1118" s="2">
        <v>0</v>
      </c>
      <c r="L1118" s="3">
        <v>45802</v>
      </c>
      <c r="M1118" s="3">
        <v>45802</v>
      </c>
      <c r="N1118" s="3"/>
      <c r="O1118" t="s">
        <v>3940</v>
      </c>
      <c r="P1118" t="s">
        <v>9</v>
      </c>
      <c r="Q1118" s="4">
        <v>0.44465277777778001</v>
      </c>
      <c r="R1118" t="s">
        <v>5</v>
      </c>
      <c r="S1118" t="s">
        <v>4</v>
      </c>
      <c r="T1118" t="s">
        <v>3252</v>
      </c>
      <c r="U1118" t="s">
        <v>10</v>
      </c>
      <c r="V1118" s="5">
        <v>0</v>
      </c>
      <c r="W1118" s="5">
        <v>0</v>
      </c>
      <c r="X1118" s="2">
        <v>0</v>
      </c>
      <c r="Y1118" t="s">
        <v>4</v>
      </c>
      <c r="Z1118" t="s">
        <v>4</v>
      </c>
      <c r="AA1118" t="s">
        <v>4</v>
      </c>
      <c r="AB1118" t="s">
        <v>4</v>
      </c>
    </row>
    <row r="1119" spans="1:28" x14ac:dyDescent="0.2">
      <c r="A1119" t="s">
        <v>0</v>
      </c>
      <c r="B1119" t="s">
        <v>2</v>
      </c>
      <c r="C1119" t="s">
        <v>3</v>
      </c>
      <c r="D1119" t="s">
        <v>4</v>
      </c>
      <c r="E1119" t="s">
        <v>4</v>
      </c>
      <c r="F1119" t="s">
        <v>5</v>
      </c>
      <c r="G1119" t="s">
        <v>6</v>
      </c>
      <c r="H1119" t="s">
        <v>148</v>
      </c>
      <c r="I1119" s="2">
        <v>196</v>
      </c>
      <c r="J1119" s="2">
        <v>0</v>
      </c>
      <c r="K1119" s="2">
        <v>0</v>
      </c>
      <c r="L1119" s="3">
        <v>45839</v>
      </c>
      <c r="M1119" s="3">
        <v>45839</v>
      </c>
      <c r="N1119" s="3"/>
      <c r="O1119" t="s">
        <v>149</v>
      </c>
      <c r="P1119" t="s">
        <v>9</v>
      </c>
      <c r="Q1119" s="4">
        <v>0.58265046296295997</v>
      </c>
      <c r="R1119" t="s">
        <v>5</v>
      </c>
      <c r="S1119" t="s">
        <v>4</v>
      </c>
      <c r="T1119" t="s">
        <v>2312</v>
      </c>
      <c r="U1119" t="s">
        <v>10</v>
      </c>
      <c r="V1119" s="5">
        <v>0</v>
      </c>
      <c r="W1119" s="5">
        <v>0</v>
      </c>
      <c r="X1119" s="2">
        <v>0</v>
      </c>
      <c r="Y1119" t="s">
        <v>4</v>
      </c>
      <c r="Z1119" t="s">
        <v>4</v>
      </c>
      <c r="AA1119" t="s">
        <v>4</v>
      </c>
      <c r="AB1119" t="s">
        <v>4</v>
      </c>
    </row>
    <row r="1120" spans="1:28" x14ac:dyDescent="0.2">
      <c r="A1120" t="s">
        <v>0</v>
      </c>
      <c r="B1120" t="s">
        <v>2</v>
      </c>
      <c r="C1120" t="s">
        <v>3</v>
      </c>
      <c r="D1120" t="s">
        <v>4</v>
      </c>
      <c r="E1120" t="s">
        <v>4</v>
      </c>
      <c r="F1120" t="s">
        <v>5</v>
      </c>
      <c r="G1120" t="s">
        <v>6</v>
      </c>
      <c r="H1120" t="s">
        <v>148</v>
      </c>
      <c r="I1120" s="2">
        <v>196</v>
      </c>
      <c r="J1120" s="2">
        <v>0</v>
      </c>
      <c r="K1120" s="2">
        <v>0</v>
      </c>
      <c r="L1120" s="3">
        <v>45839</v>
      </c>
      <c r="M1120" s="3">
        <v>45839</v>
      </c>
      <c r="N1120" s="3"/>
      <c r="O1120" t="s">
        <v>150</v>
      </c>
      <c r="P1120" t="s">
        <v>9</v>
      </c>
      <c r="Q1120" s="4">
        <v>0.58265046296295997</v>
      </c>
      <c r="R1120" t="s">
        <v>5</v>
      </c>
      <c r="S1120" t="s">
        <v>4</v>
      </c>
      <c r="T1120" t="s">
        <v>2312</v>
      </c>
      <c r="U1120" t="s">
        <v>10</v>
      </c>
      <c r="V1120" s="5">
        <v>0</v>
      </c>
      <c r="W1120" s="5">
        <v>0</v>
      </c>
      <c r="X1120" s="2">
        <v>0</v>
      </c>
      <c r="Y1120" t="s">
        <v>4</v>
      </c>
      <c r="Z1120" t="s">
        <v>4</v>
      </c>
      <c r="AA1120" t="s">
        <v>4</v>
      </c>
      <c r="AB1120" t="s">
        <v>4</v>
      </c>
    </row>
    <row r="1121" spans="1:28" x14ac:dyDescent="0.2">
      <c r="A1121" t="s">
        <v>0</v>
      </c>
      <c r="B1121" t="s">
        <v>2</v>
      </c>
      <c r="C1121" t="s">
        <v>3</v>
      </c>
      <c r="D1121" t="s">
        <v>4</v>
      </c>
      <c r="E1121" t="s">
        <v>4</v>
      </c>
      <c r="F1121" t="s">
        <v>5</v>
      </c>
      <c r="G1121" t="s">
        <v>6</v>
      </c>
      <c r="H1121" t="s">
        <v>151</v>
      </c>
      <c r="I1121" s="2">
        <v>196</v>
      </c>
      <c r="J1121" s="2">
        <v>0</v>
      </c>
      <c r="K1121" s="2">
        <v>0</v>
      </c>
      <c r="L1121" s="3">
        <v>45839</v>
      </c>
      <c r="M1121" s="3">
        <v>45839</v>
      </c>
      <c r="N1121" s="3"/>
      <c r="O1121" t="s">
        <v>153</v>
      </c>
      <c r="P1121" t="s">
        <v>9</v>
      </c>
      <c r="Q1121" s="4">
        <v>0.58292824074074001</v>
      </c>
      <c r="R1121" t="s">
        <v>5</v>
      </c>
      <c r="S1121" t="s">
        <v>4</v>
      </c>
      <c r="T1121" t="s">
        <v>2312</v>
      </c>
      <c r="U1121" t="s">
        <v>10</v>
      </c>
      <c r="V1121" s="5">
        <v>0</v>
      </c>
      <c r="W1121" s="5">
        <v>0</v>
      </c>
      <c r="X1121" s="2">
        <v>0</v>
      </c>
      <c r="Y1121" t="s">
        <v>4</v>
      </c>
      <c r="Z1121" t="s">
        <v>4</v>
      </c>
      <c r="AA1121" t="s">
        <v>4</v>
      </c>
      <c r="AB1121" t="s">
        <v>4</v>
      </c>
    </row>
    <row r="1122" spans="1:28" x14ac:dyDescent="0.2">
      <c r="A1122" t="s">
        <v>0</v>
      </c>
      <c r="B1122" t="s">
        <v>2</v>
      </c>
      <c r="C1122" t="s">
        <v>3</v>
      </c>
      <c r="D1122" t="s">
        <v>4</v>
      </c>
      <c r="E1122" t="s">
        <v>4</v>
      </c>
      <c r="F1122" t="s">
        <v>5</v>
      </c>
      <c r="G1122" t="s">
        <v>6</v>
      </c>
      <c r="H1122" t="s">
        <v>151</v>
      </c>
      <c r="I1122" s="2">
        <v>196</v>
      </c>
      <c r="J1122" s="2">
        <v>0</v>
      </c>
      <c r="K1122" s="2">
        <v>0</v>
      </c>
      <c r="L1122" s="3">
        <v>45839</v>
      </c>
      <c r="M1122" s="3">
        <v>45839</v>
      </c>
      <c r="N1122" s="3"/>
      <c r="O1122" t="s">
        <v>152</v>
      </c>
      <c r="P1122" t="s">
        <v>9</v>
      </c>
      <c r="Q1122" s="4">
        <v>0.58292824074074001</v>
      </c>
      <c r="R1122" t="s">
        <v>5</v>
      </c>
      <c r="S1122" t="s">
        <v>4</v>
      </c>
      <c r="T1122" t="s">
        <v>2312</v>
      </c>
      <c r="U1122" t="s">
        <v>10</v>
      </c>
      <c r="V1122" s="5">
        <v>0</v>
      </c>
      <c r="W1122" s="5">
        <v>0</v>
      </c>
      <c r="X1122" s="2">
        <v>0</v>
      </c>
      <c r="Y1122" t="s">
        <v>4</v>
      </c>
      <c r="Z1122" t="s">
        <v>4</v>
      </c>
      <c r="AA1122" t="s">
        <v>4</v>
      </c>
      <c r="AB1122" t="s">
        <v>4</v>
      </c>
    </row>
    <row r="1123" spans="1:28" x14ac:dyDescent="0.2">
      <c r="A1123" t="s">
        <v>0</v>
      </c>
      <c r="B1123" t="s">
        <v>2</v>
      </c>
      <c r="C1123" t="s">
        <v>3</v>
      </c>
      <c r="D1123" t="s">
        <v>4</v>
      </c>
      <c r="E1123" t="s">
        <v>4</v>
      </c>
      <c r="F1123" t="s">
        <v>5</v>
      </c>
      <c r="G1123" t="s">
        <v>6</v>
      </c>
      <c r="H1123" t="s">
        <v>154</v>
      </c>
      <c r="I1123" s="2">
        <v>196</v>
      </c>
      <c r="J1123" s="2">
        <v>0</v>
      </c>
      <c r="K1123" s="2">
        <v>0</v>
      </c>
      <c r="L1123" s="3">
        <v>45819</v>
      </c>
      <c r="M1123" s="3">
        <v>45819</v>
      </c>
      <c r="N1123" s="3"/>
      <c r="O1123" t="s">
        <v>156</v>
      </c>
      <c r="P1123" t="s">
        <v>9</v>
      </c>
      <c r="Q1123" s="4">
        <v>0.48708333333332998</v>
      </c>
      <c r="R1123" t="s">
        <v>5</v>
      </c>
      <c r="S1123" t="s">
        <v>4</v>
      </c>
      <c r="T1123" t="s">
        <v>2263</v>
      </c>
      <c r="U1123" t="s">
        <v>10</v>
      </c>
      <c r="V1123" s="5">
        <v>0</v>
      </c>
      <c r="W1123" s="5">
        <v>0</v>
      </c>
      <c r="X1123" s="2">
        <v>0</v>
      </c>
      <c r="Y1123" t="s">
        <v>4</v>
      </c>
      <c r="Z1123" t="s">
        <v>4</v>
      </c>
      <c r="AA1123" t="s">
        <v>4</v>
      </c>
      <c r="AB1123" t="s">
        <v>4</v>
      </c>
    </row>
    <row r="1124" spans="1:28" x14ac:dyDescent="0.2">
      <c r="A1124" t="s">
        <v>0</v>
      </c>
      <c r="B1124" t="s">
        <v>2</v>
      </c>
      <c r="C1124" t="s">
        <v>3</v>
      </c>
      <c r="D1124" t="s">
        <v>4</v>
      </c>
      <c r="E1124" t="s">
        <v>4</v>
      </c>
      <c r="F1124" t="s">
        <v>5</v>
      </c>
      <c r="G1124" t="s">
        <v>6</v>
      </c>
      <c r="H1124" t="s">
        <v>154</v>
      </c>
      <c r="I1124" s="2">
        <v>196</v>
      </c>
      <c r="J1124" s="2">
        <v>0</v>
      </c>
      <c r="K1124" s="2">
        <v>0</v>
      </c>
      <c r="L1124" s="3">
        <v>45819</v>
      </c>
      <c r="M1124" s="3">
        <v>45819</v>
      </c>
      <c r="N1124" s="3"/>
      <c r="O1124" t="s">
        <v>155</v>
      </c>
      <c r="P1124" t="s">
        <v>9</v>
      </c>
      <c r="Q1124" s="4">
        <v>0.48708333333332998</v>
      </c>
      <c r="R1124" t="s">
        <v>5</v>
      </c>
      <c r="S1124" t="s">
        <v>4</v>
      </c>
      <c r="T1124" t="s">
        <v>2263</v>
      </c>
      <c r="U1124" t="s">
        <v>10</v>
      </c>
      <c r="V1124" s="5">
        <v>0</v>
      </c>
      <c r="W1124" s="5">
        <v>0</v>
      </c>
      <c r="X1124" s="2">
        <v>0</v>
      </c>
      <c r="Y1124" t="s">
        <v>4</v>
      </c>
      <c r="Z1124" t="s">
        <v>4</v>
      </c>
      <c r="AA1124" t="s">
        <v>4</v>
      </c>
      <c r="AB1124" t="s">
        <v>4</v>
      </c>
    </row>
    <row r="1125" spans="1:28" x14ac:dyDescent="0.2">
      <c r="A1125" t="s">
        <v>2221</v>
      </c>
      <c r="B1125" t="s">
        <v>2</v>
      </c>
      <c r="C1125" t="s">
        <v>3</v>
      </c>
      <c r="D1125" t="s">
        <v>4</v>
      </c>
      <c r="E1125" t="s">
        <v>4</v>
      </c>
      <c r="F1125" t="s">
        <v>5</v>
      </c>
      <c r="G1125" t="s">
        <v>21</v>
      </c>
      <c r="H1125" t="s">
        <v>3941</v>
      </c>
      <c r="I1125" s="2">
        <v>7000</v>
      </c>
      <c r="J1125" s="2">
        <v>0</v>
      </c>
      <c r="K1125" s="2">
        <v>0</v>
      </c>
      <c r="L1125" s="3">
        <v>45860</v>
      </c>
      <c r="M1125" s="3">
        <v>45860</v>
      </c>
      <c r="N1125" s="3"/>
      <c r="O1125" t="s">
        <v>3942</v>
      </c>
      <c r="P1125" t="s">
        <v>9</v>
      </c>
      <c r="Q1125" s="4">
        <v>0.3549537037037</v>
      </c>
      <c r="R1125" t="s">
        <v>5</v>
      </c>
      <c r="S1125" t="s">
        <v>4</v>
      </c>
      <c r="T1125" t="s">
        <v>2256</v>
      </c>
      <c r="U1125" t="s">
        <v>10</v>
      </c>
      <c r="V1125" s="5">
        <v>0</v>
      </c>
      <c r="W1125" s="5">
        <v>0</v>
      </c>
      <c r="X1125" s="2">
        <v>0</v>
      </c>
      <c r="Y1125" t="s">
        <v>4</v>
      </c>
      <c r="Z1125" t="s">
        <v>4</v>
      </c>
      <c r="AA1125" t="s">
        <v>4</v>
      </c>
      <c r="AB1125" t="s">
        <v>4</v>
      </c>
    </row>
    <row r="1126" spans="1:28" x14ac:dyDescent="0.2">
      <c r="A1126" t="s">
        <v>1139</v>
      </c>
      <c r="B1126" t="s">
        <v>2</v>
      </c>
      <c r="C1126" t="s">
        <v>3</v>
      </c>
      <c r="D1126" t="s">
        <v>4</v>
      </c>
      <c r="E1126" t="s">
        <v>4</v>
      </c>
      <c r="F1126" t="s">
        <v>5</v>
      </c>
      <c r="G1126" t="s">
        <v>21</v>
      </c>
      <c r="H1126" t="s">
        <v>3943</v>
      </c>
      <c r="I1126" s="2">
        <v>432</v>
      </c>
      <c r="J1126" s="2">
        <v>0</v>
      </c>
      <c r="K1126" s="2">
        <v>0</v>
      </c>
      <c r="L1126" s="3">
        <v>45832</v>
      </c>
      <c r="M1126" s="3">
        <v>45832</v>
      </c>
      <c r="N1126" s="3"/>
      <c r="O1126" t="s">
        <v>3944</v>
      </c>
      <c r="P1126" t="s">
        <v>9</v>
      </c>
      <c r="Q1126" s="4">
        <v>0.47701388888889001</v>
      </c>
      <c r="R1126" t="s">
        <v>5</v>
      </c>
      <c r="S1126" t="s">
        <v>4</v>
      </c>
      <c r="T1126" t="s">
        <v>2665</v>
      </c>
      <c r="U1126" t="s">
        <v>10</v>
      </c>
      <c r="V1126" s="5">
        <v>0</v>
      </c>
      <c r="W1126" s="5">
        <v>0</v>
      </c>
      <c r="X1126" s="2">
        <v>0</v>
      </c>
      <c r="Y1126" t="s">
        <v>4</v>
      </c>
      <c r="Z1126" t="s">
        <v>4</v>
      </c>
      <c r="AA1126" t="s">
        <v>4</v>
      </c>
      <c r="AB1126" t="s">
        <v>4</v>
      </c>
    </row>
    <row r="1127" spans="1:28" x14ac:dyDescent="0.2">
      <c r="A1127" t="s">
        <v>1139</v>
      </c>
      <c r="B1127" t="s">
        <v>2</v>
      </c>
      <c r="C1127" t="s">
        <v>3</v>
      </c>
      <c r="D1127" t="s">
        <v>4</v>
      </c>
      <c r="E1127" t="s">
        <v>4</v>
      </c>
      <c r="F1127" t="s">
        <v>5</v>
      </c>
      <c r="G1127" t="s">
        <v>21</v>
      </c>
      <c r="H1127" t="s">
        <v>3943</v>
      </c>
      <c r="I1127" s="2">
        <v>432</v>
      </c>
      <c r="J1127" s="2">
        <v>0</v>
      </c>
      <c r="K1127" s="2">
        <v>0</v>
      </c>
      <c r="L1127" s="3">
        <v>45832</v>
      </c>
      <c r="M1127" s="3">
        <v>45832</v>
      </c>
      <c r="N1127" s="3"/>
      <c r="O1127" t="s">
        <v>3945</v>
      </c>
      <c r="P1127" t="s">
        <v>9</v>
      </c>
      <c r="Q1127" s="4">
        <v>0.47701388888889001</v>
      </c>
      <c r="R1127" t="s">
        <v>5</v>
      </c>
      <c r="S1127" t="s">
        <v>4</v>
      </c>
      <c r="T1127" t="s">
        <v>2665</v>
      </c>
      <c r="U1127" t="s">
        <v>10</v>
      </c>
      <c r="V1127" s="5">
        <v>0</v>
      </c>
      <c r="W1127" s="5">
        <v>0</v>
      </c>
      <c r="X1127" s="2">
        <v>0</v>
      </c>
      <c r="Y1127" t="s">
        <v>4</v>
      </c>
      <c r="Z1127" t="s">
        <v>4</v>
      </c>
      <c r="AA1127" t="s">
        <v>4</v>
      </c>
      <c r="AB1127" t="s">
        <v>4</v>
      </c>
    </row>
    <row r="1128" spans="1:28" x14ac:dyDescent="0.2">
      <c r="A1128" t="s">
        <v>1563</v>
      </c>
      <c r="B1128" t="s">
        <v>2</v>
      </c>
      <c r="C1128" t="s">
        <v>3</v>
      </c>
      <c r="D1128" t="s">
        <v>4</v>
      </c>
      <c r="E1128" t="s">
        <v>4</v>
      </c>
      <c r="F1128" t="s">
        <v>5</v>
      </c>
      <c r="G1128" t="s">
        <v>21</v>
      </c>
      <c r="H1128" t="s">
        <v>3946</v>
      </c>
      <c r="I1128" s="2">
        <v>300</v>
      </c>
      <c r="J1128" s="2">
        <v>0</v>
      </c>
      <c r="K1128" s="2">
        <v>0</v>
      </c>
      <c r="L1128" s="3">
        <v>45859</v>
      </c>
      <c r="M1128" s="3">
        <v>45859</v>
      </c>
      <c r="N1128" s="3"/>
      <c r="O1128" t="s">
        <v>3947</v>
      </c>
      <c r="P1128" t="s">
        <v>9</v>
      </c>
      <c r="Q1128" s="4">
        <v>0.74050925925926003</v>
      </c>
      <c r="R1128" t="s">
        <v>5</v>
      </c>
      <c r="S1128" t="s">
        <v>4</v>
      </c>
      <c r="T1128" t="s">
        <v>2261</v>
      </c>
      <c r="U1128" t="s">
        <v>10</v>
      </c>
      <c r="V1128" s="5">
        <v>0</v>
      </c>
      <c r="W1128" s="5">
        <v>0</v>
      </c>
      <c r="X1128" s="2">
        <v>0</v>
      </c>
      <c r="Y1128" t="s">
        <v>4</v>
      </c>
      <c r="Z1128" t="s">
        <v>4</v>
      </c>
      <c r="AA1128" t="s">
        <v>4</v>
      </c>
      <c r="AB1128" t="s">
        <v>4</v>
      </c>
    </row>
    <row r="1129" spans="1:28" x14ac:dyDescent="0.2">
      <c r="A1129" t="s">
        <v>1563</v>
      </c>
      <c r="B1129" t="s">
        <v>2</v>
      </c>
      <c r="C1129" t="s">
        <v>3</v>
      </c>
      <c r="D1129" t="s">
        <v>4</v>
      </c>
      <c r="E1129" t="s">
        <v>4</v>
      </c>
      <c r="F1129" t="s">
        <v>5</v>
      </c>
      <c r="G1129" t="s">
        <v>21</v>
      </c>
      <c r="H1129" t="s">
        <v>3946</v>
      </c>
      <c r="I1129" s="2">
        <v>300</v>
      </c>
      <c r="J1129" s="2">
        <v>0</v>
      </c>
      <c r="K1129" s="2">
        <v>0</v>
      </c>
      <c r="L1129" s="3">
        <v>45859</v>
      </c>
      <c r="M1129" s="3">
        <v>45859</v>
      </c>
      <c r="N1129" s="3"/>
      <c r="O1129" t="s">
        <v>3948</v>
      </c>
      <c r="P1129" t="s">
        <v>9</v>
      </c>
      <c r="Q1129" s="4">
        <v>0.74050925925926003</v>
      </c>
      <c r="R1129" t="s">
        <v>5</v>
      </c>
      <c r="S1129" t="s">
        <v>4</v>
      </c>
      <c r="T1129" t="s">
        <v>2261</v>
      </c>
      <c r="U1129" t="s">
        <v>10</v>
      </c>
      <c r="V1129" s="5">
        <v>0</v>
      </c>
      <c r="W1129" s="5">
        <v>0</v>
      </c>
      <c r="X1129" s="2">
        <v>0</v>
      </c>
      <c r="Y1129" t="s">
        <v>4</v>
      </c>
      <c r="Z1129" t="s">
        <v>4</v>
      </c>
      <c r="AA1129" t="s">
        <v>4</v>
      </c>
      <c r="AB1129" t="s">
        <v>4</v>
      </c>
    </row>
    <row r="1130" spans="1:28" x14ac:dyDescent="0.2">
      <c r="A1130" t="s">
        <v>0</v>
      </c>
      <c r="B1130" t="s">
        <v>2</v>
      </c>
      <c r="C1130" t="s">
        <v>3</v>
      </c>
      <c r="D1130" t="s">
        <v>4</v>
      </c>
      <c r="E1130" t="s">
        <v>4</v>
      </c>
      <c r="F1130" t="s">
        <v>5</v>
      </c>
      <c r="G1130" t="s">
        <v>21</v>
      </c>
      <c r="H1130" t="s">
        <v>157</v>
      </c>
      <c r="I1130" s="2">
        <v>196</v>
      </c>
      <c r="J1130" s="2">
        <v>0</v>
      </c>
      <c r="K1130" s="2">
        <v>0</v>
      </c>
      <c r="L1130" s="3">
        <v>45819</v>
      </c>
      <c r="M1130" s="3">
        <v>45819</v>
      </c>
      <c r="N1130" s="3"/>
      <c r="O1130" t="s">
        <v>158</v>
      </c>
      <c r="P1130" t="s">
        <v>9</v>
      </c>
      <c r="Q1130" s="4">
        <v>0.47256944444443999</v>
      </c>
      <c r="R1130" t="s">
        <v>5</v>
      </c>
      <c r="S1130" t="s">
        <v>4</v>
      </c>
      <c r="T1130" t="s">
        <v>2263</v>
      </c>
      <c r="U1130" t="s">
        <v>10</v>
      </c>
      <c r="V1130" s="5">
        <v>0</v>
      </c>
      <c r="W1130" s="5">
        <v>0</v>
      </c>
      <c r="X1130" s="2">
        <v>0</v>
      </c>
      <c r="Y1130" t="s">
        <v>4</v>
      </c>
      <c r="Z1130" t="s">
        <v>4</v>
      </c>
      <c r="AA1130" t="s">
        <v>4</v>
      </c>
      <c r="AB1130" t="s">
        <v>4</v>
      </c>
    </row>
    <row r="1131" spans="1:28" x14ac:dyDescent="0.2">
      <c r="A1131" t="s">
        <v>0</v>
      </c>
      <c r="B1131" t="s">
        <v>2</v>
      </c>
      <c r="C1131" t="s">
        <v>3</v>
      </c>
      <c r="D1131" t="s">
        <v>4</v>
      </c>
      <c r="E1131" t="s">
        <v>4</v>
      </c>
      <c r="F1131" t="s">
        <v>5</v>
      </c>
      <c r="G1131" t="s">
        <v>21</v>
      </c>
      <c r="H1131" t="s">
        <v>157</v>
      </c>
      <c r="I1131" s="2">
        <v>196</v>
      </c>
      <c r="J1131" s="2">
        <v>0</v>
      </c>
      <c r="K1131" s="2">
        <v>0</v>
      </c>
      <c r="L1131" s="3">
        <v>45819</v>
      </c>
      <c r="M1131" s="3">
        <v>45819</v>
      </c>
      <c r="N1131" s="3"/>
      <c r="O1131" t="s">
        <v>159</v>
      </c>
      <c r="P1131" t="s">
        <v>9</v>
      </c>
      <c r="Q1131" s="4">
        <v>0.47256944444443999</v>
      </c>
      <c r="R1131" t="s">
        <v>5</v>
      </c>
      <c r="S1131" t="s">
        <v>4</v>
      </c>
      <c r="T1131" t="s">
        <v>2263</v>
      </c>
      <c r="U1131" t="s">
        <v>10</v>
      </c>
      <c r="V1131" s="5">
        <v>0</v>
      </c>
      <c r="W1131" s="5">
        <v>0</v>
      </c>
      <c r="X1131" s="2">
        <v>0</v>
      </c>
      <c r="Y1131" t="s">
        <v>4</v>
      </c>
      <c r="Z1131" t="s">
        <v>4</v>
      </c>
      <c r="AA1131" t="s">
        <v>4</v>
      </c>
      <c r="AB1131" t="s">
        <v>4</v>
      </c>
    </row>
    <row r="1132" spans="1:28" x14ac:dyDescent="0.2">
      <c r="A1132" t="s">
        <v>491</v>
      </c>
      <c r="B1132" t="s">
        <v>2</v>
      </c>
      <c r="C1132" t="s">
        <v>3</v>
      </c>
      <c r="D1132" t="s">
        <v>4</v>
      </c>
      <c r="E1132" t="s">
        <v>4</v>
      </c>
      <c r="F1132" t="s">
        <v>5</v>
      </c>
      <c r="G1132" t="s">
        <v>17</v>
      </c>
      <c r="H1132" t="s">
        <v>3949</v>
      </c>
      <c r="I1132" s="2">
        <v>2160</v>
      </c>
      <c r="J1132" s="2">
        <v>0</v>
      </c>
      <c r="K1132" s="2">
        <v>0</v>
      </c>
      <c r="L1132" s="3">
        <v>45783</v>
      </c>
      <c r="M1132" s="3">
        <v>45783</v>
      </c>
      <c r="N1132" s="3"/>
      <c r="O1132" t="s">
        <v>3950</v>
      </c>
      <c r="P1132" t="s">
        <v>9</v>
      </c>
      <c r="Q1132" s="4">
        <v>0.36528935185185002</v>
      </c>
      <c r="R1132" t="s">
        <v>5</v>
      </c>
      <c r="S1132" t="s">
        <v>4</v>
      </c>
      <c r="T1132" t="s">
        <v>3611</v>
      </c>
      <c r="U1132" t="s">
        <v>10</v>
      </c>
      <c r="V1132" s="5">
        <v>0</v>
      </c>
      <c r="W1132" s="5">
        <v>0</v>
      </c>
      <c r="X1132" s="2">
        <v>0</v>
      </c>
      <c r="Y1132" t="s">
        <v>4</v>
      </c>
      <c r="Z1132" t="s">
        <v>4</v>
      </c>
      <c r="AA1132" t="s">
        <v>4</v>
      </c>
      <c r="AB1132" t="s">
        <v>4</v>
      </c>
    </row>
    <row r="1133" spans="1:28" x14ac:dyDescent="0.2">
      <c r="A1133" t="s">
        <v>491</v>
      </c>
      <c r="B1133" t="s">
        <v>2</v>
      </c>
      <c r="C1133" t="s">
        <v>3</v>
      </c>
      <c r="D1133" t="s">
        <v>4</v>
      </c>
      <c r="E1133" t="s">
        <v>4</v>
      </c>
      <c r="F1133" t="s">
        <v>5</v>
      </c>
      <c r="G1133" t="s">
        <v>17</v>
      </c>
      <c r="H1133" t="s">
        <v>3949</v>
      </c>
      <c r="I1133" s="2">
        <v>1440</v>
      </c>
      <c r="J1133" s="2">
        <v>0</v>
      </c>
      <c r="K1133" s="2">
        <v>0</v>
      </c>
      <c r="L1133" s="3">
        <v>45782</v>
      </c>
      <c r="M1133" s="3">
        <v>45782</v>
      </c>
      <c r="N1133" s="3"/>
      <c r="O1133" t="s">
        <v>3951</v>
      </c>
      <c r="P1133" t="s">
        <v>9</v>
      </c>
      <c r="Q1133" s="4">
        <v>0.36528935185185002</v>
      </c>
      <c r="R1133" t="s">
        <v>5</v>
      </c>
      <c r="S1133" t="s">
        <v>4</v>
      </c>
      <c r="T1133" t="s">
        <v>3952</v>
      </c>
      <c r="U1133" t="s">
        <v>10</v>
      </c>
      <c r="V1133" s="5">
        <v>0</v>
      </c>
      <c r="W1133" s="5">
        <v>0</v>
      </c>
      <c r="X1133" s="2">
        <v>0</v>
      </c>
      <c r="Y1133" t="s">
        <v>4</v>
      </c>
      <c r="Z1133" t="s">
        <v>4</v>
      </c>
      <c r="AA1133" t="s">
        <v>4</v>
      </c>
      <c r="AB1133" t="s">
        <v>4</v>
      </c>
    </row>
    <row r="1134" spans="1:28" x14ac:dyDescent="0.2">
      <c r="A1134" t="s">
        <v>482</v>
      </c>
      <c r="B1134" t="s">
        <v>2</v>
      </c>
      <c r="C1134" t="s">
        <v>3</v>
      </c>
      <c r="D1134" t="s">
        <v>4</v>
      </c>
      <c r="E1134" t="s">
        <v>4</v>
      </c>
      <c r="F1134" t="s">
        <v>5</v>
      </c>
      <c r="G1134" t="s">
        <v>17</v>
      </c>
      <c r="H1134" t="s">
        <v>3953</v>
      </c>
      <c r="I1134" s="2">
        <v>1560</v>
      </c>
      <c r="J1134" s="2">
        <v>0</v>
      </c>
      <c r="K1134" s="2">
        <v>0</v>
      </c>
      <c r="L1134" s="3">
        <v>45853</v>
      </c>
      <c r="M1134" s="3">
        <v>45853</v>
      </c>
      <c r="N1134" s="3"/>
      <c r="O1134" t="s">
        <v>3954</v>
      </c>
      <c r="P1134" t="s">
        <v>9</v>
      </c>
      <c r="Q1134" s="4">
        <v>0.76890046296296</v>
      </c>
      <c r="R1134" t="s">
        <v>5</v>
      </c>
      <c r="S1134" t="s">
        <v>4</v>
      </c>
      <c r="T1134" t="s">
        <v>2272</v>
      </c>
      <c r="U1134" t="s">
        <v>10</v>
      </c>
      <c r="V1134" s="5">
        <v>0</v>
      </c>
      <c r="W1134" s="5">
        <v>0</v>
      </c>
      <c r="X1134" s="2">
        <v>0</v>
      </c>
      <c r="Y1134" t="s">
        <v>4</v>
      </c>
      <c r="Z1134" t="s">
        <v>4</v>
      </c>
      <c r="AA1134" t="s">
        <v>4</v>
      </c>
      <c r="AB1134" t="s">
        <v>4</v>
      </c>
    </row>
    <row r="1135" spans="1:28" x14ac:dyDescent="0.2">
      <c r="A1135" t="s">
        <v>467</v>
      </c>
      <c r="B1135" t="s">
        <v>2</v>
      </c>
      <c r="C1135" t="s">
        <v>3</v>
      </c>
      <c r="D1135" t="s">
        <v>4</v>
      </c>
      <c r="E1135" t="s">
        <v>4</v>
      </c>
      <c r="F1135" t="s">
        <v>5</v>
      </c>
      <c r="G1135" t="s">
        <v>17</v>
      </c>
      <c r="H1135" t="s">
        <v>3955</v>
      </c>
      <c r="I1135" s="2">
        <v>8000</v>
      </c>
      <c r="J1135" s="2">
        <v>0</v>
      </c>
      <c r="K1135" s="2">
        <v>0</v>
      </c>
      <c r="L1135" s="3">
        <v>45859</v>
      </c>
      <c r="M1135" s="3">
        <v>45859</v>
      </c>
      <c r="N1135" s="3"/>
      <c r="O1135" t="s">
        <v>3956</v>
      </c>
      <c r="P1135" t="s">
        <v>9</v>
      </c>
      <c r="Q1135" s="4">
        <v>0.97790509259258995</v>
      </c>
      <c r="R1135" t="s">
        <v>5</v>
      </c>
      <c r="S1135" t="s">
        <v>4</v>
      </c>
      <c r="T1135" t="s">
        <v>2261</v>
      </c>
      <c r="U1135" t="s">
        <v>10</v>
      </c>
      <c r="V1135" s="5">
        <v>0</v>
      </c>
      <c r="W1135" s="5">
        <v>0</v>
      </c>
      <c r="X1135" s="2">
        <v>0</v>
      </c>
      <c r="Y1135" t="s">
        <v>4</v>
      </c>
      <c r="Z1135" t="s">
        <v>4</v>
      </c>
      <c r="AA1135" t="s">
        <v>4</v>
      </c>
      <c r="AB1135" t="s">
        <v>4</v>
      </c>
    </row>
    <row r="1136" spans="1:28" x14ac:dyDescent="0.2">
      <c r="A1136" t="s">
        <v>467</v>
      </c>
      <c r="B1136" t="s">
        <v>2</v>
      </c>
      <c r="C1136" t="s">
        <v>3</v>
      </c>
      <c r="D1136" t="s">
        <v>4</v>
      </c>
      <c r="E1136" t="s">
        <v>4</v>
      </c>
      <c r="F1136" t="s">
        <v>5</v>
      </c>
      <c r="G1136" t="s">
        <v>17</v>
      </c>
      <c r="H1136" t="s">
        <v>3955</v>
      </c>
      <c r="I1136" s="2">
        <v>8000</v>
      </c>
      <c r="J1136" s="2">
        <v>0</v>
      </c>
      <c r="K1136" s="2">
        <v>0</v>
      </c>
      <c r="L1136" s="3">
        <v>45859</v>
      </c>
      <c r="M1136" s="3">
        <v>45859</v>
      </c>
      <c r="N1136" s="3"/>
      <c r="O1136" t="s">
        <v>3957</v>
      </c>
      <c r="P1136" t="s">
        <v>9</v>
      </c>
      <c r="Q1136" s="4">
        <v>0.97790509259258995</v>
      </c>
      <c r="R1136" t="s">
        <v>5</v>
      </c>
      <c r="S1136" t="s">
        <v>4</v>
      </c>
      <c r="T1136" t="s">
        <v>2261</v>
      </c>
      <c r="U1136" t="s">
        <v>10</v>
      </c>
      <c r="V1136" s="5">
        <v>0</v>
      </c>
      <c r="W1136" s="5">
        <v>0</v>
      </c>
      <c r="X1136" s="2">
        <v>0</v>
      </c>
      <c r="Y1136" t="s">
        <v>4</v>
      </c>
      <c r="Z1136" t="s">
        <v>4</v>
      </c>
      <c r="AA1136" t="s">
        <v>4</v>
      </c>
      <c r="AB1136" t="s">
        <v>4</v>
      </c>
    </row>
    <row r="1137" spans="1:28" x14ac:dyDescent="0.2">
      <c r="A1137" t="s">
        <v>635</v>
      </c>
      <c r="B1137" t="s">
        <v>2</v>
      </c>
      <c r="C1137" t="s">
        <v>3</v>
      </c>
      <c r="D1137" t="s">
        <v>4</v>
      </c>
      <c r="E1137" t="s">
        <v>4</v>
      </c>
      <c r="F1137" t="s">
        <v>5</v>
      </c>
      <c r="G1137" t="s">
        <v>17</v>
      </c>
      <c r="H1137" t="s">
        <v>3958</v>
      </c>
      <c r="I1137" s="2">
        <v>800</v>
      </c>
      <c r="J1137" s="2">
        <v>0</v>
      </c>
      <c r="K1137" s="2">
        <v>0</v>
      </c>
      <c r="L1137" s="3">
        <v>45670</v>
      </c>
      <c r="M1137" s="3">
        <v>45670</v>
      </c>
      <c r="N1137" s="3"/>
      <c r="O1137" t="s">
        <v>3959</v>
      </c>
      <c r="P1137" t="s">
        <v>9</v>
      </c>
      <c r="Q1137" s="4">
        <v>0.98387731481481</v>
      </c>
      <c r="R1137" t="s">
        <v>5</v>
      </c>
      <c r="S1137" t="s">
        <v>4</v>
      </c>
      <c r="T1137" t="s">
        <v>2977</v>
      </c>
      <c r="U1137" t="s">
        <v>10</v>
      </c>
      <c r="V1137" s="5">
        <v>0</v>
      </c>
      <c r="W1137" s="5">
        <v>0</v>
      </c>
      <c r="X1137" s="2">
        <v>0</v>
      </c>
      <c r="Y1137" t="s">
        <v>4</v>
      </c>
      <c r="Z1137" t="s">
        <v>4</v>
      </c>
      <c r="AA1137" t="s">
        <v>4</v>
      </c>
      <c r="AB1137" t="s">
        <v>4</v>
      </c>
    </row>
    <row r="1138" spans="1:28" x14ac:dyDescent="0.2">
      <c r="A1138" t="s">
        <v>635</v>
      </c>
      <c r="B1138" t="s">
        <v>2</v>
      </c>
      <c r="C1138" t="s">
        <v>3</v>
      </c>
      <c r="D1138" t="s">
        <v>4</v>
      </c>
      <c r="E1138" t="s">
        <v>4</v>
      </c>
      <c r="F1138" t="s">
        <v>5</v>
      </c>
      <c r="G1138" t="s">
        <v>17</v>
      </c>
      <c r="H1138" t="s">
        <v>3958</v>
      </c>
      <c r="I1138" s="2">
        <v>640</v>
      </c>
      <c r="J1138" s="2">
        <v>0</v>
      </c>
      <c r="K1138" s="2">
        <v>0</v>
      </c>
      <c r="L1138" s="3">
        <v>45670</v>
      </c>
      <c r="M1138" s="3">
        <v>45670</v>
      </c>
      <c r="N1138" s="3"/>
      <c r="O1138" t="s">
        <v>3960</v>
      </c>
      <c r="P1138" t="s">
        <v>9</v>
      </c>
      <c r="Q1138" s="4">
        <v>0.98387731481481</v>
      </c>
      <c r="R1138" t="s">
        <v>5</v>
      </c>
      <c r="S1138" t="s">
        <v>4</v>
      </c>
      <c r="T1138" t="s">
        <v>2977</v>
      </c>
      <c r="U1138" t="s">
        <v>10</v>
      </c>
      <c r="V1138" s="5">
        <v>0</v>
      </c>
      <c r="W1138" s="5">
        <v>0</v>
      </c>
      <c r="X1138" s="2">
        <v>0</v>
      </c>
      <c r="Y1138" t="s">
        <v>4</v>
      </c>
      <c r="Z1138" t="s">
        <v>4</v>
      </c>
      <c r="AA1138" t="s">
        <v>4</v>
      </c>
      <c r="AB1138" t="s">
        <v>4</v>
      </c>
    </row>
    <row r="1139" spans="1:28" x14ac:dyDescent="0.2">
      <c r="A1139" t="s">
        <v>1573</v>
      </c>
      <c r="B1139" t="s">
        <v>2</v>
      </c>
      <c r="C1139" t="s">
        <v>3</v>
      </c>
      <c r="D1139" t="s">
        <v>4</v>
      </c>
      <c r="E1139" t="s">
        <v>4</v>
      </c>
      <c r="F1139" t="s">
        <v>5</v>
      </c>
      <c r="G1139" t="s">
        <v>6</v>
      </c>
      <c r="H1139" t="s">
        <v>3961</v>
      </c>
      <c r="I1139" s="2">
        <v>45</v>
      </c>
      <c r="J1139" s="2">
        <v>0</v>
      </c>
      <c r="K1139" s="2">
        <v>0</v>
      </c>
      <c r="L1139" s="3">
        <v>45859</v>
      </c>
      <c r="M1139" s="3">
        <v>45859</v>
      </c>
      <c r="N1139" s="3"/>
      <c r="O1139" t="s">
        <v>3962</v>
      </c>
      <c r="P1139" t="s">
        <v>9</v>
      </c>
      <c r="Q1139" s="4">
        <v>0.91644675925926</v>
      </c>
      <c r="R1139" t="s">
        <v>5</v>
      </c>
      <c r="S1139" t="s">
        <v>4</v>
      </c>
      <c r="T1139" t="s">
        <v>2261</v>
      </c>
      <c r="U1139" t="s">
        <v>10</v>
      </c>
      <c r="V1139" s="5">
        <v>0</v>
      </c>
      <c r="W1139" s="5">
        <v>0</v>
      </c>
      <c r="X1139" s="2">
        <v>0</v>
      </c>
      <c r="Y1139" t="s">
        <v>4</v>
      </c>
      <c r="Z1139" t="s">
        <v>4</v>
      </c>
      <c r="AA1139" t="s">
        <v>4</v>
      </c>
      <c r="AB1139" t="s">
        <v>4</v>
      </c>
    </row>
    <row r="1140" spans="1:28" x14ac:dyDescent="0.2">
      <c r="A1140" t="s">
        <v>1573</v>
      </c>
      <c r="B1140" t="s">
        <v>2</v>
      </c>
      <c r="C1140" t="s">
        <v>3</v>
      </c>
      <c r="D1140" t="s">
        <v>4</v>
      </c>
      <c r="E1140" t="s">
        <v>4</v>
      </c>
      <c r="F1140" t="s">
        <v>5</v>
      </c>
      <c r="G1140" t="s">
        <v>6</v>
      </c>
      <c r="H1140" t="s">
        <v>3961</v>
      </c>
      <c r="I1140" s="2">
        <v>45</v>
      </c>
      <c r="J1140" s="2">
        <v>0</v>
      </c>
      <c r="K1140" s="2">
        <v>0</v>
      </c>
      <c r="L1140" s="3">
        <v>45859</v>
      </c>
      <c r="M1140" s="3">
        <v>45859</v>
      </c>
      <c r="N1140" s="3"/>
      <c r="O1140" t="s">
        <v>3963</v>
      </c>
      <c r="P1140" t="s">
        <v>9</v>
      </c>
      <c r="Q1140" s="4">
        <v>0.91644675925926</v>
      </c>
      <c r="R1140" t="s">
        <v>5</v>
      </c>
      <c r="S1140" t="s">
        <v>4</v>
      </c>
      <c r="T1140" t="s">
        <v>2261</v>
      </c>
      <c r="U1140" t="s">
        <v>10</v>
      </c>
      <c r="V1140" s="5">
        <v>0</v>
      </c>
      <c r="W1140" s="5">
        <v>0</v>
      </c>
      <c r="X1140" s="2">
        <v>0</v>
      </c>
      <c r="Y1140" t="s">
        <v>4</v>
      </c>
      <c r="Z1140" t="s">
        <v>4</v>
      </c>
      <c r="AA1140" t="s">
        <v>4</v>
      </c>
      <c r="AB1140" t="s">
        <v>4</v>
      </c>
    </row>
    <row r="1141" spans="1:28" x14ac:dyDescent="0.2">
      <c r="A1141" t="s">
        <v>547</v>
      </c>
      <c r="B1141" t="s">
        <v>2</v>
      </c>
      <c r="C1141" t="s">
        <v>3</v>
      </c>
      <c r="D1141" t="s">
        <v>4</v>
      </c>
      <c r="E1141" t="s">
        <v>4</v>
      </c>
      <c r="F1141" t="s">
        <v>5</v>
      </c>
      <c r="G1141" t="s">
        <v>6</v>
      </c>
      <c r="H1141" t="s">
        <v>3964</v>
      </c>
      <c r="I1141" s="2">
        <v>374</v>
      </c>
      <c r="J1141" s="2">
        <v>0</v>
      </c>
      <c r="K1141" s="2">
        <v>0</v>
      </c>
      <c r="L1141" s="3">
        <v>45747</v>
      </c>
      <c r="M1141" s="3">
        <v>45747</v>
      </c>
      <c r="N1141" s="3"/>
      <c r="O1141" t="s">
        <v>3965</v>
      </c>
      <c r="P1141" t="s">
        <v>9</v>
      </c>
      <c r="Q1141" s="4">
        <v>0.87733796296295996</v>
      </c>
      <c r="R1141" t="s">
        <v>5</v>
      </c>
      <c r="S1141" t="s">
        <v>4</v>
      </c>
      <c r="T1141" t="s">
        <v>2616</v>
      </c>
      <c r="U1141" t="s">
        <v>10</v>
      </c>
      <c r="V1141" s="5">
        <v>0</v>
      </c>
      <c r="W1141" s="5">
        <v>0</v>
      </c>
      <c r="X1141" s="2">
        <v>0</v>
      </c>
      <c r="Y1141" t="s">
        <v>4</v>
      </c>
      <c r="Z1141" t="s">
        <v>4</v>
      </c>
      <c r="AA1141" t="s">
        <v>4</v>
      </c>
      <c r="AB1141" t="s">
        <v>4</v>
      </c>
    </row>
    <row r="1142" spans="1:28" x14ac:dyDescent="0.2">
      <c r="A1142" t="s">
        <v>2043</v>
      </c>
      <c r="B1142" t="s">
        <v>2</v>
      </c>
      <c r="C1142" t="s">
        <v>3</v>
      </c>
      <c r="D1142" t="s">
        <v>4</v>
      </c>
      <c r="E1142" t="s">
        <v>4</v>
      </c>
      <c r="F1142" t="s">
        <v>5</v>
      </c>
      <c r="G1142" t="s">
        <v>6</v>
      </c>
      <c r="H1142" t="s">
        <v>3966</v>
      </c>
      <c r="I1142" s="2">
        <v>108</v>
      </c>
      <c r="J1142" s="2">
        <v>0</v>
      </c>
      <c r="K1142" s="2">
        <v>0</v>
      </c>
      <c r="L1142" s="3">
        <v>45854</v>
      </c>
      <c r="M1142" s="3">
        <v>45854</v>
      </c>
      <c r="N1142" s="3"/>
      <c r="O1142" t="s">
        <v>3967</v>
      </c>
      <c r="P1142" t="s">
        <v>9</v>
      </c>
      <c r="Q1142" s="4">
        <v>0.42942129629629999</v>
      </c>
      <c r="R1142" t="s">
        <v>5</v>
      </c>
      <c r="S1142" t="s">
        <v>4</v>
      </c>
      <c r="T1142" t="s">
        <v>2299</v>
      </c>
      <c r="U1142" t="s">
        <v>10</v>
      </c>
      <c r="V1142" s="5">
        <v>0</v>
      </c>
      <c r="W1142" s="5">
        <v>0</v>
      </c>
      <c r="X1142" s="2">
        <v>0</v>
      </c>
      <c r="Y1142" t="s">
        <v>4</v>
      </c>
      <c r="Z1142" t="s">
        <v>4</v>
      </c>
      <c r="AA1142" t="s">
        <v>4</v>
      </c>
      <c r="AB1142" t="s">
        <v>4</v>
      </c>
    </row>
    <row r="1143" spans="1:28" x14ac:dyDescent="0.2">
      <c r="A1143" t="s">
        <v>2043</v>
      </c>
      <c r="B1143" t="s">
        <v>2</v>
      </c>
      <c r="C1143" t="s">
        <v>3</v>
      </c>
      <c r="D1143" t="s">
        <v>4</v>
      </c>
      <c r="E1143" t="s">
        <v>4</v>
      </c>
      <c r="F1143" t="s">
        <v>5</v>
      </c>
      <c r="G1143" t="s">
        <v>6</v>
      </c>
      <c r="H1143" t="s">
        <v>3966</v>
      </c>
      <c r="I1143" s="2">
        <v>108</v>
      </c>
      <c r="J1143" s="2">
        <v>0</v>
      </c>
      <c r="K1143" s="2">
        <v>0</v>
      </c>
      <c r="L1143" s="3">
        <v>45854</v>
      </c>
      <c r="M1143" s="3">
        <v>45854</v>
      </c>
      <c r="N1143" s="3"/>
      <c r="O1143" t="s">
        <v>3968</v>
      </c>
      <c r="P1143" t="s">
        <v>9</v>
      </c>
      <c r="Q1143" s="4">
        <v>0.42942129629629999</v>
      </c>
      <c r="R1143" t="s">
        <v>5</v>
      </c>
      <c r="S1143" t="s">
        <v>4</v>
      </c>
      <c r="T1143" t="s">
        <v>2299</v>
      </c>
      <c r="U1143" t="s">
        <v>10</v>
      </c>
      <c r="V1143" s="5">
        <v>0</v>
      </c>
      <c r="W1143" s="5">
        <v>0</v>
      </c>
      <c r="X1143" s="2">
        <v>0</v>
      </c>
      <c r="Y1143" t="s">
        <v>4</v>
      </c>
      <c r="Z1143" t="s">
        <v>4</v>
      </c>
      <c r="AA1143" t="s">
        <v>4</v>
      </c>
      <c r="AB1143" t="s">
        <v>4</v>
      </c>
    </row>
    <row r="1144" spans="1:28" x14ac:dyDescent="0.2">
      <c r="A1144" t="s">
        <v>662</v>
      </c>
      <c r="B1144" t="s">
        <v>2</v>
      </c>
      <c r="C1144" t="s">
        <v>3</v>
      </c>
      <c r="D1144" t="s">
        <v>4</v>
      </c>
      <c r="E1144" t="s">
        <v>4</v>
      </c>
      <c r="F1144" t="s">
        <v>5</v>
      </c>
      <c r="G1144" t="s">
        <v>6</v>
      </c>
      <c r="H1144" t="s">
        <v>3969</v>
      </c>
      <c r="I1144" s="2">
        <v>270</v>
      </c>
      <c r="J1144" s="2">
        <v>0</v>
      </c>
      <c r="K1144" s="2">
        <v>0</v>
      </c>
      <c r="L1144" s="3">
        <v>45847</v>
      </c>
      <c r="M1144" s="3">
        <v>45847</v>
      </c>
      <c r="N1144" s="3"/>
      <c r="O1144" t="s">
        <v>3970</v>
      </c>
      <c r="P1144" t="s">
        <v>9</v>
      </c>
      <c r="Q1144" s="4">
        <v>0.61119212962962999</v>
      </c>
      <c r="R1144" t="s">
        <v>5</v>
      </c>
      <c r="S1144" t="s">
        <v>4</v>
      </c>
      <c r="T1144" t="s">
        <v>2341</v>
      </c>
      <c r="U1144" t="s">
        <v>10</v>
      </c>
      <c r="V1144" s="5">
        <v>0</v>
      </c>
      <c r="W1144" s="5">
        <v>0</v>
      </c>
      <c r="X1144" s="2">
        <v>0</v>
      </c>
      <c r="Y1144" t="s">
        <v>4</v>
      </c>
      <c r="Z1144" t="s">
        <v>4</v>
      </c>
      <c r="AA1144" t="s">
        <v>4</v>
      </c>
      <c r="AB1144" t="s">
        <v>4</v>
      </c>
    </row>
    <row r="1145" spans="1:28" x14ac:dyDescent="0.2">
      <c r="A1145" t="s">
        <v>662</v>
      </c>
      <c r="B1145" t="s">
        <v>2</v>
      </c>
      <c r="C1145" t="s">
        <v>3</v>
      </c>
      <c r="D1145" t="s">
        <v>4</v>
      </c>
      <c r="E1145" t="s">
        <v>4</v>
      </c>
      <c r="F1145" t="s">
        <v>5</v>
      </c>
      <c r="G1145" t="s">
        <v>6</v>
      </c>
      <c r="H1145" t="s">
        <v>3969</v>
      </c>
      <c r="I1145" s="2">
        <v>270</v>
      </c>
      <c r="J1145" s="2">
        <v>0</v>
      </c>
      <c r="K1145" s="2">
        <v>0</v>
      </c>
      <c r="L1145" s="3">
        <v>45847</v>
      </c>
      <c r="M1145" s="3">
        <v>45847</v>
      </c>
      <c r="N1145" s="3"/>
      <c r="O1145" t="s">
        <v>3971</v>
      </c>
      <c r="P1145" t="s">
        <v>9</v>
      </c>
      <c r="Q1145" s="4">
        <v>0.61119212962962999</v>
      </c>
      <c r="R1145" t="s">
        <v>5</v>
      </c>
      <c r="S1145" t="s">
        <v>4</v>
      </c>
      <c r="T1145" t="s">
        <v>2341</v>
      </c>
      <c r="U1145" t="s">
        <v>10</v>
      </c>
      <c r="V1145" s="5">
        <v>0</v>
      </c>
      <c r="W1145" s="5">
        <v>0</v>
      </c>
      <c r="X1145" s="2">
        <v>0</v>
      </c>
      <c r="Y1145" t="s">
        <v>4</v>
      </c>
      <c r="Z1145" t="s">
        <v>4</v>
      </c>
      <c r="AA1145" t="s">
        <v>4</v>
      </c>
      <c r="AB1145" t="s">
        <v>4</v>
      </c>
    </row>
    <row r="1146" spans="1:28" x14ac:dyDescent="0.2">
      <c r="A1146" t="s">
        <v>662</v>
      </c>
      <c r="B1146" t="s">
        <v>2</v>
      </c>
      <c r="C1146" t="s">
        <v>3</v>
      </c>
      <c r="D1146" t="s">
        <v>4</v>
      </c>
      <c r="E1146" t="s">
        <v>4</v>
      </c>
      <c r="F1146" t="s">
        <v>5</v>
      </c>
      <c r="G1146" t="s">
        <v>6</v>
      </c>
      <c r="H1146" t="s">
        <v>3972</v>
      </c>
      <c r="I1146" s="2">
        <v>270</v>
      </c>
      <c r="J1146" s="2">
        <v>0</v>
      </c>
      <c r="K1146" s="2">
        <v>0</v>
      </c>
      <c r="L1146" s="3">
        <v>45847</v>
      </c>
      <c r="M1146" s="3">
        <v>45847</v>
      </c>
      <c r="N1146" s="3"/>
      <c r="O1146" t="s">
        <v>3973</v>
      </c>
      <c r="P1146" t="s">
        <v>9</v>
      </c>
      <c r="Q1146" s="4">
        <v>0.61173611111111004</v>
      </c>
      <c r="R1146" t="s">
        <v>5</v>
      </c>
      <c r="S1146" t="s">
        <v>4</v>
      </c>
      <c r="T1146" t="s">
        <v>2341</v>
      </c>
      <c r="U1146" t="s">
        <v>10</v>
      </c>
      <c r="V1146" s="5">
        <v>0</v>
      </c>
      <c r="W1146" s="5">
        <v>0</v>
      </c>
      <c r="X1146" s="2">
        <v>0</v>
      </c>
      <c r="Y1146" t="s">
        <v>4</v>
      </c>
      <c r="Z1146" t="s">
        <v>4</v>
      </c>
      <c r="AA1146" t="s">
        <v>4</v>
      </c>
      <c r="AB1146" t="s">
        <v>4</v>
      </c>
    </row>
    <row r="1147" spans="1:28" x14ac:dyDescent="0.2">
      <c r="A1147" t="s">
        <v>662</v>
      </c>
      <c r="B1147" t="s">
        <v>2</v>
      </c>
      <c r="C1147" t="s">
        <v>3</v>
      </c>
      <c r="D1147" t="s">
        <v>4</v>
      </c>
      <c r="E1147" t="s">
        <v>4</v>
      </c>
      <c r="F1147" t="s">
        <v>5</v>
      </c>
      <c r="G1147" t="s">
        <v>6</v>
      </c>
      <c r="H1147" t="s">
        <v>3972</v>
      </c>
      <c r="I1147" s="2">
        <v>270</v>
      </c>
      <c r="J1147" s="2">
        <v>0</v>
      </c>
      <c r="K1147" s="2">
        <v>0</v>
      </c>
      <c r="L1147" s="3">
        <v>45847</v>
      </c>
      <c r="M1147" s="3">
        <v>45847</v>
      </c>
      <c r="N1147" s="3"/>
      <c r="O1147" t="s">
        <v>3974</v>
      </c>
      <c r="P1147" t="s">
        <v>9</v>
      </c>
      <c r="Q1147" s="4">
        <v>0.61173611111111004</v>
      </c>
      <c r="R1147" t="s">
        <v>5</v>
      </c>
      <c r="S1147" t="s">
        <v>4</v>
      </c>
      <c r="T1147" t="s">
        <v>2341</v>
      </c>
      <c r="U1147" t="s">
        <v>10</v>
      </c>
      <c r="V1147" s="5">
        <v>0</v>
      </c>
      <c r="W1147" s="5">
        <v>0</v>
      </c>
      <c r="X1147" s="2">
        <v>0</v>
      </c>
      <c r="Y1147" t="s">
        <v>4</v>
      </c>
      <c r="Z1147" t="s">
        <v>4</v>
      </c>
      <c r="AA1147" t="s">
        <v>4</v>
      </c>
      <c r="AB1147" t="s">
        <v>4</v>
      </c>
    </row>
    <row r="1148" spans="1:28" x14ac:dyDescent="0.2">
      <c r="A1148" t="s">
        <v>1337</v>
      </c>
      <c r="B1148" t="s">
        <v>2</v>
      </c>
      <c r="C1148" t="s">
        <v>3</v>
      </c>
      <c r="D1148" t="s">
        <v>4</v>
      </c>
      <c r="E1148" t="s">
        <v>4</v>
      </c>
      <c r="F1148" t="s">
        <v>5</v>
      </c>
      <c r="G1148" t="s">
        <v>6</v>
      </c>
      <c r="H1148" t="s">
        <v>3975</v>
      </c>
      <c r="I1148" s="2">
        <v>2100</v>
      </c>
      <c r="J1148" s="2">
        <v>0</v>
      </c>
      <c r="K1148" s="2">
        <v>0</v>
      </c>
      <c r="L1148" s="3">
        <v>45841</v>
      </c>
      <c r="M1148" s="3">
        <v>45841</v>
      </c>
      <c r="N1148" s="3"/>
      <c r="O1148" t="s">
        <v>3976</v>
      </c>
      <c r="P1148" t="s">
        <v>9</v>
      </c>
      <c r="Q1148" s="4">
        <v>0.53769675925925997</v>
      </c>
      <c r="R1148" t="s">
        <v>5</v>
      </c>
      <c r="S1148" t="s">
        <v>4</v>
      </c>
      <c r="T1148" t="s">
        <v>3152</v>
      </c>
      <c r="U1148" t="s">
        <v>10</v>
      </c>
      <c r="V1148" s="5">
        <v>0</v>
      </c>
      <c r="W1148" s="5">
        <v>0</v>
      </c>
      <c r="X1148" s="2">
        <v>0</v>
      </c>
      <c r="Y1148" t="s">
        <v>4</v>
      </c>
      <c r="Z1148" t="s">
        <v>4</v>
      </c>
      <c r="AA1148" t="s">
        <v>4</v>
      </c>
      <c r="AB1148" t="s">
        <v>4</v>
      </c>
    </row>
    <row r="1149" spans="1:28" x14ac:dyDescent="0.2">
      <c r="A1149" t="s">
        <v>1139</v>
      </c>
      <c r="B1149" t="s">
        <v>2</v>
      </c>
      <c r="C1149" t="s">
        <v>3</v>
      </c>
      <c r="D1149" t="s">
        <v>4</v>
      </c>
      <c r="E1149" t="s">
        <v>4</v>
      </c>
      <c r="F1149" t="s">
        <v>5</v>
      </c>
      <c r="G1149" t="s">
        <v>21</v>
      </c>
      <c r="H1149" t="s">
        <v>3977</v>
      </c>
      <c r="I1149" s="2">
        <v>432</v>
      </c>
      <c r="J1149" s="2">
        <v>0</v>
      </c>
      <c r="K1149" s="2">
        <v>0</v>
      </c>
      <c r="L1149" s="3">
        <v>45834</v>
      </c>
      <c r="M1149" s="3">
        <v>45834</v>
      </c>
      <c r="N1149" s="3"/>
      <c r="O1149" t="s">
        <v>3978</v>
      </c>
      <c r="P1149" t="s">
        <v>9</v>
      </c>
      <c r="Q1149" s="4">
        <v>0.49651620370369998</v>
      </c>
      <c r="R1149" t="s">
        <v>5</v>
      </c>
      <c r="S1149" t="s">
        <v>4</v>
      </c>
      <c r="T1149" t="s">
        <v>2817</v>
      </c>
      <c r="U1149" t="s">
        <v>10</v>
      </c>
      <c r="V1149" s="5">
        <v>0</v>
      </c>
      <c r="W1149" s="5">
        <v>0</v>
      </c>
      <c r="X1149" s="2">
        <v>0</v>
      </c>
      <c r="Y1149" t="s">
        <v>4</v>
      </c>
      <c r="Z1149" t="s">
        <v>4</v>
      </c>
      <c r="AA1149" t="s">
        <v>4</v>
      </c>
      <c r="AB1149" t="s">
        <v>4</v>
      </c>
    </row>
    <row r="1150" spans="1:28" x14ac:dyDescent="0.2">
      <c r="A1150" t="s">
        <v>1139</v>
      </c>
      <c r="B1150" t="s">
        <v>2</v>
      </c>
      <c r="C1150" t="s">
        <v>3</v>
      </c>
      <c r="D1150" t="s">
        <v>4</v>
      </c>
      <c r="E1150" t="s">
        <v>4</v>
      </c>
      <c r="F1150" t="s">
        <v>5</v>
      </c>
      <c r="G1150" t="s">
        <v>21</v>
      </c>
      <c r="H1150" t="s">
        <v>3977</v>
      </c>
      <c r="I1150" s="2">
        <v>432</v>
      </c>
      <c r="J1150" s="2">
        <v>0</v>
      </c>
      <c r="K1150" s="2">
        <v>0</v>
      </c>
      <c r="L1150" s="3">
        <v>45834</v>
      </c>
      <c r="M1150" s="3">
        <v>45834</v>
      </c>
      <c r="N1150" s="3"/>
      <c r="O1150" t="s">
        <v>3979</v>
      </c>
      <c r="P1150" t="s">
        <v>9</v>
      </c>
      <c r="Q1150" s="4">
        <v>0.49651620370369998</v>
      </c>
      <c r="R1150" t="s">
        <v>5</v>
      </c>
      <c r="S1150" t="s">
        <v>4</v>
      </c>
      <c r="T1150" t="s">
        <v>2817</v>
      </c>
      <c r="U1150" t="s">
        <v>10</v>
      </c>
      <c r="V1150" s="5">
        <v>0</v>
      </c>
      <c r="W1150" s="5">
        <v>0</v>
      </c>
      <c r="X1150" s="2">
        <v>0</v>
      </c>
      <c r="Y1150" t="s">
        <v>4</v>
      </c>
      <c r="Z1150" t="s">
        <v>4</v>
      </c>
      <c r="AA1150" t="s">
        <v>4</v>
      </c>
      <c r="AB1150" t="s">
        <v>4</v>
      </c>
    </row>
    <row r="1151" spans="1:28" x14ac:dyDescent="0.2">
      <c r="A1151" t="s">
        <v>1573</v>
      </c>
      <c r="B1151" t="s">
        <v>2</v>
      </c>
      <c r="C1151" t="s">
        <v>3</v>
      </c>
      <c r="D1151" t="s">
        <v>4</v>
      </c>
      <c r="E1151" t="s">
        <v>4</v>
      </c>
      <c r="F1151" t="s">
        <v>5</v>
      </c>
      <c r="G1151" t="s">
        <v>21</v>
      </c>
      <c r="H1151" t="s">
        <v>3980</v>
      </c>
      <c r="I1151" s="2">
        <v>32</v>
      </c>
      <c r="J1151" s="2">
        <v>0</v>
      </c>
      <c r="K1151" s="2">
        <v>0</v>
      </c>
      <c r="L1151" s="3">
        <v>45851</v>
      </c>
      <c r="M1151" s="3">
        <v>45851</v>
      </c>
      <c r="N1151" s="3"/>
      <c r="O1151" t="s">
        <v>3981</v>
      </c>
      <c r="P1151" t="s">
        <v>9</v>
      </c>
      <c r="Q1151" s="4">
        <v>0.96921296296296</v>
      </c>
      <c r="R1151" t="s">
        <v>5</v>
      </c>
      <c r="S1151" t="s">
        <v>4</v>
      </c>
      <c r="T1151" t="s">
        <v>2747</v>
      </c>
      <c r="U1151" t="s">
        <v>10</v>
      </c>
      <c r="V1151" s="5">
        <v>0</v>
      </c>
      <c r="W1151" s="5">
        <v>0</v>
      </c>
      <c r="X1151" s="2">
        <v>0</v>
      </c>
      <c r="Y1151" t="s">
        <v>4</v>
      </c>
      <c r="Z1151" t="s">
        <v>4</v>
      </c>
      <c r="AA1151" t="s">
        <v>4</v>
      </c>
      <c r="AB1151" t="s">
        <v>4</v>
      </c>
    </row>
    <row r="1152" spans="1:28" x14ac:dyDescent="0.2">
      <c r="A1152" t="s">
        <v>327</v>
      </c>
      <c r="B1152" t="s">
        <v>2</v>
      </c>
      <c r="C1152" t="s">
        <v>3</v>
      </c>
      <c r="D1152" t="s">
        <v>4</v>
      </c>
      <c r="E1152" t="s">
        <v>4</v>
      </c>
      <c r="F1152" t="s">
        <v>5</v>
      </c>
      <c r="G1152" t="s">
        <v>21</v>
      </c>
      <c r="H1152" t="s">
        <v>3982</v>
      </c>
      <c r="I1152" s="2">
        <v>840</v>
      </c>
      <c r="J1152" s="2">
        <v>0</v>
      </c>
      <c r="K1152" s="2">
        <v>0</v>
      </c>
      <c r="L1152" s="3">
        <v>45831</v>
      </c>
      <c r="M1152" s="3">
        <v>45831</v>
      </c>
      <c r="N1152" s="3"/>
      <c r="O1152" t="s">
        <v>3983</v>
      </c>
      <c r="P1152" t="s">
        <v>9</v>
      </c>
      <c r="Q1152" s="4">
        <v>0.64</v>
      </c>
      <c r="R1152" t="s">
        <v>5</v>
      </c>
      <c r="S1152" t="s">
        <v>4</v>
      </c>
      <c r="T1152" t="s">
        <v>3984</v>
      </c>
      <c r="U1152" t="s">
        <v>10</v>
      </c>
      <c r="V1152" s="5">
        <v>0</v>
      </c>
      <c r="W1152" s="5">
        <v>0</v>
      </c>
      <c r="X1152" s="2">
        <v>0</v>
      </c>
      <c r="Y1152" t="s">
        <v>4</v>
      </c>
      <c r="Z1152" t="s">
        <v>4</v>
      </c>
      <c r="AA1152" t="s">
        <v>4</v>
      </c>
      <c r="AB1152" t="s">
        <v>4</v>
      </c>
    </row>
    <row r="1153" spans="1:28" x14ac:dyDescent="0.2">
      <c r="A1153" t="s">
        <v>327</v>
      </c>
      <c r="B1153" t="s">
        <v>2</v>
      </c>
      <c r="C1153" t="s">
        <v>3</v>
      </c>
      <c r="D1153" t="s">
        <v>4</v>
      </c>
      <c r="E1153" t="s">
        <v>4</v>
      </c>
      <c r="F1153" t="s">
        <v>5</v>
      </c>
      <c r="G1153" t="s">
        <v>21</v>
      </c>
      <c r="H1153" t="s">
        <v>3982</v>
      </c>
      <c r="I1153" s="2">
        <v>1260</v>
      </c>
      <c r="J1153" s="2">
        <v>0</v>
      </c>
      <c r="K1153" s="2">
        <v>0</v>
      </c>
      <c r="L1153" s="3">
        <v>45839</v>
      </c>
      <c r="M1153" s="3">
        <v>45839</v>
      </c>
      <c r="N1153" s="3"/>
      <c r="O1153" t="s">
        <v>3985</v>
      </c>
      <c r="P1153" t="s">
        <v>9</v>
      </c>
      <c r="Q1153" s="4">
        <v>0.64</v>
      </c>
      <c r="R1153" t="s">
        <v>5</v>
      </c>
      <c r="S1153" t="s">
        <v>4</v>
      </c>
      <c r="T1153" t="s">
        <v>2312</v>
      </c>
      <c r="U1153" t="s">
        <v>10</v>
      </c>
      <c r="V1153" s="5">
        <v>0</v>
      </c>
      <c r="W1153" s="5">
        <v>0</v>
      </c>
      <c r="X1153" s="2">
        <v>0</v>
      </c>
      <c r="Y1153" t="s">
        <v>4</v>
      </c>
      <c r="Z1153" t="s">
        <v>4</v>
      </c>
      <c r="AA1153" t="s">
        <v>4</v>
      </c>
      <c r="AB1153" t="s">
        <v>4</v>
      </c>
    </row>
    <row r="1154" spans="1:28" x14ac:dyDescent="0.2">
      <c r="A1154" t="s">
        <v>285</v>
      </c>
      <c r="B1154" t="s">
        <v>2</v>
      </c>
      <c r="C1154" t="s">
        <v>3</v>
      </c>
      <c r="D1154" t="s">
        <v>4</v>
      </c>
      <c r="E1154" t="s">
        <v>4</v>
      </c>
      <c r="F1154" t="s">
        <v>5</v>
      </c>
      <c r="G1154" t="s">
        <v>21</v>
      </c>
      <c r="H1154" t="s">
        <v>3986</v>
      </c>
      <c r="I1154" s="2">
        <v>30</v>
      </c>
      <c r="J1154" s="2">
        <v>0</v>
      </c>
      <c r="K1154" s="2">
        <v>0</v>
      </c>
      <c r="L1154" s="3">
        <v>45805</v>
      </c>
      <c r="M1154" s="3">
        <v>45805</v>
      </c>
      <c r="N1154" s="3"/>
      <c r="O1154" t="s">
        <v>3987</v>
      </c>
      <c r="P1154" t="s">
        <v>9</v>
      </c>
      <c r="Q1154" s="4">
        <v>0.90357638888889003</v>
      </c>
      <c r="R1154" t="s">
        <v>5</v>
      </c>
      <c r="S1154" t="s">
        <v>4</v>
      </c>
      <c r="T1154" t="s">
        <v>3377</v>
      </c>
      <c r="U1154" t="s">
        <v>10</v>
      </c>
      <c r="V1154" s="5">
        <v>0</v>
      </c>
      <c r="W1154" s="5">
        <v>0</v>
      </c>
      <c r="X1154" s="2">
        <v>0</v>
      </c>
      <c r="Y1154" t="s">
        <v>4</v>
      </c>
      <c r="Z1154" t="s">
        <v>4</v>
      </c>
      <c r="AA1154" t="s">
        <v>4</v>
      </c>
      <c r="AB1154" t="s">
        <v>4</v>
      </c>
    </row>
    <row r="1155" spans="1:28" x14ac:dyDescent="0.2">
      <c r="A1155" t="s">
        <v>285</v>
      </c>
      <c r="B1155" t="s">
        <v>2</v>
      </c>
      <c r="C1155" t="s">
        <v>3</v>
      </c>
      <c r="D1155" t="s">
        <v>4</v>
      </c>
      <c r="E1155" t="s">
        <v>4</v>
      </c>
      <c r="F1155" t="s">
        <v>5</v>
      </c>
      <c r="G1155" t="s">
        <v>21</v>
      </c>
      <c r="H1155" t="s">
        <v>3986</v>
      </c>
      <c r="I1155" s="2">
        <v>30</v>
      </c>
      <c r="J1155" s="2">
        <v>0</v>
      </c>
      <c r="K1155" s="2">
        <v>0</v>
      </c>
      <c r="L1155" s="3">
        <v>45805</v>
      </c>
      <c r="M1155" s="3">
        <v>45805</v>
      </c>
      <c r="N1155" s="3"/>
      <c r="O1155" t="s">
        <v>3988</v>
      </c>
      <c r="P1155" t="s">
        <v>9</v>
      </c>
      <c r="Q1155" s="4">
        <v>0.90357638888889003</v>
      </c>
      <c r="R1155" t="s">
        <v>5</v>
      </c>
      <c r="S1155" t="s">
        <v>4</v>
      </c>
      <c r="T1155" t="s">
        <v>3377</v>
      </c>
      <c r="U1155" t="s">
        <v>10</v>
      </c>
      <c r="V1155" s="5">
        <v>0</v>
      </c>
      <c r="W1155" s="5">
        <v>0</v>
      </c>
      <c r="X1155" s="2">
        <v>0</v>
      </c>
      <c r="Y1155" t="s">
        <v>4</v>
      </c>
      <c r="Z1155" t="s">
        <v>4</v>
      </c>
      <c r="AA1155" t="s">
        <v>4</v>
      </c>
      <c r="AB1155" t="s">
        <v>4</v>
      </c>
    </row>
    <row r="1156" spans="1:28" x14ac:dyDescent="0.2">
      <c r="A1156" t="s">
        <v>822</v>
      </c>
      <c r="B1156" t="s">
        <v>2</v>
      </c>
      <c r="C1156" t="s">
        <v>3</v>
      </c>
      <c r="D1156" t="s">
        <v>4</v>
      </c>
      <c r="E1156" t="s">
        <v>4</v>
      </c>
      <c r="F1156" t="s">
        <v>5</v>
      </c>
      <c r="G1156" t="s">
        <v>17</v>
      </c>
      <c r="H1156" t="s">
        <v>3989</v>
      </c>
      <c r="I1156" s="2">
        <v>72</v>
      </c>
      <c r="J1156" s="2">
        <v>0</v>
      </c>
      <c r="K1156" s="2">
        <v>0</v>
      </c>
      <c r="L1156" s="3">
        <v>45856</v>
      </c>
      <c r="M1156" s="3">
        <v>45856</v>
      </c>
      <c r="N1156" s="3"/>
      <c r="O1156" t="s">
        <v>3990</v>
      </c>
      <c r="P1156" t="s">
        <v>9</v>
      </c>
      <c r="Q1156" s="4">
        <v>0.45133101851851998</v>
      </c>
      <c r="R1156" t="s">
        <v>5</v>
      </c>
      <c r="S1156" t="s">
        <v>4</v>
      </c>
      <c r="T1156" t="s">
        <v>2260</v>
      </c>
      <c r="U1156" t="s">
        <v>10</v>
      </c>
      <c r="V1156" s="5">
        <v>0</v>
      </c>
      <c r="W1156" s="5">
        <v>0</v>
      </c>
      <c r="X1156" s="2">
        <v>0</v>
      </c>
      <c r="Y1156" t="s">
        <v>4</v>
      </c>
      <c r="Z1156" t="s">
        <v>4</v>
      </c>
      <c r="AA1156" t="s">
        <v>4</v>
      </c>
      <c r="AB1156" t="s">
        <v>4</v>
      </c>
    </row>
    <row r="1157" spans="1:28" x14ac:dyDescent="0.2">
      <c r="A1157" t="s">
        <v>822</v>
      </c>
      <c r="B1157" t="s">
        <v>2</v>
      </c>
      <c r="C1157" t="s">
        <v>3</v>
      </c>
      <c r="D1157" t="s">
        <v>4</v>
      </c>
      <c r="E1157" t="s">
        <v>4</v>
      </c>
      <c r="F1157" t="s">
        <v>5</v>
      </c>
      <c r="G1157" t="s">
        <v>17</v>
      </c>
      <c r="H1157" t="s">
        <v>3989</v>
      </c>
      <c r="I1157" s="2">
        <v>1440</v>
      </c>
      <c r="J1157" s="2">
        <v>0</v>
      </c>
      <c r="K1157" s="2">
        <v>0</v>
      </c>
      <c r="L1157" s="3">
        <v>45854</v>
      </c>
      <c r="M1157" s="3">
        <v>45854</v>
      </c>
      <c r="N1157" s="3"/>
      <c r="O1157" t="s">
        <v>3991</v>
      </c>
      <c r="P1157" t="s">
        <v>9</v>
      </c>
      <c r="Q1157" s="4">
        <v>0.45133101851851998</v>
      </c>
      <c r="R1157" t="s">
        <v>5</v>
      </c>
      <c r="S1157" t="s">
        <v>4</v>
      </c>
      <c r="T1157" t="s">
        <v>2299</v>
      </c>
      <c r="U1157" t="s">
        <v>10</v>
      </c>
      <c r="V1157" s="5">
        <v>0</v>
      </c>
      <c r="W1157" s="5">
        <v>0</v>
      </c>
      <c r="X1157" s="2">
        <v>0</v>
      </c>
      <c r="Y1157" t="s">
        <v>4</v>
      </c>
      <c r="Z1157" t="s">
        <v>4</v>
      </c>
      <c r="AA1157" t="s">
        <v>4</v>
      </c>
      <c r="AB1157" t="s">
        <v>4</v>
      </c>
    </row>
    <row r="1158" spans="1:28" x14ac:dyDescent="0.2">
      <c r="A1158" t="s">
        <v>479</v>
      </c>
      <c r="B1158" t="s">
        <v>2</v>
      </c>
      <c r="C1158" t="s">
        <v>3</v>
      </c>
      <c r="D1158" t="s">
        <v>4</v>
      </c>
      <c r="E1158" t="s">
        <v>4</v>
      </c>
      <c r="F1158" t="s">
        <v>5</v>
      </c>
      <c r="G1158" t="s">
        <v>17</v>
      </c>
      <c r="H1158" t="s">
        <v>3992</v>
      </c>
      <c r="I1158" s="2">
        <v>1440</v>
      </c>
      <c r="J1158" s="2">
        <v>0</v>
      </c>
      <c r="K1158" s="2">
        <v>0</v>
      </c>
      <c r="L1158" s="3">
        <v>45836</v>
      </c>
      <c r="M1158" s="3">
        <v>45836</v>
      </c>
      <c r="N1158" s="3"/>
      <c r="O1158" t="s">
        <v>3993</v>
      </c>
      <c r="P1158" t="s">
        <v>9</v>
      </c>
      <c r="Q1158" s="4">
        <v>0.95598379629630004</v>
      </c>
      <c r="R1158" t="s">
        <v>5</v>
      </c>
      <c r="S1158" t="s">
        <v>4</v>
      </c>
      <c r="T1158" t="s">
        <v>2316</v>
      </c>
      <c r="U1158" t="s">
        <v>10</v>
      </c>
      <c r="V1158" s="5">
        <v>0</v>
      </c>
      <c r="W1158" s="5">
        <v>0</v>
      </c>
      <c r="X1158" s="2">
        <v>0</v>
      </c>
      <c r="Y1158" t="s">
        <v>4</v>
      </c>
      <c r="Z1158" t="s">
        <v>4</v>
      </c>
      <c r="AA1158" t="s">
        <v>4</v>
      </c>
      <c r="AB1158" t="s">
        <v>4</v>
      </c>
    </row>
    <row r="1159" spans="1:28" x14ac:dyDescent="0.2">
      <c r="A1159" t="s">
        <v>479</v>
      </c>
      <c r="B1159" t="s">
        <v>2</v>
      </c>
      <c r="C1159" t="s">
        <v>3</v>
      </c>
      <c r="D1159" t="s">
        <v>4</v>
      </c>
      <c r="E1159" t="s">
        <v>4</v>
      </c>
      <c r="F1159" t="s">
        <v>5</v>
      </c>
      <c r="G1159" t="s">
        <v>17</v>
      </c>
      <c r="H1159" t="s">
        <v>3992</v>
      </c>
      <c r="I1159" s="2">
        <v>1440</v>
      </c>
      <c r="J1159" s="2">
        <v>0</v>
      </c>
      <c r="K1159" s="2">
        <v>0</v>
      </c>
      <c r="L1159" s="3">
        <v>45836</v>
      </c>
      <c r="M1159" s="3">
        <v>45836</v>
      </c>
      <c r="N1159" s="3"/>
      <c r="O1159" t="s">
        <v>3994</v>
      </c>
      <c r="P1159" t="s">
        <v>9</v>
      </c>
      <c r="Q1159" s="4">
        <v>0.95598379629630004</v>
      </c>
      <c r="R1159" t="s">
        <v>5</v>
      </c>
      <c r="S1159" t="s">
        <v>4</v>
      </c>
      <c r="T1159" t="s">
        <v>2316</v>
      </c>
      <c r="U1159" t="s">
        <v>10</v>
      </c>
      <c r="V1159" s="5">
        <v>0</v>
      </c>
      <c r="W1159" s="5">
        <v>0</v>
      </c>
      <c r="X1159" s="2">
        <v>0</v>
      </c>
      <c r="Y1159" t="s">
        <v>4</v>
      </c>
      <c r="Z1159" t="s">
        <v>4</v>
      </c>
      <c r="AA1159" t="s">
        <v>4</v>
      </c>
      <c r="AB1159" t="s">
        <v>4</v>
      </c>
    </row>
    <row r="1160" spans="1:28" x14ac:dyDescent="0.2">
      <c r="A1160" t="s">
        <v>662</v>
      </c>
      <c r="B1160" t="s">
        <v>2</v>
      </c>
      <c r="C1160" t="s">
        <v>3</v>
      </c>
      <c r="D1160" t="s">
        <v>4</v>
      </c>
      <c r="E1160" t="s">
        <v>4</v>
      </c>
      <c r="F1160" t="s">
        <v>5</v>
      </c>
      <c r="G1160" t="s">
        <v>17</v>
      </c>
      <c r="H1160" t="s">
        <v>3995</v>
      </c>
      <c r="I1160" s="2">
        <v>270</v>
      </c>
      <c r="J1160" s="2">
        <v>0</v>
      </c>
      <c r="K1160" s="2">
        <v>0</v>
      </c>
      <c r="L1160" s="3">
        <v>45854</v>
      </c>
      <c r="M1160" s="3">
        <v>45854</v>
      </c>
      <c r="N1160" s="3"/>
      <c r="O1160" t="s">
        <v>3996</v>
      </c>
      <c r="P1160" t="s">
        <v>9</v>
      </c>
      <c r="Q1160" s="4">
        <v>0.47608796296296002</v>
      </c>
      <c r="R1160" t="s">
        <v>5</v>
      </c>
      <c r="S1160" t="s">
        <v>4</v>
      </c>
      <c r="T1160" t="s">
        <v>2299</v>
      </c>
      <c r="U1160" t="s">
        <v>10</v>
      </c>
      <c r="V1160" s="5">
        <v>0</v>
      </c>
      <c r="W1160" s="5">
        <v>0</v>
      </c>
      <c r="X1160" s="2">
        <v>0</v>
      </c>
      <c r="Y1160" t="s">
        <v>4</v>
      </c>
      <c r="Z1160" t="s">
        <v>4</v>
      </c>
      <c r="AA1160" t="s">
        <v>4</v>
      </c>
      <c r="AB1160" t="s">
        <v>4</v>
      </c>
    </row>
    <row r="1161" spans="1:28" x14ac:dyDescent="0.2">
      <c r="A1161" t="s">
        <v>662</v>
      </c>
      <c r="B1161" t="s">
        <v>2</v>
      </c>
      <c r="C1161" t="s">
        <v>3</v>
      </c>
      <c r="D1161" t="s">
        <v>4</v>
      </c>
      <c r="E1161" t="s">
        <v>4</v>
      </c>
      <c r="F1161" t="s">
        <v>5</v>
      </c>
      <c r="G1161" t="s">
        <v>17</v>
      </c>
      <c r="H1161" t="s">
        <v>3995</v>
      </c>
      <c r="I1161" s="2">
        <v>270</v>
      </c>
      <c r="J1161" s="2">
        <v>0</v>
      </c>
      <c r="K1161" s="2">
        <v>0</v>
      </c>
      <c r="L1161" s="3">
        <v>45854</v>
      </c>
      <c r="M1161" s="3">
        <v>45854</v>
      </c>
      <c r="N1161" s="3"/>
      <c r="O1161" t="s">
        <v>3997</v>
      </c>
      <c r="P1161" t="s">
        <v>9</v>
      </c>
      <c r="Q1161" s="4">
        <v>0.47608796296296002</v>
      </c>
      <c r="R1161" t="s">
        <v>5</v>
      </c>
      <c r="S1161" t="s">
        <v>4</v>
      </c>
      <c r="T1161" t="s">
        <v>2299</v>
      </c>
      <c r="U1161" t="s">
        <v>10</v>
      </c>
      <c r="V1161" s="5">
        <v>0</v>
      </c>
      <c r="W1161" s="5">
        <v>0</v>
      </c>
      <c r="X1161" s="2">
        <v>0</v>
      </c>
      <c r="Y1161" t="s">
        <v>4</v>
      </c>
      <c r="Z1161" t="s">
        <v>4</v>
      </c>
      <c r="AA1161" t="s">
        <v>4</v>
      </c>
      <c r="AB1161" t="s">
        <v>4</v>
      </c>
    </row>
    <row r="1162" spans="1:28" x14ac:dyDescent="0.2">
      <c r="A1162" t="s">
        <v>822</v>
      </c>
      <c r="B1162" t="s">
        <v>2</v>
      </c>
      <c r="C1162" t="s">
        <v>3</v>
      </c>
      <c r="D1162" t="s">
        <v>4</v>
      </c>
      <c r="E1162" t="s">
        <v>4</v>
      </c>
      <c r="F1162" t="s">
        <v>5</v>
      </c>
      <c r="G1162" t="s">
        <v>17</v>
      </c>
      <c r="H1162" t="s">
        <v>3998</v>
      </c>
      <c r="I1162" s="2">
        <v>1440</v>
      </c>
      <c r="J1162" s="2">
        <v>0</v>
      </c>
      <c r="K1162" s="2">
        <v>0</v>
      </c>
      <c r="L1162" s="3">
        <v>45854</v>
      </c>
      <c r="M1162" s="3">
        <v>45854</v>
      </c>
      <c r="N1162" s="3"/>
      <c r="O1162" t="s">
        <v>3999</v>
      </c>
      <c r="P1162" t="s">
        <v>9</v>
      </c>
      <c r="Q1162" s="4">
        <v>0.61986111111110997</v>
      </c>
      <c r="R1162" t="s">
        <v>5</v>
      </c>
      <c r="S1162" t="s">
        <v>4</v>
      </c>
      <c r="T1162" t="s">
        <v>2299</v>
      </c>
      <c r="U1162" t="s">
        <v>10</v>
      </c>
      <c r="V1162" s="5">
        <v>0</v>
      </c>
      <c r="W1162" s="5">
        <v>0</v>
      </c>
      <c r="X1162" s="2">
        <v>0</v>
      </c>
      <c r="Y1162" t="s">
        <v>4</v>
      </c>
      <c r="Z1162" t="s">
        <v>4</v>
      </c>
      <c r="AA1162" t="s">
        <v>4</v>
      </c>
      <c r="AB1162" t="s">
        <v>4</v>
      </c>
    </row>
    <row r="1163" spans="1:28" x14ac:dyDescent="0.2">
      <c r="A1163" t="s">
        <v>822</v>
      </c>
      <c r="B1163" t="s">
        <v>2</v>
      </c>
      <c r="C1163" t="s">
        <v>3</v>
      </c>
      <c r="D1163" t="s">
        <v>4</v>
      </c>
      <c r="E1163" t="s">
        <v>4</v>
      </c>
      <c r="F1163" t="s">
        <v>5</v>
      </c>
      <c r="G1163" t="s">
        <v>17</v>
      </c>
      <c r="H1163" t="s">
        <v>3998</v>
      </c>
      <c r="I1163" s="2">
        <v>1440</v>
      </c>
      <c r="J1163" s="2">
        <v>0</v>
      </c>
      <c r="K1163" s="2">
        <v>0</v>
      </c>
      <c r="L1163" s="3">
        <v>45854</v>
      </c>
      <c r="M1163" s="3">
        <v>45854</v>
      </c>
      <c r="N1163" s="3"/>
      <c r="O1163" t="s">
        <v>4000</v>
      </c>
      <c r="P1163" t="s">
        <v>9</v>
      </c>
      <c r="Q1163" s="4">
        <v>0.61986111111110997</v>
      </c>
      <c r="R1163" t="s">
        <v>5</v>
      </c>
      <c r="S1163" t="s">
        <v>4</v>
      </c>
      <c r="T1163" t="s">
        <v>2299</v>
      </c>
      <c r="U1163" t="s">
        <v>10</v>
      </c>
      <c r="V1163" s="5">
        <v>0</v>
      </c>
      <c r="W1163" s="5">
        <v>0</v>
      </c>
      <c r="X1163" s="2">
        <v>0</v>
      </c>
      <c r="Y1163" t="s">
        <v>4</v>
      </c>
      <c r="Z1163" t="s">
        <v>4</v>
      </c>
      <c r="AA1163" t="s">
        <v>4</v>
      </c>
      <c r="AB1163" t="s">
        <v>4</v>
      </c>
    </row>
    <row r="1164" spans="1:28" x14ac:dyDescent="0.2">
      <c r="A1164" t="s">
        <v>0</v>
      </c>
      <c r="B1164" t="s">
        <v>2</v>
      </c>
      <c r="C1164" t="s">
        <v>3</v>
      </c>
      <c r="D1164" t="s">
        <v>4</v>
      </c>
      <c r="E1164" t="s">
        <v>4</v>
      </c>
      <c r="F1164" t="s">
        <v>5</v>
      </c>
      <c r="G1164" t="s">
        <v>6</v>
      </c>
      <c r="H1164" t="s">
        <v>160</v>
      </c>
      <c r="I1164" s="2">
        <v>196</v>
      </c>
      <c r="J1164" s="2">
        <v>0</v>
      </c>
      <c r="K1164" s="2">
        <v>0</v>
      </c>
      <c r="L1164" s="3">
        <v>45839</v>
      </c>
      <c r="M1164" s="3">
        <v>45839</v>
      </c>
      <c r="N1164" s="3"/>
      <c r="O1164" t="s">
        <v>162</v>
      </c>
      <c r="P1164" t="s">
        <v>9</v>
      </c>
      <c r="Q1164" s="4">
        <v>0.58374999999999999</v>
      </c>
      <c r="R1164" t="s">
        <v>5</v>
      </c>
      <c r="S1164" t="s">
        <v>4</v>
      </c>
      <c r="T1164" t="s">
        <v>2312</v>
      </c>
      <c r="U1164" t="s">
        <v>10</v>
      </c>
      <c r="V1164" s="5">
        <v>0</v>
      </c>
      <c r="W1164" s="5">
        <v>0</v>
      </c>
      <c r="X1164" s="2">
        <v>0</v>
      </c>
      <c r="Y1164" t="s">
        <v>4</v>
      </c>
      <c r="Z1164" t="s">
        <v>4</v>
      </c>
      <c r="AA1164" t="s">
        <v>4</v>
      </c>
      <c r="AB1164" t="s">
        <v>4</v>
      </c>
    </row>
    <row r="1165" spans="1:28" x14ac:dyDescent="0.2">
      <c r="A1165" t="s">
        <v>0</v>
      </c>
      <c r="B1165" t="s">
        <v>2</v>
      </c>
      <c r="C1165" t="s">
        <v>3</v>
      </c>
      <c r="D1165" t="s">
        <v>4</v>
      </c>
      <c r="E1165" t="s">
        <v>4</v>
      </c>
      <c r="F1165" t="s">
        <v>5</v>
      </c>
      <c r="G1165" t="s">
        <v>6</v>
      </c>
      <c r="H1165" t="s">
        <v>160</v>
      </c>
      <c r="I1165" s="2">
        <v>196</v>
      </c>
      <c r="J1165" s="2">
        <v>0</v>
      </c>
      <c r="K1165" s="2">
        <v>0</v>
      </c>
      <c r="L1165" s="3">
        <v>45839</v>
      </c>
      <c r="M1165" s="3">
        <v>45839</v>
      </c>
      <c r="N1165" s="3"/>
      <c r="O1165" t="s">
        <v>161</v>
      </c>
      <c r="P1165" t="s">
        <v>9</v>
      </c>
      <c r="Q1165" s="4">
        <v>0.58374999999999999</v>
      </c>
      <c r="R1165" t="s">
        <v>5</v>
      </c>
      <c r="S1165" t="s">
        <v>4</v>
      </c>
      <c r="T1165" t="s">
        <v>2312</v>
      </c>
      <c r="U1165" t="s">
        <v>10</v>
      </c>
      <c r="V1165" s="5">
        <v>0</v>
      </c>
      <c r="W1165" s="5">
        <v>0</v>
      </c>
      <c r="X1165" s="2">
        <v>0</v>
      </c>
      <c r="Y1165" t="s">
        <v>4</v>
      </c>
      <c r="Z1165" t="s">
        <v>4</v>
      </c>
      <c r="AA1165" t="s">
        <v>4</v>
      </c>
      <c r="AB1165" t="s">
        <v>4</v>
      </c>
    </row>
    <row r="1166" spans="1:28" x14ac:dyDescent="0.2">
      <c r="A1166" t="s">
        <v>1139</v>
      </c>
      <c r="B1166" t="s">
        <v>2</v>
      </c>
      <c r="C1166" t="s">
        <v>3</v>
      </c>
      <c r="D1166" t="s">
        <v>4</v>
      </c>
      <c r="E1166" t="s">
        <v>4</v>
      </c>
      <c r="F1166" t="s">
        <v>5</v>
      </c>
      <c r="G1166" t="s">
        <v>6</v>
      </c>
      <c r="H1166" t="s">
        <v>4001</v>
      </c>
      <c r="I1166" s="2">
        <v>432</v>
      </c>
      <c r="J1166" s="2">
        <v>0</v>
      </c>
      <c r="K1166" s="2">
        <v>0</v>
      </c>
      <c r="L1166" s="3">
        <v>45848</v>
      </c>
      <c r="M1166" s="3">
        <v>45848</v>
      </c>
      <c r="N1166" s="3"/>
      <c r="O1166" t="s">
        <v>4002</v>
      </c>
      <c r="P1166" t="s">
        <v>9</v>
      </c>
      <c r="Q1166" s="4">
        <v>0.44521990740741002</v>
      </c>
      <c r="R1166" t="s">
        <v>5</v>
      </c>
      <c r="S1166" t="s">
        <v>4</v>
      </c>
      <c r="T1166" t="s">
        <v>2580</v>
      </c>
      <c r="U1166" t="s">
        <v>10</v>
      </c>
      <c r="V1166" s="5">
        <v>0</v>
      </c>
      <c r="W1166" s="5">
        <v>0</v>
      </c>
      <c r="X1166" s="2">
        <v>0</v>
      </c>
      <c r="Y1166" t="s">
        <v>4</v>
      </c>
      <c r="Z1166" t="s">
        <v>4</v>
      </c>
      <c r="AA1166" t="s">
        <v>4</v>
      </c>
      <c r="AB1166" t="s">
        <v>4</v>
      </c>
    </row>
    <row r="1167" spans="1:28" x14ac:dyDescent="0.2">
      <c r="A1167" t="s">
        <v>1139</v>
      </c>
      <c r="B1167" t="s">
        <v>2</v>
      </c>
      <c r="C1167" t="s">
        <v>3</v>
      </c>
      <c r="D1167" t="s">
        <v>4</v>
      </c>
      <c r="E1167" t="s">
        <v>4</v>
      </c>
      <c r="F1167" t="s">
        <v>5</v>
      </c>
      <c r="G1167" t="s">
        <v>6</v>
      </c>
      <c r="H1167" t="s">
        <v>4001</v>
      </c>
      <c r="I1167" s="2">
        <v>432</v>
      </c>
      <c r="J1167" s="2">
        <v>0</v>
      </c>
      <c r="K1167" s="2">
        <v>0</v>
      </c>
      <c r="L1167" s="3">
        <v>45848</v>
      </c>
      <c r="M1167" s="3">
        <v>45848</v>
      </c>
      <c r="N1167" s="3"/>
      <c r="O1167" t="s">
        <v>4003</v>
      </c>
      <c r="P1167" t="s">
        <v>9</v>
      </c>
      <c r="Q1167" s="4">
        <v>0.44521990740741002</v>
      </c>
      <c r="R1167" t="s">
        <v>5</v>
      </c>
      <c r="S1167" t="s">
        <v>4</v>
      </c>
      <c r="T1167" t="s">
        <v>2580</v>
      </c>
      <c r="U1167" t="s">
        <v>10</v>
      </c>
      <c r="V1167" s="5">
        <v>0</v>
      </c>
      <c r="W1167" s="5">
        <v>0</v>
      </c>
      <c r="X1167" s="2">
        <v>0</v>
      </c>
      <c r="Y1167" t="s">
        <v>4</v>
      </c>
      <c r="Z1167" t="s">
        <v>4</v>
      </c>
      <c r="AA1167" t="s">
        <v>4</v>
      </c>
      <c r="AB1167" t="s">
        <v>4</v>
      </c>
    </row>
    <row r="1168" spans="1:28" x14ac:dyDescent="0.2">
      <c r="A1168" t="s">
        <v>1828</v>
      </c>
      <c r="B1168" t="s">
        <v>2</v>
      </c>
      <c r="C1168" t="s">
        <v>3</v>
      </c>
      <c r="D1168" t="s">
        <v>4</v>
      </c>
      <c r="E1168" t="s">
        <v>4</v>
      </c>
      <c r="F1168" t="s">
        <v>5</v>
      </c>
      <c r="G1168" t="s">
        <v>6</v>
      </c>
      <c r="H1168" t="s">
        <v>4004</v>
      </c>
      <c r="I1168" s="2">
        <v>170</v>
      </c>
      <c r="J1168" s="2">
        <v>0</v>
      </c>
      <c r="K1168" s="2">
        <v>0</v>
      </c>
      <c r="L1168" s="3">
        <v>45854</v>
      </c>
      <c r="M1168" s="3">
        <v>45854</v>
      </c>
      <c r="N1168" s="3"/>
      <c r="O1168" t="s">
        <v>4005</v>
      </c>
      <c r="P1168" t="s">
        <v>9</v>
      </c>
      <c r="Q1168" s="4">
        <v>0.72526620370369999</v>
      </c>
      <c r="R1168" t="s">
        <v>5</v>
      </c>
      <c r="S1168" t="s">
        <v>4</v>
      </c>
      <c r="T1168" t="s">
        <v>2299</v>
      </c>
      <c r="U1168" t="s">
        <v>10</v>
      </c>
      <c r="V1168" s="5">
        <v>0</v>
      </c>
      <c r="W1168" s="5">
        <v>0</v>
      </c>
      <c r="X1168" s="2">
        <v>0</v>
      </c>
      <c r="Y1168" t="s">
        <v>4</v>
      </c>
      <c r="Z1168" t="s">
        <v>4</v>
      </c>
      <c r="AA1168" t="s">
        <v>4</v>
      </c>
      <c r="AB1168" t="s">
        <v>4</v>
      </c>
    </row>
    <row r="1169" spans="1:28" x14ac:dyDescent="0.2">
      <c r="A1169" t="s">
        <v>1828</v>
      </c>
      <c r="B1169" t="s">
        <v>2</v>
      </c>
      <c r="C1169" t="s">
        <v>3</v>
      </c>
      <c r="D1169" t="s">
        <v>4</v>
      </c>
      <c r="E1169" t="s">
        <v>4</v>
      </c>
      <c r="F1169" t="s">
        <v>5</v>
      </c>
      <c r="G1169" t="s">
        <v>6</v>
      </c>
      <c r="H1169" t="s">
        <v>4004</v>
      </c>
      <c r="I1169" s="2">
        <v>272</v>
      </c>
      <c r="J1169" s="2">
        <v>0</v>
      </c>
      <c r="K1169" s="2">
        <v>0</v>
      </c>
      <c r="L1169" s="3">
        <v>45813</v>
      </c>
      <c r="M1169" s="3">
        <v>45813</v>
      </c>
      <c r="N1169" s="3"/>
      <c r="O1169" t="s">
        <v>4006</v>
      </c>
      <c r="P1169" t="s">
        <v>9</v>
      </c>
      <c r="Q1169" s="4">
        <v>0.72526620370369999</v>
      </c>
      <c r="R1169" t="s">
        <v>5</v>
      </c>
      <c r="S1169" t="s">
        <v>4</v>
      </c>
      <c r="T1169" t="s">
        <v>3649</v>
      </c>
      <c r="U1169" t="s">
        <v>10</v>
      </c>
      <c r="V1169" s="5">
        <v>0</v>
      </c>
      <c r="W1169" s="5">
        <v>0</v>
      </c>
      <c r="X1169" s="2">
        <v>0</v>
      </c>
      <c r="Y1169" t="s">
        <v>4</v>
      </c>
      <c r="Z1169" t="s">
        <v>4</v>
      </c>
      <c r="AA1169" t="s">
        <v>4</v>
      </c>
      <c r="AB1169" t="s">
        <v>4</v>
      </c>
    </row>
    <row r="1170" spans="1:28" x14ac:dyDescent="0.2">
      <c r="A1170" t="s">
        <v>1135</v>
      </c>
      <c r="B1170" t="s">
        <v>2</v>
      </c>
      <c r="C1170" t="s">
        <v>3</v>
      </c>
      <c r="D1170" t="s">
        <v>4</v>
      </c>
      <c r="E1170" t="s">
        <v>4</v>
      </c>
      <c r="F1170" t="s">
        <v>5</v>
      </c>
      <c r="G1170" t="s">
        <v>6</v>
      </c>
      <c r="H1170" t="s">
        <v>4007</v>
      </c>
      <c r="I1170" s="2">
        <v>480</v>
      </c>
      <c r="J1170" s="2">
        <v>0</v>
      </c>
      <c r="K1170" s="2">
        <v>0</v>
      </c>
      <c r="L1170" s="3">
        <v>45822</v>
      </c>
      <c r="M1170" s="3">
        <v>45822</v>
      </c>
      <c r="N1170" s="3"/>
      <c r="O1170" t="s">
        <v>4008</v>
      </c>
      <c r="P1170" t="s">
        <v>9</v>
      </c>
      <c r="Q1170" s="4">
        <v>0.89196759259258995</v>
      </c>
      <c r="R1170" t="s">
        <v>5</v>
      </c>
      <c r="S1170" t="s">
        <v>4</v>
      </c>
      <c r="T1170" t="s">
        <v>3122</v>
      </c>
      <c r="U1170" t="s">
        <v>10</v>
      </c>
      <c r="V1170" s="5">
        <v>0</v>
      </c>
      <c r="W1170" s="5">
        <v>0</v>
      </c>
      <c r="X1170" s="2">
        <v>0</v>
      </c>
      <c r="Y1170" t="s">
        <v>4</v>
      </c>
      <c r="Z1170" t="s">
        <v>4</v>
      </c>
      <c r="AA1170" t="s">
        <v>4</v>
      </c>
      <c r="AB1170" t="s">
        <v>4</v>
      </c>
    </row>
    <row r="1171" spans="1:28" x14ac:dyDescent="0.2">
      <c r="A1171" t="s">
        <v>1135</v>
      </c>
      <c r="B1171" t="s">
        <v>2</v>
      </c>
      <c r="C1171" t="s">
        <v>3</v>
      </c>
      <c r="D1171" t="s">
        <v>4</v>
      </c>
      <c r="E1171" t="s">
        <v>4</v>
      </c>
      <c r="F1171" t="s">
        <v>5</v>
      </c>
      <c r="G1171" t="s">
        <v>6</v>
      </c>
      <c r="H1171" t="s">
        <v>4007</v>
      </c>
      <c r="I1171" s="2">
        <v>480</v>
      </c>
      <c r="J1171" s="2">
        <v>0</v>
      </c>
      <c r="K1171" s="2">
        <v>0</v>
      </c>
      <c r="L1171" s="3">
        <v>45822</v>
      </c>
      <c r="M1171" s="3">
        <v>45822</v>
      </c>
      <c r="N1171" s="3"/>
      <c r="O1171" t="s">
        <v>4009</v>
      </c>
      <c r="P1171" t="s">
        <v>9</v>
      </c>
      <c r="Q1171" s="4">
        <v>0.89196759259258995</v>
      </c>
      <c r="R1171" t="s">
        <v>5</v>
      </c>
      <c r="S1171" t="s">
        <v>4</v>
      </c>
      <c r="T1171" t="s">
        <v>3122</v>
      </c>
      <c r="U1171" t="s">
        <v>10</v>
      </c>
      <c r="V1171" s="5">
        <v>0</v>
      </c>
      <c r="W1171" s="5">
        <v>0</v>
      </c>
      <c r="X1171" s="2">
        <v>0</v>
      </c>
      <c r="Y1171" t="s">
        <v>4</v>
      </c>
      <c r="Z1171" t="s">
        <v>4</v>
      </c>
      <c r="AA1171" t="s">
        <v>4</v>
      </c>
      <c r="AB1171" t="s">
        <v>4</v>
      </c>
    </row>
    <row r="1172" spans="1:28" x14ac:dyDescent="0.2">
      <c r="A1172" t="s">
        <v>2251</v>
      </c>
      <c r="B1172" t="s">
        <v>4</v>
      </c>
      <c r="C1172" t="s">
        <v>4</v>
      </c>
      <c r="D1172" t="s">
        <v>4</v>
      </c>
      <c r="E1172" t="s">
        <v>4</v>
      </c>
      <c r="F1172" t="s">
        <v>5</v>
      </c>
      <c r="G1172" t="s">
        <v>6</v>
      </c>
      <c r="H1172" t="s">
        <v>4010</v>
      </c>
      <c r="I1172" s="5">
        <v>0</v>
      </c>
      <c r="J1172" s="5">
        <v>0</v>
      </c>
      <c r="K1172" s="5">
        <v>0</v>
      </c>
      <c r="L1172" s="3"/>
      <c r="M1172" s="3"/>
      <c r="N1172" s="3"/>
      <c r="O1172" t="s">
        <v>4</v>
      </c>
      <c r="P1172" t="s">
        <v>9</v>
      </c>
      <c r="Q1172" s="4">
        <v>0.3794212962963</v>
      </c>
      <c r="R1172" t="s">
        <v>4</v>
      </c>
      <c r="S1172" t="s">
        <v>4</v>
      </c>
      <c r="T1172" t="s">
        <v>2256</v>
      </c>
      <c r="U1172" t="s">
        <v>4</v>
      </c>
      <c r="V1172" s="5">
        <v>0</v>
      </c>
      <c r="W1172" s="5">
        <v>0</v>
      </c>
      <c r="X1172" s="2">
        <v>0</v>
      </c>
      <c r="Y1172" t="s">
        <v>4</v>
      </c>
      <c r="Z1172" t="s">
        <v>4</v>
      </c>
      <c r="AA1172" t="s">
        <v>4</v>
      </c>
      <c r="AB1172" t="s">
        <v>4</v>
      </c>
    </row>
    <row r="1173" spans="1:28" x14ac:dyDescent="0.2">
      <c r="A1173" t="s">
        <v>1139</v>
      </c>
      <c r="B1173" t="s">
        <v>2</v>
      </c>
      <c r="C1173" t="s">
        <v>3</v>
      </c>
      <c r="D1173" t="s">
        <v>4</v>
      </c>
      <c r="E1173" t="s">
        <v>4</v>
      </c>
      <c r="F1173" t="s">
        <v>5</v>
      </c>
      <c r="G1173" t="s">
        <v>6</v>
      </c>
      <c r="H1173" t="s">
        <v>4011</v>
      </c>
      <c r="I1173" s="2">
        <v>432</v>
      </c>
      <c r="J1173" s="2">
        <v>0</v>
      </c>
      <c r="K1173" s="2">
        <v>0</v>
      </c>
      <c r="L1173" s="3">
        <v>45848</v>
      </c>
      <c r="M1173" s="3">
        <v>45848</v>
      </c>
      <c r="N1173" s="3"/>
      <c r="O1173" t="s">
        <v>4012</v>
      </c>
      <c r="P1173" t="s">
        <v>9</v>
      </c>
      <c r="Q1173" s="4">
        <v>0.44530092592593001</v>
      </c>
      <c r="R1173" t="s">
        <v>5</v>
      </c>
      <c r="S1173" t="s">
        <v>4</v>
      </c>
      <c r="T1173" t="s">
        <v>2580</v>
      </c>
      <c r="U1173" t="s">
        <v>10</v>
      </c>
      <c r="V1173" s="5">
        <v>0</v>
      </c>
      <c r="W1173" s="5">
        <v>0</v>
      </c>
      <c r="X1173" s="2">
        <v>0</v>
      </c>
      <c r="Y1173" t="s">
        <v>4</v>
      </c>
      <c r="Z1173" t="s">
        <v>4</v>
      </c>
      <c r="AA1173" t="s">
        <v>4</v>
      </c>
      <c r="AB1173" t="s">
        <v>4</v>
      </c>
    </row>
    <row r="1174" spans="1:28" x14ac:dyDescent="0.2">
      <c r="A1174" t="s">
        <v>331</v>
      </c>
      <c r="B1174" t="s">
        <v>2</v>
      </c>
      <c r="C1174" t="s">
        <v>3</v>
      </c>
      <c r="D1174" t="s">
        <v>4</v>
      </c>
      <c r="E1174" t="s">
        <v>4</v>
      </c>
      <c r="F1174" t="s">
        <v>5</v>
      </c>
      <c r="G1174" t="s">
        <v>21</v>
      </c>
      <c r="H1174" t="s">
        <v>4013</v>
      </c>
      <c r="I1174" s="2">
        <v>1140</v>
      </c>
      <c r="J1174" s="2">
        <v>0</v>
      </c>
      <c r="K1174" s="2">
        <v>0</v>
      </c>
      <c r="L1174" s="3">
        <v>45835</v>
      </c>
      <c r="M1174" s="3">
        <v>45835</v>
      </c>
      <c r="N1174" s="3"/>
      <c r="O1174" t="s">
        <v>4014</v>
      </c>
      <c r="P1174" t="s">
        <v>9</v>
      </c>
      <c r="Q1174" s="4">
        <v>0.72538194444444004</v>
      </c>
      <c r="R1174" t="s">
        <v>5</v>
      </c>
      <c r="S1174" t="s">
        <v>4</v>
      </c>
      <c r="T1174" t="s">
        <v>2928</v>
      </c>
      <c r="U1174" t="s">
        <v>10</v>
      </c>
      <c r="V1174" s="5">
        <v>0</v>
      </c>
      <c r="W1174" s="5">
        <v>0</v>
      </c>
      <c r="X1174" s="2">
        <v>0</v>
      </c>
      <c r="Y1174" t="s">
        <v>4</v>
      </c>
      <c r="Z1174" t="s">
        <v>4</v>
      </c>
      <c r="AA1174" t="s">
        <v>4</v>
      </c>
      <c r="AB1174" t="s">
        <v>4</v>
      </c>
    </row>
    <row r="1175" spans="1:28" x14ac:dyDescent="0.2">
      <c r="A1175" t="s">
        <v>331</v>
      </c>
      <c r="B1175" t="s">
        <v>2</v>
      </c>
      <c r="C1175" t="s">
        <v>3</v>
      </c>
      <c r="D1175" t="s">
        <v>4</v>
      </c>
      <c r="E1175" t="s">
        <v>4</v>
      </c>
      <c r="F1175" t="s">
        <v>5</v>
      </c>
      <c r="G1175" t="s">
        <v>21</v>
      </c>
      <c r="H1175" t="s">
        <v>4013</v>
      </c>
      <c r="I1175" s="2">
        <v>1260</v>
      </c>
      <c r="J1175" s="2">
        <v>0</v>
      </c>
      <c r="K1175" s="2">
        <v>0</v>
      </c>
      <c r="L1175" s="3">
        <v>45810</v>
      </c>
      <c r="M1175" s="3">
        <v>45810</v>
      </c>
      <c r="N1175" s="3"/>
      <c r="O1175" t="s">
        <v>4015</v>
      </c>
      <c r="P1175" t="s">
        <v>9</v>
      </c>
      <c r="Q1175" s="4">
        <v>0.72538194444444004</v>
      </c>
      <c r="R1175" t="s">
        <v>5</v>
      </c>
      <c r="S1175" t="s">
        <v>4</v>
      </c>
      <c r="T1175" t="s">
        <v>3383</v>
      </c>
      <c r="U1175" t="s">
        <v>10</v>
      </c>
      <c r="V1175" s="5">
        <v>0</v>
      </c>
      <c r="W1175" s="5">
        <v>0</v>
      </c>
      <c r="X1175" s="2">
        <v>0</v>
      </c>
      <c r="Y1175" t="s">
        <v>4</v>
      </c>
      <c r="Z1175" t="s">
        <v>4</v>
      </c>
      <c r="AA1175" t="s">
        <v>4</v>
      </c>
      <c r="AB1175" t="s">
        <v>4</v>
      </c>
    </row>
    <row r="1176" spans="1:28" x14ac:dyDescent="0.2">
      <c r="A1176" t="s">
        <v>2221</v>
      </c>
      <c r="B1176" t="s">
        <v>2</v>
      </c>
      <c r="C1176" t="s">
        <v>3</v>
      </c>
      <c r="D1176" t="s">
        <v>4</v>
      </c>
      <c r="E1176" t="s">
        <v>4</v>
      </c>
      <c r="F1176" t="s">
        <v>5</v>
      </c>
      <c r="G1176" t="s">
        <v>21</v>
      </c>
      <c r="H1176" t="s">
        <v>4016</v>
      </c>
      <c r="I1176" s="2">
        <v>5000</v>
      </c>
      <c r="J1176" s="2">
        <v>0</v>
      </c>
      <c r="K1176" s="2">
        <v>0</v>
      </c>
      <c r="L1176" s="3">
        <v>45826</v>
      </c>
      <c r="M1176" s="3">
        <v>45826</v>
      </c>
      <c r="N1176" s="3"/>
      <c r="O1176" t="s">
        <v>4017</v>
      </c>
      <c r="P1176" t="s">
        <v>9</v>
      </c>
      <c r="Q1176" s="4">
        <v>0.41505787037037001</v>
      </c>
      <c r="R1176" t="s">
        <v>5</v>
      </c>
      <c r="S1176" t="s">
        <v>4</v>
      </c>
      <c r="T1176" t="s">
        <v>4018</v>
      </c>
      <c r="U1176" t="s">
        <v>10</v>
      </c>
      <c r="V1176" s="5">
        <v>0</v>
      </c>
      <c r="W1176" s="5">
        <v>0</v>
      </c>
      <c r="X1176" s="2">
        <v>0</v>
      </c>
      <c r="Y1176" t="s">
        <v>4</v>
      </c>
      <c r="Z1176" t="s">
        <v>4</v>
      </c>
      <c r="AA1176" t="s">
        <v>4</v>
      </c>
      <c r="AB1176" t="s">
        <v>4</v>
      </c>
    </row>
    <row r="1177" spans="1:28" x14ac:dyDescent="0.2">
      <c r="A1177" t="s">
        <v>2221</v>
      </c>
      <c r="B1177" t="s">
        <v>2</v>
      </c>
      <c r="C1177" t="s">
        <v>3</v>
      </c>
      <c r="D1177" t="s">
        <v>4</v>
      </c>
      <c r="E1177" t="s">
        <v>4</v>
      </c>
      <c r="F1177" t="s">
        <v>5</v>
      </c>
      <c r="G1177" t="s">
        <v>21</v>
      </c>
      <c r="H1177" t="s">
        <v>4016</v>
      </c>
      <c r="I1177" s="2">
        <v>1500</v>
      </c>
      <c r="J1177" s="2">
        <v>0</v>
      </c>
      <c r="K1177" s="2">
        <v>0</v>
      </c>
      <c r="L1177" s="3">
        <v>45856</v>
      </c>
      <c r="M1177" s="3">
        <v>45856</v>
      </c>
      <c r="N1177" s="3"/>
      <c r="O1177" t="s">
        <v>4019</v>
      </c>
      <c r="P1177" t="s">
        <v>9</v>
      </c>
      <c r="Q1177" s="4">
        <v>0.41505787037037001</v>
      </c>
      <c r="R1177" t="s">
        <v>5</v>
      </c>
      <c r="S1177" t="s">
        <v>4</v>
      </c>
      <c r="T1177" t="s">
        <v>2260</v>
      </c>
      <c r="U1177" t="s">
        <v>10</v>
      </c>
      <c r="V1177" s="5">
        <v>0</v>
      </c>
      <c r="W1177" s="5">
        <v>0</v>
      </c>
      <c r="X1177" s="2">
        <v>0</v>
      </c>
      <c r="Y1177" t="s">
        <v>4</v>
      </c>
      <c r="Z1177" t="s">
        <v>4</v>
      </c>
      <c r="AA1177" t="s">
        <v>4</v>
      </c>
      <c r="AB1177" t="s">
        <v>4</v>
      </c>
    </row>
    <row r="1178" spans="1:28" x14ac:dyDescent="0.2">
      <c r="A1178" t="s">
        <v>1924</v>
      </c>
      <c r="B1178" t="s">
        <v>2</v>
      </c>
      <c r="C1178" t="s">
        <v>3</v>
      </c>
      <c r="D1178" t="s">
        <v>4</v>
      </c>
      <c r="E1178" t="s">
        <v>4</v>
      </c>
      <c r="F1178" t="s">
        <v>5</v>
      </c>
      <c r="G1178" t="s">
        <v>21</v>
      </c>
      <c r="H1178" t="s">
        <v>4020</v>
      </c>
      <c r="I1178" s="2">
        <v>264</v>
      </c>
      <c r="J1178" s="2">
        <v>0</v>
      </c>
      <c r="K1178" s="2">
        <v>0</v>
      </c>
      <c r="L1178" s="3">
        <v>45855</v>
      </c>
      <c r="M1178" s="3">
        <v>45855</v>
      </c>
      <c r="N1178" s="3"/>
      <c r="O1178" t="s">
        <v>4021</v>
      </c>
      <c r="P1178" t="s">
        <v>9</v>
      </c>
      <c r="Q1178" s="4">
        <v>0.59467592592592999</v>
      </c>
      <c r="R1178" t="s">
        <v>5</v>
      </c>
      <c r="S1178" t="s">
        <v>4</v>
      </c>
      <c r="T1178" t="s">
        <v>2350</v>
      </c>
      <c r="U1178" t="s">
        <v>10</v>
      </c>
      <c r="V1178" s="5">
        <v>0</v>
      </c>
      <c r="W1178" s="5">
        <v>0</v>
      </c>
      <c r="X1178" s="2">
        <v>0</v>
      </c>
      <c r="Y1178" t="s">
        <v>4</v>
      </c>
      <c r="Z1178" t="s">
        <v>4</v>
      </c>
      <c r="AA1178" t="s">
        <v>4</v>
      </c>
      <c r="AB1178" t="s">
        <v>4</v>
      </c>
    </row>
    <row r="1179" spans="1:28" x14ac:dyDescent="0.2">
      <c r="A1179" t="s">
        <v>1924</v>
      </c>
      <c r="B1179" t="s">
        <v>2</v>
      </c>
      <c r="C1179" t="s">
        <v>3</v>
      </c>
      <c r="D1179" t="s">
        <v>4</v>
      </c>
      <c r="E1179" t="s">
        <v>4</v>
      </c>
      <c r="F1179" t="s">
        <v>5</v>
      </c>
      <c r="G1179" t="s">
        <v>21</v>
      </c>
      <c r="H1179" t="s">
        <v>4020</v>
      </c>
      <c r="I1179" s="2">
        <v>330</v>
      </c>
      <c r="J1179" s="2">
        <v>0</v>
      </c>
      <c r="K1179" s="2">
        <v>0</v>
      </c>
      <c r="L1179" s="3">
        <v>45857</v>
      </c>
      <c r="M1179" s="3">
        <v>45857</v>
      </c>
      <c r="N1179" s="3"/>
      <c r="O1179" t="s">
        <v>4022</v>
      </c>
      <c r="P1179" t="s">
        <v>9</v>
      </c>
      <c r="Q1179" s="4">
        <v>0.59467592592592999</v>
      </c>
      <c r="R1179" t="s">
        <v>5</v>
      </c>
      <c r="S1179" t="s">
        <v>4</v>
      </c>
      <c r="T1179" t="s">
        <v>2262</v>
      </c>
      <c r="U1179" t="s">
        <v>10</v>
      </c>
      <c r="V1179" s="5">
        <v>0</v>
      </c>
      <c r="W1179" s="5">
        <v>0</v>
      </c>
      <c r="X1179" s="2">
        <v>0</v>
      </c>
      <c r="Y1179" t="s">
        <v>4</v>
      </c>
      <c r="Z1179" t="s">
        <v>4</v>
      </c>
      <c r="AA1179" t="s">
        <v>4</v>
      </c>
      <c r="AB1179" t="s">
        <v>4</v>
      </c>
    </row>
    <row r="1180" spans="1:28" x14ac:dyDescent="0.2">
      <c r="A1180" t="s">
        <v>1135</v>
      </c>
      <c r="B1180" t="s">
        <v>2</v>
      </c>
      <c r="C1180" t="s">
        <v>3</v>
      </c>
      <c r="D1180" t="s">
        <v>4</v>
      </c>
      <c r="E1180" t="s">
        <v>4</v>
      </c>
      <c r="F1180" t="s">
        <v>5</v>
      </c>
      <c r="G1180" t="s">
        <v>21</v>
      </c>
      <c r="H1180" t="s">
        <v>4023</v>
      </c>
      <c r="I1180" s="2">
        <v>480</v>
      </c>
      <c r="J1180" s="2">
        <v>0</v>
      </c>
      <c r="K1180" s="2">
        <v>0</v>
      </c>
      <c r="L1180" s="3">
        <v>45822</v>
      </c>
      <c r="M1180" s="3">
        <v>45822</v>
      </c>
      <c r="N1180" s="3"/>
      <c r="O1180" t="s">
        <v>4024</v>
      </c>
      <c r="P1180" t="s">
        <v>9</v>
      </c>
      <c r="Q1180" s="4">
        <v>0.88873842592593</v>
      </c>
      <c r="R1180" t="s">
        <v>5</v>
      </c>
      <c r="S1180" t="s">
        <v>4</v>
      </c>
      <c r="T1180" t="s">
        <v>3122</v>
      </c>
      <c r="U1180" t="s">
        <v>10</v>
      </c>
      <c r="V1180" s="5">
        <v>0</v>
      </c>
      <c r="W1180" s="5">
        <v>0</v>
      </c>
      <c r="X1180" s="2">
        <v>0</v>
      </c>
      <c r="Y1180" t="s">
        <v>4</v>
      </c>
      <c r="Z1180" t="s">
        <v>4</v>
      </c>
      <c r="AA1180" t="s">
        <v>4</v>
      </c>
      <c r="AB1180" t="s">
        <v>4</v>
      </c>
    </row>
    <row r="1181" spans="1:28" x14ac:dyDescent="0.2">
      <c r="A1181" t="s">
        <v>1135</v>
      </c>
      <c r="B1181" t="s">
        <v>2</v>
      </c>
      <c r="C1181" t="s">
        <v>3</v>
      </c>
      <c r="D1181" t="s">
        <v>4</v>
      </c>
      <c r="E1181" t="s">
        <v>4</v>
      </c>
      <c r="F1181" t="s">
        <v>5</v>
      </c>
      <c r="G1181" t="s">
        <v>21</v>
      </c>
      <c r="H1181" t="s">
        <v>4023</v>
      </c>
      <c r="I1181" s="2">
        <v>480</v>
      </c>
      <c r="J1181" s="2">
        <v>0</v>
      </c>
      <c r="K1181" s="2">
        <v>0</v>
      </c>
      <c r="L1181" s="3">
        <v>45822</v>
      </c>
      <c r="M1181" s="3">
        <v>45822</v>
      </c>
      <c r="N1181" s="3"/>
      <c r="O1181" t="s">
        <v>4025</v>
      </c>
      <c r="P1181" t="s">
        <v>9</v>
      </c>
      <c r="Q1181" s="4">
        <v>0.88873842592593</v>
      </c>
      <c r="R1181" t="s">
        <v>5</v>
      </c>
      <c r="S1181" t="s">
        <v>4</v>
      </c>
      <c r="T1181" t="s">
        <v>3122</v>
      </c>
      <c r="U1181" t="s">
        <v>10</v>
      </c>
      <c r="V1181" s="5">
        <v>0</v>
      </c>
      <c r="W1181" s="5">
        <v>0</v>
      </c>
      <c r="X1181" s="2">
        <v>0</v>
      </c>
      <c r="Y1181" t="s">
        <v>4</v>
      </c>
      <c r="Z1181" t="s">
        <v>4</v>
      </c>
      <c r="AA1181" t="s">
        <v>4</v>
      </c>
      <c r="AB1181" t="s">
        <v>4</v>
      </c>
    </row>
    <row r="1182" spans="1:28" x14ac:dyDescent="0.2">
      <c r="A1182" t="s">
        <v>2251</v>
      </c>
      <c r="B1182" t="s">
        <v>4</v>
      </c>
      <c r="C1182" t="s">
        <v>4</v>
      </c>
      <c r="D1182" t="s">
        <v>4</v>
      </c>
      <c r="E1182" t="s">
        <v>4</v>
      </c>
      <c r="F1182" t="s">
        <v>5</v>
      </c>
      <c r="G1182" t="s">
        <v>17</v>
      </c>
      <c r="H1182" t="s">
        <v>4026</v>
      </c>
      <c r="I1182" s="5">
        <v>0</v>
      </c>
      <c r="J1182" s="5">
        <v>0</v>
      </c>
      <c r="K1182" s="5">
        <v>0</v>
      </c>
      <c r="L1182" s="3"/>
      <c r="M1182" s="3"/>
      <c r="N1182" s="3"/>
      <c r="O1182" t="s">
        <v>4</v>
      </c>
      <c r="P1182" t="s">
        <v>9</v>
      </c>
      <c r="Q1182" s="4">
        <v>0.94226851851852</v>
      </c>
      <c r="R1182" t="s">
        <v>4</v>
      </c>
      <c r="S1182" t="s">
        <v>4</v>
      </c>
      <c r="T1182" t="s">
        <v>2256</v>
      </c>
      <c r="U1182" t="s">
        <v>4</v>
      </c>
      <c r="V1182" s="5">
        <v>0</v>
      </c>
      <c r="W1182" s="5">
        <v>0</v>
      </c>
      <c r="X1182" s="2">
        <v>0</v>
      </c>
      <c r="Y1182" t="s">
        <v>4</v>
      </c>
      <c r="Z1182" t="s">
        <v>4</v>
      </c>
      <c r="AA1182" t="s">
        <v>4</v>
      </c>
      <c r="AB1182" t="s">
        <v>4</v>
      </c>
    </row>
    <row r="1183" spans="1:28" x14ac:dyDescent="0.2">
      <c r="A1183" t="s">
        <v>285</v>
      </c>
      <c r="B1183" t="s">
        <v>2</v>
      </c>
      <c r="C1183" t="s">
        <v>3</v>
      </c>
      <c r="D1183" t="s">
        <v>4</v>
      </c>
      <c r="E1183" t="s">
        <v>4</v>
      </c>
      <c r="F1183" t="s">
        <v>5</v>
      </c>
      <c r="G1183" t="s">
        <v>17</v>
      </c>
      <c r="H1183" t="s">
        <v>4027</v>
      </c>
      <c r="I1183" s="2">
        <v>30</v>
      </c>
      <c r="J1183" s="2">
        <v>0</v>
      </c>
      <c r="K1183" s="2">
        <v>0</v>
      </c>
      <c r="L1183" s="3">
        <v>45835</v>
      </c>
      <c r="M1183" s="3">
        <v>45835</v>
      </c>
      <c r="N1183" s="3"/>
      <c r="O1183" t="s">
        <v>4028</v>
      </c>
      <c r="P1183" t="s">
        <v>9</v>
      </c>
      <c r="Q1183" s="4">
        <v>0.63746527777777995</v>
      </c>
      <c r="R1183" t="s">
        <v>5</v>
      </c>
      <c r="S1183" t="s">
        <v>4</v>
      </c>
      <c r="T1183" t="s">
        <v>2928</v>
      </c>
      <c r="U1183" t="s">
        <v>10</v>
      </c>
      <c r="V1183" s="5">
        <v>0</v>
      </c>
      <c r="W1183" s="5">
        <v>0</v>
      </c>
      <c r="X1183" s="2">
        <v>0</v>
      </c>
      <c r="Y1183" t="s">
        <v>4</v>
      </c>
      <c r="Z1183" t="s">
        <v>4</v>
      </c>
      <c r="AA1183" t="s">
        <v>4</v>
      </c>
      <c r="AB1183" t="s">
        <v>4</v>
      </c>
    </row>
    <row r="1184" spans="1:28" x14ac:dyDescent="0.2">
      <c r="A1184" t="s">
        <v>285</v>
      </c>
      <c r="B1184" t="s">
        <v>2</v>
      </c>
      <c r="C1184" t="s">
        <v>3</v>
      </c>
      <c r="D1184" t="s">
        <v>4</v>
      </c>
      <c r="E1184" t="s">
        <v>4</v>
      </c>
      <c r="F1184" t="s">
        <v>5</v>
      </c>
      <c r="G1184" t="s">
        <v>17</v>
      </c>
      <c r="H1184" t="s">
        <v>4027</v>
      </c>
      <c r="I1184" s="2">
        <v>30</v>
      </c>
      <c r="J1184" s="2">
        <v>0</v>
      </c>
      <c r="K1184" s="2">
        <v>0</v>
      </c>
      <c r="L1184" s="3">
        <v>45835</v>
      </c>
      <c r="M1184" s="3">
        <v>45835</v>
      </c>
      <c r="N1184" s="3"/>
      <c r="O1184" t="s">
        <v>4029</v>
      </c>
      <c r="P1184" t="s">
        <v>9</v>
      </c>
      <c r="Q1184" s="4">
        <v>0.63746527777777995</v>
      </c>
      <c r="R1184" t="s">
        <v>5</v>
      </c>
      <c r="S1184" t="s">
        <v>4</v>
      </c>
      <c r="T1184" t="s">
        <v>2928</v>
      </c>
      <c r="U1184" t="s">
        <v>10</v>
      </c>
      <c r="V1184" s="5">
        <v>0</v>
      </c>
      <c r="W1184" s="5">
        <v>0</v>
      </c>
      <c r="X1184" s="2">
        <v>0</v>
      </c>
      <c r="Y1184" t="s">
        <v>4</v>
      </c>
      <c r="Z1184" t="s">
        <v>4</v>
      </c>
      <c r="AA1184" t="s">
        <v>4</v>
      </c>
      <c r="AB1184" t="s">
        <v>4</v>
      </c>
    </row>
    <row r="1185" spans="1:28" x14ac:dyDescent="0.2">
      <c r="A1185" t="s">
        <v>285</v>
      </c>
      <c r="B1185" t="s">
        <v>2</v>
      </c>
      <c r="C1185" t="s">
        <v>3</v>
      </c>
      <c r="D1185" t="s">
        <v>4</v>
      </c>
      <c r="E1185" t="s">
        <v>4</v>
      </c>
      <c r="F1185" t="s">
        <v>5</v>
      </c>
      <c r="G1185" t="s">
        <v>17</v>
      </c>
      <c r="H1185" t="s">
        <v>4030</v>
      </c>
      <c r="I1185" s="2">
        <v>30</v>
      </c>
      <c r="J1185" s="2">
        <v>0</v>
      </c>
      <c r="K1185" s="2">
        <v>0</v>
      </c>
      <c r="L1185" s="3">
        <v>45835</v>
      </c>
      <c r="M1185" s="3">
        <v>45835</v>
      </c>
      <c r="N1185" s="3"/>
      <c r="O1185" t="s">
        <v>4031</v>
      </c>
      <c r="P1185" t="s">
        <v>9</v>
      </c>
      <c r="Q1185" s="4">
        <v>0.63783564814814997</v>
      </c>
      <c r="R1185" t="s">
        <v>5</v>
      </c>
      <c r="S1185" t="s">
        <v>4</v>
      </c>
      <c r="T1185" t="s">
        <v>2928</v>
      </c>
      <c r="U1185" t="s">
        <v>10</v>
      </c>
      <c r="V1185" s="5">
        <v>0</v>
      </c>
      <c r="W1185" s="5">
        <v>0</v>
      </c>
      <c r="X1185" s="2">
        <v>0</v>
      </c>
      <c r="Y1185" t="s">
        <v>4</v>
      </c>
      <c r="Z1185" t="s">
        <v>4</v>
      </c>
      <c r="AA1185" t="s">
        <v>4</v>
      </c>
      <c r="AB1185" t="s">
        <v>4</v>
      </c>
    </row>
    <row r="1186" spans="1:28" x14ac:dyDescent="0.2">
      <c r="A1186" t="s">
        <v>285</v>
      </c>
      <c r="B1186" t="s">
        <v>2</v>
      </c>
      <c r="C1186" t="s">
        <v>3</v>
      </c>
      <c r="D1186" t="s">
        <v>4</v>
      </c>
      <c r="E1186" t="s">
        <v>4</v>
      </c>
      <c r="F1186" t="s">
        <v>5</v>
      </c>
      <c r="G1186" t="s">
        <v>17</v>
      </c>
      <c r="H1186" t="s">
        <v>4030</v>
      </c>
      <c r="I1186" s="2">
        <v>30</v>
      </c>
      <c r="J1186" s="2">
        <v>0</v>
      </c>
      <c r="K1186" s="2">
        <v>0</v>
      </c>
      <c r="L1186" s="3">
        <v>45835</v>
      </c>
      <c r="M1186" s="3">
        <v>45835</v>
      </c>
      <c r="N1186" s="3"/>
      <c r="O1186" t="s">
        <v>4032</v>
      </c>
      <c r="P1186" t="s">
        <v>9</v>
      </c>
      <c r="Q1186" s="4">
        <v>0.63783564814814997</v>
      </c>
      <c r="R1186" t="s">
        <v>5</v>
      </c>
      <c r="S1186" t="s">
        <v>4</v>
      </c>
      <c r="T1186" t="s">
        <v>2928</v>
      </c>
      <c r="U1186" t="s">
        <v>10</v>
      </c>
      <c r="V1186" s="5">
        <v>0</v>
      </c>
      <c r="W1186" s="5">
        <v>0</v>
      </c>
      <c r="X1186" s="2">
        <v>0</v>
      </c>
      <c r="Y1186" t="s">
        <v>4</v>
      </c>
      <c r="Z1186" t="s">
        <v>4</v>
      </c>
      <c r="AA1186" t="s">
        <v>4</v>
      </c>
      <c r="AB1186" t="s">
        <v>4</v>
      </c>
    </row>
    <row r="1187" spans="1:28" x14ac:dyDescent="0.2">
      <c r="A1187" t="s">
        <v>1822</v>
      </c>
      <c r="B1187" t="s">
        <v>2</v>
      </c>
      <c r="C1187" t="s">
        <v>3</v>
      </c>
      <c r="D1187" t="s">
        <v>4</v>
      </c>
      <c r="E1187" t="s">
        <v>4</v>
      </c>
      <c r="F1187" t="s">
        <v>5</v>
      </c>
      <c r="G1187" t="s">
        <v>17</v>
      </c>
      <c r="H1187" t="s">
        <v>4033</v>
      </c>
      <c r="I1187" s="2">
        <v>288</v>
      </c>
      <c r="J1187" s="2">
        <v>0</v>
      </c>
      <c r="K1187" s="2">
        <v>0</v>
      </c>
      <c r="L1187" s="3">
        <v>45852</v>
      </c>
      <c r="M1187" s="3">
        <v>45852</v>
      </c>
      <c r="N1187" s="3"/>
      <c r="O1187" t="s">
        <v>4034</v>
      </c>
      <c r="P1187" t="s">
        <v>9</v>
      </c>
      <c r="Q1187" s="4">
        <v>0.72292824074074002</v>
      </c>
      <c r="R1187" t="s">
        <v>5</v>
      </c>
      <c r="S1187" t="s">
        <v>4</v>
      </c>
      <c r="T1187" t="s">
        <v>2669</v>
      </c>
      <c r="U1187" t="s">
        <v>10</v>
      </c>
      <c r="V1187" s="5">
        <v>0</v>
      </c>
      <c r="W1187" s="5">
        <v>0</v>
      </c>
      <c r="X1187" s="2">
        <v>0</v>
      </c>
      <c r="Y1187" t="s">
        <v>4</v>
      </c>
      <c r="Z1187" t="s">
        <v>4</v>
      </c>
      <c r="AA1187" t="s">
        <v>4</v>
      </c>
      <c r="AB1187" t="s">
        <v>4</v>
      </c>
    </row>
    <row r="1188" spans="1:28" x14ac:dyDescent="0.2">
      <c r="A1188" t="s">
        <v>1822</v>
      </c>
      <c r="B1188" t="s">
        <v>2</v>
      </c>
      <c r="C1188" t="s">
        <v>3</v>
      </c>
      <c r="D1188" t="s">
        <v>4</v>
      </c>
      <c r="E1188" t="s">
        <v>4</v>
      </c>
      <c r="F1188" t="s">
        <v>5</v>
      </c>
      <c r="G1188" t="s">
        <v>17</v>
      </c>
      <c r="H1188" t="s">
        <v>4033</v>
      </c>
      <c r="I1188" s="2">
        <v>480</v>
      </c>
      <c r="J1188" s="2">
        <v>0</v>
      </c>
      <c r="K1188" s="2">
        <v>0</v>
      </c>
      <c r="L1188" s="3">
        <v>45854</v>
      </c>
      <c r="M1188" s="3">
        <v>45854</v>
      </c>
      <c r="N1188" s="3"/>
      <c r="O1188" t="s">
        <v>4035</v>
      </c>
      <c r="P1188" t="s">
        <v>9</v>
      </c>
      <c r="Q1188" s="4">
        <v>0.72292824074074002</v>
      </c>
      <c r="R1188" t="s">
        <v>5</v>
      </c>
      <c r="S1188" t="s">
        <v>4</v>
      </c>
      <c r="T1188" t="s">
        <v>2299</v>
      </c>
      <c r="U1188" t="s">
        <v>10</v>
      </c>
      <c r="V1188" s="5">
        <v>0</v>
      </c>
      <c r="W1188" s="5">
        <v>0</v>
      </c>
      <c r="X1188" s="2">
        <v>0</v>
      </c>
      <c r="Y1188" t="s">
        <v>4</v>
      </c>
      <c r="Z1188" t="s">
        <v>4</v>
      </c>
      <c r="AA1188" t="s">
        <v>4</v>
      </c>
      <c r="AB1188" t="s">
        <v>4</v>
      </c>
    </row>
    <row r="1189" spans="1:28" x14ac:dyDescent="0.2">
      <c r="A1189" t="s">
        <v>1815</v>
      </c>
      <c r="B1189" t="s">
        <v>2</v>
      </c>
      <c r="C1189" t="s">
        <v>3</v>
      </c>
      <c r="D1189" t="s">
        <v>4</v>
      </c>
      <c r="E1189" t="s">
        <v>4</v>
      </c>
      <c r="F1189" t="s">
        <v>5</v>
      </c>
      <c r="G1189" t="s">
        <v>6</v>
      </c>
      <c r="H1189" t="s">
        <v>4036</v>
      </c>
      <c r="I1189" s="2">
        <v>6156</v>
      </c>
      <c r="J1189" s="2">
        <v>0</v>
      </c>
      <c r="K1189" s="2">
        <v>0</v>
      </c>
      <c r="L1189" s="3">
        <v>45834</v>
      </c>
      <c r="M1189" s="3">
        <v>45834</v>
      </c>
      <c r="N1189" s="3"/>
      <c r="O1189" t="s">
        <v>4037</v>
      </c>
      <c r="P1189" t="s">
        <v>9</v>
      </c>
      <c r="Q1189" s="4">
        <v>0.48211805555555998</v>
      </c>
      <c r="R1189" t="s">
        <v>5</v>
      </c>
      <c r="S1189" t="s">
        <v>4</v>
      </c>
      <c r="T1189" t="s">
        <v>2817</v>
      </c>
      <c r="U1189" t="s">
        <v>10</v>
      </c>
      <c r="V1189" s="5">
        <v>0</v>
      </c>
      <c r="W1189" s="5">
        <v>0</v>
      </c>
      <c r="X1189" s="2">
        <v>0</v>
      </c>
      <c r="Y1189" t="s">
        <v>4</v>
      </c>
      <c r="Z1189" t="s">
        <v>4</v>
      </c>
      <c r="AA1189" t="s">
        <v>4</v>
      </c>
      <c r="AB1189" t="s">
        <v>4</v>
      </c>
    </row>
    <row r="1190" spans="1:28" x14ac:dyDescent="0.2">
      <c r="A1190" t="s">
        <v>1815</v>
      </c>
      <c r="B1190" t="s">
        <v>2</v>
      </c>
      <c r="C1190" t="s">
        <v>3</v>
      </c>
      <c r="D1190" t="s">
        <v>4</v>
      </c>
      <c r="E1190" t="s">
        <v>4</v>
      </c>
      <c r="F1190" t="s">
        <v>5</v>
      </c>
      <c r="G1190" t="s">
        <v>6</v>
      </c>
      <c r="H1190" t="s">
        <v>4036</v>
      </c>
      <c r="I1190" s="2">
        <v>12312</v>
      </c>
      <c r="J1190" s="2">
        <v>0</v>
      </c>
      <c r="K1190" s="2">
        <v>0</v>
      </c>
      <c r="L1190" s="3">
        <v>45835</v>
      </c>
      <c r="M1190" s="3">
        <v>45835</v>
      </c>
      <c r="N1190" s="3"/>
      <c r="O1190" t="s">
        <v>4038</v>
      </c>
      <c r="P1190" t="s">
        <v>9</v>
      </c>
      <c r="Q1190" s="4">
        <v>0.48211805555555998</v>
      </c>
      <c r="R1190" t="s">
        <v>5</v>
      </c>
      <c r="S1190" t="s">
        <v>4</v>
      </c>
      <c r="T1190" t="s">
        <v>2928</v>
      </c>
      <c r="U1190" t="s">
        <v>10</v>
      </c>
      <c r="V1190" s="5">
        <v>0</v>
      </c>
      <c r="W1190" s="5">
        <v>0</v>
      </c>
      <c r="X1190" s="2">
        <v>0</v>
      </c>
      <c r="Y1190" t="s">
        <v>4</v>
      </c>
      <c r="Z1190" t="s">
        <v>4</v>
      </c>
      <c r="AA1190" t="s">
        <v>4</v>
      </c>
      <c r="AB1190" t="s">
        <v>4</v>
      </c>
    </row>
    <row r="1191" spans="1:28" x14ac:dyDescent="0.2">
      <c r="A1191" t="s">
        <v>1145</v>
      </c>
      <c r="B1191" t="s">
        <v>2</v>
      </c>
      <c r="C1191" t="s">
        <v>3</v>
      </c>
      <c r="D1191" t="s">
        <v>4</v>
      </c>
      <c r="E1191" t="s">
        <v>4</v>
      </c>
      <c r="F1191" t="s">
        <v>5</v>
      </c>
      <c r="G1191" t="s">
        <v>6</v>
      </c>
      <c r="H1191" t="s">
        <v>4039</v>
      </c>
      <c r="I1191" s="2">
        <v>450</v>
      </c>
      <c r="J1191" s="2">
        <v>0</v>
      </c>
      <c r="K1191" s="2">
        <v>0</v>
      </c>
      <c r="L1191" s="3">
        <v>45686</v>
      </c>
      <c r="M1191" s="3">
        <v>45686</v>
      </c>
      <c r="N1191" s="3"/>
      <c r="O1191" t="s">
        <v>4040</v>
      </c>
      <c r="P1191" t="s">
        <v>9</v>
      </c>
      <c r="Q1191" s="4">
        <v>0.37937500000000002</v>
      </c>
      <c r="R1191" t="s">
        <v>5</v>
      </c>
      <c r="S1191" t="s">
        <v>4</v>
      </c>
      <c r="T1191" t="s">
        <v>2718</v>
      </c>
      <c r="U1191" t="s">
        <v>10</v>
      </c>
      <c r="V1191" s="5">
        <v>0</v>
      </c>
      <c r="W1191" s="5">
        <v>0</v>
      </c>
      <c r="X1191" s="2">
        <v>0</v>
      </c>
      <c r="Y1191" t="s">
        <v>4</v>
      </c>
      <c r="Z1191" t="s">
        <v>4</v>
      </c>
      <c r="AA1191" t="s">
        <v>4</v>
      </c>
      <c r="AB1191" t="s">
        <v>4</v>
      </c>
    </row>
    <row r="1192" spans="1:28" x14ac:dyDescent="0.2">
      <c r="A1192" t="s">
        <v>1145</v>
      </c>
      <c r="B1192" t="s">
        <v>2</v>
      </c>
      <c r="C1192" t="s">
        <v>3</v>
      </c>
      <c r="D1192" t="s">
        <v>4</v>
      </c>
      <c r="E1192" t="s">
        <v>4</v>
      </c>
      <c r="F1192" t="s">
        <v>5</v>
      </c>
      <c r="G1192" t="s">
        <v>6</v>
      </c>
      <c r="H1192" t="s">
        <v>4039</v>
      </c>
      <c r="I1192" s="2">
        <v>450</v>
      </c>
      <c r="J1192" s="2">
        <v>0</v>
      </c>
      <c r="K1192" s="2">
        <v>0</v>
      </c>
      <c r="L1192" s="3">
        <v>45686</v>
      </c>
      <c r="M1192" s="3">
        <v>45686</v>
      </c>
      <c r="N1192" s="3"/>
      <c r="O1192" t="s">
        <v>4041</v>
      </c>
      <c r="P1192" t="s">
        <v>9</v>
      </c>
      <c r="Q1192" s="4">
        <v>0.37937500000000002</v>
      </c>
      <c r="R1192" t="s">
        <v>5</v>
      </c>
      <c r="S1192" t="s">
        <v>4</v>
      </c>
      <c r="T1192" t="s">
        <v>2718</v>
      </c>
      <c r="U1192" t="s">
        <v>10</v>
      </c>
      <c r="V1192" s="5">
        <v>0</v>
      </c>
      <c r="W1192" s="5">
        <v>0</v>
      </c>
      <c r="X1192" s="2">
        <v>0</v>
      </c>
      <c r="Y1192" t="s">
        <v>4</v>
      </c>
      <c r="Z1192" t="s">
        <v>4</v>
      </c>
      <c r="AA1192" t="s">
        <v>4</v>
      </c>
      <c r="AB1192" t="s">
        <v>4</v>
      </c>
    </row>
    <row r="1193" spans="1:28" x14ac:dyDescent="0.2">
      <c r="A1193" t="s">
        <v>0</v>
      </c>
      <c r="B1193" t="s">
        <v>2</v>
      </c>
      <c r="C1193" t="s">
        <v>3</v>
      </c>
      <c r="D1193" t="s">
        <v>4</v>
      </c>
      <c r="E1193" t="s">
        <v>4</v>
      </c>
      <c r="F1193" t="s">
        <v>5</v>
      </c>
      <c r="G1193" t="s">
        <v>6</v>
      </c>
      <c r="H1193" t="s">
        <v>163</v>
      </c>
      <c r="I1193" s="2">
        <v>196</v>
      </c>
      <c r="J1193" s="2">
        <v>0</v>
      </c>
      <c r="K1193" s="2">
        <v>0</v>
      </c>
      <c r="L1193" s="3">
        <v>45819</v>
      </c>
      <c r="M1193" s="3">
        <v>45819</v>
      </c>
      <c r="N1193" s="3"/>
      <c r="O1193" t="s">
        <v>165</v>
      </c>
      <c r="P1193" t="s">
        <v>9</v>
      </c>
      <c r="Q1193" s="4">
        <v>0.48737268518519</v>
      </c>
      <c r="R1193" t="s">
        <v>5</v>
      </c>
      <c r="S1193" t="s">
        <v>4</v>
      </c>
      <c r="T1193" t="s">
        <v>2263</v>
      </c>
      <c r="U1193" t="s">
        <v>10</v>
      </c>
      <c r="V1193" s="5">
        <v>0</v>
      </c>
      <c r="W1193" s="5">
        <v>0</v>
      </c>
      <c r="X1193" s="2">
        <v>0</v>
      </c>
      <c r="Y1193" t="s">
        <v>4</v>
      </c>
      <c r="Z1193" t="s">
        <v>4</v>
      </c>
      <c r="AA1193" t="s">
        <v>4</v>
      </c>
      <c r="AB1193" t="s">
        <v>4</v>
      </c>
    </row>
    <row r="1194" spans="1:28" x14ac:dyDescent="0.2">
      <c r="A1194" t="s">
        <v>0</v>
      </c>
      <c r="B1194" t="s">
        <v>2</v>
      </c>
      <c r="C1194" t="s">
        <v>3</v>
      </c>
      <c r="D1194" t="s">
        <v>4</v>
      </c>
      <c r="E1194" t="s">
        <v>4</v>
      </c>
      <c r="F1194" t="s">
        <v>5</v>
      </c>
      <c r="G1194" t="s">
        <v>6</v>
      </c>
      <c r="H1194" t="s">
        <v>163</v>
      </c>
      <c r="I1194" s="2">
        <v>196</v>
      </c>
      <c r="J1194" s="2">
        <v>0</v>
      </c>
      <c r="K1194" s="2">
        <v>0</v>
      </c>
      <c r="L1194" s="3">
        <v>45819</v>
      </c>
      <c r="M1194" s="3">
        <v>45819</v>
      </c>
      <c r="N1194" s="3"/>
      <c r="O1194" t="s">
        <v>164</v>
      </c>
      <c r="P1194" t="s">
        <v>9</v>
      </c>
      <c r="Q1194" s="4">
        <v>0.48737268518519</v>
      </c>
      <c r="R1194" t="s">
        <v>5</v>
      </c>
      <c r="S1194" t="s">
        <v>4</v>
      </c>
      <c r="T1194" t="s">
        <v>2263</v>
      </c>
      <c r="U1194" t="s">
        <v>10</v>
      </c>
      <c r="V1194" s="5">
        <v>0</v>
      </c>
      <c r="W1194" s="5">
        <v>0</v>
      </c>
      <c r="X1194" s="2">
        <v>0</v>
      </c>
      <c r="Y1194" t="s">
        <v>4</v>
      </c>
      <c r="Z1194" t="s">
        <v>4</v>
      </c>
      <c r="AA1194" t="s">
        <v>4</v>
      </c>
      <c r="AB1194" t="s">
        <v>4</v>
      </c>
    </row>
    <row r="1195" spans="1:28" x14ac:dyDescent="0.2">
      <c r="A1195" t="s">
        <v>1145</v>
      </c>
      <c r="B1195" t="s">
        <v>2</v>
      </c>
      <c r="C1195" t="s">
        <v>3</v>
      </c>
      <c r="D1195" t="s">
        <v>4</v>
      </c>
      <c r="E1195" t="s">
        <v>4</v>
      </c>
      <c r="F1195" t="s">
        <v>5</v>
      </c>
      <c r="G1195" t="s">
        <v>6</v>
      </c>
      <c r="H1195" t="s">
        <v>4042</v>
      </c>
      <c r="I1195" s="2">
        <v>450</v>
      </c>
      <c r="J1195" s="2">
        <v>0</v>
      </c>
      <c r="K1195" s="2">
        <v>0</v>
      </c>
      <c r="L1195" s="3">
        <v>45686</v>
      </c>
      <c r="M1195" s="3">
        <v>45686</v>
      </c>
      <c r="N1195" s="3"/>
      <c r="O1195" t="s">
        <v>4043</v>
      </c>
      <c r="P1195" t="s">
        <v>9</v>
      </c>
      <c r="Q1195" s="4">
        <v>0.37961805555556</v>
      </c>
      <c r="R1195" t="s">
        <v>5</v>
      </c>
      <c r="S1195" t="s">
        <v>4</v>
      </c>
      <c r="T1195" t="s">
        <v>2718</v>
      </c>
      <c r="U1195" t="s">
        <v>10</v>
      </c>
      <c r="V1195" s="5">
        <v>0</v>
      </c>
      <c r="W1195" s="5">
        <v>0</v>
      </c>
      <c r="X1195" s="2">
        <v>0</v>
      </c>
      <c r="Y1195" t="s">
        <v>4</v>
      </c>
      <c r="Z1195" t="s">
        <v>4</v>
      </c>
      <c r="AA1195" t="s">
        <v>4</v>
      </c>
      <c r="AB1195" t="s">
        <v>4</v>
      </c>
    </row>
    <row r="1196" spans="1:28" x14ac:dyDescent="0.2">
      <c r="A1196" t="s">
        <v>1145</v>
      </c>
      <c r="B1196" t="s">
        <v>2</v>
      </c>
      <c r="C1196" t="s">
        <v>3</v>
      </c>
      <c r="D1196" t="s">
        <v>4</v>
      </c>
      <c r="E1196" t="s">
        <v>4</v>
      </c>
      <c r="F1196" t="s">
        <v>5</v>
      </c>
      <c r="G1196" t="s">
        <v>6</v>
      </c>
      <c r="H1196" t="s">
        <v>4042</v>
      </c>
      <c r="I1196" s="2">
        <v>450</v>
      </c>
      <c r="J1196" s="2">
        <v>0</v>
      </c>
      <c r="K1196" s="2">
        <v>0</v>
      </c>
      <c r="L1196" s="3">
        <v>45686</v>
      </c>
      <c r="M1196" s="3">
        <v>45686</v>
      </c>
      <c r="N1196" s="3"/>
      <c r="O1196" t="s">
        <v>4044</v>
      </c>
      <c r="P1196" t="s">
        <v>9</v>
      </c>
      <c r="Q1196" s="4">
        <v>0.37961805555556</v>
      </c>
      <c r="R1196" t="s">
        <v>5</v>
      </c>
      <c r="S1196" t="s">
        <v>4</v>
      </c>
      <c r="T1196" t="s">
        <v>2718</v>
      </c>
      <c r="U1196" t="s">
        <v>10</v>
      </c>
      <c r="V1196" s="5">
        <v>0</v>
      </c>
      <c r="W1196" s="5">
        <v>0</v>
      </c>
      <c r="X1196" s="2">
        <v>0</v>
      </c>
      <c r="Y1196" t="s">
        <v>4</v>
      </c>
      <c r="Z1196" t="s">
        <v>4</v>
      </c>
      <c r="AA1196" t="s">
        <v>4</v>
      </c>
      <c r="AB1196" t="s">
        <v>4</v>
      </c>
    </row>
    <row r="1197" spans="1:28" x14ac:dyDescent="0.2">
      <c r="A1197" t="s">
        <v>0</v>
      </c>
      <c r="B1197" t="s">
        <v>2</v>
      </c>
      <c r="C1197" t="s">
        <v>3</v>
      </c>
      <c r="D1197" t="s">
        <v>4</v>
      </c>
      <c r="E1197" t="s">
        <v>4</v>
      </c>
      <c r="F1197" t="s">
        <v>5</v>
      </c>
      <c r="G1197" t="s">
        <v>6</v>
      </c>
      <c r="H1197" t="s">
        <v>166</v>
      </c>
      <c r="I1197" s="2">
        <v>196</v>
      </c>
      <c r="J1197" s="2">
        <v>0</v>
      </c>
      <c r="K1197" s="2">
        <v>0</v>
      </c>
      <c r="L1197" s="3">
        <v>45819</v>
      </c>
      <c r="M1197" s="3">
        <v>45819</v>
      </c>
      <c r="N1197" s="3"/>
      <c r="O1197" t="s">
        <v>168</v>
      </c>
      <c r="P1197" t="s">
        <v>9</v>
      </c>
      <c r="Q1197" s="4">
        <v>0.48763888888889001</v>
      </c>
      <c r="R1197" t="s">
        <v>5</v>
      </c>
      <c r="S1197" t="s">
        <v>4</v>
      </c>
      <c r="T1197" t="s">
        <v>2263</v>
      </c>
      <c r="U1197" t="s">
        <v>10</v>
      </c>
      <c r="V1197" s="5">
        <v>0</v>
      </c>
      <c r="W1197" s="5">
        <v>0</v>
      </c>
      <c r="X1197" s="2">
        <v>0</v>
      </c>
      <c r="Y1197" t="s">
        <v>4</v>
      </c>
      <c r="Z1197" t="s">
        <v>4</v>
      </c>
      <c r="AA1197" t="s">
        <v>4</v>
      </c>
      <c r="AB1197" t="s">
        <v>4</v>
      </c>
    </row>
    <row r="1198" spans="1:28" x14ac:dyDescent="0.2">
      <c r="A1198" t="s">
        <v>0</v>
      </c>
      <c r="B1198" t="s">
        <v>2</v>
      </c>
      <c r="C1198" t="s">
        <v>3</v>
      </c>
      <c r="D1198" t="s">
        <v>4</v>
      </c>
      <c r="E1198" t="s">
        <v>4</v>
      </c>
      <c r="F1198" t="s">
        <v>5</v>
      </c>
      <c r="G1198" t="s">
        <v>6</v>
      </c>
      <c r="H1198" t="s">
        <v>166</v>
      </c>
      <c r="I1198" s="2">
        <v>196</v>
      </c>
      <c r="J1198" s="2">
        <v>0</v>
      </c>
      <c r="K1198" s="2">
        <v>0</v>
      </c>
      <c r="L1198" s="3">
        <v>45819</v>
      </c>
      <c r="M1198" s="3">
        <v>45819</v>
      </c>
      <c r="N1198" s="3"/>
      <c r="O1198" t="s">
        <v>167</v>
      </c>
      <c r="P1198" t="s">
        <v>9</v>
      </c>
      <c r="Q1198" s="4">
        <v>0.48763888888889001</v>
      </c>
      <c r="R1198" t="s">
        <v>5</v>
      </c>
      <c r="S1198" t="s">
        <v>4</v>
      </c>
      <c r="T1198" t="s">
        <v>2263</v>
      </c>
      <c r="U1198" t="s">
        <v>10</v>
      </c>
      <c r="V1198" s="5">
        <v>0</v>
      </c>
      <c r="W1198" s="5">
        <v>0</v>
      </c>
      <c r="X1198" s="2">
        <v>0</v>
      </c>
      <c r="Y1198" t="s">
        <v>4</v>
      </c>
      <c r="Z1198" t="s">
        <v>4</v>
      </c>
      <c r="AA1198" t="s">
        <v>4</v>
      </c>
      <c r="AB1198" t="s">
        <v>4</v>
      </c>
    </row>
    <row r="1199" spans="1:28" x14ac:dyDescent="0.2">
      <c r="A1199" t="s">
        <v>2251</v>
      </c>
      <c r="B1199" t="s">
        <v>4</v>
      </c>
      <c r="C1199" t="s">
        <v>4</v>
      </c>
      <c r="D1199" t="s">
        <v>4</v>
      </c>
      <c r="E1199" t="s">
        <v>4</v>
      </c>
      <c r="F1199" t="s">
        <v>5</v>
      </c>
      <c r="G1199" t="s">
        <v>6</v>
      </c>
      <c r="H1199" t="s">
        <v>4045</v>
      </c>
      <c r="I1199" s="5">
        <v>0</v>
      </c>
      <c r="J1199" s="5">
        <v>0</v>
      </c>
      <c r="K1199" s="5">
        <v>0</v>
      </c>
      <c r="L1199" s="3"/>
      <c r="M1199" s="3"/>
      <c r="N1199" s="3"/>
      <c r="O1199" t="s">
        <v>4</v>
      </c>
      <c r="P1199" t="s">
        <v>9</v>
      </c>
      <c r="Q1199" s="4">
        <v>0.34236111111111001</v>
      </c>
      <c r="R1199" t="s">
        <v>4</v>
      </c>
      <c r="S1199" t="s">
        <v>4</v>
      </c>
      <c r="T1199" t="s">
        <v>2256</v>
      </c>
      <c r="U1199" t="s">
        <v>4</v>
      </c>
      <c r="V1199" s="5">
        <v>0</v>
      </c>
      <c r="W1199" s="5">
        <v>0</v>
      </c>
      <c r="X1199" s="2">
        <v>0</v>
      </c>
      <c r="Y1199" t="s">
        <v>4</v>
      </c>
      <c r="Z1199" t="s">
        <v>4</v>
      </c>
      <c r="AA1199" t="s">
        <v>4</v>
      </c>
      <c r="AB1199" t="s">
        <v>4</v>
      </c>
    </row>
    <row r="1200" spans="1:28" x14ac:dyDescent="0.2">
      <c r="A1200" t="s">
        <v>635</v>
      </c>
      <c r="B1200" t="s">
        <v>2</v>
      </c>
      <c r="C1200" t="s">
        <v>3</v>
      </c>
      <c r="D1200" t="s">
        <v>4</v>
      </c>
      <c r="E1200" t="s">
        <v>4</v>
      </c>
      <c r="F1200" t="s">
        <v>5</v>
      </c>
      <c r="G1200" t="s">
        <v>21</v>
      </c>
      <c r="H1200" t="s">
        <v>4046</v>
      </c>
      <c r="I1200" s="2">
        <v>800</v>
      </c>
      <c r="J1200" s="2">
        <v>0</v>
      </c>
      <c r="K1200" s="2">
        <v>0</v>
      </c>
      <c r="L1200" s="3">
        <v>45768</v>
      </c>
      <c r="M1200" s="3">
        <v>45768</v>
      </c>
      <c r="N1200" s="3"/>
      <c r="O1200" t="s">
        <v>4047</v>
      </c>
      <c r="P1200" t="s">
        <v>9</v>
      </c>
      <c r="Q1200" s="4">
        <v>0.42317129629630001</v>
      </c>
      <c r="R1200" t="s">
        <v>5</v>
      </c>
      <c r="S1200" t="s">
        <v>4</v>
      </c>
      <c r="T1200" t="s">
        <v>2777</v>
      </c>
      <c r="U1200" t="s">
        <v>10</v>
      </c>
      <c r="V1200" s="5">
        <v>0</v>
      </c>
      <c r="W1200" s="5">
        <v>0</v>
      </c>
      <c r="X1200" s="2">
        <v>0</v>
      </c>
      <c r="Y1200" t="s">
        <v>4</v>
      </c>
      <c r="Z1200" t="s">
        <v>4</v>
      </c>
      <c r="AA1200" t="s">
        <v>4</v>
      </c>
      <c r="AB1200" t="s">
        <v>4</v>
      </c>
    </row>
    <row r="1201" spans="1:28" x14ac:dyDescent="0.2">
      <c r="A1201" t="s">
        <v>635</v>
      </c>
      <c r="B1201" t="s">
        <v>2</v>
      </c>
      <c r="C1201" t="s">
        <v>3</v>
      </c>
      <c r="D1201" t="s">
        <v>4</v>
      </c>
      <c r="E1201" t="s">
        <v>4</v>
      </c>
      <c r="F1201" t="s">
        <v>5</v>
      </c>
      <c r="G1201" t="s">
        <v>21</v>
      </c>
      <c r="H1201" t="s">
        <v>4046</v>
      </c>
      <c r="I1201" s="2">
        <v>800</v>
      </c>
      <c r="J1201" s="2">
        <v>0</v>
      </c>
      <c r="K1201" s="2">
        <v>0</v>
      </c>
      <c r="L1201" s="3">
        <v>45768</v>
      </c>
      <c r="M1201" s="3">
        <v>45768</v>
      </c>
      <c r="N1201" s="3"/>
      <c r="O1201" t="s">
        <v>4048</v>
      </c>
      <c r="P1201" t="s">
        <v>9</v>
      </c>
      <c r="Q1201" s="4">
        <v>0.42317129629630001</v>
      </c>
      <c r="R1201" t="s">
        <v>5</v>
      </c>
      <c r="S1201" t="s">
        <v>4</v>
      </c>
      <c r="T1201" t="s">
        <v>2777</v>
      </c>
      <c r="U1201" t="s">
        <v>10</v>
      </c>
      <c r="V1201" s="5">
        <v>0</v>
      </c>
      <c r="W1201" s="5">
        <v>0</v>
      </c>
      <c r="X1201" s="2">
        <v>0</v>
      </c>
      <c r="Y1201" t="s">
        <v>4</v>
      </c>
      <c r="Z1201" t="s">
        <v>4</v>
      </c>
      <c r="AA1201" t="s">
        <v>4</v>
      </c>
      <c r="AB1201" t="s">
        <v>4</v>
      </c>
    </row>
    <row r="1202" spans="1:28" x14ac:dyDescent="0.2">
      <c r="A1202" t="s">
        <v>2187</v>
      </c>
      <c r="B1202" t="s">
        <v>2</v>
      </c>
      <c r="C1202" t="s">
        <v>3</v>
      </c>
      <c r="D1202" t="s">
        <v>4</v>
      </c>
      <c r="E1202" t="s">
        <v>4</v>
      </c>
      <c r="F1202" t="s">
        <v>5</v>
      </c>
      <c r="G1202" t="s">
        <v>21</v>
      </c>
      <c r="H1202" t="s">
        <v>4049</v>
      </c>
      <c r="I1202" s="2">
        <v>144</v>
      </c>
      <c r="J1202" s="2">
        <v>0</v>
      </c>
      <c r="K1202" s="2">
        <v>0</v>
      </c>
      <c r="L1202" s="3">
        <v>45847</v>
      </c>
      <c r="M1202" s="3">
        <v>45847</v>
      </c>
      <c r="N1202" s="3"/>
      <c r="O1202" t="s">
        <v>4050</v>
      </c>
      <c r="P1202" t="s">
        <v>9</v>
      </c>
      <c r="Q1202" s="4">
        <v>0.91471064814814995</v>
      </c>
      <c r="R1202" t="s">
        <v>5</v>
      </c>
      <c r="S1202" t="s">
        <v>4</v>
      </c>
      <c r="T1202" t="s">
        <v>2341</v>
      </c>
      <c r="U1202" t="s">
        <v>10</v>
      </c>
      <c r="V1202" s="5">
        <v>0</v>
      </c>
      <c r="W1202" s="5">
        <v>0</v>
      </c>
      <c r="X1202" s="2">
        <v>0</v>
      </c>
      <c r="Y1202" t="s">
        <v>4</v>
      </c>
      <c r="Z1202" t="s">
        <v>4</v>
      </c>
      <c r="AA1202" t="s">
        <v>4</v>
      </c>
      <c r="AB1202" t="s">
        <v>4</v>
      </c>
    </row>
    <row r="1203" spans="1:28" x14ac:dyDescent="0.2">
      <c r="A1203" t="s">
        <v>2187</v>
      </c>
      <c r="B1203" t="s">
        <v>2</v>
      </c>
      <c r="C1203" t="s">
        <v>3</v>
      </c>
      <c r="D1203" t="s">
        <v>4</v>
      </c>
      <c r="E1203" t="s">
        <v>4</v>
      </c>
      <c r="F1203" t="s">
        <v>5</v>
      </c>
      <c r="G1203" t="s">
        <v>21</v>
      </c>
      <c r="H1203" t="s">
        <v>4049</v>
      </c>
      <c r="I1203" s="2">
        <v>144</v>
      </c>
      <c r="J1203" s="2">
        <v>0</v>
      </c>
      <c r="K1203" s="2">
        <v>0</v>
      </c>
      <c r="L1203" s="3">
        <v>45847</v>
      </c>
      <c r="M1203" s="3">
        <v>45847</v>
      </c>
      <c r="N1203" s="3"/>
      <c r="O1203" t="s">
        <v>4051</v>
      </c>
      <c r="P1203" t="s">
        <v>9</v>
      </c>
      <c r="Q1203" s="4">
        <v>0.91471064814814995</v>
      </c>
      <c r="R1203" t="s">
        <v>5</v>
      </c>
      <c r="S1203" t="s">
        <v>4</v>
      </c>
      <c r="T1203" t="s">
        <v>2341</v>
      </c>
      <c r="U1203" t="s">
        <v>10</v>
      </c>
      <c r="V1203" s="5">
        <v>0</v>
      </c>
      <c r="W1203" s="5">
        <v>0</v>
      </c>
      <c r="X1203" s="2">
        <v>0</v>
      </c>
      <c r="Y1203" t="s">
        <v>4</v>
      </c>
      <c r="Z1203" t="s">
        <v>4</v>
      </c>
      <c r="AA1203" t="s">
        <v>4</v>
      </c>
      <c r="AB1203" t="s">
        <v>4</v>
      </c>
    </row>
    <row r="1204" spans="1:28" x14ac:dyDescent="0.2">
      <c r="A1204" t="s">
        <v>285</v>
      </c>
      <c r="B1204" t="s">
        <v>2</v>
      </c>
      <c r="C1204" t="s">
        <v>3</v>
      </c>
      <c r="D1204" t="s">
        <v>4</v>
      </c>
      <c r="E1204" t="s">
        <v>4</v>
      </c>
      <c r="F1204" t="s">
        <v>5</v>
      </c>
      <c r="G1204" t="s">
        <v>21</v>
      </c>
      <c r="H1204" t="s">
        <v>4052</v>
      </c>
      <c r="I1204" s="2">
        <v>30</v>
      </c>
      <c r="J1204" s="2">
        <v>0</v>
      </c>
      <c r="K1204" s="2">
        <v>0</v>
      </c>
      <c r="L1204" s="3">
        <v>45805</v>
      </c>
      <c r="M1204" s="3">
        <v>45805</v>
      </c>
      <c r="N1204" s="3"/>
      <c r="O1204" t="s">
        <v>4053</v>
      </c>
      <c r="P1204" t="s">
        <v>9</v>
      </c>
      <c r="Q1204" s="4">
        <v>0.90370370370370001</v>
      </c>
      <c r="R1204" t="s">
        <v>5</v>
      </c>
      <c r="S1204" t="s">
        <v>4</v>
      </c>
      <c r="T1204" t="s">
        <v>3377</v>
      </c>
      <c r="U1204" t="s">
        <v>10</v>
      </c>
      <c r="V1204" s="5">
        <v>0</v>
      </c>
      <c r="W1204" s="5">
        <v>0</v>
      </c>
      <c r="X1204" s="2">
        <v>0</v>
      </c>
      <c r="Y1204" t="s">
        <v>4</v>
      </c>
      <c r="Z1204" t="s">
        <v>4</v>
      </c>
      <c r="AA1204" t="s">
        <v>4</v>
      </c>
      <c r="AB1204" t="s">
        <v>4</v>
      </c>
    </row>
    <row r="1205" spans="1:28" x14ac:dyDescent="0.2">
      <c r="A1205" t="s">
        <v>285</v>
      </c>
      <c r="B1205" t="s">
        <v>2</v>
      </c>
      <c r="C1205" t="s">
        <v>3</v>
      </c>
      <c r="D1205" t="s">
        <v>4</v>
      </c>
      <c r="E1205" t="s">
        <v>4</v>
      </c>
      <c r="F1205" t="s">
        <v>5</v>
      </c>
      <c r="G1205" t="s">
        <v>21</v>
      </c>
      <c r="H1205" t="s">
        <v>4052</v>
      </c>
      <c r="I1205" s="2">
        <v>30</v>
      </c>
      <c r="J1205" s="2">
        <v>0</v>
      </c>
      <c r="K1205" s="2">
        <v>0</v>
      </c>
      <c r="L1205" s="3">
        <v>45805</v>
      </c>
      <c r="M1205" s="3">
        <v>45805</v>
      </c>
      <c r="N1205" s="3"/>
      <c r="O1205" t="s">
        <v>4054</v>
      </c>
      <c r="P1205" t="s">
        <v>9</v>
      </c>
      <c r="Q1205" s="4">
        <v>0.90370370370370001</v>
      </c>
      <c r="R1205" t="s">
        <v>5</v>
      </c>
      <c r="S1205" t="s">
        <v>4</v>
      </c>
      <c r="T1205" t="s">
        <v>3377</v>
      </c>
      <c r="U1205" t="s">
        <v>10</v>
      </c>
      <c r="V1205" s="5">
        <v>0</v>
      </c>
      <c r="W1205" s="5">
        <v>0</v>
      </c>
      <c r="X1205" s="2">
        <v>0</v>
      </c>
      <c r="Y1205" t="s">
        <v>4</v>
      </c>
      <c r="Z1205" t="s">
        <v>4</v>
      </c>
      <c r="AA1205" t="s">
        <v>4</v>
      </c>
      <c r="AB1205" t="s">
        <v>4</v>
      </c>
    </row>
    <row r="1206" spans="1:28" x14ac:dyDescent="0.2">
      <c r="A1206" t="s">
        <v>1563</v>
      </c>
      <c r="B1206" t="s">
        <v>2</v>
      </c>
      <c r="C1206" t="s">
        <v>3</v>
      </c>
      <c r="D1206" t="s">
        <v>4</v>
      </c>
      <c r="E1206" t="s">
        <v>4</v>
      </c>
      <c r="F1206" t="s">
        <v>5</v>
      </c>
      <c r="G1206" t="s">
        <v>21</v>
      </c>
      <c r="H1206" t="s">
        <v>4055</v>
      </c>
      <c r="I1206" s="2">
        <v>300</v>
      </c>
      <c r="J1206" s="2">
        <v>0</v>
      </c>
      <c r="K1206" s="2">
        <v>0</v>
      </c>
      <c r="L1206" s="3">
        <v>45859</v>
      </c>
      <c r="M1206" s="3">
        <v>45859</v>
      </c>
      <c r="N1206" s="3"/>
      <c r="O1206" t="s">
        <v>4056</v>
      </c>
      <c r="P1206" t="s">
        <v>9</v>
      </c>
      <c r="Q1206" s="4">
        <v>0.95696759259259001</v>
      </c>
      <c r="R1206" t="s">
        <v>5</v>
      </c>
      <c r="S1206" t="s">
        <v>4</v>
      </c>
      <c r="T1206" t="s">
        <v>2261</v>
      </c>
      <c r="U1206" t="s">
        <v>10</v>
      </c>
      <c r="V1206" s="5">
        <v>0</v>
      </c>
      <c r="W1206" s="5">
        <v>0</v>
      </c>
      <c r="X1206" s="2">
        <v>0</v>
      </c>
      <c r="Y1206" t="s">
        <v>4</v>
      </c>
      <c r="Z1206" t="s">
        <v>4</v>
      </c>
      <c r="AA1206" t="s">
        <v>4</v>
      </c>
      <c r="AB1206" t="s">
        <v>4</v>
      </c>
    </row>
    <row r="1207" spans="1:28" x14ac:dyDescent="0.2">
      <c r="A1207" t="s">
        <v>1563</v>
      </c>
      <c r="B1207" t="s">
        <v>2</v>
      </c>
      <c r="C1207" t="s">
        <v>3</v>
      </c>
      <c r="D1207" t="s">
        <v>4</v>
      </c>
      <c r="E1207" t="s">
        <v>4</v>
      </c>
      <c r="F1207" t="s">
        <v>5</v>
      </c>
      <c r="G1207" t="s">
        <v>21</v>
      </c>
      <c r="H1207" t="s">
        <v>4055</v>
      </c>
      <c r="I1207" s="2">
        <v>100</v>
      </c>
      <c r="J1207" s="2">
        <v>0</v>
      </c>
      <c r="K1207" s="2">
        <v>0</v>
      </c>
      <c r="L1207" s="3">
        <v>45859</v>
      </c>
      <c r="M1207" s="3">
        <v>45859</v>
      </c>
      <c r="N1207" s="3"/>
      <c r="O1207" t="s">
        <v>4057</v>
      </c>
      <c r="P1207" t="s">
        <v>9</v>
      </c>
      <c r="Q1207" s="4">
        <v>0.95696759259259001</v>
      </c>
      <c r="R1207" t="s">
        <v>5</v>
      </c>
      <c r="S1207" t="s">
        <v>4</v>
      </c>
      <c r="T1207" t="s">
        <v>2261</v>
      </c>
      <c r="U1207" t="s">
        <v>10</v>
      </c>
      <c r="V1207" s="5">
        <v>0</v>
      </c>
      <c r="W1207" s="5">
        <v>0</v>
      </c>
      <c r="X1207" s="2">
        <v>0</v>
      </c>
      <c r="Y1207" t="s">
        <v>4</v>
      </c>
      <c r="Z1207" t="s">
        <v>4</v>
      </c>
      <c r="AA1207" t="s">
        <v>4</v>
      </c>
      <c r="AB1207" t="s">
        <v>4</v>
      </c>
    </row>
    <row r="1208" spans="1:28" x14ac:dyDescent="0.2">
      <c r="A1208" t="s">
        <v>1135</v>
      </c>
      <c r="B1208" t="s">
        <v>2</v>
      </c>
      <c r="C1208" t="s">
        <v>3</v>
      </c>
      <c r="D1208" t="s">
        <v>4</v>
      </c>
      <c r="E1208" t="s">
        <v>4</v>
      </c>
      <c r="F1208" t="s">
        <v>5</v>
      </c>
      <c r="G1208" t="s">
        <v>17</v>
      </c>
      <c r="H1208" t="s">
        <v>4058</v>
      </c>
      <c r="I1208" s="2">
        <v>480</v>
      </c>
      <c r="J1208" s="2">
        <v>0</v>
      </c>
      <c r="K1208" s="2">
        <v>0</v>
      </c>
      <c r="L1208" s="3">
        <v>45857</v>
      </c>
      <c r="M1208" s="3">
        <v>45857</v>
      </c>
      <c r="N1208" s="3"/>
      <c r="O1208" t="s">
        <v>4059</v>
      </c>
      <c r="P1208" t="s">
        <v>9</v>
      </c>
      <c r="Q1208" s="4">
        <v>0.80381944444443998</v>
      </c>
      <c r="R1208" t="s">
        <v>5</v>
      </c>
      <c r="S1208" t="s">
        <v>4</v>
      </c>
      <c r="T1208" t="s">
        <v>2262</v>
      </c>
      <c r="U1208" t="s">
        <v>10</v>
      </c>
      <c r="V1208" s="5">
        <v>0</v>
      </c>
      <c r="W1208" s="5">
        <v>0</v>
      </c>
      <c r="X1208" s="2">
        <v>0</v>
      </c>
      <c r="Y1208" t="s">
        <v>4</v>
      </c>
      <c r="Z1208" t="s">
        <v>4</v>
      </c>
      <c r="AA1208" t="s">
        <v>4</v>
      </c>
      <c r="AB1208" t="s">
        <v>4</v>
      </c>
    </row>
    <row r="1209" spans="1:28" x14ac:dyDescent="0.2">
      <c r="A1209" t="s">
        <v>1135</v>
      </c>
      <c r="B1209" t="s">
        <v>2</v>
      </c>
      <c r="C1209" t="s">
        <v>3</v>
      </c>
      <c r="D1209" t="s">
        <v>4</v>
      </c>
      <c r="E1209" t="s">
        <v>4</v>
      </c>
      <c r="F1209" t="s">
        <v>5</v>
      </c>
      <c r="G1209" t="s">
        <v>17</v>
      </c>
      <c r="H1209" t="s">
        <v>4058</v>
      </c>
      <c r="I1209" s="2">
        <v>480</v>
      </c>
      <c r="J1209" s="2">
        <v>0</v>
      </c>
      <c r="K1209" s="2">
        <v>0</v>
      </c>
      <c r="L1209" s="3">
        <v>45857</v>
      </c>
      <c r="M1209" s="3">
        <v>45857</v>
      </c>
      <c r="N1209" s="3"/>
      <c r="O1209" t="s">
        <v>4060</v>
      </c>
      <c r="P1209" t="s">
        <v>9</v>
      </c>
      <c r="Q1209" s="4">
        <v>0.80381944444443998</v>
      </c>
      <c r="R1209" t="s">
        <v>5</v>
      </c>
      <c r="S1209" t="s">
        <v>4</v>
      </c>
      <c r="T1209" t="s">
        <v>2262</v>
      </c>
      <c r="U1209" t="s">
        <v>10</v>
      </c>
      <c r="V1209" s="5">
        <v>0</v>
      </c>
      <c r="W1209" s="5">
        <v>0</v>
      </c>
      <c r="X1209" s="2">
        <v>0</v>
      </c>
      <c r="Y1209" t="s">
        <v>4</v>
      </c>
      <c r="Z1209" t="s">
        <v>4</v>
      </c>
      <c r="AA1209" t="s">
        <v>4</v>
      </c>
      <c r="AB1209" t="s">
        <v>4</v>
      </c>
    </row>
    <row r="1210" spans="1:28" x14ac:dyDescent="0.2">
      <c r="A1210" t="s">
        <v>285</v>
      </c>
      <c r="B1210" t="s">
        <v>2</v>
      </c>
      <c r="C1210" t="s">
        <v>3</v>
      </c>
      <c r="D1210" t="s">
        <v>4</v>
      </c>
      <c r="E1210" t="s">
        <v>4</v>
      </c>
      <c r="F1210" t="s">
        <v>5</v>
      </c>
      <c r="G1210" t="s">
        <v>17</v>
      </c>
      <c r="H1210" t="s">
        <v>4061</v>
      </c>
      <c r="I1210" s="2">
        <v>30</v>
      </c>
      <c r="J1210" s="2">
        <v>0</v>
      </c>
      <c r="K1210" s="2">
        <v>0</v>
      </c>
      <c r="L1210" s="3">
        <v>45852</v>
      </c>
      <c r="M1210" s="3">
        <v>45852</v>
      </c>
      <c r="N1210" s="3"/>
      <c r="O1210" t="s">
        <v>4062</v>
      </c>
      <c r="P1210" t="s">
        <v>9</v>
      </c>
      <c r="Q1210" s="4">
        <v>0.95585648148147995</v>
      </c>
      <c r="R1210" t="s">
        <v>5</v>
      </c>
      <c r="S1210" t="s">
        <v>4</v>
      </c>
      <c r="T1210" t="s">
        <v>2669</v>
      </c>
      <c r="U1210" t="s">
        <v>10</v>
      </c>
      <c r="V1210" s="5">
        <v>0</v>
      </c>
      <c r="W1210" s="5">
        <v>0</v>
      </c>
      <c r="X1210" s="2">
        <v>0</v>
      </c>
      <c r="Y1210" t="s">
        <v>4</v>
      </c>
      <c r="Z1210" t="s">
        <v>4</v>
      </c>
      <c r="AA1210" t="s">
        <v>4</v>
      </c>
      <c r="AB1210" t="s">
        <v>4</v>
      </c>
    </row>
    <row r="1211" spans="1:28" x14ac:dyDescent="0.2">
      <c r="A1211" t="s">
        <v>285</v>
      </c>
      <c r="B1211" t="s">
        <v>2</v>
      </c>
      <c r="C1211" t="s">
        <v>3</v>
      </c>
      <c r="D1211" t="s">
        <v>4</v>
      </c>
      <c r="E1211" t="s">
        <v>4</v>
      </c>
      <c r="F1211" t="s">
        <v>5</v>
      </c>
      <c r="G1211" t="s">
        <v>17</v>
      </c>
      <c r="H1211" t="s">
        <v>4061</v>
      </c>
      <c r="I1211" s="2">
        <v>30</v>
      </c>
      <c r="J1211" s="2">
        <v>0</v>
      </c>
      <c r="K1211" s="2">
        <v>0</v>
      </c>
      <c r="L1211" s="3">
        <v>45835</v>
      </c>
      <c r="M1211" s="3">
        <v>45835</v>
      </c>
      <c r="N1211" s="3"/>
      <c r="O1211" t="s">
        <v>4063</v>
      </c>
      <c r="P1211" t="s">
        <v>9</v>
      </c>
      <c r="Q1211" s="4">
        <v>0.95585648148147995</v>
      </c>
      <c r="R1211" t="s">
        <v>5</v>
      </c>
      <c r="S1211" t="s">
        <v>4</v>
      </c>
      <c r="T1211" t="s">
        <v>2928</v>
      </c>
      <c r="U1211" t="s">
        <v>10</v>
      </c>
      <c r="V1211" s="5">
        <v>0</v>
      </c>
      <c r="W1211" s="5">
        <v>0</v>
      </c>
      <c r="X1211" s="2">
        <v>0</v>
      </c>
      <c r="Y1211" t="s">
        <v>4</v>
      </c>
      <c r="Z1211" t="s">
        <v>4</v>
      </c>
      <c r="AA1211" t="s">
        <v>4</v>
      </c>
      <c r="AB1211" t="s">
        <v>4</v>
      </c>
    </row>
    <row r="1212" spans="1:28" x14ac:dyDescent="0.2">
      <c r="A1212" t="s">
        <v>285</v>
      </c>
      <c r="B1212" t="s">
        <v>2</v>
      </c>
      <c r="C1212" t="s">
        <v>3</v>
      </c>
      <c r="D1212" t="s">
        <v>4</v>
      </c>
      <c r="E1212" t="s">
        <v>4</v>
      </c>
      <c r="F1212" t="s">
        <v>5</v>
      </c>
      <c r="G1212" t="s">
        <v>17</v>
      </c>
      <c r="H1212" t="s">
        <v>4064</v>
      </c>
      <c r="I1212" s="2">
        <v>30</v>
      </c>
      <c r="J1212" s="2">
        <v>0</v>
      </c>
      <c r="K1212" s="2">
        <v>0</v>
      </c>
      <c r="L1212" s="3">
        <v>45835</v>
      </c>
      <c r="M1212" s="3">
        <v>45835</v>
      </c>
      <c r="N1212" s="3"/>
      <c r="O1212" t="s">
        <v>4065</v>
      </c>
      <c r="P1212" t="s">
        <v>9</v>
      </c>
      <c r="Q1212" s="4">
        <v>0.63837962962963002</v>
      </c>
      <c r="R1212" t="s">
        <v>5</v>
      </c>
      <c r="S1212" t="s">
        <v>4</v>
      </c>
      <c r="T1212" t="s">
        <v>2928</v>
      </c>
      <c r="U1212" t="s">
        <v>10</v>
      </c>
      <c r="V1212" s="5">
        <v>0</v>
      </c>
      <c r="W1212" s="5">
        <v>0</v>
      </c>
      <c r="X1212" s="2">
        <v>0</v>
      </c>
      <c r="Y1212" t="s">
        <v>4</v>
      </c>
      <c r="Z1212" t="s">
        <v>4</v>
      </c>
      <c r="AA1212" t="s">
        <v>4</v>
      </c>
      <c r="AB1212" t="s">
        <v>4</v>
      </c>
    </row>
    <row r="1213" spans="1:28" x14ac:dyDescent="0.2">
      <c r="A1213" t="s">
        <v>285</v>
      </c>
      <c r="B1213" t="s">
        <v>2</v>
      </c>
      <c r="C1213" t="s">
        <v>3</v>
      </c>
      <c r="D1213" t="s">
        <v>4</v>
      </c>
      <c r="E1213" t="s">
        <v>4</v>
      </c>
      <c r="F1213" t="s">
        <v>5</v>
      </c>
      <c r="G1213" t="s">
        <v>17</v>
      </c>
      <c r="H1213" t="s">
        <v>4064</v>
      </c>
      <c r="I1213" s="2">
        <v>30</v>
      </c>
      <c r="J1213" s="2">
        <v>0</v>
      </c>
      <c r="K1213" s="2">
        <v>0</v>
      </c>
      <c r="L1213" s="3">
        <v>45835</v>
      </c>
      <c r="M1213" s="3">
        <v>45835</v>
      </c>
      <c r="N1213" s="3"/>
      <c r="O1213" t="s">
        <v>4066</v>
      </c>
      <c r="P1213" t="s">
        <v>9</v>
      </c>
      <c r="Q1213" s="4">
        <v>0.63837962962963002</v>
      </c>
      <c r="R1213" t="s">
        <v>5</v>
      </c>
      <c r="S1213" t="s">
        <v>4</v>
      </c>
      <c r="T1213" t="s">
        <v>2928</v>
      </c>
      <c r="U1213" t="s">
        <v>10</v>
      </c>
      <c r="V1213" s="5">
        <v>0</v>
      </c>
      <c r="W1213" s="5">
        <v>0</v>
      </c>
      <c r="X1213" s="2">
        <v>0</v>
      </c>
      <c r="Y1213" t="s">
        <v>4</v>
      </c>
      <c r="Z1213" t="s">
        <v>4</v>
      </c>
      <c r="AA1213" t="s">
        <v>4</v>
      </c>
      <c r="AB1213" t="s">
        <v>4</v>
      </c>
    </row>
    <row r="1214" spans="1:28" x14ac:dyDescent="0.2">
      <c r="A1214" t="s">
        <v>491</v>
      </c>
      <c r="B1214" t="s">
        <v>2</v>
      </c>
      <c r="C1214" t="s">
        <v>3</v>
      </c>
      <c r="D1214" t="s">
        <v>4</v>
      </c>
      <c r="E1214" t="s">
        <v>4</v>
      </c>
      <c r="F1214" t="s">
        <v>5</v>
      </c>
      <c r="G1214" t="s">
        <v>17</v>
      </c>
      <c r="H1214" t="s">
        <v>4067</v>
      </c>
      <c r="I1214" s="2">
        <v>1440</v>
      </c>
      <c r="J1214" s="2">
        <v>0</v>
      </c>
      <c r="K1214" s="2">
        <v>0</v>
      </c>
      <c r="L1214" s="3">
        <v>45782</v>
      </c>
      <c r="M1214" s="3">
        <v>45782</v>
      </c>
      <c r="N1214" s="3"/>
      <c r="O1214" t="s">
        <v>4068</v>
      </c>
      <c r="P1214" t="s">
        <v>9</v>
      </c>
      <c r="Q1214" s="4">
        <v>0.80625000000000002</v>
      </c>
      <c r="R1214" t="s">
        <v>5</v>
      </c>
      <c r="S1214" t="s">
        <v>4</v>
      </c>
      <c r="T1214" t="s">
        <v>3952</v>
      </c>
      <c r="U1214" t="s">
        <v>10</v>
      </c>
      <c r="V1214" s="5">
        <v>0</v>
      </c>
      <c r="W1214" s="5">
        <v>0</v>
      </c>
      <c r="X1214" s="2">
        <v>0</v>
      </c>
      <c r="Y1214" t="s">
        <v>4</v>
      </c>
      <c r="Z1214" t="s">
        <v>4</v>
      </c>
      <c r="AA1214" t="s">
        <v>4</v>
      </c>
      <c r="AB1214" t="s">
        <v>4</v>
      </c>
    </row>
    <row r="1215" spans="1:28" x14ac:dyDescent="0.2">
      <c r="A1215" t="s">
        <v>491</v>
      </c>
      <c r="B1215" t="s">
        <v>2</v>
      </c>
      <c r="C1215" t="s">
        <v>3</v>
      </c>
      <c r="D1215" t="s">
        <v>4</v>
      </c>
      <c r="E1215" t="s">
        <v>4</v>
      </c>
      <c r="F1215" t="s">
        <v>5</v>
      </c>
      <c r="G1215" t="s">
        <v>17</v>
      </c>
      <c r="H1215" t="s">
        <v>4067</v>
      </c>
      <c r="I1215" s="2">
        <v>1440</v>
      </c>
      <c r="J1215" s="2">
        <v>0</v>
      </c>
      <c r="K1215" s="2">
        <v>0</v>
      </c>
      <c r="L1215" s="3">
        <v>45782</v>
      </c>
      <c r="M1215" s="3">
        <v>45782</v>
      </c>
      <c r="N1215" s="3"/>
      <c r="O1215" t="s">
        <v>4069</v>
      </c>
      <c r="P1215" t="s">
        <v>9</v>
      </c>
      <c r="Q1215" s="4">
        <v>0.80625000000000002</v>
      </c>
      <c r="R1215" t="s">
        <v>5</v>
      </c>
      <c r="S1215" t="s">
        <v>4</v>
      </c>
      <c r="T1215" t="s">
        <v>3952</v>
      </c>
      <c r="U1215" t="s">
        <v>10</v>
      </c>
      <c r="V1215" s="5">
        <v>0</v>
      </c>
      <c r="W1215" s="5">
        <v>0</v>
      </c>
      <c r="X1215" s="2">
        <v>0</v>
      </c>
      <c r="Y1215" t="s">
        <v>4</v>
      </c>
      <c r="Z1215" t="s">
        <v>4</v>
      </c>
      <c r="AA1215" t="s">
        <v>4</v>
      </c>
      <c r="AB1215" t="s">
        <v>4</v>
      </c>
    </row>
    <row r="1216" spans="1:28" x14ac:dyDescent="0.2">
      <c r="A1216" t="s">
        <v>1822</v>
      </c>
      <c r="B1216" t="s">
        <v>2</v>
      </c>
      <c r="C1216" t="s">
        <v>3</v>
      </c>
      <c r="D1216" t="s">
        <v>4</v>
      </c>
      <c r="E1216" t="s">
        <v>4</v>
      </c>
      <c r="F1216" t="s">
        <v>5</v>
      </c>
      <c r="G1216" t="s">
        <v>6</v>
      </c>
      <c r="H1216" t="s">
        <v>4070</v>
      </c>
      <c r="I1216" s="2">
        <v>480</v>
      </c>
      <c r="J1216" s="2">
        <v>0</v>
      </c>
      <c r="K1216" s="2">
        <v>0</v>
      </c>
      <c r="L1216" s="3">
        <v>45859</v>
      </c>
      <c r="M1216" s="3">
        <v>45859</v>
      </c>
      <c r="N1216" s="3"/>
      <c r="O1216" t="s">
        <v>4071</v>
      </c>
      <c r="P1216" t="s">
        <v>9</v>
      </c>
      <c r="Q1216" s="4">
        <v>0.42734953703703998</v>
      </c>
      <c r="R1216" t="s">
        <v>5</v>
      </c>
      <c r="S1216" t="s">
        <v>4</v>
      </c>
      <c r="T1216" t="s">
        <v>2261</v>
      </c>
      <c r="U1216" t="s">
        <v>10</v>
      </c>
      <c r="V1216" s="5">
        <v>0</v>
      </c>
      <c r="W1216" s="5">
        <v>0</v>
      </c>
      <c r="X1216" s="2">
        <v>0</v>
      </c>
      <c r="Y1216" t="s">
        <v>4</v>
      </c>
      <c r="Z1216" t="s">
        <v>4</v>
      </c>
      <c r="AA1216" t="s">
        <v>4</v>
      </c>
      <c r="AB1216" t="s">
        <v>4</v>
      </c>
    </row>
    <row r="1217" spans="1:28" x14ac:dyDescent="0.2">
      <c r="A1217" t="s">
        <v>491</v>
      </c>
      <c r="B1217" t="s">
        <v>2</v>
      </c>
      <c r="C1217" t="s">
        <v>3</v>
      </c>
      <c r="D1217" t="s">
        <v>4</v>
      </c>
      <c r="E1217" t="s">
        <v>4</v>
      </c>
      <c r="F1217" t="s">
        <v>5</v>
      </c>
      <c r="G1217" t="s">
        <v>17</v>
      </c>
      <c r="H1217" t="s">
        <v>4072</v>
      </c>
      <c r="I1217" s="2">
        <v>1440</v>
      </c>
      <c r="J1217" s="2">
        <v>0</v>
      </c>
      <c r="K1217" s="2">
        <v>0</v>
      </c>
      <c r="L1217" s="3">
        <v>45836</v>
      </c>
      <c r="M1217" s="3">
        <v>45836</v>
      </c>
      <c r="N1217" s="3"/>
      <c r="O1217" t="s">
        <v>4073</v>
      </c>
      <c r="P1217" t="s">
        <v>9</v>
      </c>
      <c r="Q1217" s="4">
        <v>0.35370370370370002</v>
      </c>
      <c r="R1217" t="s">
        <v>5</v>
      </c>
      <c r="S1217" t="s">
        <v>4</v>
      </c>
      <c r="T1217" t="s">
        <v>2316</v>
      </c>
      <c r="U1217" t="s">
        <v>10</v>
      </c>
      <c r="V1217" s="5">
        <v>0</v>
      </c>
      <c r="W1217" s="5">
        <v>0</v>
      </c>
      <c r="X1217" s="2">
        <v>0</v>
      </c>
      <c r="Y1217" t="s">
        <v>4</v>
      </c>
      <c r="Z1217" t="s">
        <v>4</v>
      </c>
      <c r="AA1217" t="s">
        <v>4</v>
      </c>
      <c r="AB1217" t="s">
        <v>4</v>
      </c>
    </row>
    <row r="1218" spans="1:28" x14ac:dyDescent="0.2">
      <c r="A1218" t="s">
        <v>491</v>
      </c>
      <c r="B1218" t="s">
        <v>2</v>
      </c>
      <c r="C1218" t="s">
        <v>3</v>
      </c>
      <c r="D1218" t="s">
        <v>4</v>
      </c>
      <c r="E1218" t="s">
        <v>4</v>
      </c>
      <c r="F1218" t="s">
        <v>5</v>
      </c>
      <c r="G1218" t="s">
        <v>17</v>
      </c>
      <c r="H1218" t="s">
        <v>4072</v>
      </c>
      <c r="I1218" s="2">
        <v>2160</v>
      </c>
      <c r="J1218" s="2">
        <v>0</v>
      </c>
      <c r="K1218" s="2">
        <v>0</v>
      </c>
      <c r="L1218" s="3">
        <v>45859</v>
      </c>
      <c r="M1218" s="3">
        <v>45859</v>
      </c>
      <c r="N1218" s="3"/>
      <c r="O1218" t="s">
        <v>4074</v>
      </c>
      <c r="P1218" t="s">
        <v>9</v>
      </c>
      <c r="Q1218" s="4">
        <v>0.35370370370370002</v>
      </c>
      <c r="R1218" t="s">
        <v>5</v>
      </c>
      <c r="S1218" t="s">
        <v>4</v>
      </c>
      <c r="T1218" t="s">
        <v>2261</v>
      </c>
      <c r="U1218" t="s">
        <v>10</v>
      </c>
      <c r="V1218" s="5">
        <v>0</v>
      </c>
      <c r="W1218" s="5">
        <v>0</v>
      </c>
      <c r="X1218" s="2">
        <v>0</v>
      </c>
      <c r="Y1218" t="s">
        <v>4</v>
      </c>
      <c r="Z1218" t="s">
        <v>4</v>
      </c>
      <c r="AA1218" t="s">
        <v>4</v>
      </c>
      <c r="AB1218" t="s">
        <v>4</v>
      </c>
    </row>
    <row r="1219" spans="1:28" x14ac:dyDescent="0.2">
      <c r="A1219" t="s">
        <v>2043</v>
      </c>
      <c r="B1219" t="s">
        <v>2</v>
      </c>
      <c r="C1219" t="s">
        <v>3</v>
      </c>
      <c r="D1219" t="s">
        <v>4</v>
      </c>
      <c r="E1219" t="s">
        <v>4</v>
      </c>
      <c r="F1219" t="s">
        <v>5</v>
      </c>
      <c r="G1219" t="s">
        <v>6</v>
      </c>
      <c r="H1219" t="s">
        <v>4075</v>
      </c>
      <c r="I1219" s="2">
        <v>108</v>
      </c>
      <c r="J1219" s="2">
        <v>0</v>
      </c>
      <c r="K1219" s="2">
        <v>0</v>
      </c>
      <c r="L1219" s="3">
        <v>45857</v>
      </c>
      <c r="M1219" s="3">
        <v>45857</v>
      </c>
      <c r="N1219" s="3"/>
      <c r="O1219" t="s">
        <v>4076</v>
      </c>
      <c r="P1219" t="s">
        <v>9</v>
      </c>
      <c r="Q1219" s="4">
        <v>0.39696759259259001</v>
      </c>
      <c r="R1219" t="s">
        <v>5</v>
      </c>
      <c r="S1219" t="s">
        <v>4</v>
      </c>
      <c r="T1219" t="s">
        <v>2262</v>
      </c>
      <c r="U1219" t="s">
        <v>10</v>
      </c>
      <c r="V1219" s="5">
        <v>0</v>
      </c>
      <c r="W1219" s="5">
        <v>0</v>
      </c>
      <c r="X1219" s="2">
        <v>0</v>
      </c>
      <c r="Y1219" t="s">
        <v>4</v>
      </c>
      <c r="Z1219" t="s">
        <v>4</v>
      </c>
      <c r="AA1219" t="s">
        <v>4</v>
      </c>
      <c r="AB1219" t="s">
        <v>4</v>
      </c>
    </row>
    <row r="1220" spans="1:28" x14ac:dyDescent="0.2">
      <c r="A1220" t="s">
        <v>1471</v>
      </c>
      <c r="B1220" t="s">
        <v>2</v>
      </c>
      <c r="C1220" t="s">
        <v>3</v>
      </c>
      <c r="D1220" t="s">
        <v>4</v>
      </c>
      <c r="E1220" t="s">
        <v>4</v>
      </c>
      <c r="F1220" t="s">
        <v>5</v>
      </c>
      <c r="G1220" t="s">
        <v>6</v>
      </c>
      <c r="H1220" t="s">
        <v>4077</v>
      </c>
      <c r="I1220" s="2">
        <v>60</v>
      </c>
      <c r="J1220" s="2">
        <v>0</v>
      </c>
      <c r="K1220" s="2">
        <v>0</v>
      </c>
      <c r="L1220" s="3">
        <v>45853</v>
      </c>
      <c r="M1220" s="3">
        <v>45853</v>
      </c>
      <c r="N1220" s="3"/>
      <c r="O1220" t="s">
        <v>4078</v>
      </c>
      <c r="P1220" t="s">
        <v>9</v>
      </c>
      <c r="Q1220" s="4">
        <v>0.96296296296296002</v>
      </c>
      <c r="R1220" t="s">
        <v>5</v>
      </c>
      <c r="S1220" t="s">
        <v>4</v>
      </c>
      <c r="T1220" t="s">
        <v>2272</v>
      </c>
      <c r="U1220" t="s">
        <v>10</v>
      </c>
      <c r="V1220" s="5">
        <v>0</v>
      </c>
      <c r="W1220" s="5">
        <v>0</v>
      </c>
      <c r="X1220" s="2">
        <v>0</v>
      </c>
      <c r="Y1220" t="s">
        <v>4</v>
      </c>
      <c r="Z1220" t="s">
        <v>4</v>
      </c>
      <c r="AA1220" t="s">
        <v>4</v>
      </c>
      <c r="AB1220" t="s">
        <v>4</v>
      </c>
    </row>
    <row r="1221" spans="1:28" x14ac:dyDescent="0.2">
      <c r="A1221" t="s">
        <v>1471</v>
      </c>
      <c r="B1221" t="s">
        <v>2</v>
      </c>
      <c r="C1221" t="s">
        <v>3</v>
      </c>
      <c r="D1221" t="s">
        <v>4</v>
      </c>
      <c r="E1221" t="s">
        <v>4</v>
      </c>
      <c r="F1221" t="s">
        <v>5</v>
      </c>
      <c r="G1221" t="s">
        <v>6</v>
      </c>
      <c r="H1221" t="s">
        <v>4077</v>
      </c>
      <c r="I1221" s="2">
        <v>60</v>
      </c>
      <c r="J1221" s="2">
        <v>0</v>
      </c>
      <c r="K1221" s="2">
        <v>0</v>
      </c>
      <c r="L1221" s="3">
        <v>45853</v>
      </c>
      <c r="M1221" s="3">
        <v>45853</v>
      </c>
      <c r="N1221" s="3"/>
      <c r="O1221" t="s">
        <v>4079</v>
      </c>
      <c r="P1221" t="s">
        <v>9</v>
      </c>
      <c r="Q1221" s="4">
        <v>0.96296296296296002</v>
      </c>
      <c r="R1221" t="s">
        <v>5</v>
      </c>
      <c r="S1221" t="s">
        <v>4</v>
      </c>
      <c r="T1221" t="s">
        <v>2272</v>
      </c>
      <c r="U1221" t="s">
        <v>10</v>
      </c>
      <c r="V1221" s="5">
        <v>0</v>
      </c>
      <c r="W1221" s="5">
        <v>0</v>
      </c>
      <c r="X1221" s="2">
        <v>0</v>
      </c>
      <c r="Y1221" t="s">
        <v>4</v>
      </c>
      <c r="Z1221" t="s">
        <v>4</v>
      </c>
      <c r="AA1221" t="s">
        <v>4</v>
      </c>
      <c r="AB1221" t="s">
        <v>4</v>
      </c>
    </row>
    <row r="1222" spans="1:28" x14ac:dyDescent="0.2">
      <c r="A1222" t="s">
        <v>0</v>
      </c>
      <c r="B1222" t="s">
        <v>2</v>
      </c>
      <c r="C1222" t="s">
        <v>3</v>
      </c>
      <c r="D1222" t="s">
        <v>4</v>
      </c>
      <c r="E1222" t="s">
        <v>4</v>
      </c>
      <c r="F1222" t="s">
        <v>5</v>
      </c>
      <c r="G1222" t="s">
        <v>6</v>
      </c>
      <c r="H1222" t="s">
        <v>169</v>
      </c>
      <c r="I1222" s="2">
        <v>196</v>
      </c>
      <c r="J1222" s="2">
        <v>0</v>
      </c>
      <c r="K1222" s="2">
        <v>0</v>
      </c>
      <c r="L1222" s="3">
        <v>45839</v>
      </c>
      <c r="M1222" s="3">
        <v>45839</v>
      </c>
      <c r="N1222" s="3"/>
      <c r="O1222" t="s">
        <v>170</v>
      </c>
      <c r="P1222" t="s">
        <v>9</v>
      </c>
      <c r="Q1222" s="4">
        <v>0.58396990740740995</v>
      </c>
      <c r="R1222" t="s">
        <v>5</v>
      </c>
      <c r="S1222" t="s">
        <v>4</v>
      </c>
      <c r="T1222" t="s">
        <v>2312</v>
      </c>
      <c r="U1222" t="s">
        <v>10</v>
      </c>
      <c r="V1222" s="5">
        <v>0</v>
      </c>
      <c r="W1222" s="5">
        <v>0</v>
      </c>
      <c r="X1222" s="2">
        <v>0</v>
      </c>
      <c r="Y1222" t="s">
        <v>4</v>
      </c>
      <c r="Z1222" t="s">
        <v>4</v>
      </c>
      <c r="AA1222" t="s">
        <v>4</v>
      </c>
      <c r="AB1222" t="s">
        <v>4</v>
      </c>
    </row>
    <row r="1223" spans="1:28" x14ac:dyDescent="0.2">
      <c r="A1223" t="s">
        <v>0</v>
      </c>
      <c r="B1223" t="s">
        <v>2</v>
      </c>
      <c r="C1223" t="s">
        <v>3</v>
      </c>
      <c r="D1223" t="s">
        <v>4</v>
      </c>
      <c r="E1223" t="s">
        <v>4</v>
      </c>
      <c r="F1223" t="s">
        <v>5</v>
      </c>
      <c r="G1223" t="s">
        <v>6</v>
      </c>
      <c r="H1223" t="s">
        <v>169</v>
      </c>
      <c r="I1223" s="2">
        <v>196</v>
      </c>
      <c r="J1223" s="2">
        <v>0</v>
      </c>
      <c r="K1223" s="2">
        <v>0</v>
      </c>
      <c r="L1223" s="3">
        <v>45839</v>
      </c>
      <c r="M1223" s="3">
        <v>45839</v>
      </c>
      <c r="N1223" s="3"/>
      <c r="O1223" t="s">
        <v>171</v>
      </c>
      <c r="P1223" t="s">
        <v>9</v>
      </c>
      <c r="Q1223" s="4">
        <v>0.58396990740740995</v>
      </c>
      <c r="R1223" t="s">
        <v>5</v>
      </c>
      <c r="S1223" t="s">
        <v>4</v>
      </c>
      <c r="T1223" t="s">
        <v>2312</v>
      </c>
      <c r="U1223" t="s">
        <v>10</v>
      </c>
      <c r="V1223" s="5">
        <v>0</v>
      </c>
      <c r="W1223" s="5">
        <v>0</v>
      </c>
      <c r="X1223" s="2">
        <v>0</v>
      </c>
      <c r="Y1223" t="s">
        <v>4</v>
      </c>
      <c r="Z1223" t="s">
        <v>4</v>
      </c>
      <c r="AA1223" t="s">
        <v>4</v>
      </c>
      <c r="AB1223" t="s">
        <v>4</v>
      </c>
    </row>
    <row r="1224" spans="1:28" x14ac:dyDescent="0.2">
      <c r="A1224" t="s">
        <v>662</v>
      </c>
      <c r="B1224" t="s">
        <v>2</v>
      </c>
      <c r="C1224" t="s">
        <v>3</v>
      </c>
      <c r="D1224" t="s">
        <v>4</v>
      </c>
      <c r="E1224" t="s">
        <v>4</v>
      </c>
      <c r="F1224" t="s">
        <v>5</v>
      </c>
      <c r="G1224" t="s">
        <v>6</v>
      </c>
      <c r="H1224" t="s">
        <v>4080</v>
      </c>
      <c r="I1224" s="2">
        <v>270</v>
      </c>
      <c r="J1224" s="2">
        <v>0</v>
      </c>
      <c r="K1224" s="2">
        <v>0</v>
      </c>
      <c r="L1224" s="3">
        <v>45847</v>
      </c>
      <c r="M1224" s="3">
        <v>45847</v>
      </c>
      <c r="N1224" s="3"/>
      <c r="O1224" t="s">
        <v>4081</v>
      </c>
      <c r="P1224" t="s">
        <v>9</v>
      </c>
      <c r="Q1224" s="4">
        <v>0.61217592592592995</v>
      </c>
      <c r="R1224" t="s">
        <v>5</v>
      </c>
      <c r="S1224" t="s">
        <v>4</v>
      </c>
      <c r="T1224" t="s">
        <v>2341</v>
      </c>
      <c r="U1224" t="s">
        <v>10</v>
      </c>
      <c r="V1224" s="5">
        <v>0</v>
      </c>
      <c r="W1224" s="5">
        <v>0</v>
      </c>
      <c r="X1224" s="2">
        <v>0</v>
      </c>
      <c r="Y1224" t="s">
        <v>4</v>
      </c>
      <c r="Z1224" t="s">
        <v>4</v>
      </c>
      <c r="AA1224" t="s">
        <v>4</v>
      </c>
      <c r="AB1224" t="s">
        <v>4</v>
      </c>
    </row>
    <row r="1225" spans="1:28" x14ac:dyDescent="0.2">
      <c r="A1225" t="s">
        <v>662</v>
      </c>
      <c r="B1225" t="s">
        <v>2</v>
      </c>
      <c r="C1225" t="s">
        <v>3</v>
      </c>
      <c r="D1225" t="s">
        <v>4</v>
      </c>
      <c r="E1225" t="s">
        <v>4</v>
      </c>
      <c r="F1225" t="s">
        <v>5</v>
      </c>
      <c r="G1225" t="s">
        <v>6</v>
      </c>
      <c r="H1225" t="s">
        <v>4080</v>
      </c>
      <c r="I1225" s="2">
        <v>270</v>
      </c>
      <c r="J1225" s="2">
        <v>0</v>
      </c>
      <c r="K1225" s="2">
        <v>0</v>
      </c>
      <c r="L1225" s="3">
        <v>45847</v>
      </c>
      <c r="M1225" s="3">
        <v>45847</v>
      </c>
      <c r="N1225" s="3"/>
      <c r="O1225" t="s">
        <v>4082</v>
      </c>
      <c r="P1225" t="s">
        <v>9</v>
      </c>
      <c r="Q1225" s="4">
        <v>0.61217592592592995</v>
      </c>
      <c r="R1225" t="s">
        <v>5</v>
      </c>
      <c r="S1225" t="s">
        <v>4</v>
      </c>
      <c r="T1225" t="s">
        <v>2341</v>
      </c>
      <c r="U1225" t="s">
        <v>10</v>
      </c>
      <c r="V1225" s="5">
        <v>0</v>
      </c>
      <c r="W1225" s="5">
        <v>0</v>
      </c>
      <c r="X1225" s="2">
        <v>0</v>
      </c>
      <c r="Y1225" t="s">
        <v>4</v>
      </c>
      <c r="Z1225" t="s">
        <v>4</v>
      </c>
      <c r="AA1225" t="s">
        <v>4</v>
      </c>
      <c r="AB1225" t="s">
        <v>4</v>
      </c>
    </row>
    <row r="1226" spans="1:28" x14ac:dyDescent="0.2">
      <c r="A1226" t="s">
        <v>285</v>
      </c>
      <c r="B1226" t="s">
        <v>2</v>
      </c>
      <c r="C1226" t="s">
        <v>3</v>
      </c>
      <c r="D1226" t="s">
        <v>4</v>
      </c>
      <c r="E1226" t="s">
        <v>4</v>
      </c>
      <c r="F1226" t="s">
        <v>5</v>
      </c>
      <c r="G1226" t="s">
        <v>21</v>
      </c>
      <c r="H1226" t="s">
        <v>4083</v>
      </c>
      <c r="I1226" s="2">
        <v>30</v>
      </c>
      <c r="J1226" s="2">
        <v>0</v>
      </c>
      <c r="K1226" s="2">
        <v>0</v>
      </c>
      <c r="L1226" s="3">
        <v>45805</v>
      </c>
      <c r="M1226" s="3">
        <v>45805</v>
      </c>
      <c r="N1226" s="3"/>
      <c r="O1226" t="s">
        <v>4084</v>
      </c>
      <c r="P1226" t="s">
        <v>9</v>
      </c>
      <c r="Q1226" s="4">
        <v>0.90384259259259003</v>
      </c>
      <c r="R1226" t="s">
        <v>5</v>
      </c>
      <c r="S1226" t="s">
        <v>4</v>
      </c>
      <c r="T1226" t="s">
        <v>3377</v>
      </c>
      <c r="U1226" t="s">
        <v>10</v>
      </c>
      <c r="V1226" s="5">
        <v>0</v>
      </c>
      <c r="W1226" s="5">
        <v>0</v>
      </c>
      <c r="X1226" s="2">
        <v>0</v>
      </c>
      <c r="Y1226" t="s">
        <v>4</v>
      </c>
      <c r="Z1226" t="s">
        <v>4</v>
      </c>
      <c r="AA1226" t="s">
        <v>4</v>
      </c>
      <c r="AB1226" t="s">
        <v>4</v>
      </c>
    </row>
    <row r="1227" spans="1:28" x14ac:dyDescent="0.2">
      <c r="A1227" t="s">
        <v>285</v>
      </c>
      <c r="B1227" t="s">
        <v>2</v>
      </c>
      <c r="C1227" t="s">
        <v>3</v>
      </c>
      <c r="D1227" t="s">
        <v>4</v>
      </c>
      <c r="E1227" t="s">
        <v>4</v>
      </c>
      <c r="F1227" t="s">
        <v>5</v>
      </c>
      <c r="G1227" t="s">
        <v>21</v>
      </c>
      <c r="H1227" t="s">
        <v>4083</v>
      </c>
      <c r="I1227" s="2">
        <v>30</v>
      </c>
      <c r="J1227" s="2">
        <v>0</v>
      </c>
      <c r="K1227" s="2">
        <v>0</v>
      </c>
      <c r="L1227" s="3">
        <v>45805</v>
      </c>
      <c r="M1227" s="3">
        <v>45805</v>
      </c>
      <c r="N1227" s="3"/>
      <c r="O1227" t="s">
        <v>4085</v>
      </c>
      <c r="P1227" t="s">
        <v>9</v>
      </c>
      <c r="Q1227" s="4">
        <v>0.90384259259259003</v>
      </c>
      <c r="R1227" t="s">
        <v>5</v>
      </c>
      <c r="S1227" t="s">
        <v>4</v>
      </c>
      <c r="T1227" t="s">
        <v>3377</v>
      </c>
      <c r="U1227" t="s">
        <v>10</v>
      </c>
      <c r="V1227" s="5">
        <v>0</v>
      </c>
      <c r="W1227" s="5">
        <v>0</v>
      </c>
      <c r="X1227" s="2">
        <v>0</v>
      </c>
      <c r="Y1227" t="s">
        <v>4</v>
      </c>
      <c r="Z1227" t="s">
        <v>4</v>
      </c>
      <c r="AA1227" t="s">
        <v>4</v>
      </c>
      <c r="AB1227" t="s">
        <v>4</v>
      </c>
    </row>
    <row r="1228" spans="1:28" x14ac:dyDescent="0.2">
      <c r="A1228" t="s">
        <v>0</v>
      </c>
      <c r="B1228" t="s">
        <v>2</v>
      </c>
      <c r="C1228" t="s">
        <v>3</v>
      </c>
      <c r="D1228" t="s">
        <v>4</v>
      </c>
      <c r="E1228" t="s">
        <v>4</v>
      </c>
      <c r="F1228" t="s">
        <v>5</v>
      </c>
      <c r="G1228" t="s">
        <v>21</v>
      </c>
      <c r="H1228" t="s">
        <v>172</v>
      </c>
      <c r="I1228" s="2">
        <v>196</v>
      </c>
      <c r="J1228" s="2">
        <v>0</v>
      </c>
      <c r="K1228" s="2">
        <v>0</v>
      </c>
      <c r="L1228" s="3">
        <v>45839</v>
      </c>
      <c r="M1228" s="3">
        <v>45839</v>
      </c>
      <c r="N1228" s="3"/>
      <c r="O1228" t="s">
        <v>173</v>
      </c>
      <c r="P1228" t="s">
        <v>9</v>
      </c>
      <c r="Q1228" s="4">
        <v>0.58192129629629996</v>
      </c>
      <c r="R1228" t="s">
        <v>5</v>
      </c>
      <c r="S1228" t="s">
        <v>4</v>
      </c>
      <c r="T1228" t="s">
        <v>2312</v>
      </c>
      <c r="U1228" t="s">
        <v>10</v>
      </c>
      <c r="V1228" s="5">
        <v>0</v>
      </c>
      <c r="W1228" s="5">
        <v>0</v>
      </c>
      <c r="X1228" s="2">
        <v>0</v>
      </c>
      <c r="Y1228" t="s">
        <v>4</v>
      </c>
      <c r="Z1228" t="s">
        <v>4</v>
      </c>
      <c r="AA1228" t="s">
        <v>4</v>
      </c>
      <c r="AB1228" t="s">
        <v>4</v>
      </c>
    </row>
    <row r="1229" spans="1:28" x14ac:dyDescent="0.2">
      <c r="A1229" t="s">
        <v>0</v>
      </c>
      <c r="B1229" t="s">
        <v>2</v>
      </c>
      <c r="C1229" t="s">
        <v>3</v>
      </c>
      <c r="D1229" t="s">
        <v>4</v>
      </c>
      <c r="E1229" t="s">
        <v>4</v>
      </c>
      <c r="F1229" t="s">
        <v>5</v>
      </c>
      <c r="G1229" t="s">
        <v>21</v>
      </c>
      <c r="H1229" t="s">
        <v>172</v>
      </c>
      <c r="I1229" s="2">
        <v>196</v>
      </c>
      <c r="J1229" s="2">
        <v>0</v>
      </c>
      <c r="K1229" s="2">
        <v>0</v>
      </c>
      <c r="L1229" s="3">
        <v>45839</v>
      </c>
      <c r="M1229" s="3">
        <v>45839</v>
      </c>
      <c r="N1229" s="3"/>
      <c r="O1229" t="s">
        <v>174</v>
      </c>
      <c r="P1229" t="s">
        <v>9</v>
      </c>
      <c r="Q1229" s="4">
        <v>0.58192129629629996</v>
      </c>
      <c r="R1229" t="s">
        <v>5</v>
      </c>
      <c r="S1229" t="s">
        <v>4</v>
      </c>
      <c r="T1229" t="s">
        <v>2312</v>
      </c>
      <c r="U1229" t="s">
        <v>10</v>
      </c>
      <c r="V1229" s="5">
        <v>0</v>
      </c>
      <c r="W1229" s="5">
        <v>0</v>
      </c>
      <c r="X1229" s="2">
        <v>0</v>
      </c>
      <c r="Y1229" t="s">
        <v>4</v>
      </c>
      <c r="Z1229" t="s">
        <v>4</v>
      </c>
      <c r="AA1229" t="s">
        <v>4</v>
      </c>
      <c r="AB1229" t="s">
        <v>4</v>
      </c>
    </row>
    <row r="1230" spans="1:28" x14ac:dyDescent="0.2">
      <c r="A1230" t="s">
        <v>2251</v>
      </c>
      <c r="B1230" t="s">
        <v>4</v>
      </c>
      <c r="C1230" t="s">
        <v>4</v>
      </c>
      <c r="D1230" t="s">
        <v>4</v>
      </c>
      <c r="E1230" t="s">
        <v>4</v>
      </c>
      <c r="F1230" t="s">
        <v>5</v>
      </c>
      <c r="G1230" t="s">
        <v>21</v>
      </c>
      <c r="H1230" t="s">
        <v>4086</v>
      </c>
      <c r="I1230" s="5">
        <v>0</v>
      </c>
      <c r="J1230" s="5">
        <v>0</v>
      </c>
      <c r="K1230" s="5">
        <v>0</v>
      </c>
      <c r="L1230" s="3"/>
      <c r="M1230" s="3"/>
      <c r="N1230" s="3"/>
      <c r="O1230" t="s">
        <v>4</v>
      </c>
      <c r="P1230" t="s">
        <v>9</v>
      </c>
      <c r="Q1230" s="4">
        <v>0.38108796296295999</v>
      </c>
      <c r="R1230" t="s">
        <v>4</v>
      </c>
      <c r="S1230" t="s">
        <v>4</v>
      </c>
      <c r="T1230" t="s">
        <v>2256</v>
      </c>
      <c r="U1230" t="s">
        <v>4</v>
      </c>
      <c r="V1230" s="5">
        <v>0</v>
      </c>
      <c r="W1230" s="5">
        <v>0</v>
      </c>
      <c r="X1230" s="2">
        <v>0</v>
      </c>
      <c r="Y1230" t="s">
        <v>4</v>
      </c>
      <c r="Z1230" t="s">
        <v>4</v>
      </c>
      <c r="AA1230" t="s">
        <v>4</v>
      </c>
      <c r="AB1230" t="s">
        <v>4</v>
      </c>
    </row>
    <row r="1231" spans="1:28" x14ac:dyDescent="0.2">
      <c r="A1231" t="s">
        <v>1145</v>
      </c>
      <c r="B1231" t="s">
        <v>2</v>
      </c>
      <c r="C1231" t="s">
        <v>3</v>
      </c>
      <c r="D1231" t="s">
        <v>4</v>
      </c>
      <c r="E1231" t="s">
        <v>4</v>
      </c>
      <c r="F1231" t="s">
        <v>5</v>
      </c>
      <c r="G1231" t="s">
        <v>21</v>
      </c>
      <c r="H1231" t="s">
        <v>4087</v>
      </c>
      <c r="I1231" s="2">
        <v>450</v>
      </c>
      <c r="J1231" s="2">
        <v>0</v>
      </c>
      <c r="K1231" s="2">
        <v>0</v>
      </c>
      <c r="L1231" s="3">
        <v>45686</v>
      </c>
      <c r="M1231" s="3">
        <v>45686</v>
      </c>
      <c r="N1231" s="3"/>
      <c r="O1231" t="s">
        <v>4088</v>
      </c>
      <c r="P1231" t="s">
        <v>9</v>
      </c>
      <c r="Q1231" s="4">
        <v>0.70377314814814995</v>
      </c>
      <c r="R1231" t="s">
        <v>5</v>
      </c>
      <c r="S1231" t="s">
        <v>4</v>
      </c>
      <c r="T1231" t="s">
        <v>2718</v>
      </c>
      <c r="U1231" t="s">
        <v>10</v>
      </c>
      <c r="V1231" s="5">
        <v>0</v>
      </c>
      <c r="W1231" s="5">
        <v>0</v>
      </c>
      <c r="X1231" s="2">
        <v>0</v>
      </c>
      <c r="Y1231" t="s">
        <v>4</v>
      </c>
      <c r="Z1231" t="s">
        <v>4</v>
      </c>
      <c r="AA1231" t="s">
        <v>4</v>
      </c>
      <c r="AB1231" t="s">
        <v>4</v>
      </c>
    </row>
    <row r="1232" spans="1:28" x14ac:dyDescent="0.2">
      <c r="A1232" t="s">
        <v>1145</v>
      </c>
      <c r="B1232" t="s">
        <v>2</v>
      </c>
      <c r="C1232" t="s">
        <v>3</v>
      </c>
      <c r="D1232" t="s">
        <v>4</v>
      </c>
      <c r="E1232" t="s">
        <v>4</v>
      </c>
      <c r="F1232" t="s">
        <v>5</v>
      </c>
      <c r="G1232" t="s">
        <v>21</v>
      </c>
      <c r="H1232" t="s">
        <v>4087</v>
      </c>
      <c r="I1232" s="2">
        <v>450</v>
      </c>
      <c r="J1232" s="2">
        <v>0</v>
      </c>
      <c r="K1232" s="2">
        <v>0</v>
      </c>
      <c r="L1232" s="3">
        <v>45686</v>
      </c>
      <c r="M1232" s="3">
        <v>45686</v>
      </c>
      <c r="N1232" s="3"/>
      <c r="O1232" t="s">
        <v>4089</v>
      </c>
      <c r="P1232" t="s">
        <v>9</v>
      </c>
      <c r="Q1232" s="4">
        <v>0.70377314814814995</v>
      </c>
      <c r="R1232" t="s">
        <v>5</v>
      </c>
      <c r="S1232" t="s">
        <v>4</v>
      </c>
      <c r="T1232" t="s">
        <v>2718</v>
      </c>
      <c r="U1232" t="s">
        <v>10</v>
      </c>
      <c r="V1232" s="5">
        <v>0</v>
      </c>
      <c r="W1232" s="5">
        <v>0</v>
      </c>
      <c r="X1232" s="2">
        <v>0</v>
      </c>
      <c r="Y1232" t="s">
        <v>4</v>
      </c>
      <c r="Z1232" t="s">
        <v>4</v>
      </c>
      <c r="AA1232" t="s">
        <v>4</v>
      </c>
      <c r="AB1232" t="s">
        <v>4</v>
      </c>
    </row>
    <row r="1233" spans="1:28" x14ac:dyDescent="0.2">
      <c r="A1233" t="s">
        <v>1462</v>
      </c>
      <c r="B1233" t="s">
        <v>2</v>
      </c>
      <c r="C1233" t="s">
        <v>3</v>
      </c>
      <c r="D1233" t="s">
        <v>4</v>
      </c>
      <c r="E1233" t="s">
        <v>4</v>
      </c>
      <c r="F1233" t="s">
        <v>5</v>
      </c>
      <c r="G1233" t="s">
        <v>17</v>
      </c>
      <c r="H1233" t="s">
        <v>4090</v>
      </c>
      <c r="I1233" s="2">
        <v>72</v>
      </c>
      <c r="J1233" s="2">
        <v>0</v>
      </c>
      <c r="K1233" s="2">
        <v>0</v>
      </c>
      <c r="L1233" s="3">
        <v>45850</v>
      </c>
      <c r="M1233" s="3">
        <v>45850</v>
      </c>
      <c r="N1233" s="3"/>
      <c r="O1233" t="s">
        <v>4091</v>
      </c>
      <c r="P1233" t="s">
        <v>9</v>
      </c>
      <c r="Q1233" s="4">
        <v>0.58628472222221995</v>
      </c>
      <c r="R1233" t="s">
        <v>5</v>
      </c>
      <c r="S1233" t="s">
        <v>4</v>
      </c>
      <c r="T1233" t="s">
        <v>2680</v>
      </c>
      <c r="U1233" t="s">
        <v>10</v>
      </c>
      <c r="V1233" s="5">
        <v>0</v>
      </c>
      <c r="W1233" s="5">
        <v>0</v>
      </c>
      <c r="X1233" s="2">
        <v>0</v>
      </c>
      <c r="Y1233" t="s">
        <v>4</v>
      </c>
      <c r="Z1233" t="s">
        <v>4</v>
      </c>
      <c r="AA1233" t="s">
        <v>4</v>
      </c>
      <c r="AB1233" t="s">
        <v>4</v>
      </c>
    </row>
    <row r="1234" spans="1:28" x14ac:dyDescent="0.2">
      <c r="A1234" t="s">
        <v>1462</v>
      </c>
      <c r="B1234" t="s">
        <v>2</v>
      </c>
      <c r="C1234" t="s">
        <v>3</v>
      </c>
      <c r="D1234" t="s">
        <v>4</v>
      </c>
      <c r="E1234" t="s">
        <v>4</v>
      </c>
      <c r="F1234" t="s">
        <v>5</v>
      </c>
      <c r="G1234" t="s">
        <v>17</v>
      </c>
      <c r="H1234" t="s">
        <v>4090</v>
      </c>
      <c r="I1234" s="2">
        <v>72</v>
      </c>
      <c r="J1234" s="2">
        <v>0</v>
      </c>
      <c r="K1234" s="2">
        <v>0</v>
      </c>
      <c r="L1234" s="3">
        <v>45850</v>
      </c>
      <c r="M1234" s="3">
        <v>45850</v>
      </c>
      <c r="N1234" s="3"/>
      <c r="O1234" t="s">
        <v>4092</v>
      </c>
      <c r="P1234" t="s">
        <v>9</v>
      </c>
      <c r="Q1234" s="4">
        <v>0.58628472222221995</v>
      </c>
      <c r="R1234" t="s">
        <v>5</v>
      </c>
      <c r="S1234" t="s">
        <v>4</v>
      </c>
      <c r="T1234" t="s">
        <v>2680</v>
      </c>
      <c r="U1234" t="s">
        <v>10</v>
      </c>
      <c r="V1234" s="5">
        <v>0</v>
      </c>
      <c r="W1234" s="5">
        <v>0</v>
      </c>
      <c r="X1234" s="2">
        <v>0</v>
      </c>
      <c r="Y1234" t="s">
        <v>4</v>
      </c>
      <c r="Z1234" t="s">
        <v>4</v>
      </c>
      <c r="AA1234" t="s">
        <v>4</v>
      </c>
      <c r="AB1234" t="s">
        <v>4</v>
      </c>
    </row>
    <row r="1235" spans="1:28" x14ac:dyDescent="0.2">
      <c r="A1235" t="s">
        <v>0</v>
      </c>
      <c r="B1235" t="s">
        <v>2</v>
      </c>
      <c r="C1235" t="s">
        <v>3</v>
      </c>
      <c r="D1235" t="s">
        <v>4</v>
      </c>
      <c r="E1235" t="s">
        <v>4</v>
      </c>
      <c r="F1235" t="s">
        <v>5</v>
      </c>
      <c r="G1235" t="s">
        <v>17</v>
      </c>
      <c r="H1235" t="s">
        <v>175</v>
      </c>
      <c r="I1235" s="2">
        <v>196</v>
      </c>
      <c r="J1235" s="2">
        <v>0</v>
      </c>
      <c r="K1235" s="2">
        <v>0</v>
      </c>
      <c r="L1235" s="3">
        <v>45839</v>
      </c>
      <c r="M1235" s="3">
        <v>45839</v>
      </c>
      <c r="N1235" s="3"/>
      <c r="O1235" t="s">
        <v>176</v>
      </c>
      <c r="P1235" t="s">
        <v>9</v>
      </c>
      <c r="Q1235" s="4">
        <v>0.58795138888888998</v>
      </c>
      <c r="R1235" t="s">
        <v>5</v>
      </c>
      <c r="S1235" t="s">
        <v>4</v>
      </c>
      <c r="T1235" t="s">
        <v>2312</v>
      </c>
      <c r="U1235" t="s">
        <v>10</v>
      </c>
      <c r="V1235" s="5">
        <v>0</v>
      </c>
      <c r="W1235" s="5">
        <v>0</v>
      </c>
      <c r="X1235" s="2">
        <v>0</v>
      </c>
      <c r="Y1235" t="s">
        <v>4</v>
      </c>
      <c r="Z1235" t="s">
        <v>4</v>
      </c>
      <c r="AA1235" t="s">
        <v>4</v>
      </c>
      <c r="AB1235" t="s">
        <v>4</v>
      </c>
    </row>
    <row r="1236" spans="1:28" x14ac:dyDescent="0.2">
      <c r="A1236" t="s">
        <v>0</v>
      </c>
      <c r="B1236" t="s">
        <v>2</v>
      </c>
      <c r="C1236" t="s">
        <v>3</v>
      </c>
      <c r="D1236" t="s">
        <v>4</v>
      </c>
      <c r="E1236" t="s">
        <v>4</v>
      </c>
      <c r="F1236" t="s">
        <v>5</v>
      </c>
      <c r="G1236" t="s">
        <v>17</v>
      </c>
      <c r="H1236" t="s">
        <v>175</v>
      </c>
      <c r="I1236" s="2">
        <v>196</v>
      </c>
      <c r="J1236" s="2">
        <v>0</v>
      </c>
      <c r="K1236" s="2">
        <v>0</v>
      </c>
      <c r="L1236" s="3">
        <v>45839</v>
      </c>
      <c r="M1236" s="3">
        <v>45839</v>
      </c>
      <c r="N1236" s="3"/>
      <c r="O1236" t="s">
        <v>177</v>
      </c>
      <c r="P1236" t="s">
        <v>9</v>
      </c>
      <c r="Q1236" s="4">
        <v>0.58795138888888998</v>
      </c>
      <c r="R1236" t="s">
        <v>5</v>
      </c>
      <c r="S1236" t="s">
        <v>4</v>
      </c>
      <c r="T1236" t="s">
        <v>2312</v>
      </c>
      <c r="U1236" t="s">
        <v>10</v>
      </c>
      <c r="V1236" s="5">
        <v>0</v>
      </c>
      <c r="W1236" s="5">
        <v>0</v>
      </c>
      <c r="X1236" s="2">
        <v>0</v>
      </c>
      <c r="Y1236" t="s">
        <v>4</v>
      </c>
      <c r="Z1236" t="s">
        <v>4</v>
      </c>
      <c r="AA1236" t="s">
        <v>4</v>
      </c>
      <c r="AB1236" t="s">
        <v>4</v>
      </c>
    </row>
    <row r="1237" spans="1:28" x14ac:dyDescent="0.2">
      <c r="A1237" t="s">
        <v>837</v>
      </c>
      <c r="B1237" t="s">
        <v>2</v>
      </c>
      <c r="C1237" t="s">
        <v>3</v>
      </c>
      <c r="D1237" t="s">
        <v>4</v>
      </c>
      <c r="E1237" t="s">
        <v>4</v>
      </c>
      <c r="F1237" t="s">
        <v>5</v>
      </c>
      <c r="G1237" t="s">
        <v>17</v>
      </c>
      <c r="H1237" t="s">
        <v>4093</v>
      </c>
      <c r="I1237" s="2">
        <v>30000</v>
      </c>
      <c r="J1237" s="2">
        <v>0</v>
      </c>
      <c r="K1237" s="2">
        <v>0</v>
      </c>
      <c r="L1237" s="3">
        <v>45812</v>
      </c>
      <c r="M1237" s="3">
        <v>45812</v>
      </c>
      <c r="N1237" s="3"/>
      <c r="O1237" t="s">
        <v>4094</v>
      </c>
      <c r="P1237" t="s">
        <v>9</v>
      </c>
      <c r="Q1237" s="4">
        <v>0.33355324074074</v>
      </c>
      <c r="R1237" t="s">
        <v>5</v>
      </c>
      <c r="S1237" t="s">
        <v>4</v>
      </c>
      <c r="T1237" t="s">
        <v>4095</v>
      </c>
      <c r="U1237" t="s">
        <v>10</v>
      </c>
      <c r="V1237" s="5">
        <v>0</v>
      </c>
      <c r="W1237" s="5">
        <v>0</v>
      </c>
      <c r="X1237" s="2">
        <v>0</v>
      </c>
      <c r="Y1237" t="s">
        <v>4</v>
      </c>
      <c r="Z1237" t="s">
        <v>4</v>
      </c>
      <c r="AA1237" t="s">
        <v>4</v>
      </c>
      <c r="AB1237" t="s">
        <v>4</v>
      </c>
    </row>
    <row r="1238" spans="1:28" x14ac:dyDescent="0.2">
      <c r="A1238" t="s">
        <v>0</v>
      </c>
      <c r="B1238" t="s">
        <v>2</v>
      </c>
      <c r="C1238" t="s">
        <v>3</v>
      </c>
      <c r="D1238" t="s">
        <v>4</v>
      </c>
      <c r="E1238" t="s">
        <v>4</v>
      </c>
      <c r="F1238" t="s">
        <v>5</v>
      </c>
      <c r="G1238" t="s">
        <v>17</v>
      </c>
      <c r="H1238" t="s">
        <v>178</v>
      </c>
      <c r="I1238" s="2">
        <v>196</v>
      </c>
      <c r="J1238" s="2">
        <v>0</v>
      </c>
      <c r="K1238" s="2">
        <v>0</v>
      </c>
      <c r="L1238" s="3">
        <v>45839</v>
      </c>
      <c r="M1238" s="3">
        <v>45839</v>
      </c>
      <c r="N1238" s="3"/>
      <c r="O1238" t="s">
        <v>179</v>
      </c>
      <c r="P1238" t="s">
        <v>9</v>
      </c>
      <c r="Q1238" s="4">
        <v>0.59096064814814997</v>
      </c>
      <c r="R1238" t="s">
        <v>5</v>
      </c>
      <c r="S1238" t="s">
        <v>4</v>
      </c>
      <c r="T1238" t="s">
        <v>2312</v>
      </c>
      <c r="U1238" t="s">
        <v>10</v>
      </c>
      <c r="V1238" s="5">
        <v>0</v>
      </c>
      <c r="W1238" s="5">
        <v>0</v>
      </c>
      <c r="X1238" s="2">
        <v>0</v>
      </c>
      <c r="Y1238" t="s">
        <v>4</v>
      </c>
      <c r="Z1238" t="s">
        <v>4</v>
      </c>
      <c r="AA1238" t="s">
        <v>4</v>
      </c>
      <c r="AB1238" t="s">
        <v>4</v>
      </c>
    </row>
    <row r="1239" spans="1:28" x14ac:dyDescent="0.2">
      <c r="A1239" t="s">
        <v>0</v>
      </c>
      <c r="B1239" t="s">
        <v>2</v>
      </c>
      <c r="C1239" t="s">
        <v>3</v>
      </c>
      <c r="D1239" t="s">
        <v>4</v>
      </c>
      <c r="E1239" t="s">
        <v>4</v>
      </c>
      <c r="F1239" t="s">
        <v>5</v>
      </c>
      <c r="G1239" t="s">
        <v>17</v>
      </c>
      <c r="H1239" t="s">
        <v>178</v>
      </c>
      <c r="I1239" s="2">
        <v>196</v>
      </c>
      <c r="J1239" s="2">
        <v>0</v>
      </c>
      <c r="K1239" s="2">
        <v>0</v>
      </c>
      <c r="L1239" s="3">
        <v>45839</v>
      </c>
      <c r="M1239" s="3">
        <v>45839</v>
      </c>
      <c r="N1239" s="3"/>
      <c r="O1239" t="s">
        <v>180</v>
      </c>
      <c r="P1239" t="s">
        <v>9</v>
      </c>
      <c r="Q1239" s="4">
        <v>0.59096064814814997</v>
      </c>
      <c r="R1239" t="s">
        <v>5</v>
      </c>
      <c r="S1239" t="s">
        <v>4</v>
      </c>
      <c r="T1239" t="s">
        <v>2312</v>
      </c>
      <c r="U1239" t="s">
        <v>10</v>
      </c>
      <c r="V1239" s="5">
        <v>0</v>
      </c>
      <c r="W1239" s="5">
        <v>0</v>
      </c>
      <c r="X1239" s="2">
        <v>0</v>
      </c>
      <c r="Y1239" t="s">
        <v>4</v>
      </c>
      <c r="Z1239" t="s">
        <v>4</v>
      </c>
      <c r="AA1239" t="s">
        <v>4</v>
      </c>
      <c r="AB1239" t="s">
        <v>4</v>
      </c>
    </row>
    <row r="1240" spans="1:28" x14ac:dyDescent="0.2">
      <c r="A1240" t="s">
        <v>2043</v>
      </c>
      <c r="B1240" t="s">
        <v>2</v>
      </c>
      <c r="C1240" t="s">
        <v>3</v>
      </c>
      <c r="D1240" t="s">
        <v>4</v>
      </c>
      <c r="E1240" t="s">
        <v>4</v>
      </c>
      <c r="F1240" t="s">
        <v>5</v>
      </c>
      <c r="G1240" t="s">
        <v>6</v>
      </c>
      <c r="H1240" t="s">
        <v>4096</v>
      </c>
      <c r="I1240" s="2">
        <v>108</v>
      </c>
      <c r="J1240" s="2">
        <v>0</v>
      </c>
      <c r="K1240" s="2">
        <v>0</v>
      </c>
      <c r="L1240" s="3">
        <v>45857</v>
      </c>
      <c r="M1240" s="3">
        <v>45857</v>
      </c>
      <c r="N1240" s="3"/>
      <c r="O1240" t="s">
        <v>4097</v>
      </c>
      <c r="P1240" t="s">
        <v>9</v>
      </c>
      <c r="Q1240" s="4">
        <v>0.88953703703704001</v>
      </c>
      <c r="R1240" t="s">
        <v>5</v>
      </c>
      <c r="S1240" t="s">
        <v>4</v>
      </c>
      <c r="T1240" t="s">
        <v>2262</v>
      </c>
      <c r="U1240" t="s">
        <v>10</v>
      </c>
      <c r="V1240" s="5">
        <v>0</v>
      </c>
      <c r="W1240" s="5">
        <v>0</v>
      </c>
      <c r="X1240" s="2">
        <v>0</v>
      </c>
      <c r="Y1240" t="s">
        <v>4</v>
      </c>
      <c r="Z1240" t="s">
        <v>4</v>
      </c>
      <c r="AA1240" t="s">
        <v>4</v>
      </c>
      <c r="AB1240" t="s">
        <v>4</v>
      </c>
    </row>
    <row r="1241" spans="1:28" x14ac:dyDescent="0.2">
      <c r="A1241" t="s">
        <v>1145</v>
      </c>
      <c r="B1241" t="s">
        <v>2</v>
      </c>
      <c r="C1241" t="s">
        <v>3</v>
      </c>
      <c r="D1241" t="s">
        <v>4</v>
      </c>
      <c r="E1241" t="s">
        <v>4</v>
      </c>
      <c r="F1241" t="s">
        <v>5</v>
      </c>
      <c r="G1241" t="s">
        <v>6</v>
      </c>
      <c r="H1241" t="s">
        <v>4098</v>
      </c>
      <c r="I1241" s="2">
        <v>450</v>
      </c>
      <c r="J1241" s="2">
        <v>0</v>
      </c>
      <c r="K1241" s="2">
        <v>0</v>
      </c>
      <c r="L1241" s="3">
        <v>45686</v>
      </c>
      <c r="M1241" s="3">
        <v>45686</v>
      </c>
      <c r="N1241" s="3"/>
      <c r="O1241" t="s">
        <v>4099</v>
      </c>
      <c r="P1241" t="s">
        <v>9</v>
      </c>
      <c r="Q1241" s="4">
        <v>0.37988425925926</v>
      </c>
      <c r="R1241" t="s">
        <v>5</v>
      </c>
      <c r="S1241" t="s">
        <v>4</v>
      </c>
      <c r="T1241" t="s">
        <v>2718</v>
      </c>
      <c r="U1241" t="s">
        <v>10</v>
      </c>
      <c r="V1241" s="5">
        <v>0</v>
      </c>
      <c r="W1241" s="5">
        <v>0</v>
      </c>
      <c r="X1241" s="2">
        <v>0</v>
      </c>
      <c r="Y1241" t="s">
        <v>4</v>
      </c>
      <c r="Z1241" t="s">
        <v>4</v>
      </c>
      <c r="AA1241" t="s">
        <v>4</v>
      </c>
      <c r="AB1241" t="s">
        <v>4</v>
      </c>
    </row>
    <row r="1242" spans="1:28" x14ac:dyDescent="0.2">
      <c r="A1242" t="s">
        <v>1145</v>
      </c>
      <c r="B1242" t="s">
        <v>2</v>
      </c>
      <c r="C1242" t="s">
        <v>3</v>
      </c>
      <c r="D1242" t="s">
        <v>4</v>
      </c>
      <c r="E1242" t="s">
        <v>4</v>
      </c>
      <c r="F1242" t="s">
        <v>5</v>
      </c>
      <c r="G1242" t="s">
        <v>6</v>
      </c>
      <c r="H1242" t="s">
        <v>4098</v>
      </c>
      <c r="I1242" s="2">
        <v>450</v>
      </c>
      <c r="J1242" s="2">
        <v>0</v>
      </c>
      <c r="K1242" s="2">
        <v>0</v>
      </c>
      <c r="L1242" s="3">
        <v>45686</v>
      </c>
      <c r="M1242" s="3">
        <v>45686</v>
      </c>
      <c r="N1242" s="3"/>
      <c r="O1242" t="s">
        <v>4100</v>
      </c>
      <c r="P1242" t="s">
        <v>9</v>
      </c>
      <c r="Q1242" s="4">
        <v>0.37988425925926</v>
      </c>
      <c r="R1242" t="s">
        <v>5</v>
      </c>
      <c r="S1242" t="s">
        <v>4</v>
      </c>
      <c r="T1242" t="s">
        <v>2718</v>
      </c>
      <c r="U1242" t="s">
        <v>10</v>
      </c>
      <c r="V1242" s="5">
        <v>0</v>
      </c>
      <c r="W1242" s="5">
        <v>0</v>
      </c>
      <c r="X1242" s="2">
        <v>0</v>
      </c>
      <c r="Y1242" t="s">
        <v>4</v>
      </c>
      <c r="Z1242" t="s">
        <v>4</v>
      </c>
      <c r="AA1242" t="s">
        <v>4</v>
      </c>
      <c r="AB1242" t="s">
        <v>4</v>
      </c>
    </row>
    <row r="1243" spans="1:28" x14ac:dyDescent="0.2">
      <c r="A1243" t="s">
        <v>0</v>
      </c>
      <c r="B1243" t="s">
        <v>2</v>
      </c>
      <c r="C1243" t="s">
        <v>3</v>
      </c>
      <c r="D1243" t="s">
        <v>4</v>
      </c>
      <c r="E1243" t="s">
        <v>4</v>
      </c>
      <c r="F1243" t="s">
        <v>5</v>
      </c>
      <c r="G1243" t="s">
        <v>6</v>
      </c>
      <c r="H1243" t="s">
        <v>181</v>
      </c>
      <c r="I1243" s="2">
        <v>196</v>
      </c>
      <c r="J1243" s="2">
        <v>0</v>
      </c>
      <c r="K1243" s="2">
        <v>0</v>
      </c>
      <c r="L1243" s="3">
        <v>45839</v>
      </c>
      <c r="M1243" s="3">
        <v>45839</v>
      </c>
      <c r="N1243" s="3"/>
      <c r="O1243" t="s">
        <v>183</v>
      </c>
      <c r="P1243" t="s">
        <v>9</v>
      </c>
      <c r="Q1243" s="4">
        <v>0.58697916666667005</v>
      </c>
      <c r="R1243" t="s">
        <v>5</v>
      </c>
      <c r="S1243" t="s">
        <v>4</v>
      </c>
      <c r="T1243" t="s">
        <v>2312</v>
      </c>
      <c r="U1243" t="s">
        <v>10</v>
      </c>
      <c r="V1243" s="5">
        <v>0</v>
      </c>
      <c r="W1243" s="5">
        <v>0</v>
      </c>
      <c r="X1243" s="2">
        <v>0</v>
      </c>
      <c r="Y1243" t="s">
        <v>4</v>
      </c>
      <c r="Z1243" t="s">
        <v>4</v>
      </c>
      <c r="AA1243" t="s">
        <v>4</v>
      </c>
      <c r="AB1243" t="s">
        <v>4</v>
      </c>
    </row>
    <row r="1244" spans="1:28" x14ac:dyDescent="0.2">
      <c r="A1244" t="s">
        <v>0</v>
      </c>
      <c r="B1244" t="s">
        <v>2</v>
      </c>
      <c r="C1244" t="s">
        <v>3</v>
      </c>
      <c r="D1244" t="s">
        <v>4</v>
      </c>
      <c r="E1244" t="s">
        <v>4</v>
      </c>
      <c r="F1244" t="s">
        <v>5</v>
      </c>
      <c r="G1244" t="s">
        <v>6</v>
      </c>
      <c r="H1244" t="s">
        <v>181</v>
      </c>
      <c r="I1244" s="2">
        <v>196</v>
      </c>
      <c r="J1244" s="2">
        <v>0</v>
      </c>
      <c r="K1244" s="2">
        <v>0</v>
      </c>
      <c r="L1244" s="3">
        <v>45839</v>
      </c>
      <c r="M1244" s="3">
        <v>45839</v>
      </c>
      <c r="N1244" s="3"/>
      <c r="O1244" t="s">
        <v>182</v>
      </c>
      <c r="P1244" t="s">
        <v>9</v>
      </c>
      <c r="Q1244" s="4">
        <v>0.58697916666667005</v>
      </c>
      <c r="R1244" t="s">
        <v>5</v>
      </c>
      <c r="S1244" t="s">
        <v>4</v>
      </c>
      <c r="T1244" t="s">
        <v>2312</v>
      </c>
      <c r="U1244" t="s">
        <v>10</v>
      </c>
      <c r="V1244" s="5">
        <v>0</v>
      </c>
      <c r="W1244" s="5">
        <v>0</v>
      </c>
      <c r="X1244" s="2">
        <v>0</v>
      </c>
      <c r="Y1244" t="s">
        <v>4</v>
      </c>
      <c r="Z1244" t="s">
        <v>4</v>
      </c>
      <c r="AA1244" t="s">
        <v>4</v>
      </c>
      <c r="AB1244" t="s">
        <v>4</v>
      </c>
    </row>
    <row r="1245" spans="1:28" x14ac:dyDescent="0.2">
      <c r="A1245" t="s">
        <v>2251</v>
      </c>
      <c r="B1245" t="s">
        <v>4</v>
      </c>
      <c r="C1245" t="s">
        <v>4</v>
      </c>
      <c r="D1245" t="s">
        <v>4</v>
      </c>
      <c r="E1245" t="s">
        <v>4</v>
      </c>
      <c r="F1245" t="s">
        <v>5</v>
      </c>
      <c r="G1245" t="s">
        <v>6</v>
      </c>
      <c r="H1245" t="s">
        <v>4101</v>
      </c>
      <c r="I1245" s="5">
        <v>0</v>
      </c>
      <c r="J1245" s="5">
        <v>0</v>
      </c>
      <c r="K1245" s="5">
        <v>0</v>
      </c>
      <c r="L1245" s="3"/>
      <c r="M1245" s="3"/>
      <c r="N1245" s="3"/>
      <c r="O1245" t="s">
        <v>4</v>
      </c>
      <c r="P1245" t="s">
        <v>9</v>
      </c>
      <c r="Q1245" s="4">
        <v>0.51459490740740998</v>
      </c>
      <c r="R1245" t="s">
        <v>4</v>
      </c>
      <c r="S1245" t="s">
        <v>4</v>
      </c>
      <c r="T1245" t="s">
        <v>2256</v>
      </c>
      <c r="U1245" t="s">
        <v>4</v>
      </c>
      <c r="V1245" s="5">
        <v>0</v>
      </c>
      <c r="W1245" s="5">
        <v>0</v>
      </c>
      <c r="X1245" s="2">
        <v>0</v>
      </c>
      <c r="Y1245" t="s">
        <v>4</v>
      </c>
      <c r="Z1245" t="s">
        <v>4</v>
      </c>
      <c r="AA1245" t="s">
        <v>4</v>
      </c>
      <c r="AB1245" t="s">
        <v>4</v>
      </c>
    </row>
    <row r="1246" spans="1:28" x14ac:dyDescent="0.2">
      <c r="A1246" t="s">
        <v>2187</v>
      </c>
      <c r="B1246" t="s">
        <v>2</v>
      </c>
      <c r="C1246" t="s">
        <v>3</v>
      </c>
      <c r="D1246" t="s">
        <v>4</v>
      </c>
      <c r="E1246" t="s">
        <v>4</v>
      </c>
      <c r="F1246" t="s">
        <v>5</v>
      </c>
      <c r="G1246" t="s">
        <v>6</v>
      </c>
      <c r="H1246" t="s">
        <v>4102</v>
      </c>
      <c r="I1246" s="2">
        <v>144</v>
      </c>
      <c r="J1246" s="2">
        <v>0</v>
      </c>
      <c r="K1246" s="2">
        <v>0</v>
      </c>
      <c r="L1246" s="3">
        <v>45847</v>
      </c>
      <c r="M1246" s="3">
        <v>45847</v>
      </c>
      <c r="N1246" s="3"/>
      <c r="O1246" t="s">
        <v>4103</v>
      </c>
      <c r="P1246" t="s">
        <v>9</v>
      </c>
      <c r="Q1246" s="4">
        <v>0.93311342592593005</v>
      </c>
      <c r="R1246" t="s">
        <v>5</v>
      </c>
      <c r="S1246" t="s">
        <v>4</v>
      </c>
      <c r="T1246" t="s">
        <v>2341</v>
      </c>
      <c r="U1246" t="s">
        <v>10</v>
      </c>
      <c r="V1246" s="5">
        <v>0</v>
      </c>
      <c r="W1246" s="5">
        <v>0</v>
      </c>
      <c r="X1246" s="2">
        <v>0</v>
      </c>
      <c r="Y1246" t="s">
        <v>4</v>
      </c>
      <c r="Z1246" t="s">
        <v>4</v>
      </c>
      <c r="AA1246" t="s">
        <v>4</v>
      </c>
      <c r="AB1246" t="s">
        <v>4</v>
      </c>
    </row>
    <row r="1247" spans="1:28" x14ac:dyDescent="0.2">
      <c r="A1247" t="s">
        <v>2187</v>
      </c>
      <c r="B1247" t="s">
        <v>2</v>
      </c>
      <c r="C1247" t="s">
        <v>3</v>
      </c>
      <c r="D1247" t="s">
        <v>4</v>
      </c>
      <c r="E1247" t="s">
        <v>4</v>
      </c>
      <c r="F1247" t="s">
        <v>5</v>
      </c>
      <c r="G1247" t="s">
        <v>6</v>
      </c>
      <c r="H1247" t="s">
        <v>4102</v>
      </c>
      <c r="I1247" s="2">
        <v>144</v>
      </c>
      <c r="J1247" s="2">
        <v>0</v>
      </c>
      <c r="K1247" s="2">
        <v>0</v>
      </c>
      <c r="L1247" s="3">
        <v>45847</v>
      </c>
      <c r="M1247" s="3">
        <v>45847</v>
      </c>
      <c r="N1247" s="3"/>
      <c r="O1247" t="s">
        <v>4104</v>
      </c>
      <c r="P1247" t="s">
        <v>9</v>
      </c>
      <c r="Q1247" s="4">
        <v>0.93311342592593005</v>
      </c>
      <c r="R1247" t="s">
        <v>5</v>
      </c>
      <c r="S1247" t="s">
        <v>4</v>
      </c>
      <c r="T1247" t="s">
        <v>2341</v>
      </c>
      <c r="U1247" t="s">
        <v>10</v>
      </c>
      <c r="V1247" s="5">
        <v>0</v>
      </c>
      <c r="W1247" s="5">
        <v>0</v>
      </c>
      <c r="X1247" s="2">
        <v>0</v>
      </c>
      <c r="Y1247" t="s">
        <v>4</v>
      </c>
      <c r="Z1247" t="s">
        <v>4</v>
      </c>
      <c r="AA1247" t="s">
        <v>4</v>
      </c>
      <c r="AB1247" t="s">
        <v>4</v>
      </c>
    </row>
    <row r="1248" spans="1:28" x14ac:dyDescent="0.2">
      <c r="A1248" t="s">
        <v>2187</v>
      </c>
      <c r="B1248" t="s">
        <v>2</v>
      </c>
      <c r="C1248" t="s">
        <v>3</v>
      </c>
      <c r="D1248" t="s">
        <v>4</v>
      </c>
      <c r="E1248" t="s">
        <v>4</v>
      </c>
      <c r="F1248" t="s">
        <v>5</v>
      </c>
      <c r="G1248" t="s">
        <v>6</v>
      </c>
      <c r="H1248" t="s">
        <v>4105</v>
      </c>
      <c r="I1248" s="2">
        <v>144</v>
      </c>
      <c r="J1248" s="2">
        <v>0</v>
      </c>
      <c r="K1248" s="2">
        <v>0</v>
      </c>
      <c r="L1248" s="3">
        <v>45847</v>
      </c>
      <c r="M1248" s="3">
        <v>45847</v>
      </c>
      <c r="N1248" s="3"/>
      <c r="O1248" t="s">
        <v>4106</v>
      </c>
      <c r="P1248" t="s">
        <v>9</v>
      </c>
      <c r="Q1248" s="4">
        <v>0.93343750000000003</v>
      </c>
      <c r="R1248" t="s">
        <v>5</v>
      </c>
      <c r="S1248" t="s">
        <v>4</v>
      </c>
      <c r="T1248" t="s">
        <v>2341</v>
      </c>
      <c r="U1248" t="s">
        <v>10</v>
      </c>
      <c r="V1248" s="5">
        <v>0</v>
      </c>
      <c r="W1248" s="5">
        <v>0</v>
      </c>
      <c r="X1248" s="2">
        <v>0</v>
      </c>
      <c r="Y1248" t="s">
        <v>4</v>
      </c>
      <c r="Z1248" t="s">
        <v>4</v>
      </c>
      <c r="AA1248" t="s">
        <v>4</v>
      </c>
      <c r="AB1248" t="s">
        <v>4</v>
      </c>
    </row>
    <row r="1249" spans="1:28" x14ac:dyDescent="0.2">
      <c r="A1249" t="s">
        <v>2187</v>
      </c>
      <c r="B1249" t="s">
        <v>2</v>
      </c>
      <c r="C1249" t="s">
        <v>3</v>
      </c>
      <c r="D1249" t="s">
        <v>4</v>
      </c>
      <c r="E1249" t="s">
        <v>4</v>
      </c>
      <c r="F1249" t="s">
        <v>5</v>
      </c>
      <c r="G1249" t="s">
        <v>6</v>
      </c>
      <c r="H1249" t="s">
        <v>4105</v>
      </c>
      <c r="I1249" s="2">
        <v>144</v>
      </c>
      <c r="J1249" s="2">
        <v>0</v>
      </c>
      <c r="K1249" s="2">
        <v>0</v>
      </c>
      <c r="L1249" s="3">
        <v>45847</v>
      </c>
      <c r="M1249" s="3">
        <v>45847</v>
      </c>
      <c r="N1249" s="3"/>
      <c r="O1249" t="s">
        <v>4107</v>
      </c>
      <c r="P1249" t="s">
        <v>9</v>
      </c>
      <c r="Q1249" s="4">
        <v>0.93343750000000003</v>
      </c>
      <c r="R1249" t="s">
        <v>5</v>
      </c>
      <c r="S1249" t="s">
        <v>4</v>
      </c>
      <c r="T1249" t="s">
        <v>2341</v>
      </c>
      <c r="U1249" t="s">
        <v>10</v>
      </c>
      <c r="V1249" s="5">
        <v>0</v>
      </c>
      <c r="W1249" s="5">
        <v>0</v>
      </c>
      <c r="X1249" s="2">
        <v>0</v>
      </c>
      <c r="Y1249" t="s">
        <v>4</v>
      </c>
      <c r="Z1249" t="s">
        <v>4</v>
      </c>
      <c r="AA1249" t="s">
        <v>4</v>
      </c>
      <c r="AB1249" t="s">
        <v>4</v>
      </c>
    </row>
    <row r="1250" spans="1:28" x14ac:dyDescent="0.2">
      <c r="A1250" t="s">
        <v>1541</v>
      </c>
      <c r="B1250" t="s">
        <v>2</v>
      </c>
      <c r="C1250" t="s">
        <v>3</v>
      </c>
      <c r="D1250" t="s">
        <v>4</v>
      </c>
      <c r="E1250" t="s">
        <v>4</v>
      </c>
      <c r="F1250" t="s">
        <v>5</v>
      </c>
      <c r="G1250" t="s">
        <v>21</v>
      </c>
      <c r="H1250" t="s">
        <v>4108</v>
      </c>
      <c r="I1250" s="2">
        <v>300</v>
      </c>
      <c r="J1250" s="2">
        <v>0</v>
      </c>
      <c r="K1250" s="2">
        <v>0</v>
      </c>
      <c r="L1250" s="3">
        <v>45859</v>
      </c>
      <c r="M1250" s="3">
        <v>45859</v>
      </c>
      <c r="N1250" s="3"/>
      <c r="O1250" t="s">
        <v>4109</v>
      </c>
      <c r="P1250" t="s">
        <v>9</v>
      </c>
      <c r="Q1250" s="4">
        <v>0.74142361111110999</v>
      </c>
      <c r="R1250" t="s">
        <v>5</v>
      </c>
      <c r="S1250" t="s">
        <v>4</v>
      </c>
      <c r="T1250" t="s">
        <v>2261</v>
      </c>
      <c r="U1250" t="s">
        <v>10</v>
      </c>
      <c r="V1250" s="5">
        <v>0</v>
      </c>
      <c r="W1250" s="5">
        <v>0</v>
      </c>
      <c r="X1250" s="2">
        <v>0</v>
      </c>
      <c r="Y1250" t="s">
        <v>4</v>
      </c>
      <c r="Z1250" t="s">
        <v>4</v>
      </c>
      <c r="AA1250" t="s">
        <v>4</v>
      </c>
      <c r="AB1250" t="s">
        <v>4</v>
      </c>
    </row>
    <row r="1251" spans="1:28" x14ac:dyDescent="0.2">
      <c r="A1251" t="s">
        <v>1541</v>
      </c>
      <c r="B1251" t="s">
        <v>2</v>
      </c>
      <c r="C1251" t="s">
        <v>3</v>
      </c>
      <c r="D1251" t="s">
        <v>4</v>
      </c>
      <c r="E1251" t="s">
        <v>4</v>
      </c>
      <c r="F1251" t="s">
        <v>5</v>
      </c>
      <c r="G1251" t="s">
        <v>21</v>
      </c>
      <c r="H1251" t="s">
        <v>4108</v>
      </c>
      <c r="I1251" s="2">
        <v>100</v>
      </c>
      <c r="J1251" s="2">
        <v>0</v>
      </c>
      <c r="K1251" s="2">
        <v>0</v>
      </c>
      <c r="L1251" s="3">
        <v>45859</v>
      </c>
      <c r="M1251" s="3">
        <v>45859</v>
      </c>
      <c r="N1251" s="3"/>
      <c r="O1251" t="s">
        <v>4110</v>
      </c>
      <c r="P1251" t="s">
        <v>9</v>
      </c>
      <c r="Q1251" s="4">
        <v>0.74142361111110999</v>
      </c>
      <c r="R1251" t="s">
        <v>5</v>
      </c>
      <c r="S1251" t="s">
        <v>4</v>
      </c>
      <c r="T1251" t="s">
        <v>2261</v>
      </c>
      <c r="U1251" t="s">
        <v>10</v>
      </c>
      <c r="V1251" s="5">
        <v>0</v>
      </c>
      <c r="W1251" s="5">
        <v>0</v>
      </c>
      <c r="X1251" s="2">
        <v>0</v>
      </c>
      <c r="Y1251" t="s">
        <v>4</v>
      </c>
      <c r="Z1251" t="s">
        <v>4</v>
      </c>
      <c r="AA1251" t="s">
        <v>4</v>
      </c>
      <c r="AB1251" t="s">
        <v>4</v>
      </c>
    </row>
    <row r="1252" spans="1:28" x14ac:dyDescent="0.2">
      <c r="A1252" t="s">
        <v>435</v>
      </c>
      <c r="B1252" t="s">
        <v>2</v>
      </c>
      <c r="C1252" t="s">
        <v>3</v>
      </c>
      <c r="D1252" t="s">
        <v>4</v>
      </c>
      <c r="E1252" t="s">
        <v>4</v>
      </c>
      <c r="F1252" t="s">
        <v>5</v>
      </c>
      <c r="G1252" t="s">
        <v>21</v>
      </c>
      <c r="H1252" t="s">
        <v>4111</v>
      </c>
      <c r="I1252" s="2">
        <v>1200</v>
      </c>
      <c r="J1252" s="2">
        <v>0</v>
      </c>
      <c r="K1252" s="2">
        <v>0</v>
      </c>
      <c r="L1252" s="3">
        <v>45757</v>
      </c>
      <c r="M1252" s="3">
        <v>45757</v>
      </c>
      <c r="N1252" s="3"/>
      <c r="O1252" t="s">
        <v>4112</v>
      </c>
      <c r="P1252" t="s">
        <v>9</v>
      </c>
      <c r="Q1252" s="4">
        <v>0.67079861111111005</v>
      </c>
      <c r="R1252" t="s">
        <v>5</v>
      </c>
      <c r="S1252" t="s">
        <v>4</v>
      </c>
      <c r="T1252" t="s">
        <v>4113</v>
      </c>
      <c r="U1252" t="s">
        <v>10</v>
      </c>
      <c r="V1252" s="5">
        <v>0</v>
      </c>
      <c r="W1252" s="5">
        <v>0</v>
      </c>
      <c r="X1252" s="2">
        <v>0</v>
      </c>
      <c r="Y1252" t="s">
        <v>4</v>
      </c>
      <c r="Z1252" t="s">
        <v>4</v>
      </c>
      <c r="AA1252" t="s">
        <v>4</v>
      </c>
      <c r="AB1252" t="s">
        <v>4</v>
      </c>
    </row>
    <row r="1253" spans="1:28" x14ac:dyDescent="0.2">
      <c r="A1253" t="s">
        <v>435</v>
      </c>
      <c r="B1253" t="s">
        <v>2</v>
      </c>
      <c r="C1253" t="s">
        <v>3</v>
      </c>
      <c r="D1253" t="s">
        <v>4</v>
      </c>
      <c r="E1253" t="s">
        <v>4</v>
      </c>
      <c r="F1253" t="s">
        <v>5</v>
      </c>
      <c r="G1253" t="s">
        <v>21</v>
      </c>
      <c r="H1253" t="s">
        <v>4111</v>
      </c>
      <c r="I1253" s="2">
        <v>1200</v>
      </c>
      <c r="J1253" s="2">
        <v>0</v>
      </c>
      <c r="K1253" s="2">
        <v>0</v>
      </c>
      <c r="L1253" s="3">
        <v>45773</v>
      </c>
      <c r="M1253" s="3">
        <v>45773</v>
      </c>
      <c r="N1253" s="3"/>
      <c r="O1253" t="s">
        <v>4114</v>
      </c>
      <c r="P1253" t="s">
        <v>9</v>
      </c>
      <c r="Q1253" s="4">
        <v>0.67079861111111005</v>
      </c>
      <c r="R1253" t="s">
        <v>5</v>
      </c>
      <c r="S1253" t="s">
        <v>4</v>
      </c>
      <c r="T1253" t="s">
        <v>2513</v>
      </c>
      <c r="U1253" t="s">
        <v>10</v>
      </c>
      <c r="V1253" s="5">
        <v>0</v>
      </c>
      <c r="W1253" s="5">
        <v>0</v>
      </c>
      <c r="X1253" s="2">
        <v>0</v>
      </c>
      <c r="Y1253" t="s">
        <v>4</v>
      </c>
      <c r="Z1253" t="s">
        <v>4</v>
      </c>
      <c r="AA1253" t="s">
        <v>4</v>
      </c>
      <c r="AB1253" t="s">
        <v>4</v>
      </c>
    </row>
    <row r="1254" spans="1:28" x14ac:dyDescent="0.2">
      <c r="A1254" t="s">
        <v>2187</v>
      </c>
      <c r="B1254" t="s">
        <v>2</v>
      </c>
      <c r="C1254" t="s">
        <v>3</v>
      </c>
      <c r="D1254" t="s">
        <v>4</v>
      </c>
      <c r="E1254" t="s">
        <v>4</v>
      </c>
      <c r="F1254" t="s">
        <v>5</v>
      </c>
      <c r="G1254" t="s">
        <v>21</v>
      </c>
      <c r="H1254" t="s">
        <v>4115</v>
      </c>
      <c r="I1254" s="2">
        <v>144</v>
      </c>
      <c r="J1254" s="2">
        <v>0</v>
      </c>
      <c r="K1254" s="2">
        <v>0</v>
      </c>
      <c r="L1254" s="3">
        <v>45847</v>
      </c>
      <c r="M1254" s="3">
        <v>45847</v>
      </c>
      <c r="N1254" s="3"/>
      <c r="O1254" t="s">
        <v>4116</v>
      </c>
      <c r="P1254" t="s">
        <v>9</v>
      </c>
      <c r="Q1254" s="4">
        <v>0.91511574074073998</v>
      </c>
      <c r="R1254" t="s">
        <v>5</v>
      </c>
      <c r="S1254" t="s">
        <v>4</v>
      </c>
      <c r="T1254" t="s">
        <v>2341</v>
      </c>
      <c r="U1254" t="s">
        <v>10</v>
      </c>
      <c r="V1254" s="5">
        <v>0</v>
      </c>
      <c r="W1254" s="5">
        <v>0</v>
      </c>
      <c r="X1254" s="2">
        <v>0</v>
      </c>
      <c r="Y1254" t="s">
        <v>4</v>
      </c>
      <c r="Z1254" t="s">
        <v>4</v>
      </c>
      <c r="AA1254" t="s">
        <v>4</v>
      </c>
      <c r="AB1254" t="s">
        <v>4</v>
      </c>
    </row>
    <row r="1255" spans="1:28" x14ac:dyDescent="0.2">
      <c r="A1255" t="s">
        <v>2187</v>
      </c>
      <c r="B1255" t="s">
        <v>2</v>
      </c>
      <c r="C1255" t="s">
        <v>3</v>
      </c>
      <c r="D1255" t="s">
        <v>4</v>
      </c>
      <c r="E1255" t="s">
        <v>4</v>
      </c>
      <c r="F1255" t="s">
        <v>5</v>
      </c>
      <c r="G1255" t="s">
        <v>21</v>
      </c>
      <c r="H1255" t="s">
        <v>4115</v>
      </c>
      <c r="I1255" s="2">
        <v>144</v>
      </c>
      <c r="J1255" s="2">
        <v>0</v>
      </c>
      <c r="K1255" s="2">
        <v>0</v>
      </c>
      <c r="L1255" s="3">
        <v>45847</v>
      </c>
      <c r="M1255" s="3">
        <v>45847</v>
      </c>
      <c r="N1255" s="3"/>
      <c r="O1255" t="s">
        <v>4117</v>
      </c>
      <c r="P1255" t="s">
        <v>9</v>
      </c>
      <c r="Q1255" s="4">
        <v>0.91511574074073998</v>
      </c>
      <c r="R1255" t="s">
        <v>5</v>
      </c>
      <c r="S1255" t="s">
        <v>4</v>
      </c>
      <c r="T1255" t="s">
        <v>2341</v>
      </c>
      <c r="U1255" t="s">
        <v>10</v>
      </c>
      <c r="V1255" s="5">
        <v>0</v>
      </c>
      <c r="W1255" s="5">
        <v>0</v>
      </c>
      <c r="X1255" s="2">
        <v>0</v>
      </c>
      <c r="Y1255" t="s">
        <v>4</v>
      </c>
      <c r="Z1255" t="s">
        <v>4</v>
      </c>
      <c r="AA1255" t="s">
        <v>4</v>
      </c>
      <c r="AB1255" t="s">
        <v>4</v>
      </c>
    </row>
    <row r="1256" spans="1:28" x14ac:dyDescent="0.2">
      <c r="A1256" t="s">
        <v>0</v>
      </c>
      <c r="B1256" t="s">
        <v>2</v>
      </c>
      <c r="C1256" t="s">
        <v>3</v>
      </c>
      <c r="D1256" t="s">
        <v>4</v>
      </c>
      <c r="E1256" t="s">
        <v>4</v>
      </c>
      <c r="F1256" t="s">
        <v>5</v>
      </c>
      <c r="G1256" t="s">
        <v>21</v>
      </c>
      <c r="H1256" t="s">
        <v>184</v>
      </c>
      <c r="I1256" s="2">
        <v>196</v>
      </c>
      <c r="J1256" s="2">
        <v>0</v>
      </c>
      <c r="K1256" s="2">
        <v>0</v>
      </c>
      <c r="L1256" s="3">
        <v>45820</v>
      </c>
      <c r="M1256" s="3">
        <v>45820</v>
      </c>
      <c r="N1256" s="3"/>
      <c r="O1256" t="s">
        <v>185</v>
      </c>
      <c r="P1256" t="s">
        <v>9</v>
      </c>
      <c r="Q1256" s="4">
        <v>0.89564814814814997</v>
      </c>
      <c r="R1256" t="s">
        <v>5</v>
      </c>
      <c r="S1256" t="s">
        <v>4</v>
      </c>
      <c r="T1256" t="s">
        <v>3198</v>
      </c>
      <c r="U1256" t="s">
        <v>10</v>
      </c>
      <c r="V1256" s="5">
        <v>0</v>
      </c>
      <c r="W1256" s="5">
        <v>0</v>
      </c>
      <c r="X1256" s="2">
        <v>0</v>
      </c>
      <c r="Y1256" t="s">
        <v>4</v>
      </c>
      <c r="Z1256" t="s">
        <v>4</v>
      </c>
      <c r="AA1256" t="s">
        <v>4</v>
      </c>
      <c r="AB1256" t="s">
        <v>4</v>
      </c>
    </row>
    <row r="1257" spans="1:28" x14ac:dyDescent="0.2">
      <c r="A1257" t="s">
        <v>0</v>
      </c>
      <c r="B1257" t="s">
        <v>2</v>
      </c>
      <c r="C1257" t="s">
        <v>3</v>
      </c>
      <c r="D1257" t="s">
        <v>4</v>
      </c>
      <c r="E1257" t="s">
        <v>4</v>
      </c>
      <c r="F1257" t="s">
        <v>5</v>
      </c>
      <c r="G1257" t="s">
        <v>21</v>
      </c>
      <c r="H1257" t="s">
        <v>184</v>
      </c>
      <c r="I1257" s="2">
        <v>196</v>
      </c>
      <c r="J1257" s="2">
        <v>0</v>
      </c>
      <c r="K1257" s="2">
        <v>0</v>
      </c>
      <c r="L1257" s="3">
        <v>45820</v>
      </c>
      <c r="M1257" s="3">
        <v>45820</v>
      </c>
      <c r="N1257" s="3"/>
      <c r="O1257" t="s">
        <v>186</v>
      </c>
      <c r="P1257" t="s">
        <v>9</v>
      </c>
      <c r="Q1257" s="4">
        <v>0.89564814814814997</v>
      </c>
      <c r="R1257" t="s">
        <v>5</v>
      </c>
      <c r="S1257" t="s">
        <v>4</v>
      </c>
      <c r="T1257" t="s">
        <v>3198</v>
      </c>
      <c r="U1257" t="s">
        <v>10</v>
      </c>
      <c r="V1257" s="5">
        <v>0</v>
      </c>
      <c r="W1257" s="5">
        <v>0</v>
      </c>
      <c r="X1257" s="2">
        <v>0</v>
      </c>
      <c r="Y1257" t="s">
        <v>4</v>
      </c>
      <c r="Z1257" t="s">
        <v>4</v>
      </c>
      <c r="AA1257" t="s">
        <v>4</v>
      </c>
      <c r="AB1257" t="s">
        <v>4</v>
      </c>
    </row>
    <row r="1258" spans="1:28" x14ac:dyDescent="0.2">
      <c r="A1258" t="s">
        <v>2251</v>
      </c>
      <c r="B1258" t="s">
        <v>4</v>
      </c>
      <c r="C1258" t="s">
        <v>4</v>
      </c>
      <c r="D1258" t="s">
        <v>4</v>
      </c>
      <c r="E1258" t="s">
        <v>4</v>
      </c>
      <c r="F1258" t="s">
        <v>5</v>
      </c>
      <c r="G1258" t="s">
        <v>17</v>
      </c>
      <c r="H1258" t="s">
        <v>4118</v>
      </c>
      <c r="I1258" s="5">
        <v>0</v>
      </c>
      <c r="J1258" s="5">
        <v>0</v>
      </c>
      <c r="K1258" s="5">
        <v>0</v>
      </c>
      <c r="L1258" s="3"/>
      <c r="M1258" s="3"/>
      <c r="N1258" s="3"/>
      <c r="O1258" t="s">
        <v>4</v>
      </c>
      <c r="P1258" t="s">
        <v>9</v>
      </c>
      <c r="Q1258" s="4">
        <v>0.34273148148148003</v>
      </c>
      <c r="R1258" t="s">
        <v>4</v>
      </c>
      <c r="S1258" t="s">
        <v>4</v>
      </c>
      <c r="T1258" t="s">
        <v>2256</v>
      </c>
      <c r="U1258" t="s">
        <v>4</v>
      </c>
      <c r="V1258" s="5">
        <v>0</v>
      </c>
      <c r="W1258" s="5">
        <v>0</v>
      </c>
      <c r="X1258" s="2">
        <v>0</v>
      </c>
      <c r="Y1258" t="s">
        <v>4</v>
      </c>
      <c r="Z1258" t="s">
        <v>4</v>
      </c>
      <c r="AA1258" t="s">
        <v>4</v>
      </c>
      <c r="AB1258" t="s">
        <v>4</v>
      </c>
    </row>
    <row r="1259" spans="1:28" x14ac:dyDescent="0.2">
      <c r="A1259" t="s">
        <v>0</v>
      </c>
      <c r="B1259" t="s">
        <v>2</v>
      </c>
      <c r="C1259" t="s">
        <v>3</v>
      </c>
      <c r="D1259" t="s">
        <v>4</v>
      </c>
      <c r="E1259" t="s">
        <v>4</v>
      </c>
      <c r="F1259" t="s">
        <v>5</v>
      </c>
      <c r="G1259" t="s">
        <v>17</v>
      </c>
      <c r="H1259" t="s">
        <v>187</v>
      </c>
      <c r="I1259" s="2">
        <v>196</v>
      </c>
      <c r="J1259" s="2">
        <v>0</v>
      </c>
      <c r="K1259" s="2">
        <v>0</v>
      </c>
      <c r="L1259" s="3">
        <v>45839</v>
      </c>
      <c r="M1259" s="3">
        <v>45839</v>
      </c>
      <c r="N1259" s="3"/>
      <c r="O1259" t="s">
        <v>188</v>
      </c>
      <c r="P1259" t="s">
        <v>9</v>
      </c>
      <c r="Q1259" s="4">
        <v>0.59152777777777998</v>
      </c>
      <c r="R1259" t="s">
        <v>5</v>
      </c>
      <c r="S1259" t="s">
        <v>4</v>
      </c>
      <c r="T1259" t="s">
        <v>2312</v>
      </c>
      <c r="U1259" t="s">
        <v>10</v>
      </c>
      <c r="V1259" s="5">
        <v>0</v>
      </c>
      <c r="W1259" s="5">
        <v>0</v>
      </c>
      <c r="X1259" s="2">
        <v>0</v>
      </c>
      <c r="Y1259" t="s">
        <v>4</v>
      </c>
      <c r="Z1259" t="s">
        <v>4</v>
      </c>
      <c r="AA1259" t="s">
        <v>4</v>
      </c>
      <c r="AB1259" t="s">
        <v>4</v>
      </c>
    </row>
    <row r="1260" spans="1:28" x14ac:dyDescent="0.2">
      <c r="A1260" t="s">
        <v>0</v>
      </c>
      <c r="B1260" t="s">
        <v>2</v>
      </c>
      <c r="C1260" t="s">
        <v>3</v>
      </c>
      <c r="D1260" t="s">
        <v>4</v>
      </c>
      <c r="E1260" t="s">
        <v>4</v>
      </c>
      <c r="F1260" t="s">
        <v>5</v>
      </c>
      <c r="G1260" t="s">
        <v>17</v>
      </c>
      <c r="H1260" t="s">
        <v>187</v>
      </c>
      <c r="I1260" s="2">
        <v>196</v>
      </c>
      <c r="J1260" s="2">
        <v>0</v>
      </c>
      <c r="K1260" s="2">
        <v>0</v>
      </c>
      <c r="L1260" s="3">
        <v>45839</v>
      </c>
      <c r="M1260" s="3">
        <v>45839</v>
      </c>
      <c r="N1260" s="3"/>
      <c r="O1260" t="s">
        <v>189</v>
      </c>
      <c r="P1260" t="s">
        <v>9</v>
      </c>
      <c r="Q1260" s="4">
        <v>0.59152777777777998</v>
      </c>
      <c r="R1260" t="s">
        <v>5</v>
      </c>
      <c r="S1260" t="s">
        <v>4</v>
      </c>
      <c r="T1260" t="s">
        <v>2312</v>
      </c>
      <c r="U1260" t="s">
        <v>10</v>
      </c>
      <c r="V1260" s="5">
        <v>0</v>
      </c>
      <c r="W1260" s="5">
        <v>0</v>
      </c>
      <c r="X1260" s="2">
        <v>0</v>
      </c>
      <c r="Y1260" t="s">
        <v>4</v>
      </c>
      <c r="Z1260" t="s">
        <v>4</v>
      </c>
      <c r="AA1260" t="s">
        <v>4</v>
      </c>
      <c r="AB1260" t="s">
        <v>4</v>
      </c>
    </row>
    <row r="1261" spans="1:28" x14ac:dyDescent="0.2">
      <c r="A1261" t="s">
        <v>296</v>
      </c>
      <c r="B1261" t="s">
        <v>2</v>
      </c>
      <c r="C1261" t="s">
        <v>3</v>
      </c>
      <c r="D1261" t="s">
        <v>4</v>
      </c>
      <c r="E1261" t="s">
        <v>4</v>
      </c>
      <c r="F1261" t="s">
        <v>5</v>
      </c>
      <c r="G1261" t="s">
        <v>17</v>
      </c>
      <c r="H1261" t="s">
        <v>4119</v>
      </c>
      <c r="I1261" s="2">
        <v>700</v>
      </c>
      <c r="J1261" s="2">
        <v>0</v>
      </c>
      <c r="K1261" s="2">
        <v>0</v>
      </c>
      <c r="L1261" s="3">
        <v>45850</v>
      </c>
      <c r="M1261" s="3">
        <v>45850</v>
      </c>
      <c r="N1261" s="3"/>
      <c r="O1261" t="s">
        <v>4120</v>
      </c>
      <c r="P1261" t="s">
        <v>9</v>
      </c>
      <c r="Q1261" s="4">
        <v>0.35984953703703998</v>
      </c>
      <c r="R1261" t="s">
        <v>5</v>
      </c>
      <c r="S1261" t="s">
        <v>4</v>
      </c>
      <c r="T1261" t="s">
        <v>2680</v>
      </c>
      <c r="U1261" t="s">
        <v>10</v>
      </c>
      <c r="V1261" s="5">
        <v>0</v>
      </c>
      <c r="W1261" s="5">
        <v>0</v>
      </c>
      <c r="X1261" s="2">
        <v>0</v>
      </c>
      <c r="Y1261" t="s">
        <v>4</v>
      </c>
      <c r="Z1261" t="s">
        <v>4</v>
      </c>
      <c r="AA1261" t="s">
        <v>4</v>
      </c>
      <c r="AB1261" t="s">
        <v>4</v>
      </c>
    </row>
    <row r="1262" spans="1:28" x14ac:dyDescent="0.2">
      <c r="A1262" t="s">
        <v>296</v>
      </c>
      <c r="B1262" t="s">
        <v>2</v>
      </c>
      <c r="C1262" t="s">
        <v>3</v>
      </c>
      <c r="D1262" t="s">
        <v>4</v>
      </c>
      <c r="E1262" t="s">
        <v>4</v>
      </c>
      <c r="F1262" t="s">
        <v>5</v>
      </c>
      <c r="G1262" t="s">
        <v>17</v>
      </c>
      <c r="H1262" t="s">
        <v>4119</v>
      </c>
      <c r="I1262" s="2">
        <v>700</v>
      </c>
      <c r="J1262" s="2">
        <v>0</v>
      </c>
      <c r="K1262" s="2">
        <v>0</v>
      </c>
      <c r="L1262" s="3">
        <v>45850</v>
      </c>
      <c r="M1262" s="3">
        <v>45850</v>
      </c>
      <c r="N1262" s="3"/>
      <c r="O1262" t="s">
        <v>4121</v>
      </c>
      <c r="P1262" t="s">
        <v>9</v>
      </c>
      <c r="Q1262" s="4">
        <v>0.35984953703703998</v>
      </c>
      <c r="R1262" t="s">
        <v>5</v>
      </c>
      <c r="S1262" t="s">
        <v>4</v>
      </c>
      <c r="T1262" t="s">
        <v>2680</v>
      </c>
      <c r="U1262" t="s">
        <v>10</v>
      </c>
      <c r="V1262" s="5">
        <v>0</v>
      </c>
      <c r="W1262" s="5">
        <v>0</v>
      </c>
      <c r="X1262" s="2">
        <v>0</v>
      </c>
      <c r="Y1262" t="s">
        <v>4</v>
      </c>
      <c r="Z1262" t="s">
        <v>4</v>
      </c>
      <c r="AA1262" t="s">
        <v>4</v>
      </c>
      <c r="AB1262" t="s">
        <v>4</v>
      </c>
    </row>
    <row r="1263" spans="1:28" x14ac:dyDescent="0.2">
      <c r="A1263" t="s">
        <v>718</v>
      </c>
      <c r="B1263" t="s">
        <v>2</v>
      </c>
      <c r="C1263" t="s">
        <v>3</v>
      </c>
      <c r="D1263" t="s">
        <v>4</v>
      </c>
      <c r="E1263" t="s">
        <v>4</v>
      </c>
      <c r="F1263" t="s">
        <v>5</v>
      </c>
      <c r="G1263" t="s">
        <v>17</v>
      </c>
      <c r="H1263" t="s">
        <v>4122</v>
      </c>
      <c r="I1263" s="2">
        <v>88</v>
      </c>
      <c r="J1263" s="2">
        <v>0</v>
      </c>
      <c r="K1263" s="2">
        <v>0</v>
      </c>
      <c r="L1263" s="3">
        <v>45813</v>
      </c>
      <c r="M1263" s="3">
        <v>45813</v>
      </c>
      <c r="N1263" s="3"/>
      <c r="O1263" t="s">
        <v>4123</v>
      </c>
      <c r="P1263" t="s">
        <v>9</v>
      </c>
      <c r="Q1263" s="4">
        <v>0.91619212962963004</v>
      </c>
      <c r="R1263" t="s">
        <v>5</v>
      </c>
      <c r="S1263" t="s">
        <v>4</v>
      </c>
      <c r="T1263" t="s">
        <v>3649</v>
      </c>
      <c r="U1263" t="s">
        <v>10</v>
      </c>
      <c r="V1263" s="5">
        <v>0</v>
      </c>
      <c r="W1263" s="5">
        <v>0</v>
      </c>
      <c r="X1263" s="2">
        <v>0</v>
      </c>
      <c r="Y1263" t="s">
        <v>4</v>
      </c>
      <c r="Z1263" t="s">
        <v>4</v>
      </c>
      <c r="AA1263" t="s">
        <v>4</v>
      </c>
      <c r="AB1263" t="s">
        <v>4</v>
      </c>
    </row>
    <row r="1264" spans="1:28" x14ac:dyDescent="0.2">
      <c r="A1264" t="s">
        <v>718</v>
      </c>
      <c r="B1264" t="s">
        <v>2</v>
      </c>
      <c r="C1264" t="s">
        <v>3</v>
      </c>
      <c r="D1264" t="s">
        <v>4</v>
      </c>
      <c r="E1264" t="s">
        <v>4</v>
      </c>
      <c r="F1264" t="s">
        <v>5</v>
      </c>
      <c r="G1264" t="s">
        <v>17</v>
      </c>
      <c r="H1264" t="s">
        <v>4122</v>
      </c>
      <c r="I1264" s="2">
        <v>88</v>
      </c>
      <c r="J1264" s="2">
        <v>0</v>
      </c>
      <c r="K1264" s="2">
        <v>0</v>
      </c>
      <c r="L1264" s="3">
        <v>45813</v>
      </c>
      <c r="M1264" s="3">
        <v>45813</v>
      </c>
      <c r="N1264" s="3"/>
      <c r="O1264" t="s">
        <v>4124</v>
      </c>
      <c r="P1264" t="s">
        <v>9</v>
      </c>
      <c r="Q1264" s="4">
        <v>0.91619212962963004</v>
      </c>
      <c r="R1264" t="s">
        <v>5</v>
      </c>
      <c r="S1264" t="s">
        <v>4</v>
      </c>
      <c r="T1264" t="s">
        <v>3649</v>
      </c>
      <c r="U1264" t="s">
        <v>10</v>
      </c>
      <c r="V1264" s="5">
        <v>0</v>
      </c>
      <c r="W1264" s="5">
        <v>0</v>
      </c>
      <c r="X1264" s="2">
        <v>0</v>
      </c>
      <c r="Y1264" t="s">
        <v>4</v>
      </c>
      <c r="Z1264" t="s">
        <v>4</v>
      </c>
      <c r="AA1264" t="s">
        <v>4</v>
      </c>
      <c r="AB1264" t="s">
        <v>4</v>
      </c>
    </row>
    <row r="1265" spans="1:28" x14ac:dyDescent="0.2">
      <c r="A1265" t="s">
        <v>2149</v>
      </c>
      <c r="B1265" t="s">
        <v>2</v>
      </c>
      <c r="C1265" t="s">
        <v>3</v>
      </c>
      <c r="D1265" t="s">
        <v>4</v>
      </c>
      <c r="E1265" t="s">
        <v>4</v>
      </c>
      <c r="F1265" t="s">
        <v>5</v>
      </c>
      <c r="G1265" t="s">
        <v>6</v>
      </c>
      <c r="H1265" t="s">
        <v>4125</v>
      </c>
      <c r="I1265" s="2">
        <v>16</v>
      </c>
      <c r="J1265" s="2">
        <v>0</v>
      </c>
      <c r="K1265" s="2">
        <v>0</v>
      </c>
      <c r="L1265" s="3">
        <v>45852</v>
      </c>
      <c r="M1265" s="3">
        <v>45852</v>
      </c>
      <c r="N1265" s="3"/>
      <c r="O1265" t="s">
        <v>4126</v>
      </c>
      <c r="P1265" t="s">
        <v>9</v>
      </c>
      <c r="Q1265" s="4">
        <v>0.93627314814814999</v>
      </c>
      <c r="R1265" t="s">
        <v>5</v>
      </c>
      <c r="S1265" t="s">
        <v>4</v>
      </c>
      <c r="T1265" t="s">
        <v>2669</v>
      </c>
      <c r="U1265" t="s">
        <v>10</v>
      </c>
      <c r="V1265" s="5">
        <v>0</v>
      </c>
      <c r="W1265" s="5">
        <v>0</v>
      </c>
      <c r="X1265" s="2">
        <v>0</v>
      </c>
      <c r="Y1265" t="s">
        <v>4</v>
      </c>
      <c r="Z1265" t="s">
        <v>4</v>
      </c>
      <c r="AA1265" t="s">
        <v>4</v>
      </c>
      <c r="AB1265" t="s">
        <v>4</v>
      </c>
    </row>
    <row r="1266" spans="1:28" x14ac:dyDescent="0.2">
      <c r="A1266" t="s">
        <v>1845</v>
      </c>
      <c r="B1266" t="s">
        <v>2</v>
      </c>
      <c r="C1266" t="s">
        <v>3</v>
      </c>
      <c r="D1266" t="s">
        <v>4</v>
      </c>
      <c r="E1266" t="s">
        <v>4</v>
      </c>
      <c r="F1266" t="s">
        <v>5</v>
      </c>
      <c r="G1266" t="s">
        <v>6</v>
      </c>
      <c r="H1266" t="s">
        <v>4127</v>
      </c>
      <c r="I1266" s="2">
        <v>648</v>
      </c>
      <c r="J1266" s="2">
        <v>0</v>
      </c>
      <c r="K1266" s="2">
        <v>0</v>
      </c>
      <c r="L1266" s="3">
        <v>45859</v>
      </c>
      <c r="M1266" s="3">
        <v>45859</v>
      </c>
      <c r="N1266" s="3"/>
      <c r="O1266" t="s">
        <v>4128</v>
      </c>
      <c r="P1266" t="s">
        <v>9</v>
      </c>
      <c r="Q1266" s="4">
        <v>0.81271990740740996</v>
      </c>
      <c r="R1266" t="s">
        <v>5</v>
      </c>
      <c r="S1266" t="s">
        <v>4</v>
      </c>
      <c r="T1266" t="s">
        <v>2261</v>
      </c>
      <c r="U1266" t="s">
        <v>10</v>
      </c>
      <c r="V1266" s="5">
        <v>0</v>
      </c>
      <c r="W1266" s="5">
        <v>0</v>
      </c>
      <c r="X1266" s="2">
        <v>0</v>
      </c>
      <c r="Y1266" t="s">
        <v>4</v>
      </c>
      <c r="Z1266" t="s">
        <v>4</v>
      </c>
      <c r="AA1266" t="s">
        <v>4</v>
      </c>
      <c r="AB1266" t="s">
        <v>4</v>
      </c>
    </row>
    <row r="1267" spans="1:28" x14ac:dyDescent="0.2">
      <c r="A1267" t="s">
        <v>854</v>
      </c>
      <c r="B1267" t="s">
        <v>2</v>
      </c>
      <c r="C1267" t="s">
        <v>3</v>
      </c>
      <c r="D1267" t="s">
        <v>4</v>
      </c>
      <c r="E1267" t="s">
        <v>4</v>
      </c>
      <c r="F1267" t="s">
        <v>5</v>
      </c>
      <c r="G1267" t="s">
        <v>6</v>
      </c>
      <c r="H1267" t="s">
        <v>4129</v>
      </c>
      <c r="I1267" s="2">
        <v>7200</v>
      </c>
      <c r="J1267" s="2">
        <v>0</v>
      </c>
      <c r="K1267" s="2">
        <v>0</v>
      </c>
      <c r="L1267" s="3">
        <v>45829</v>
      </c>
      <c r="M1267" s="3">
        <v>45829</v>
      </c>
      <c r="N1267" s="3"/>
      <c r="O1267" t="s">
        <v>4130</v>
      </c>
      <c r="P1267" t="s">
        <v>9</v>
      </c>
      <c r="Q1267" s="4">
        <v>0.57307870370369995</v>
      </c>
      <c r="R1267" t="s">
        <v>5</v>
      </c>
      <c r="S1267" t="s">
        <v>4</v>
      </c>
      <c r="T1267" t="s">
        <v>3242</v>
      </c>
      <c r="U1267" t="s">
        <v>10</v>
      </c>
      <c r="V1267" s="5">
        <v>0</v>
      </c>
      <c r="W1267" s="5">
        <v>0</v>
      </c>
      <c r="X1267" s="2">
        <v>0</v>
      </c>
      <c r="Y1267" t="s">
        <v>4</v>
      </c>
      <c r="Z1267" t="s">
        <v>4</v>
      </c>
      <c r="AA1267" t="s">
        <v>4</v>
      </c>
      <c r="AB1267" t="s">
        <v>4</v>
      </c>
    </row>
    <row r="1268" spans="1:28" x14ac:dyDescent="0.2">
      <c r="A1268" t="s">
        <v>854</v>
      </c>
      <c r="B1268" t="s">
        <v>2</v>
      </c>
      <c r="C1268" t="s">
        <v>3</v>
      </c>
      <c r="D1268" t="s">
        <v>4</v>
      </c>
      <c r="E1268" t="s">
        <v>4</v>
      </c>
      <c r="F1268" t="s">
        <v>5</v>
      </c>
      <c r="G1268" t="s">
        <v>6</v>
      </c>
      <c r="H1268" t="s">
        <v>4129</v>
      </c>
      <c r="I1268" s="2">
        <v>28800</v>
      </c>
      <c r="J1268" s="2">
        <v>0</v>
      </c>
      <c r="K1268" s="2">
        <v>0</v>
      </c>
      <c r="L1268" s="3">
        <v>45851</v>
      </c>
      <c r="M1268" s="3">
        <v>45851</v>
      </c>
      <c r="N1268" s="3"/>
      <c r="O1268" t="s">
        <v>4131</v>
      </c>
      <c r="P1268" t="s">
        <v>9</v>
      </c>
      <c r="Q1268" s="4">
        <v>0.57307870370369995</v>
      </c>
      <c r="R1268" t="s">
        <v>5</v>
      </c>
      <c r="S1268" t="s">
        <v>4</v>
      </c>
      <c r="T1268" t="s">
        <v>2747</v>
      </c>
      <c r="U1268" t="s">
        <v>10</v>
      </c>
      <c r="V1268" s="5">
        <v>0</v>
      </c>
      <c r="W1268" s="5">
        <v>0</v>
      </c>
      <c r="X1268" s="2">
        <v>0</v>
      </c>
      <c r="Y1268" t="s">
        <v>4</v>
      </c>
      <c r="Z1268" t="s">
        <v>4</v>
      </c>
      <c r="AA1268" t="s">
        <v>4</v>
      </c>
      <c r="AB1268" t="s">
        <v>4</v>
      </c>
    </row>
    <row r="1269" spans="1:28" x14ac:dyDescent="0.2">
      <c r="A1269" t="s">
        <v>2043</v>
      </c>
      <c r="B1269" t="s">
        <v>2</v>
      </c>
      <c r="C1269" t="s">
        <v>3</v>
      </c>
      <c r="D1269" t="s">
        <v>4</v>
      </c>
      <c r="E1269" t="s">
        <v>4</v>
      </c>
      <c r="F1269" t="s">
        <v>5</v>
      </c>
      <c r="G1269" t="s">
        <v>6</v>
      </c>
      <c r="H1269" t="s">
        <v>4132</v>
      </c>
      <c r="I1269" s="2">
        <v>108</v>
      </c>
      <c r="J1269" s="2">
        <v>0</v>
      </c>
      <c r="K1269" s="2">
        <v>0</v>
      </c>
      <c r="L1269" s="3">
        <v>45849</v>
      </c>
      <c r="M1269" s="3">
        <v>45849</v>
      </c>
      <c r="N1269" s="3"/>
      <c r="O1269" t="s">
        <v>4133</v>
      </c>
      <c r="P1269" t="s">
        <v>9</v>
      </c>
      <c r="Q1269" s="4">
        <v>0.57187500000000002</v>
      </c>
      <c r="R1269" t="s">
        <v>5</v>
      </c>
      <c r="S1269" t="s">
        <v>4</v>
      </c>
      <c r="T1269" t="s">
        <v>2321</v>
      </c>
      <c r="U1269" t="s">
        <v>10</v>
      </c>
      <c r="V1269" s="5">
        <v>0</v>
      </c>
      <c r="W1269" s="5">
        <v>0</v>
      </c>
      <c r="X1269" s="2">
        <v>0</v>
      </c>
      <c r="Y1269" t="s">
        <v>4</v>
      </c>
      <c r="Z1269" t="s">
        <v>4</v>
      </c>
      <c r="AA1269" t="s">
        <v>4</v>
      </c>
      <c r="AB1269" t="s">
        <v>4</v>
      </c>
    </row>
    <row r="1270" spans="1:28" x14ac:dyDescent="0.2">
      <c r="A1270" t="s">
        <v>2043</v>
      </c>
      <c r="B1270" t="s">
        <v>2</v>
      </c>
      <c r="C1270" t="s">
        <v>3</v>
      </c>
      <c r="D1270" t="s">
        <v>4</v>
      </c>
      <c r="E1270" t="s">
        <v>4</v>
      </c>
      <c r="F1270" t="s">
        <v>5</v>
      </c>
      <c r="G1270" t="s">
        <v>6</v>
      </c>
      <c r="H1270" t="s">
        <v>4132</v>
      </c>
      <c r="I1270" s="2">
        <v>108</v>
      </c>
      <c r="J1270" s="2">
        <v>0</v>
      </c>
      <c r="K1270" s="2">
        <v>0</v>
      </c>
      <c r="L1270" s="3">
        <v>45849</v>
      </c>
      <c r="M1270" s="3">
        <v>45849</v>
      </c>
      <c r="N1270" s="3"/>
      <c r="O1270" t="s">
        <v>4134</v>
      </c>
      <c r="P1270" t="s">
        <v>9</v>
      </c>
      <c r="Q1270" s="4">
        <v>0.57187500000000002</v>
      </c>
      <c r="R1270" t="s">
        <v>5</v>
      </c>
      <c r="S1270" t="s">
        <v>4</v>
      </c>
      <c r="T1270" t="s">
        <v>2321</v>
      </c>
      <c r="U1270" t="s">
        <v>10</v>
      </c>
      <c r="V1270" s="5">
        <v>0</v>
      </c>
      <c r="W1270" s="5">
        <v>0</v>
      </c>
      <c r="X1270" s="2">
        <v>0</v>
      </c>
      <c r="Y1270" t="s">
        <v>4</v>
      </c>
      <c r="Z1270" t="s">
        <v>4</v>
      </c>
      <c r="AA1270" t="s">
        <v>4</v>
      </c>
      <c r="AB1270" t="s">
        <v>4</v>
      </c>
    </row>
    <row r="1271" spans="1:28" x14ac:dyDescent="0.2">
      <c r="A1271" t="s">
        <v>718</v>
      </c>
      <c r="B1271" t="s">
        <v>2</v>
      </c>
      <c r="C1271" t="s">
        <v>3</v>
      </c>
      <c r="D1271" t="s">
        <v>4</v>
      </c>
      <c r="E1271" t="s">
        <v>4</v>
      </c>
      <c r="F1271" t="s">
        <v>5</v>
      </c>
      <c r="G1271" t="s">
        <v>6</v>
      </c>
      <c r="H1271" t="s">
        <v>4135</v>
      </c>
      <c r="I1271" s="2">
        <v>88</v>
      </c>
      <c r="J1271" s="2">
        <v>0</v>
      </c>
      <c r="K1271" s="2">
        <v>0</v>
      </c>
      <c r="L1271" s="3">
        <v>45848</v>
      </c>
      <c r="M1271" s="3">
        <v>45848</v>
      </c>
      <c r="N1271" s="3"/>
      <c r="O1271" t="s">
        <v>4136</v>
      </c>
      <c r="P1271" t="s">
        <v>9</v>
      </c>
      <c r="Q1271" s="4">
        <v>0.89290509259258999</v>
      </c>
      <c r="R1271" t="s">
        <v>5</v>
      </c>
      <c r="S1271" t="s">
        <v>4</v>
      </c>
      <c r="T1271" t="s">
        <v>2580</v>
      </c>
      <c r="U1271" t="s">
        <v>10</v>
      </c>
      <c r="V1271" s="5">
        <v>0</v>
      </c>
      <c r="W1271" s="5">
        <v>0</v>
      </c>
      <c r="X1271" s="2">
        <v>0</v>
      </c>
      <c r="Y1271" t="s">
        <v>4</v>
      </c>
      <c r="Z1271" t="s">
        <v>4</v>
      </c>
      <c r="AA1271" t="s">
        <v>4</v>
      </c>
      <c r="AB1271" t="s">
        <v>4</v>
      </c>
    </row>
    <row r="1272" spans="1:28" x14ac:dyDescent="0.2">
      <c r="A1272" t="s">
        <v>718</v>
      </c>
      <c r="B1272" t="s">
        <v>2</v>
      </c>
      <c r="C1272" t="s">
        <v>3</v>
      </c>
      <c r="D1272" t="s">
        <v>4</v>
      </c>
      <c r="E1272" t="s">
        <v>4</v>
      </c>
      <c r="F1272" t="s">
        <v>5</v>
      </c>
      <c r="G1272" t="s">
        <v>6</v>
      </c>
      <c r="H1272" t="s">
        <v>4135</v>
      </c>
      <c r="I1272" s="2">
        <v>88</v>
      </c>
      <c r="J1272" s="2">
        <v>0</v>
      </c>
      <c r="K1272" s="2">
        <v>0</v>
      </c>
      <c r="L1272" s="3">
        <v>45848</v>
      </c>
      <c r="M1272" s="3">
        <v>45848</v>
      </c>
      <c r="N1272" s="3"/>
      <c r="O1272" t="s">
        <v>4137</v>
      </c>
      <c r="P1272" t="s">
        <v>9</v>
      </c>
      <c r="Q1272" s="4">
        <v>0.89290509259258999</v>
      </c>
      <c r="R1272" t="s">
        <v>5</v>
      </c>
      <c r="S1272" t="s">
        <v>4</v>
      </c>
      <c r="T1272" t="s">
        <v>2580</v>
      </c>
      <c r="U1272" t="s">
        <v>10</v>
      </c>
      <c r="V1272" s="5">
        <v>0</v>
      </c>
      <c r="W1272" s="5">
        <v>0</v>
      </c>
      <c r="X1272" s="2">
        <v>0</v>
      </c>
      <c r="Y1272" t="s">
        <v>4</v>
      </c>
      <c r="Z1272" t="s">
        <v>4</v>
      </c>
      <c r="AA1272" t="s">
        <v>4</v>
      </c>
      <c r="AB1272" t="s">
        <v>4</v>
      </c>
    </row>
    <row r="1273" spans="1:28" x14ac:dyDescent="0.2">
      <c r="A1273" t="s">
        <v>1573</v>
      </c>
      <c r="B1273" t="s">
        <v>2</v>
      </c>
      <c r="C1273" t="s">
        <v>3</v>
      </c>
      <c r="D1273" t="s">
        <v>4</v>
      </c>
      <c r="E1273" t="s">
        <v>4</v>
      </c>
      <c r="F1273" t="s">
        <v>5</v>
      </c>
      <c r="G1273" t="s">
        <v>6</v>
      </c>
      <c r="H1273" t="s">
        <v>4138</v>
      </c>
      <c r="I1273" s="2">
        <v>45</v>
      </c>
      <c r="J1273" s="2">
        <v>0</v>
      </c>
      <c r="K1273" s="2">
        <v>0</v>
      </c>
      <c r="L1273" s="3">
        <v>45859</v>
      </c>
      <c r="M1273" s="3">
        <v>45859</v>
      </c>
      <c r="N1273" s="3"/>
      <c r="O1273" t="s">
        <v>4139</v>
      </c>
      <c r="P1273" t="s">
        <v>9</v>
      </c>
      <c r="Q1273" s="4">
        <v>0.33378472222222</v>
      </c>
      <c r="R1273" t="s">
        <v>5</v>
      </c>
      <c r="S1273" t="s">
        <v>4</v>
      </c>
      <c r="T1273" t="s">
        <v>2261</v>
      </c>
      <c r="U1273" t="s">
        <v>10</v>
      </c>
      <c r="V1273" s="5">
        <v>0</v>
      </c>
      <c r="W1273" s="5">
        <v>0</v>
      </c>
      <c r="X1273" s="2">
        <v>0</v>
      </c>
      <c r="Y1273" t="s">
        <v>4</v>
      </c>
      <c r="Z1273" t="s">
        <v>4</v>
      </c>
      <c r="AA1273" t="s">
        <v>4</v>
      </c>
      <c r="AB1273" t="s">
        <v>4</v>
      </c>
    </row>
    <row r="1274" spans="1:28" x14ac:dyDescent="0.2">
      <c r="A1274" t="s">
        <v>1135</v>
      </c>
      <c r="B1274" t="s">
        <v>2</v>
      </c>
      <c r="C1274" t="s">
        <v>3</v>
      </c>
      <c r="D1274" t="s">
        <v>4</v>
      </c>
      <c r="E1274" t="s">
        <v>4</v>
      </c>
      <c r="F1274" t="s">
        <v>5</v>
      </c>
      <c r="G1274" t="s">
        <v>21</v>
      </c>
      <c r="H1274" t="s">
        <v>4140</v>
      </c>
      <c r="I1274" s="2">
        <v>480</v>
      </c>
      <c r="J1274" s="2">
        <v>0</v>
      </c>
      <c r="K1274" s="2">
        <v>0</v>
      </c>
      <c r="L1274" s="3">
        <v>45822</v>
      </c>
      <c r="M1274" s="3">
        <v>45822</v>
      </c>
      <c r="N1274" s="3"/>
      <c r="O1274" t="s">
        <v>4141</v>
      </c>
      <c r="P1274" t="s">
        <v>9</v>
      </c>
      <c r="Q1274" s="4">
        <v>0.88894675925926003</v>
      </c>
      <c r="R1274" t="s">
        <v>5</v>
      </c>
      <c r="S1274" t="s">
        <v>4</v>
      </c>
      <c r="T1274" t="s">
        <v>3122</v>
      </c>
      <c r="U1274" t="s">
        <v>10</v>
      </c>
      <c r="V1274" s="5">
        <v>0</v>
      </c>
      <c r="W1274" s="5">
        <v>0</v>
      </c>
      <c r="X1274" s="2">
        <v>0</v>
      </c>
      <c r="Y1274" t="s">
        <v>4</v>
      </c>
      <c r="Z1274" t="s">
        <v>4</v>
      </c>
      <c r="AA1274" t="s">
        <v>4</v>
      </c>
      <c r="AB1274" t="s">
        <v>4</v>
      </c>
    </row>
    <row r="1275" spans="1:28" x14ac:dyDescent="0.2">
      <c r="A1275" t="s">
        <v>1135</v>
      </c>
      <c r="B1275" t="s">
        <v>2</v>
      </c>
      <c r="C1275" t="s">
        <v>3</v>
      </c>
      <c r="D1275" t="s">
        <v>4</v>
      </c>
      <c r="E1275" t="s">
        <v>4</v>
      </c>
      <c r="F1275" t="s">
        <v>5</v>
      </c>
      <c r="G1275" t="s">
        <v>21</v>
      </c>
      <c r="H1275" t="s">
        <v>4140</v>
      </c>
      <c r="I1275" s="2">
        <v>480</v>
      </c>
      <c r="J1275" s="2">
        <v>0</v>
      </c>
      <c r="K1275" s="2">
        <v>0</v>
      </c>
      <c r="L1275" s="3">
        <v>45822</v>
      </c>
      <c r="M1275" s="3">
        <v>45822</v>
      </c>
      <c r="N1275" s="3"/>
      <c r="O1275" t="s">
        <v>4142</v>
      </c>
      <c r="P1275" t="s">
        <v>9</v>
      </c>
      <c r="Q1275" s="4">
        <v>0.88894675925926003</v>
      </c>
      <c r="R1275" t="s">
        <v>5</v>
      </c>
      <c r="S1275" t="s">
        <v>4</v>
      </c>
      <c r="T1275" t="s">
        <v>3122</v>
      </c>
      <c r="U1275" t="s">
        <v>10</v>
      </c>
      <c r="V1275" s="5">
        <v>0</v>
      </c>
      <c r="W1275" s="5">
        <v>0</v>
      </c>
      <c r="X1275" s="2">
        <v>0</v>
      </c>
      <c r="Y1275" t="s">
        <v>4</v>
      </c>
      <c r="Z1275" t="s">
        <v>4</v>
      </c>
      <c r="AA1275" t="s">
        <v>4</v>
      </c>
      <c r="AB1275" t="s">
        <v>4</v>
      </c>
    </row>
    <row r="1276" spans="1:28" x14ac:dyDescent="0.2">
      <c r="A1276" t="s">
        <v>1922</v>
      </c>
      <c r="B1276" t="s">
        <v>2</v>
      </c>
      <c r="C1276" t="s">
        <v>3</v>
      </c>
      <c r="D1276" t="s">
        <v>4</v>
      </c>
      <c r="E1276" t="s">
        <v>4</v>
      </c>
      <c r="F1276" t="s">
        <v>5</v>
      </c>
      <c r="G1276" t="s">
        <v>21</v>
      </c>
      <c r="H1276" t="s">
        <v>4143</v>
      </c>
      <c r="I1276" s="2">
        <v>264</v>
      </c>
      <c r="J1276" s="2">
        <v>0</v>
      </c>
      <c r="K1276" s="2">
        <v>0</v>
      </c>
      <c r="L1276" s="3">
        <v>45826</v>
      </c>
      <c r="M1276" s="3">
        <v>45826</v>
      </c>
      <c r="N1276" s="3"/>
      <c r="O1276" t="s">
        <v>4144</v>
      </c>
      <c r="P1276" t="s">
        <v>9</v>
      </c>
      <c r="Q1276" s="4">
        <v>0.62424768518519003</v>
      </c>
      <c r="R1276" t="s">
        <v>5</v>
      </c>
      <c r="S1276" t="s">
        <v>4</v>
      </c>
      <c r="T1276" t="s">
        <v>4018</v>
      </c>
      <c r="U1276" t="s">
        <v>10</v>
      </c>
      <c r="V1276" s="5">
        <v>0</v>
      </c>
      <c r="W1276" s="5">
        <v>0</v>
      </c>
      <c r="X1276" s="2">
        <v>0</v>
      </c>
      <c r="Y1276" t="s">
        <v>4</v>
      </c>
      <c r="Z1276" t="s">
        <v>4</v>
      </c>
      <c r="AA1276" t="s">
        <v>4</v>
      </c>
      <c r="AB1276" t="s">
        <v>4</v>
      </c>
    </row>
    <row r="1277" spans="1:28" x14ac:dyDescent="0.2">
      <c r="A1277" t="s">
        <v>1922</v>
      </c>
      <c r="B1277" t="s">
        <v>2</v>
      </c>
      <c r="C1277" t="s">
        <v>3</v>
      </c>
      <c r="D1277" t="s">
        <v>4</v>
      </c>
      <c r="E1277" t="s">
        <v>4</v>
      </c>
      <c r="F1277" t="s">
        <v>5</v>
      </c>
      <c r="G1277" t="s">
        <v>21</v>
      </c>
      <c r="H1277" t="s">
        <v>4143</v>
      </c>
      <c r="I1277" s="2">
        <v>330</v>
      </c>
      <c r="J1277" s="2">
        <v>0</v>
      </c>
      <c r="K1277" s="2">
        <v>0</v>
      </c>
      <c r="L1277" s="3">
        <v>45826</v>
      </c>
      <c r="M1277" s="3">
        <v>45826</v>
      </c>
      <c r="N1277" s="3"/>
      <c r="O1277" t="s">
        <v>4145</v>
      </c>
      <c r="P1277" t="s">
        <v>9</v>
      </c>
      <c r="Q1277" s="4">
        <v>0.62424768518519003</v>
      </c>
      <c r="R1277" t="s">
        <v>5</v>
      </c>
      <c r="S1277" t="s">
        <v>4</v>
      </c>
      <c r="T1277" t="s">
        <v>4018</v>
      </c>
      <c r="U1277" t="s">
        <v>10</v>
      </c>
      <c r="V1277" s="5">
        <v>0</v>
      </c>
      <c r="W1277" s="5">
        <v>0</v>
      </c>
      <c r="X1277" s="2">
        <v>0</v>
      </c>
      <c r="Y1277" t="s">
        <v>4</v>
      </c>
      <c r="Z1277" t="s">
        <v>4</v>
      </c>
      <c r="AA1277" t="s">
        <v>4</v>
      </c>
      <c r="AB1277" t="s">
        <v>4</v>
      </c>
    </row>
    <row r="1278" spans="1:28" x14ac:dyDescent="0.2">
      <c r="A1278" t="s">
        <v>1131</v>
      </c>
      <c r="B1278" t="s">
        <v>2</v>
      </c>
      <c r="C1278" t="s">
        <v>3</v>
      </c>
      <c r="D1278" t="s">
        <v>4</v>
      </c>
      <c r="E1278" t="s">
        <v>4</v>
      </c>
      <c r="F1278" t="s">
        <v>5</v>
      </c>
      <c r="G1278" t="s">
        <v>21</v>
      </c>
      <c r="H1278" t="s">
        <v>4146</v>
      </c>
      <c r="I1278" s="5">
        <v>205.8</v>
      </c>
      <c r="J1278" s="2">
        <v>0</v>
      </c>
      <c r="K1278" s="2">
        <v>0</v>
      </c>
      <c r="L1278" s="3">
        <v>45851</v>
      </c>
      <c r="M1278" s="3">
        <v>45851</v>
      </c>
      <c r="N1278" s="3"/>
      <c r="O1278" t="s">
        <v>4147</v>
      </c>
      <c r="P1278" t="s">
        <v>9</v>
      </c>
      <c r="Q1278" s="4">
        <v>0.81812499999999999</v>
      </c>
      <c r="R1278" t="s">
        <v>5</v>
      </c>
      <c r="S1278" t="s">
        <v>4</v>
      </c>
      <c r="T1278" t="s">
        <v>2747</v>
      </c>
      <c r="U1278" t="s">
        <v>10</v>
      </c>
      <c r="V1278" s="5">
        <v>0</v>
      </c>
      <c r="W1278" s="5">
        <v>0</v>
      </c>
      <c r="X1278" s="2">
        <v>0</v>
      </c>
      <c r="Y1278" t="s">
        <v>4</v>
      </c>
      <c r="Z1278" t="s">
        <v>4</v>
      </c>
      <c r="AA1278" t="s">
        <v>4</v>
      </c>
      <c r="AB1278" t="s">
        <v>4</v>
      </c>
    </row>
    <row r="1279" spans="1:28" x14ac:dyDescent="0.2">
      <c r="A1279" t="s">
        <v>1139</v>
      </c>
      <c r="B1279" t="s">
        <v>2</v>
      </c>
      <c r="C1279" t="s">
        <v>3</v>
      </c>
      <c r="D1279" t="s">
        <v>4</v>
      </c>
      <c r="E1279" t="s">
        <v>4</v>
      </c>
      <c r="F1279" t="s">
        <v>5</v>
      </c>
      <c r="G1279" t="s">
        <v>21</v>
      </c>
      <c r="H1279" t="s">
        <v>4148</v>
      </c>
      <c r="I1279" s="2">
        <v>432</v>
      </c>
      <c r="J1279" s="2">
        <v>0</v>
      </c>
      <c r="K1279" s="2">
        <v>0</v>
      </c>
      <c r="L1279" s="3">
        <v>45832</v>
      </c>
      <c r="M1279" s="3">
        <v>45832</v>
      </c>
      <c r="N1279" s="3"/>
      <c r="O1279" t="s">
        <v>4149</v>
      </c>
      <c r="P1279" t="s">
        <v>9</v>
      </c>
      <c r="Q1279" s="4">
        <v>0.47760416666666999</v>
      </c>
      <c r="R1279" t="s">
        <v>5</v>
      </c>
      <c r="S1279" t="s">
        <v>4</v>
      </c>
      <c r="T1279" t="s">
        <v>2665</v>
      </c>
      <c r="U1279" t="s">
        <v>10</v>
      </c>
      <c r="V1279" s="5">
        <v>0</v>
      </c>
      <c r="W1279" s="5">
        <v>0</v>
      </c>
      <c r="X1279" s="2">
        <v>0</v>
      </c>
      <c r="Y1279" t="s">
        <v>4</v>
      </c>
      <c r="Z1279" t="s">
        <v>4</v>
      </c>
      <c r="AA1279" t="s">
        <v>4</v>
      </c>
      <c r="AB1279" t="s">
        <v>4</v>
      </c>
    </row>
    <row r="1280" spans="1:28" x14ac:dyDescent="0.2">
      <c r="A1280" t="s">
        <v>1139</v>
      </c>
      <c r="B1280" t="s">
        <v>2</v>
      </c>
      <c r="C1280" t="s">
        <v>3</v>
      </c>
      <c r="D1280" t="s">
        <v>4</v>
      </c>
      <c r="E1280" t="s">
        <v>4</v>
      </c>
      <c r="F1280" t="s">
        <v>5</v>
      </c>
      <c r="G1280" t="s">
        <v>21</v>
      </c>
      <c r="H1280" t="s">
        <v>4148</v>
      </c>
      <c r="I1280" s="2">
        <v>432</v>
      </c>
      <c r="J1280" s="2">
        <v>0</v>
      </c>
      <c r="K1280" s="2">
        <v>0</v>
      </c>
      <c r="L1280" s="3">
        <v>45832</v>
      </c>
      <c r="M1280" s="3">
        <v>45832</v>
      </c>
      <c r="N1280" s="3"/>
      <c r="O1280" t="s">
        <v>4150</v>
      </c>
      <c r="P1280" t="s">
        <v>9</v>
      </c>
      <c r="Q1280" s="4">
        <v>0.47760416666666999</v>
      </c>
      <c r="R1280" t="s">
        <v>5</v>
      </c>
      <c r="S1280" t="s">
        <v>4</v>
      </c>
      <c r="T1280" t="s">
        <v>2665</v>
      </c>
      <c r="U1280" t="s">
        <v>10</v>
      </c>
      <c r="V1280" s="5">
        <v>0</v>
      </c>
      <c r="W1280" s="5">
        <v>0</v>
      </c>
      <c r="X1280" s="2">
        <v>0</v>
      </c>
      <c r="Y1280" t="s">
        <v>4</v>
      </c>
      <c r="Z1280" t="s">
        <v>4</v>
      </c>
      <c r="AA1280" t="s">
        <v>4</v>
      </c>
      <c r="AB1280" t="s">
        <v>4</v>
      </c>
    </row>
    <row r="1281" spans="1:28" x14ac:dyDescent="0.2">
      <c r="A1281" t="s">
        <v>1135</v>
      </c>
      <c r="B1281" t="s">
        <v>2</v>
      </c>
      <c r="C1281" t="s">
        <v>3</v>
      </c>
      <c r="D1281" t="s">
        <v>4</v>
      </c>
      <c r="E1281" t="s">
        <v>4</v>
      </c>
      <c r="F1281" t="s">
        <v>5</v>
      </c>
      <c r="G1281" t="s">
        <v>17</v>
      </c>
      <c r="H1281" t="s">
        <v>4151</v>
      </c>
      <c r="I1281" s="2">
        <v>480</v>
      </c>
      <c r="J1281" s="2">
        <v>0</v>
      </c>
      <c r="K1281" s="2">
        <v>0</v>
      </c>
      <c r="L1281" s="3">
        <v>45857</v>
      </c>
      <c r="M1281" s="3">
        <v>45857</v>
      </c>
      <c r="N1281" s="3"/>
      <c r="O1281" t="s">
        <v>4152</v>
      </c>
      <c r="P1281" t="s">
        <v>9</v>
      </c>
      <c r="Q1281" s="4">
        <v>0.80428240740740997</v>
      </c>
      <c r="R1281" t="s">
        <v>5</v>
      </c>
      <c r="S1281" t="s">
        <v>4</v>
      </c>
      <c r="T1281" t="s">
        <v>2262</v>
      </c>
      <c r="U1281" t="s">
        <v>10</v>
      </c>
      <c r="V1281" s="5">
        <v>0</v>
      </c>
      <c r="W1281" s="5">
        <v>0</v>
      </c>
      <c r="X1281" s="2">
        <v>0</v>
      </c>
      <c r="Y1281" t="s">
        <v>4</v>
      </c>
      <c r="Z1281" t="s">
        <v>4</v>
      </c>
      <c r="AA1281" t="s">
        <v>4</v>
      </c>
      <c r="AB1281" t="s">
        <v>4</v>
      </c>
    </row>
    <row r="1282" spans="1:28" x14ac:dyDescent="0.2">
      <c r="A1282" t="s">
        <v>1135</v>
      </c>
      <c r="B1282" t="s">
        <v>2</v>
      </c>
      <c r="C1282" t="s">
        <v>3</v>
      </c>
      <c r="D1282" t="s">
        <v>4</v>
      </c>
      <c r="E1282" t="s">
        <v>4</v>
      </c>
      <c r="F1282" t="s">
        <v>5</v>
      </c>
      <c r="G1282" t="s">
        <v>17</v>
      </c>
      <c r="H1282" t="s">
        <v>4151</v>
      </c>
      <c r="I1282" s="2">
        <v>480</v>
      </c>
      <c r="J1282" s="2">
        <v>0</v>
      </c>
      <c r="K1282" s="2">
        <v>0</v>
      </c>
      <c r="L1282" s="3">
        <v>45857</v>
      </c>
      <c r="M1282" s="3">
        <v>45857</v>
      </c>
      <c r="N1282" s="3"/>
      <c r="O1282" t="s">
        <v>4153</v>
      </c>
      <c r="P1282" t="s">
        <v>9</v>
      </c>
      <c r="Q1282" s="4">
        <v>0.80428240740740997</v>
      </c>
      <c r="R1282" t="s">
        <v>5</v>
      </c>
      <c r="S1282" t="s">
        <v>4</v>
      </c>
      <c r="T1282" t="s">
        <v>2262</v>
      </c>
      <c r="U1282" t="s">
        <v>10</v>
      </c>
      <c r="V1282" s="5">
        <v>0</v>
      </c>
      <c r="W1282" s="5">
        <v>0</v>
      </c>
      <c r="X1282" s="2">
        <v>0</v>
      </c>
      <c r="Y1282" t="s">
        <v>4</v>
      </c>
      <c r="Z1282" t="s">
        <v>4</v>
      </c>
      <c r="AA1282" t="s">
        <v>4</v>
      </c>
      <c r="AB1282" t="s">
        <v>4</v>
      </c>
    </row>
    <row r="1283" spans="1:28" x14ac:dyDescent="0.2">
      <c r="A1283" t="s">
        <v>845</v>
      </c>
      <c r="B1283" t="s">
        <v>2</v>
      </c>
      <c r="C1283" t="s">
        <v>3</v>
      </c>
      <c r="D1283" t="s">
        <v>4</v>
      </c>
      <c r="E1283" t="s">
        <v>4</v>
      </c>
      <c r="F1283" t="s">
        <v>5</v>
      </c>
      <c r="G1283" t="s">
        <v>17</v>
      </c>
      <c r="H1283" t="s">
        <v>4154</v>
      </c>
      <c r="I1283" s="2">
        <v>7750</v>
      </c>
      <c r="J1283" s="2">
        <v>0</v>
      </c>
      <c r="K1283" s="2">
        <v>0</v>
      </c>
      <c r="L1283" s="3">
        <v>45842</v>
      </c>
      <c r="M1283" s="3">
        <v>45842</v>
      </c>
      <c r="N1283" s="3"/>
      <c r="O1283" t="s">
        <v>4155</v>
      </c>
      <c r="P1283" t="s">
        <v>9</v>
      </c>
      <c r="Q1283" s="4">
        <v>0.43395833333333</v>
      </c>
      <c r="R1283" t="s">
        <v>5</v>
      </c>
      <c r="S1283" t="s">
        <v>4</v>
      </c>
      <c r="T1283" t="s">
        <v>2610</v>
      </c>
      <c r="U1283" t="s">
        <v>10</v>
      </c>
      <c r="V1283" s="5">
        <v>0</v>
      </c>
      <c r="W1283" s="5">
        <v>0</v>
      </c>
      <c r="X1283" s="2">
        <v>0</v>
      </c>
      <c r="Y1283" t="s">
        <v>4</v>
      </c>
      <c r="Z1283" t="s">
        <v>4</v>
      </c>
      <c r="AA1283" t="s">
        <v>4</v>
      </c>
      <c r="AB1283" t="s">
        <v>4</v>
      </c>
    </row>
    <row r="1284" spans="1:28" x14ac:dyDescent="0.2">
      <c r="A1284" t="s">
        <v>845</v>
      </c>
      <c r="B1284" t="s">
        <v>2</v>
      </c>
      <c r="C1284" t="s">
        <v>3</v>
      </c>
      <c r="D1284" t="s">
        <v>4</v>
      </c>
      <c r="E1284" t="s">
        <v>4</v>
      </c>
      <c r="F1284" t="s">
        <v>5</v>
      </c>
      <c r="G1284" t="s">
        <v>17</v>
      </c>
      <c r="H1284" t="s">
        <v>4154</v>
      </c>
      <c r="I1284" s="2">
        <v>7750</v>
      </c>
      <c r="J1284" s="2">
        <v>0</v>
      </c>
      <c r="K1284" s="2">
        <v>0</v>
      </c>
      <c r="L1284" s="3">
        <v>45842</v>
      </c>
      <c r="M1284" s="3">
        <v>45842</v>
      </c>
      <c r="N1284" s="3"/>
      <c r="O1284" t="s">
        <v>4156</v>
      </c>
      <c r="P1284" t="s">
        <v>9</v>
      </c>
      <c r="Q1284" s="4">
        <v>0.43395833333333</v>
      </c>
      <c r="R1284" t="s">
        <v>5</v>
      </c>
      <c r="S1284" t="s">
        <v>4</v>
      </c>
      <c r="T1284" t="s">
        <v>2610</v>
      </c>
      <c r="U1284" t="s">
        <v>10</v>
      </c>
      <c r="V1284" s="5">
        <v>0</v>
      </c>
      <c r="W1284" s="5">
        <v>0</v>
      </c>
      <c r="X1284" s="2">
        <v>0</v>
      </c>
      <c r="Y1284" t="s">
        <v>4</v>
      </c>
      <c r="Z1284" t="s">
        <v>4</v>
      </c>
      <c r="AA1284" t="s">
        <v>4</v>
      </c>
      <c r="AB1284" t="s">
        <v>4</v>
      </c>
    </row>
    <row r="1285" spans="1:28" x14ac:dyDescent="0.2">
      <c r="A1285" t="s">
        <v>1139</v>
      </c>
      <c r="B1285" t="s">
        <v>2</v>
      </c>
      <c r="C1285" t="s">
        <v>3</v>
      </c>
      <c r="D1285" t="s">
        <v>4</v>
      </c>
      <c r="E1285" t="s">
        <v>4</v>
      </c>
      <c r="F1285" t="s">
        <v>5</v>
      </c>
      <c r="G1285" t="s">
        <v>17</v>
      </c>
      <c r="H1285" t="s">
        <v>4157</v>
      </c>
      <c r="I1285" s="2">
        <v>432</v>
      </c>
      <c r="J1285" s="2">
        <v>0</v>
      </c>
      <c r="K1285" s="2">
        <v>0</v>
      </c>
      <c r="L1285" s="3">
        <v>45844</v>
      </c>
      <c r="M1285" s="3">
        <v>45844</v>
      </c>
      <c r="N1285" s="3"/>
      <c r="O1285" t="s">
        <v>4158</v>
      </c>
      <c r="P1285" t="s">
        <v>9</v>
      </c>
      <c r="Q1285" s="4">
        <v>0.55790509259259002</v>
      </c>
      <c r="R1285" t="s">
        <v>5</v>
      </c>
      <c r="S1285" t="s">
        <v>4</v>
      </c>
      <c r="T1285" t="s">
        <v>2792</v>
      </c>
      <c r="U1285" t="s">
        <v>10</v>
      </c>
      <c r="V1285" s="5">
        <v>0</v>
      </c>
      <c r="W1285" s="5">
        <v>0</v>
      </c>
      <c r="X1285" s="2">
        <v>0</v>
      </c>
      <c r="Y1285" t="s">
        <v>4</v>
      </c>
      <c r="Z1285" t="s">
        <v>4</v>
      </c>
      <c r="AA1285" t="s">
        <v>4</v>
      </c>
      <c r="AB1285" t="s">
        <v>4</v>
      </c>
    </row>
    <row r="1286" spans="1:28" x14ac:dyDescent="0.2">
      <c r="A1286" t="s">
        <v>1139</v>
      </c>
      <c r="B1286" t="s">
        <v>2</v>
      </c>
      <c r="C1286" t="s">
        <v>3</v>
      </c>
      <c r="D1286" t="s">
        <v>4</v>
      </c>
      <c r="E1286" t="s">
        <v>4</v>
      </c>
      <c r="F1286" t="s">
        <v>5</v>
      </c>
      <c r="G1286" t="s">
        <v>17</v>
      </c>
      <c r="H1286" t="s">
        <v>4157</v>
      </c>
      <c r="I1286" s="2">
        <v>432</v>
      </c>
      <c r="J1286" s="2">
        <v>0</v>
      </c>
      <c r="K1286" s="2">
        <v>0</v>
      </c>
      <c r="L1286" s="3">
        <v>45844</v>
      </c>
      <c r="M1286" s="3">
        <v>45844</v>
      </c>
      <c r="N1286" s="3"/>
      <c r="O1286" t="s">
        <v>4159</v>
      </c>
      <c r="P1286" t="s">
        <v>9</v>
      </c>
      <c r="Q1286" s="4">
        <v>0.55790509259259002</v>
      </c>
      <c r="R1286" t="s">
        <v>5</v>
      </c>
      <c r="S1286" t="s">
        <v>4</v>
      </c>
      <c r="T1286" t="s">
        <v>2792</v>
      </c>
      <c r="U1286" t="s">
        <v>10</v>
      </c>
      <c r="V1286" s="5">
        <v>0</v>
      </c>
      <c r="W1286" s="5">
        <v>0</v>
      </c>
      <c r="X1286" s="2">
        <v>0</v>
      </c>
      <c r="Y1286" t="s">
        <v>4</v>
      </c>
      <c r="Z1286" t="s">
        <v>4</v>
      </c>
      <c r="AA1286" t="s">
        <v>4</v>
      </c>
      <c r="AB1286" t="s">
        <v>4</v>
      </c>
    </row>
    <row r="1287" spans="1:28" x14ac:dyDescent="0.2">
      <c r="A1287" t="s">
        <v>1135</v>
      </c>
      <c r="B1287" t="s">
        <v>2</v>
      </c>
      <c r="C1287" t="s">
        <v>3</v>
      </c>
      <c r="D1287" t="s">
        <v>4</v>
      </c>
      <c r="E1287" t="s">
        <v>4</v>
      </c>
      <c r="F1287" t="s">
        <v>5</v>
      </c>
      <c r="G1287" t="s">
        <v>17</v>
      </c>
      <c r="H1287" t="s">
        <v>4160</v>
      </c>
      <c r="I1287" s="2">
        <v>480</v>
      </c>
      <c r="J1287" s="2">
        <v>0</v>
      </c>
      <c r="K1287" s="2">
        <v>0</v>
      </c>
      <c r="L1287" s="3">
        <v>45857</v>
      </c>
      <c r="M1287" s="3">
        <v>45857</v>
      </c>
      <c r="N1287" s="3"/>
      <c r="O1287" t="s">
        <v>4161</v>
      </c>
      <c r="P1287" t="s">
        <v>9</v>
      </c>
      <c r="Q1287" s="4">
        <v>0.80444444444443997</v>
      </c>
      <c r="R1287" t="s">
        <v>5</v>
      </c>
      <c r="S1287" t="s">
        <v>4</v>
      </c>
      <c r="T1287" t="s">
        <v>2262</v>
      </c>
      <c r="U1287" t="s">
        <v>10</v>
      </c>
      <c r="V1287" s="5">
        <v>0</v>
      </c>
      <c r="W1287" s="5">
        <v>0</v>
      </c>
      <c r="X1287" s="2">
        <v>0</v>
      </c>
      <c r="Y1287" t="s">
        <v>4</v>
      </c>
      <c r="Z1287" t="s">
        <v>4</v>
      </c>
      <c r="AA1287" t="s">
        <v>4</v>
      </c>
      <c r="AB1287" t="s">
        <v>4</v>
      </c>
    </row>
    <row r="1288" spans="1:28" x14ac:dyDescent="0.2">
      <c r="A1288" t="s">
        <v>1135</v>
      </c>
      <c r="B1288" t="s">
        <v>2</v>
      </c>
      <c r="C1288" t="s">
        <v>3</v>
      </c>
      <c r="D1288" t="s">
        <v>4</v>
      </c>
      <c r="E1288" t="s">
        <v>4</v>
      </c>
      <c r="F1288" t="s">
        <v>5</v>
      </c>
      <c r="G1288" t="s">
        <v>17</v>
      </c>
      <c r="H1288" t="s">
        <v>4160</v>
      </c>
      <c r="I1288" s="2">
        <v>480</v>
      </c>
      <c r="J1288" s="2">
        <v>0</v>
      </c>
      <c r="K1288" s="2">
        <v>0</v>
      </c>
      <c r="L1288" s="3">
        <v>45857</v>
      </c>
      <c r="M1288" s="3">
        <v>45857</v>
      </c>
      <c r="N1288" s="3"/>
      <c r="O1288" t="s">
        <v>4162</v>
      </c>
      <c r="P1288" t="s">
        <v>9</v>
      </c>
      <c r="Q1288" s="4">
        <v>0.80444444444443997</v>
      </c>
      <c r="R1288" t="s">
        <v>5</v>
      </c>
      <c r="S1288" t="s">
        <v>4</v>
      </c>
      <c r="T1288" t="s">
        <v>2262</v>
      </c>
      <c r="U1288" t="s">
        <v>10</v>
      </c>
      <c r="V1288" s="5">
        <v>0</v>
      </c>
      <c r="W1288" s="5">
        <v>0</v>
      </c>
      <c r="X1288" s="2">
        <v>0</v>
      </c>
      <c r="Y1288" t="s">
        <v>4</v>
      </c>
      <c r="Z1288" t="s">
        <v>4</v>
      </c>
      <c r="AA1288" t="s">
        <v>4</v>
      </c>
      <c r="AB1288" t="s">
        <v>4</v>
      </c>
    </row>
    <row r="1289" spans="1:28" x14ac:dyDescent="0.2">
      <c r="A1289" t="s">
        <v>2251</v>
      </c>
      <c r="B1289" t="s">
        <v>4</v>
      </c>
      <c r="C1289" t="s">
        <v>4</v>
      </c>
      <c r="D1289" t="s">
        <v>4</v>
      </c>
      <c r="E1289" t="s">
        <v>4</v>
      </c>
      <c r="F1289" t="s">
        <v>5</v>
      </c>
      <c r="G1289" t="s">
        <v>6</v>
      </c>
      <c r="H1289" t="s">
        <v>4163</v>
      </c>
      <c r="I1289" s="5">
        <v>0</v>
      </c>
      <c r="J1289" s="5">
        <v>0</v>
      </c>
      <c r="K1289" s="5">
        <v>0</v>
      </c>
      <c r="L1289" s="3"/>
      <c r="M1289" s="3"/>
      <c r="N1289" s="3"/>
      <c r="O1289" t="s">
        <v>4</v>
      </c>
      <c r="P1289" t="s">
        <v>9</v>
      </c>
      <c r="Q1289" s="4">
        <v>0.33368055555555998</v>
      </c>
      <c r="R1289" t="s">
        <v>4</v>
      </c>
      <c r="S1289" t="s">
        <v>4</v>
      </c>
      <c r="T1289" t="s">
        <v>2256</v>
      </c>
      <c r="U1289" t="s">
        <v>4</v>
      </c>
      <c r="V1289" s="5">
        <v>0</v>
      </c>
      <c r="W1289" s="5">
        <v>0</v>
      </c>
      <c r="X1289" s="2">
        <v>0</v>
      </c>
      <c r="Y1289" t="s">
        <v>4</v>
      </c>
      <c r="Z1289" t="s">
        <v>4</v>
      </c>
      <c r="AA1289" t="s">
        <v>4</v>
      </c>
      <c r="AB1289" t="s">
        <v>4</v>
      </c>
    </row>
    <row r="1290" spans="1:28" x14ac:dyDescent="0.2">
      <c r="A1290" t="s">
        <v>2251</v>
      </c>
      <c r="B1290" t="s">
        <v>4</v>
      </c>
      <c r="C1290" t="s">
        <v>4</v>
      </c>
      <c r="D1290" t="s">
        <v>4</v>
      </c>
      <c r="E1290" t="s">
        <v>4</v>
      </c>
      <c r="F1290" t="s">
        <v>5</v>
      </c>
      <c r="G1290" t="s">
        <v>6</v>
      </c>
      <c r="H1290" t="s">
        <v>4164</v>
      </c>
      <c r="I1290" s="5">
        <v>0</v>
      </c>
      <c r="J1290" s="5">
        <v>0</v>
      </c>
      <c r="K1290" s="5">
        <v>0</v>
      </c>
      <c r="L1290" s="3"/>
      <c r="M1290" s="3"/>
      <c r="N1290" s="3"/>
      <c r="O1290" t="s">
        <v>4</v>
      </c>
      <c r="P1290" t="s">
        <v>9</v>
      </c>
      <c r="Q1290" s="4">
        <v>0.98343749999999996</v>
      </c>
      <c r="R1290" t="s">
        <v>4</v>
      </c>
      <c r="S1290" t="s">
        <v>4</v>
      </c>
      <c r="T1290" t="s">
        <v>2256</v>
      </c>
      <c r="U1290" t="s">
        <v>4</v>
      </c>
      <c r="V1290" s="5">
        <v>0</v>
      </c>
      <c r="W1290" s="5">
        <v>0</v>
      </c>
      <c r="X1290" s="2">
        <v>0</v>
      </c>
      <c r="Y1290" t="s">
        <v>4</v>
      </c>
      <c r="Z1290" t="s">
        <v>4</v>
      </c>
      <c r="AA1290" t="s">
        <v>4</v>
      </c>
      <c r="AB1290" t="s">
        <v>4</v>
      </c>
    </row>
    <row r="1291" spans="1:28" x14ac:dyDescent="0.2">
      <c r="A1291" t="s">
        <v>712</v>
      </c>
      <c r="B1291" t="s">
        <v>2</v>
      </c>
      <c r="C1291" t="s">
        <v>3</v>
      </c>
      <c r="D1291" t="s">
        <v>4</v>
      </c>
      <c r="E1291" t="s">
        <v>4</v>
      </c>
      <c r="F1291" t="s">
        <v>5</v>
      </c>
      <c r="G1291" t="s">
        <v>6</v>
      </c>
      <c r="H1291" t="s">
        <v>4165</v>
      </c>
      <c r="I1291" s="2">
        <v>50</v>
      </c>
      <c r="J1291" s="2">
        <v>0</v>
      </c>
      <c r="K1291" s="2">
        <v>0</v>
      </c>
      <c r="L1291" s="3">
        <v>45851</v>
      </c>
      <c r="M1291" s="3">
        <v>45851</v>
      </c>
      <c r="N1291" s="3"/>
      <c r="O1291" t="s">
        <v>4166</v>
      </c>
      <c r="P1291" t="s">
        <v>9</v>
      </c>
      <c r="Q1291" s="4">
        <v>0.61063657407407002</v>
      </c>
      <c r="R1291" t="s">
        <v>5</v>
      </c>
      <c r="S1291" t="s">
        <v>4</v>
      </c>
      <c r="T1291" t="s">
        <v>2747</v>
      </c>
      <c r="U1291" t="s">
        <v>10</v>
      </c>
      <c r="V1291" s="5">
        <v>0</v>
      </c>
      <c r="W1291" s="5">
        <v>0</v>
      </c>
      <c r="X1291" s="2">
        <v>0</v>
      </c>
      <c r="Y1291" t="s">
        <v>4</v>
      </c>
      <c r="Z1291" t="s">
        <v>4</v>
      </c>
      <c r="AA1291" t="s">
        <v>4</v>
      </c>
      <c r="AB1291" t="s">
        <v>4</v>
      </c>
    </row>
    <row r="1292" spans="1:28" x14ac:dyDescent="0.2">
      <c r="A1292" t="s">
        <v>712</v>
      </c>
      <c r="B1292" t="s">
        <v>2</v>
      </c>
      <c r="C1292" t="s">
        <v>3</v>
      </c>
      <c r="D1292" t="s">
        <v>4</v>
      </c>
      <c r="E1292" t="s">
        <v>4</v>
      </c>
      <c r="F1292" t="s">
        <v>5</v>
      </c>
      <c r="G1292" t="s">
        <v>6</v>
      </c>
      <c r="H1292" t="s">
        <v>4165</v>
      </c>
      <c r="I1292" s="2">
        <v>50</v>
      </c>
      <c r="J1292" s="2">
        <v>0</v>
      </c>
      <c r="K1292" s="2">
        <v>0</v>
      </c>
      <c r="L1292" s="3">
        <v>45851</v>
      </c>
      <c r="M1292" s="3">
        <v>45851</v>
      </c>
      <c r="N1292" s="3"/>
      <c r="O1292" t="s">
        <v>4167</v>
      </c>
      <c r="P1292" t="s">
        <v>9</v>
      </c>
      <c r="Q1292" s="4">
        <v>0.61063657407407002</v>
      </c>
      <c r="R1292" t="s">
        <v>5</v>
      </c>
      <c r="S1292" t="s">
        <v>4</v>
      </c>
      <c r="T1292" t="s">
        <v>2747</v>
      </c>
      <c r="U1292" t="s">
        <v>10</v>
      </c>
      <c r="V1292" s="5">
        <v>0</v>
      </c>
      <c r="W1292" s="5">
        <v>0</v>
      </c>
      <c r="X1292" s="2">
        <v>0</v>
      </c>
      <c r="Y1292" t="s">
        <v>4</v>
      </c>
      <c r="Z1292" t="s">
        <v>4</v>
      </c>
      <c r="AA1292" t="s">
        <v>4</v>
      </c>
      <c r="AB1292" t="s">
        <v>4</v>
      </c>
    </row>
    <row r="1293" spans="1:28" x14ac:dyDescent="0.2">
      <c r="A1293" t="s">
        <v>2043</v>
      </c>
      <c r="B1293" t="s">
        <v>2</v>
      </c>
      <c r="C1293" t="s">
        <v>3</v>
      </c>
      <c r="D1293" t="s">
        <v>4</v>
      </c>
      <c r="E1293" t="s">
        <v>4</v>
      </c>
      <c r="F1293" t="s">
        <v>5</v>
      </c>
      <c r="G1293" t="s">
        <v>6</v>
      </c>
      <c r="H1293" t="s">
        <v>4168</v>
      </c>
      <c r="I1293" s="2">
        <v>108</v>
      </c>
      <c r="J1293" s="2">
        <v>0</v>
      </c>
      <c r="K1293" s="2">
        <v>0</v>
      </c>
      <c r="L1293" s="3">
        <v>45857</v>
      </c>
      <c r="M1293" s="3">
        <v>45857</v>
      </c>
      <c r="N1293" s="3"/>
      <c r="O1293" t="s">
        <v>4169</v>
      </c>
      <c r="P1293" t="s">
        <v>9</v>
      </c>
      <c r="Q1293" s="4">
        <v>0.89069444444444001</v>
      </c>
      <c r="R1293" t="s">
        <v>5</v>
      </c>
      <c r="S1293" t="s">
        <v>4</v>
      </c>
      <c r="T1293" t="s">
        <v>2262</v>
      </c>
      <c r="U1293" t="s">
        <v>10</v>
      </c>
      <c r="V1293" s="5">
        <v>0</v>
      </c>
      <c r="W1293" s="5">
        <v>0</v>
      </c>
      <c r="X1293" s="2">
        <v>0</v>
      </c>
      <c r="Y1293" t="s">
        <v>4</v>
      </c>
      <c r="Z1293" t="s">
        <v>4</v>
      </c>
      <c r="AA1293" t="s">
        <v>4</v>
      </c>
      <c r="AB1293" t="s">
        <v>4</v>
      </c>
    </row>
    <row r="1294" spans="1:28" x14ac:dyDescent="0.2">
      <c r="A1294" t="s">
        <v>285</v>
      </c>
      <c r="B1294" t="s">
        <v>2</v>
      </c>
      <c r="C1294" t="s">
        <v>3</v>
      </c>
      <c r="D1294" t="s">
        <v>4</v>
      </c>
      <c r="E1294" t="s">
        <v>4</v>
      </c>
      <c r="F1294" t="s">
        <v>5</v>
      </c>
      <c r="G1294" t="s">
        <v>6</v>
      </c>
      <c r="H1294" t="s">
        <v>4170</v>
      </c>
      <c r="I1294" s="2">
        <v>30</v>
      </c>
      <c r="J1294" s="2">
        <v>0</v>
      </c>
      <c r="K1294" s="2">
        <v>0</v>
      </c>
      <c r="L1294" s="3">
        <v>45835</v>
      </c>
      <c r="M1294" s="3">
        <v>45835</v>
      </c>
      <c r="N1294" s="3"/>
      <c r="O1294" t="s">
        <v>4171</v>
      </c>
      <c r="P1294" t="s">
        <v>9</v>
      </c>
      <c r="Q1294" s="4">
        <v>0.61813657407406997</v>
      </c>
      <c r="R1294" t="s">
        <v>5</v>
      </c>
      <c r="S1294" t="s">
        <v>4</v>
      </c>
      <c r="T1294" t="s">
        <v>2928</v>
      </c>
      <c r="U1294" t="s">
        <v>10</v>
      </c>
      <c r="V1294" s="5">
        <v>0</v>
      </c>
      <c r="W1294" s="5">
        <v>0</v>
      </c>
      <c r="X1294" s="2">
        <v>0</v>
      </c>
      <c r="Y1294" t="s">
        <v>4</v>
      </c>
      <c r="Z1294" t="s">
        <v>4</v>
      </c>
      <c r="AA1294" t="s">
        <v>4</v>
      </c>
      <c r="AB1294" t="s">
        <v>4</v>
      </c>
    </row>
    <row r="1295" spans="1:28" x14ac:dyDescent="0.2">
      <c r="A1295" t="s">
        <v>285</v>
      </c>
      <c r="B1295" t="s">
        <v>2</v>
      </c>
      <c r="C1295" t="s">
        <v>3</v>
      </c>
      <c r="D1295" t="s">
        <v>4</v>
      </c>
      <c r="E1295" t="s">
        <v>4</v>
      </c>
      <c r="F1295" t="s">
        <v>5</v>
      </c>
      <c r="G1295" t="s">
        <v>6</v>
      </c>
      <c r="H1295" t="s">
        <v>4170</v>
      </c>
      <c r="I1295" s="2">
        <v>30</v>
      </c>
      <c r="J1295" s="2">
        <v>0</v>
      </c>
      <c r="K1295" s="2">
        <v>0</v>
      </c>
      <c r="L1295" s="3">
        <v>45835</v>
      </c>
      <c r="M1295" s="3">
        <v>45835</v>
      </c>
      <c r="N1295" s="3"/>
      <c r="O1295" t="s">
        <v>4172</v>
      </c>
      <c r="P1295" t="s">
        <v>9</v>
      </c>
      <c r="Q1295" s="4">
        <v>0.61813657407406997</v>
      </c>
      <c r="R1295" t="s">
        <v>5</v>
      </c>
      <c r="S1295" t="s">
        <v>4</v>
      </c>
      <c r="T1295" t="s">
        <v>2928</v>
      </c>
      <c r="U1295" t="s">
        <v>10</v>
      </c>
      <c r="V1295" s="5">
        <v>0</v>
      </c>
      <c r="W1295" s="5">
        <v>0</v>
      </c>
      <c r="X1295" s="2">
        <v>0</v>
      </c>
      <c r="Y1295" t="s">
        <v>4</v>
      </c>
      <c r="Z1295" t="s">
        <v>4</v>
      </c>
      <c r="AA1295" t="s">
        <v>4</v>
      </c>
      <c r="AB1295" t="s">
        <v>4</v>
      </c>
    </row>
    <row r="1296" spans="1:28" x14ac:dyDescent="0.2">
      <c r="A1296" t="s">
        <v>1135</v>
      </c>
      <c r="B1296" t="s">
        <v>2</v>
      </c>
      <c r="C1296" t="s">
        <v>3</v>
      </c>
      <c r="D1296" t="s">
        <v>4</v>
      </c>
      <c r="E1296" t="s">
        <v>4</v>
      </c>
      <c r="F1296" t="s">
        <v>5</v>
      </c>
      <c r="G1296" t="s">
        <v>6</v>
      </c>
      <c r="H1296" t="s">
        <v>4173</v>
      </c>
      <c r="I1296" s="2">
        <v>480</v>
      </c>
      <c r="J1296" s="2">
        <v>0</v>
      </c>
      <c r="K1296" s="2">
        <v>0</v>
      </c>
      <c r="L1296" s="3">
        <v>45857</v>
      </c>
      <c r="M1296" s="3">
        <v>45857</v>
      </c>
      <c r="N1296" s="3"/>
      <c r="O1296" t="s">
        <v>4174</v>
      </c>
      <c r="P1296" t="s">
        <v>9</v>
      </c>
      <c r="Q1296" s="4">
        <v>0.79568287037037</v>
      </c>
      <c r="R1296" t="s">
        <v>5</v>
      </c>
      <c r="S1296" t="s">
        <v>4</v>
      </c>
      <c r="T1296" t="s">
        <v>2262</v>
      </c>
      <c r="U1296" t="s">
        <v>10</v>
      </c>
      <c r="V1296" s="5">
        <v>0</v>
      </c>
      <c r="W1296" s="5">
        <v>0</v>
      </c>
      <c r="X1296" s="2">
        <v>0</v>
      </c>
      <c r="Y1296" t="s">
        <v>4</v>
      </c>
      <c r="Z1296" t="s">
        <v>4</v>
      </c>
      <c r="AA1296" t="s">
        <v>4</v>
      </c>
      <c r="AB1296" t="s">
        <v>4</v>
      </c>
    </row>
    <row r="1297" spans="1:28" x14ac:dyDescent="0.2">
      <c r="A1297" t="s">
        <v>1135</v>
      </c>
      <c r="B1297" t="s">
        <v>2</v>
      </c>
      <c r="C1297" t="s">
        <v>3</v>
      </c>
      <c r="D1297" t="s">
        <v>4</v>
      </c>
      <c r="E1297" t="s">
        <v>4</v>
      </c>
      <c r="F1297" t="s">
        <v>5</v>
      </c>
      <c r="G1297" t="s">
        <v>6</v>
      </c>
      <c r="H1297" t="s">
        <v>4173</v>
      </c>
      <c r="I1297" s="2">
        <v>480</v>
      </c>
      <c r="J1297" s="2">
        <v>0</v>
      </c>
      <c r="K1297" s="2">
        <v>0</v>
      </c>
      <c r="L1297" s="3">
        <v>45857</v>
      </c>
      <c r="M1297" s="3">
        <v>45857</v>
      </c>
      <c r="N1297" s="3"/>
      <c r="O1297" t="s">
        <v>4175</v>
      </c>
      <c r="P1297" t="s">
        <v>9</v>
      </c>
      <c r="Q1297" s="4">
        <v>0.79568287037037</v>
      </c>
      <c r="R1297" t="s">
        <v>5</v>
      </c>
      <c r="S1297" t="s">
        <v>4</v>
      </c>
      <c r="T1297" t="s">
        <v>2262</v>
      </c>
      <c r="U1297" t="s">
        <v>10</v>
      </c>
      <c r="V1297" s="5">
        <v>0</v>
      </c>
      <c r="W1297" s="5">
        <v>0</v>
      </c>
      <c r="X1297" s="2">
        <v>0</v>
      </c>
      <c r="Y1297" t="s">
        <v>4</v>
      </c>
      <c r="Z1297" t="s">
        <v>4</v>
      </c>
      <c r="AA1297" t="s">
        <v>4</v>
      </c>
      <c r="AB1297" t="s">
        <v>4</v>
      </c>
    </row>
    <row r="1298" spans="1:28" x14ac:dyDescent="0.2">
      <c r="A1298" t="s">
        <v>2036</v>
      </c>
      <c r="B1298" t="s">
        <v>2</v>
      </c>
      <c r="C1298" t="s">
        <v>3</v>
      </c>
      <c r="D1298" t="s">
        <v>4</v>
      </c>
      <c r="E1298" t="s">
        <v>4</v>
      </c>
      <c r="F1298" t="s">
        <v>5</v>
      </c>
      <c r="G1298" t="s">
        <v>21</v>
      </c>
      <c r="H1298" t="s">
        <v>4176</v>
      </c>
      <c r="I1298" s="2">
        <v>924</v>
      </c>
      <c r="J1298" s="2">
        <v>0</v>
      </c>
      <c r="K1298" s="2">
        <v>0</v>
      </c>
      <c r="L1298" s="3">
        <v>45644</v>
      </c>
      <c r="M1298" s="3">
        <v>45644</v>
      </c>
      <c r="N1298" s="3"/>
      <c r="O1298" t="s">
        <v>4177</v>
      </c>
      <c r="P1298" t="s">
        <v>9</v>
      </c>
      <c r="Q1298" s="4">
        <v>0.64342592592592995</v>
      </c>
      <c r="R1298" t="s">
        <v>5</v>
      </c>
      <c r="S1298" t="s">
        <v>4</v>
      </c>
      <c r="T1298" t="s">
        <v>4178</v>
      </c>
      <c r="U1298" t="s">
        <v>10</v>
      </c>
      <c r="V1298" s="5">
        <v>0</v>
      </c>
      <c r="W1298" s="5">
        <v>0</v>
      </c>
      <c r="X1298" s="2">
        <v>0</v>
      </c>
      <c r="Y1298" t="s">
        <v>4</v>
      </c>
      <c r="Z1298" t="s">
        <v>4</v>
      </c>
      <c r="AA1298" t="s">
        <v>4</v>
      </c>
      <c r="AB1298" t="s">
        <v>4</v>
      </c>
    </row>
    <row r="1299" spans="1:28" x14ac:dyDescent="0.2">
      <c r="A1299" t="s">
        <v>0</v>
      </c>
      <c r="B1299" t="s">
        <v>2</v>
      </c>
      <c r="C1299" t="s">
        <v>3</v>
      </c>
      <c r="D1299" t="s">
        <v>4</v>
      </c>
      <c r="E1299" t="s">
        <v>4</v>
      </c>
      <c r="F1299" t="s">
        <v>5</v>
      </c>
      <c r="G1299" t="s">
        <v>21</v>
      </c>
      <c r="H1299" t="s">
        <v>190</v>
      </c>
      <c r="I1299" s="2">
        <v>196</v>
      </c>
      <c r="J1299" s="2">
        <v>0</v>
      </c>
      <c r="K1299" s="2">
        <v>0</v>
      </c>
      <c r="L1299" s="3">
        <v>45820</v>
      </c>
      <c r="M1299" s="3">
        <v>45820</v>
      </c>
      <c r="N1299" s="3"/>
      <c r="O1299" t="s">
        <v>191</v>
      </c>
      <c r="P1299" t="s">
        <v>9</v>
      </c>
      <c r="Q1299" s="4">
        <v>0.89710648148147998</v>
      </c>
      <c r="R1299" t="s">
        <v>5</v>
      </c>
      <c r="S1299" t="s">
        <v>4</v>
      </c>
      <c r="T1299" t="s">
        <v>3198</v>
      </c>
      <c r="U1299" t="s">
        <v>10</v>
      </c>
      <c r="V1299" s="5">
        <v>0</v>
      </c>
      <c r="W1299" s="5">
        <v>0</v>
      </c>
      <c r="X1299" s="2">
        <v>0</v>
      </c>
      <c r="Y1299" t="s">
        <v>4</v>
      </c>
      <c r="Z1299" t="s">
        <v>4</v>
      </c>
      <c r="AA1299" t="s">
        <v>4</v>
      </c>
      <c r="AB1299" t="s">
        <v>4</v>
      </c>
    </row>
    <row r="1300" spans="1:28" x14ac:dyDescent="0.2">
      <c r="A1300" t="s">
        <v>0</v>
      </c>
      <c r="B1300" t="s">
        <v>2</v>
      </c>
      <c r="C1300" t="s">
        <v>3</v>
      </c>
      <c r="D1300" t="s">
        <v>4</v>
      </c>
      <c r="E1300" t="s">
        <v>4</v>
      </c>
      <c r="F1300" t="s">
        <v>5</v>
      </c>
      <c r="G1300" t="s">
        <v>21</v>
      </c>
      <c r="H1300" t="s">
        <v>190</v>
      </c>
      <c r="I1300" s="2">
        <v>196</v>
      </c>
      <c r="J1300" s="2">
        <v>0</v>
      </c>
      <c r="K1300" s="2">
        <v>0</v>
      </c>
      <c r="L1300" s="3">
        <v>45820</v>
      </c>
      <c r="M1300" s="3">
        <v>45820</v>
      </c>
      <c r="N1300" s="3"/>
      <c r="O1300" t="s">
        <v>192</v>
      </c>
      <c r="P1300" t="s">
        <v>9</v>
      </c>
      <c r="Q1300" s="4">
        <v>0.89710648148147998</v>
      </c>
      <c r="R1300" t="s">
        <v>5</v>
      </c>
      <c r="S1300" t="s">
        <v>4</v>
      </c>
      <c r="T1300" t="s">
        <v>3198</v>
      </c>
      <c r="U1300" t="s">
        <v>10</v>
      </c>
      <c r="V1300" s="5">
        <v>0</v>
      </c>
      <c r="W1300" s="5">
        <v>0</v>
      </c>
      <c r="X1300" s="2">
        <v>0</v>
      </c>
      <c r="Y1300" t="s">
        <v>4</v>
      </c>
      <c r="Z1300" t="s">
        <v>4</v>
      </c>
      <c r="AA1300" t="s">
        <v>4</v>
      </c>
      <c r="AB1300" t="s">
        <v>4</v>
      </c>
    </row>
    <row r="1301" spans="1:28" x14ac:dyDescent="0.2">
      <c r="A1301" t="s">
        <v>1922</v>
      </c>
      <c r="B1301" t="s">
        <v>2</v>
      </c>
      <c r="C1301" t="s">
        <v>3</v>
      </c>
      <c r="D1301" t="s">
        <v>4</v>
      </c>
      <c r="E1301" t="s">
        <v>4</v>
      </c>
      <c r="F1301" t="s">
        <v>5</v>
      </c>
      <c r="G1301" t="s">
        <v>21</v>
      </c>
      <c r="H1301" t="s">
        <v>4179</v>
      </c>
      <c r="I1301" s="2">
        <v>330</v>
      </c>
      <c r="J1301" s="2">
        <v>0</v>
      </c>
      <c r="K1301" s="2">
        <v>0</v>
      </c>
      <c r="L1301" s="3">
        <v>45829</v>
      </c>
      <c r="M1301" s="3">
        <v>45829</v>
      </c>
      <c r="N1301" s="3"/>
      <c r="O1301" t="s">
        <v>4180</v>
      </c>
      <c r="P1301" t="s">
        <v>9</v>
      </c>
      <c r="Q1301" s="4">
        <v>0.48078703703704001</v>
      </c>
      <c r="R1301" t="s">
        <v>5</v>
      </c>
      <c r="S1301" t="s">
        <v>4</v>
      </c>
      <c r="T1301" t="s">
        <v>3242</v>
      </c>
      <c r="U1301" t="s">
        <v>10</v>
      </c>
      <c r="V1301" s="5">
        <v>0</v>
      </c>
      <c r="W1301" s="5">
        <v>0</v>
      </c>
      <c r="X1301" s="2">
        <v>0</v>
      </c>
      <c r="Y1301" t="s">
        <v>4</v>
      </c>
      <c r="Z1301" t="s">
        <v>4</v>
      </c>
      <c r="AA1301" t="s">
        <v>4</v>
      </c>
      <c r="AB1301" t="s">
        <v>4</v>
      </c>
    </row>
    <row r="1302" spans="1:28" x14ac:dyDescent="0.2">
      <c r="A1302" t="s">
        <v>1922</v>
      </c>
      <c r="B1302" t="s">
        <v>2</v>
      </c>
      <c r="C1302" t="s">
        <v>3</v>
      </c>
      <c r="D1302" t="s">
        <v>4</v>
      </c>
      <c r="E1302" t="s">
        <v>4</v>
      </c>
      <c r="F1302" t="s">
        <v>5</v>
      </c>
      <c r="G1302" t="s">
        <v>21</v>
      </c>
      <c r="H1302" t="s">
        <v>4179</v>
      </c>
      <c r="I1302" s="2">
        <v>330</v>
      </c>
      <c r="J1302" s="2">
        <v>0</v>
      </c>
      <c r="K1302" s="2">
        <v>0</v>
      </c>
      <c r="L1302" s="3">
        <v>45826</v>
      </c>
      <c r="M1302" s="3">
        <v>45826</v>
      </c>
      <c r="N1302" s="3"/>
      <c r="O1302" t="s">
        <v>4181</v>
      </c>
      <c r="P1302" t="s">
        <v>9</v>
      </c>
      <c r="Q1302" s="4">
        <v>0.48078703703704001</v>
      </c>
      <c r="R1302" t="s">
        <v>5</v>
      </c>
      <c r="S1302" t="s">
        <v>4</v>
      </c>
      <c r="T1302" t="s">
        <v>4018</v>
      </c>
      <c r="U1302" t="s">
        <v>10</v>
      </c>
      <c r="V1302" s="5">
        <v>0</v>
      </c>
      <c r="W1302" s="5">
        <v>0</v>
      </c>
      <c r="X1302" s="2">
        <v>0</v>
      </c>
      <c r="Y1302" t="s">
        <v>4</v>
      </c>
      <c r="Z1302" t="s">
        <v>4</v>
      </c>
      <c r="AA1302" t="s">
        <v>4</v>
      </c>
      <c r="AB1302" t="s">
        <v>4</v>
      </c>
    </row>
    <row r="1303" spans="1:28" x14ac:dyDescent="0.2">
      <c r="A1303" t="s">
        <v>1139</v>
      </c>
      <c r="B1303" t="s">
        <v>2</v>
      </c>
      <c r="C1303" t="s">
        <v>3</v>
      </c>
      <c r="D1303" t="s">
        <v>4</v>
      </c>
      <c r="E1303" t="s">
        <v>4</v>
      </c>
      <c r="F1303" t="s">
        <v>5</v>
      </c>
      <c r="G1303" t="s">
        <v>21</v>
      </c>
      <c r="H1303" t="s">
        <v>4182</v>
      </c>
      <c r="I1303" s="2">
        <v>432</v>
      </c>
      <c r="J1303" s="2">
        <v>0</v>
      </c>
      <c r="K1303" s="2">
        <v>0</v>
      </c>
      <c r="L1303" s="3">
        <v>45834</v>
      </c>
      <c r="M1303" s="3">
        <v>45834</v>
      </c>
      <c r="N1303" s="3"/>
      <c r="O1303" t="s">
        <v>4183</v>
      </c>
      <c r="P1303" t="s">
        <v>9</v>
      </c>
      <c r="Q1303" s="4">
        <v>0.54311342592593004</v>
      </c>
      <c r="R1303" t="s">
        <v>5</v>
      </c>
      <c r="S1303" t="s">
        <v>4</v>
      </c>
      <c r="T1303" t="s">
        <v>2817</v>
      </c>
      <c r="U1303" t="s">
        <v>10</v>
      </c>
      <c r="V1303" s="5">
        <v>0</v>
      </c>
      <c r="W1303" s="5">
        <v>0</v>
      </c>
      <c r="X1303" s="2">
        <v>0</v>
      </c>
      <c r="Y1303" t="s">
        <v>4</v>
      </c>
      <c r="Z1303" t="s">
        <v>4</v>
      </c>
      <c r="AA1303" t="s">
        <v>4</v>
      </c>
      <c r="AB1303" t="s">
        <v>4</v>
      </c>
    </row>
    <row r="1304" spans="1:28" x14ac:dyDescent="0.2">
      <c r="A1304" t="s">
        <v>1139</v>
      </c>
      <c r="B1304" t="s">
        <v>2</v>
      </c>
      <c r="C1304" t="s">
        <v>3</v>
      </c>
      <c r="D1304" t="s">
        <v>4</v>
      </c>
      <c r="E1304" t="s">
        <v>4</v>
      </c>
      <c r="F1304" t="s">
        <v>5</v>
      </c>
      <c r="G1304" t="s">
        <v>21</v>
      </c>
      <c r="H1304" t="s">
        <v>4182</v>
      </c>
      <c r="I1304" s="2">
        <v>432</v>
      </c>
      <c r="J1304" s="2">
        <v>0</v>
      </c>
      <c r="K1304" s="2">
        <v>0</v>
      </c>
      <c r="L1304" s="3">
        <v>45834</v>
      </c>
      <c r="M1304" s="3">
        <v>45834</v>
      </c>
      <c r="N1304" s="3"/>
      <c r="O1304" t="s">
        <v>4184</v>
      </c>
      <c r="P1304" t="s">
        <v>9</v>
      </c>
      <c r="Q1304" s="4">
        <v>0.54311342592593004</v>
      </c>
      <c r="R1304" t="s">
        <v>5</v>
      </c>
      <c r="S1304" t="s">
        <v>4</v>
      </c>
      <c r="T1304" t="s">
        <v>2817</v>
      </c>
      <c r="U1304" t="s">
        <v>10</v>
      </c>
      <c r="V1304" s="5">
        <v>0</v>
      </c>
      <c r="W1304" s="5">
        <v>0</v>
      </c>
      <c r="X1304" s="2">
        <v>0</v>
      </c>
      <c r="Y1304" t="s">
        <v>4</v>
      </c>
      <c r="Z1304" t="s">
        <v>4</v>
      </c>
      <c r="AA1304" t="s">
        <v>4</v>
      </c>
      <c r="AB1304" t="s">
        <v>4</v>
      </c>
    </row>
    <row r="1305" spans="1:28" x14ac:dyDescent="0.2">
      <c r="A1305" t="s">
        <v>0</v>
      </c>
      <c r="B1305" t="s">
        <v>2</v>
      </c>
      <c r="C1305" t="s">
        <v>3</v>
      </c>
      <c r="D1305" t="s">
        <v>4</v>
      </c>
      <c r="E1305" t="s">
        <v>4</v>
      </c>
      <c r="F1305" t="s">
        <v>5</v>
      </c>
      <c r="G1305" t="s">
        <v>17</v>
      </c>
      <c r="H1305" t="s">
        <v>193</v>
      </c>
      <c r="I1305" s="2">
        <v>196</v>
      </c>
      <c r="J1305" s="2">
        <v>0</v>
      </c>
      <c r="K1305" s="2">
        <v>0</v>
      </c>
      <c r="L1305" s="3">
        <v>45839</v>
      </c>
      <c r="M1305" s="3">
        <v>45839</v>
      </c>
      <c r="N1305" s="3"/>
      <c r="O1305" t="s">
        <v>194</v>
      </c>
      <c r="P1305" t="s">
        <v>9</v>
      </c>
      <c r="Q1305" s="4">
        <v>0.59184027777778003</v>
      </c>
      <c r="R1305" t="s">
        <v>5</v>
      </c>
      <c r="S1305" t="s">
        <v>4</v>
      </c>
      <c r="T1305" t="s">
        <v>2312</v>
      </c>
      <c r="U1305" t="s">
        <v>10</v>
      </c>
      <c r="V1305" s="5">
        <v>0</v>
      </c>
      <c r="W1305" s="5">
        <v>0</v>
      </c>
      <c r="X1305" s="2">
        <v>0</v>
      </c>
      <c r="Y1305" t="s">
        <v>4</v>
      </c>
      <c r="Z1305" t="s">
        <v>4</v>
      </c>
      <c r="AA1305" t="s">
        <v>4</v>
      </c>
      <c r="AB1305" t="s">
        <v>4</v>
      </c>
    </row>
    <row r="1306" spans="1:28" x14ac:dyDescent="0.2">
      <c r="A1306" t="s">
        <v>0</v>
      </c>
      <c r="B1306" t="s">
        <v>2</v>
      </c>
      <c r="C1306" t="s">
        <v>3</v>
      </c>
      <c r="D1306" t="s">
        <v>4</v>
      </c>
      <c r="E1306" t="s">
        <v>4</v>
      </c>
      <c r="F1306" t="s">
        <v>5</v>
      </c>
      <c r="G1306" t="s">
        <v>17</v>
      </c>
      <c r="H1306" t="s">
        <v>193</v>
      </c>
      <c r="I1306" s="2">
        <v>196</v>
      </c>
      <c r="J1306" s="2">
        <v>0</v>
      </c>
      <c r="K1306" s="2">
        <v>0</v>
      </c>
      <c r="L1306" s="3">
        <v>45839</v>
      </c>
      <c r="M1306" s="3">
        <v>45839</v>
      </c>
      <c r="N1306" s="3"/>
      <c r="O1306" t="s">
        <v>195</v>
      </c>
      <c r="P1306" t="s">
        <v>9</v>
      </c>
      <c r="Q1306" s="4">
        <v>0.59184027777778003</v>
      </c>
      <c r="R1306" t="s">
        <v>5</v>
      </c>
      <c r="S1306" t="s">
        <v>4</v>
      </c>
      <c r="T1306" t="s">
        <v>2312</v>
      </c>
      <c r="U1306" t="s">
        <v>10</v>
      </c>
      <c r="V1306" s="5">
        <v>0</v>
      </c>
      <c r="W1306" s="5">
        <v>0</v>
      </c>
      <c r="X1306" s="2">
        <v>0</v>
      </c>
      <c r="Y1306" t="s">
        <v>4</v>
      </c>
      <c r="Z1306" t="s">
        <v>4</v>
      </c>
      <c r="AA1306" t="s">
        <v>4</v>
      </c>
      <c r="AB1306" t="s">
        <v>4</v>
      </c>
    </row>
    <row r="1307" spans="1:28" x14ac:dyDescent="0.2">
      <c r="A1307" t="s">
        <v>497</v>
      </c>
      <c r="B1307" t="s">
        <v>2</v>
      </c>
      <c r="C1307" t="s">
        <v>3</v>
      </c>
      <c r="D1307" t="s">
        <v>4</v>
      </c>
      <c r="E1307" t="s">
        <v>4</v>
      </c>
      <c r="F1307" t="s">
        <v>5</v>
      </c>
      <c r="G1307" t="s">
        <v>17</v>
      </c>
      <c r="H1307" t="s">
        <v>4185</v>
      </c>
      <c r="I1307" s="2">
        <v>720</v>
      </c>
      <c r="J1307" s="2">
        <v>0</v>
      </c>
      <c r="K1307" s="2">
        <v>0</v>
      </c>
      <c r="L1307" s="3">
        <v>45782</v>
      </c>
      <c r="M1307" s="3">
        <v>45782</v>
      </c>
      <c r="N1307" s="3"/>
      <c r="O1307" t="s">
        <v>4186</v>
      </c>
      <c r="P1307" t="s">
        <v>9</v>
      </c>
      <c r="Q1307" s="4">
        <v>0.68775462962962997</v>
      </c>
      <c r="R1307" t="s">
        <v>5</v>
      </c>
      <c r="S1307" t="s">
        <v>4</v>
      </c>
      <c r="T1307" t="s">
        <v>3952</v>
      </c>
      <c r="U1307" t="s">
        <v>10</v>
      </c>
      <c r="V1307" s="5">
        <v>0</v>
      </c>
      <c r="W1307" s="5">
        <v>0</v>
      </c>
      <c r="X1307" s="2">
        <v>0</v>
      </c>
      <c r="Y1307" t="s">
        <v>4</v>
      </c>
      <c r="Z1307" t="s">
        <v>4</v>
      </c>
      <c r="AA1307" t="s">
        <v>4</v>
      </c>
      <c r="AB1307" t="s">
        <v>4</v>
      </c>
    </row>
    <row r="1308" spans="1:28" x14ac:dyDescent="0.2">
      <c r="A1308" t="s">
        <v>497</v>
      </c>
      <c r="B1308" t="s">
        <v>2</v>
      </c>
      <c r="C1308" t="s">
        <v>3</v>
      </c>
      <c r="D1308" t="s">
        <v>4</v>
      </c>
      <c r="E1308" t="s">
        <v>4</v>
      </c>
      <c r="F1308" t="s">
        <v>5</v>
      </c>
      <c r="G1308" t="s">
        <v>17</v>
      </c>
      <c r="H1308" t="s">
        <v>4185</v>
      </c>
      <c r="I1308" s="2">
        <v>360</v>
      </c>
      <c r="J1308" s="2">
        <v>0</v>
      </c>
      <c r="K1308" s="2">
        <v>0</v>
      </c>
      <c r="L1308" s="3">
        <v>45804</v>
      </c>
      <c r="M1308" s="3">
        <v>45804</v>
      </c>
      <c r="N1308" s="3"/>
      <c r="O1308" t="s">
        <v>4187</v>
      </c>
      <c r="P1308" t="s">
        <v>9</v>
      </c>
      <c r="Q1308" s="4">
        <v>0.68775462962962997</v>
      </c>
      <c r="R1308" t="s">
        <v>5</v>
      </c>
      <c r="S1308" t="s">
        <v>4</v>
      </c>
      <c r="T1308" t="s">
        <v>3530</v>
      </c>
      <c r="U1308" t="s">
        <v>10</v>
      </c>
      <c r="V1308" s="5">
        <v>0</v>
      </c>
      <c r="W1308" s="5">
        <v>0</v>
      </c>
      <c r="X1308" s="2">
        <v>0</v>
      </c>
      <c r="Y1308" t="s">
        <v>4</v>
      </c>
      <c r="Z1308" t="s">
        <v>4</v>
      </c>
      <c r="AA1308" t="s">
        <v>4</v>
      </c>
      <c r="AB1308" t="s">
        <v>4</v>
      </c>
    </row>
    <row r="1309" spans="1:28" x14ac:dyDescent="0.2">
      <c r="A1309" t="s">
        <v>0</v>
      </c>
      <c r="B1309" t="s">
        <v>2</v>
      </c>
      <c r="C1309" t="s">
        <v>3</v>
      </c>
      <c r="D1309" t="s">
        <v>4</v>
      </c>
      <c r="E1309" t="s">
        <v>4</v>
      </c>
      <c r="F1309" t="s">
        <v>5</v>
      </c>
      <c r="G1309" t="s">
        <v>17</v>
      </c>
      <c r="H1309" t="s">
        <v>196</v>
      </c>
      <c r="I1309" s="2">
        <v>196</v>
      </c>
      <c r="J1309" s="2">
        <v>0</v>
      </c>
      <c r="K1309" s="2">
        <v>0</v>
      </c>
      <c r="L1309" s="3">
        <v>45839</v>
      </c>
      <c r="M1309" s="3">
        <v>45839</v>
      </c>
      <c r="N1309" s="3"/>
      <c r="O1309" t="s">
        <v>198</v>
      </c>
      <c r="P1309" t="s">
        <v>9</v>
      </c>
      <c r="Q1309" s="4">
        <v>0.59287037037037005</v>
      </c>
      <c r="R1309" t="s">
        <v>5</v>
      </c>
      <c r="S1309" t="s">
        <v>4</v>
      </c>
      <c r="T1309" t="s">
        <v>2312</v>
      </c>
      <c r="U1309" t="s">
        <v>10</v>
      </c>
      <c r="V1309" s="5">
        <v>0</v>
      </c>
      <c r="W1309" s="5">
        <v>0</v>
      </c>
      <c r="X1309" s="2">
        <v>0</v>
      </c>
      <c r="Y1309" t="s">
        <v>4</v>
      </c>
      <c r="Z1309" t="s">
        <v>4</v>
      </c>
      <c r="AA1309" t="s">
        <v>4</v>
      </c>
      <c r="AB1309" t="s">
        <v>4</v>
      </c>
    </row>
    <row r="1310" spans="1:28" x14ac:dyDescent="0.2">
      <c r="A1310" t="s">
        <v>0</v>
      </c>
      <c r="B1310" t="s">
        <v>2</v>
      </c>
      <c r="C1310" t="s">
        <v>3</v>
      </c>
      <c r="D1310" t="s">
        <v>4</v>
      </c>
      <c r="E1310" t="s">
        <v>4</v>
      </c>
      <c r="F1310" t="s">
        <v>5</v>
      </c>
      <c r="G1310" t="s">
        <v>17</v>
      </c>
      <c r="H1310" t="s">
        <v>196</v>
      </c>
      <c r="I1310" s="2">
        <v>196</v>
      </c>
      <c r="J1310" s="2">
        <v>0</v>
      </c>
      <c r="K1310" s="2">
        <v>0</v>
      </c>
      <c r="L1310" s="3">
        <v>45839</v>
      </c>
      <c r="M1310" s="3">
        <v>45839</v>
      </c>
      <c r="N1310" s="3"/>
      <c r="O1310" t="s">
        <v>197</v>
      </c>
      <c r="P1310" t="s">
        <v>9</v>
      </c>
      <c r="Q1310" s="4">
        <v>0.59287037037037005</v>
      </c>
      <c r="R1310" t="s">
        <v>5</v>
      </c>
      <c r="S1310" t="s">
        <v>4</v>
      </c>
      <c r="T1310" t="s">
        <v>2312</v>
      </c>
      <c r="U1310" t="s">
        <v>10</v>
      </c>
      <c r="V1310" s="5">
        <v>0</v>
      </c>
      <c r="W1310" s="5">
        <v>0</v>
      </c>
      <c r="X1310" s="2">
        <v>0</v>
      </c>
      <c r="Y1310" t="s">
        <v>4</v>
      </c>
      <c r="Z1310" t="s">
        <v>4</v>
      </c>
      <c r="AA1310" t="s">
        <v>4</v>
      </c>
      <c r="AB1310" t="s">
        <v>4</v>
      </c>
    </row>
    <row r="1311" spans="1:28" x14ac:dyDescent="0.2">
      <c r="A1311" t="s">
        <v>0</v>
      </c>
      <c r="B1311" t="s">
        <v>2</v>
      </c>
      <c r="C1311" t="s">
        <v>3</v>
      </c>
      <c r="D1311" t="s">
        <v>4</v>
      </c>
      <c r="E1311" t="s">
        <v>4</v>
      </c>
      <c r="F1311" t="s">
        <v>5</v>
      </c>
      <c r="G1311" t="s">
        <v>17</v>
      </c>
      <c r="H1311" t="s">
        <v>199</v>
      </c>
      <c r="I1311" s="2">
        <v>196</v>
      </c>
      <c r="J1311" s="2">
        <v>0</v>
      </c>
      <c r="K1311" s="2">
        <v>0</v>
      </c>
      <c r="L1311" s="3">
        <v>45839</v>
      </c>
      <c r="M1311" s="3">
        <v>45839</v>
      </c>
      <c r="N1311" s="3"/>
      <c r="O1311" t="s">
        <v>201</v>
      </c>
      <c r="P1311" t="s">
        <v>9</v>
      </c>
      <c r="Q1311" s="4">
        <v>0.59307870370369997</v>
      </c>
      <c r="R1311" t="s">
        <v>5</v>
      </c>
      <c r="S1311" t="s">
        <v>4</v>
      </c>
      <c r="T1311" t="s">
        <v>2312</v>
      </c>
      <c r="U1311" t="s">
        <v>10</v>
      </c>
      <c r="V1311" s="5">
        <v>0</v>
      </c>
      <c r="W1311" s="5">
        <v>0</v>
      </c>
      <c r="X1311" s="2">
        <v>0</v>
      </c>
      <c r="Y1311" t="s">
        <v>4</v>
      </c>
      <c r="Z1311" t="s">
        <v>4</v>
      </c>
      <c r="AA1311" t="s">
        <v>4</v>
      </c>
      <c r="AB1311" t="s">
        <v>4</v>
      </c>
    </row>
    <row r="1312" spans="1:28" x14ac:dyDescent="0.2">
      <c r="A1312" t="s">
        <v>0</v>
      </c>
      <c r="B1312" t="s">
        <v>2</v>
      </c>
      <c r="C1312" t="s">
        <v>3</v>
      </c>
      <c r="D1312" t="s">
        <v>4</v>
      </c>
      <c r="E1312" t="s">
        <v>4</v>
      </c>
      <c r="F1312" t="s">
        <v>5</v>
      </c>
      <c r="G1312" t="s">
        <v>17</v>
      </c>
      <c r="H1312" t="s">
        <v>199</v>
      </c>
      <c r="I1312" s="2">
        <v>196</v>
      </c>
      <c r="J1312" s="2">
        <v>0</v>
      </c>
      <c r="K1312" s="2">
        <v>0</v>
      </c>
      <c r="L1312" s="3">
        <v>45839</v>
      </c>
      <c r="M1312" s="3">
        <v>45839</v>
      </c>
      <c r="N1312" s="3"/>
      <c r="O1312" t="s">
        <v>200</v>
      </c>
      <c r="P1312" t="s">
        <v>9</v>
      </c>
      <c r="Q1312" s="4">
        <v>0.59307870370369997</v>
      </c>
      <c r="R1312" t="s">
        <v>5</v>
      </c>
      <c r="S1312" t="s">
        <v>4</v>
      </c>
      <c r="T1312" t="s">
        <v>2312</v>
      </c>
      <c r="U1312" t="s">
        <v>10</v>
      </c>
      <c r="V1312" s="5">
        <v>0</v>
      </c>
      <c r="W1312" s="5">
        <v>0</v>
      </c>
      <c r="X1312" s="2">
        <v>0</v>
      </c>
      <c r="Y1312" t="s">
        <v>4</v>
      </c>
      <c r="Z1312" t="s">
        <v>4</v>
      </c>
      <c r="AA1312" t="s">
        <v>4</v>
      </c>
      <c r="AB1312" t="s">
        <v>4</v>
      </c>
    </row>
    <row r="1313" spans="1:28" x14ac:dyDescent="0.2">
      <c r="A1313" t="s">
        <v>1550</v>
      </c>
      <c r="B1313" t="s">
        <v>2</v>
      </c>
      <c r="C1313" t="s">
        <v>3</v>
      </c>
      <c r="D1313" t="s">
        <v>4</v>
      </c>
      <c r="E1313" t="s">
        <v>4</v>
      </c>
      <c r="F1313" t="s">
        <v>5</v>
      </c>
      <c r="G1313" t="s">
        <v>6</v>
      </c>
      <c r="H1313" t="s">
        <v>4188</v>
      </c>
      <c r="I1313" s="2">
        <v>44</v>
      </c>
      <c r="J1313" s="2">
        <v>0</v>
      </c>
      <c r="K1313" s="2">
        <v>0</v>
      </c>
      <c r="L1313" s="3">
        <v>45855</v>
      </c>
      <c r="M1313" s="3">
        <v>45855</v>
      </c>
      <c r="N1313" s="3">
        <v>45855</v>
      </c>
      <c r="O1313" t="s">
        <v>4189</v>
      </c>
      <c r="P1313" t="s">
        <v>9</v>
      </c>
      <c r="Q1313" s="4">
        <v>0.36944444444444002</v>
      </c>
      <c r="R1313" t="s">
        <v>5</v>
      </c>
      <c r="S1313" t="s">
        <v>4</v>
      </c>
      <c r="T1313" t="s">
        <v>2350</v>
      </c>
      <c r="U1313" t="s">
        <v>10</v>
      </c>
      <c r="V1313" s="5">
        <v>0</v>
      </c>
      <c r="W1313" s="5">
        <v>0</v>
      </c>
      <c r="X1313" s="2">
        <v>0</v>
      </c>
      <c r="Y1313" t="s">
        <v>4</v>
      </c>
      <c r="Z1313" t="s">
        <v>4</v>
      </c>
      <c r="AA1313" t="s">
        <v>4</v>
      </c>
      <c r="AB1313" t="s">
        <v>4</v>
      </c>
    </row>
    <row r="1314" spans="1:28" x14ac:dyDescent="0.2">
      <c r="A1314" t="s">
        <v>1550</v>
      </c>
      <c r="B1314" t="s">
        <v>2</v>
      </c>
      <c r="C1314" t="s">
        <v>3</v>
      </c>
      <c r="D1314" t="s">
        <v>4</v>
      </c>
      <c r="E1314" t="s">
        <v>4</v>
      </c>
      <c r="F1314" t="s">
        <v>5</v>
      </c>
      <c r="G1314" t="s">
        <v>6</v>
      </c>
      <c r="H1314" t="s">
        <v>4188</v>
      </c>
      <c r="I1314" s="2">
        <v>300</v>
      </c>
      <c r="J1314" s="2">
        <v>0</v>
      </c>
      <c r="K1314" s="2">
        <v>0</v>
      </c>
      <c r="L1314" s="3">
        <v>45857</v>
      </c>
      <c r="M1314" s="3">
        <v>45857</v>
      </c>
      <c r="N1314" s="3"/>
      <c r="O1314" t="s">
        <v>4190</v>
      </c>
      <c r="P1314" t="s">
        <v>9</v>
      </c>
      <c r="Q1314" s="4">
        <v>0.36944444444444002</v>
      </c>
      <c r="R1314" t="s">
        <v>5</v>
      </c>
      <c r="S1314" t="s">
        <v>4</v>
      </c>
      <c r="T1314" t="s">
        <v>2262</v>
      </c>
      <c r="U1314" t="s">
        <v>10</v>
      </c>
      <c r="V1314" s="5">
        <v>0</v>
      </c>
      <c r="W1314" s="5">
        <v>0</v>
      </c>
      <c r="X1314" s="2">
        <v>0</v>
      </c>
      <c r="Y1314" t="s">
        <v>4</v>
      </c>
      <c r="Z1314" t="s">
        <v>4</v>
      </c>
      <c r="AA1314" t="s">
        <v>4</v>
      </c>
      <c r="AB1314" t="s">
        <v>4</v>
      </c>
    </row>
    <row r="1315" spans="1:28" x14ac:dyDescent="0.2">
      <c r="A1315" t="s">
        <v>1466</v>
      </c>
      <c r="B1315" t="s">
        <v>2</v>
      </c>
      <c r="C1315" t="s">
        <v>3</v>
      </c>
      <c r="D1315" t="s">
        <v>4</v>
      </c>
      <c r="E1315" t="s">
        <v>4</v>
      </c>
      <c r="F1315" t="s">
        <v>5</v>
      </c>
      <c r="G1315" t="s">
        <v>6</v>
      </c>
      <c r="H1315" t="s">
        <v>4191</v>
      </c>
      <c r="I1315" s="2">
        <v>60</v>
      </c>
      <c r="J1315" s="2">
        <v>0</v>
      </c>
      <c r="K1315" s="2">
        <v>0</v>
      </c>
      <c r="L1315" s="3">
        <v>45660</v>
      </c>
      <c r="M1315" s="3">
        <v>45660</v>
      </c>
      <c r="N1315" s="3"/>
      <c r="O1315" t="s">
        <v>4192</v>
      </c>
      <c r="P1315" t="s">
        <v>9</v>
      </c>
      <c r="Q1315" s="4">
        <v>0.45250000000000001</v>
      </c>
      <c r="R1315" t="s">
        <v>5</v>
      </c>
      <c r="S1315" t="s">
        <v>4</v>
      </c>
      <c r="T1315" t="s">
        <v>4193</v>
      </c>
      <c r="U1315" t="s">
        <v>10</v>
      </c>
      <c r="V1315" s="5">
        <v>0</v>
      </c>
      <c r="W1315" s="5">
        <v>0</v>
      </c>
      <c r="X1315" s="2">
        <v>0</v>
      </c>
      <c r="Y1315" t="s">
        <v>4</v>
      </c>
      <c r="Z1315" t="s">
        <v>4</v>
      </c>
      <c r="AA1315" t="s">
        <v>4</v>
      </c>
      <c r="AB1315" t="s">
        <v>2351</v>
      </c>
    </row>
    <row r="1316" spans="1:28" x14ac:dyDescent="0.2">
      <c r="A1316" t="s">
        <v>1466</v>
      </c>
      <c r="B1316" t="s">
        <v>2</v>
      </c>
      <c r="C1316" t="s">
        <v>3</v>
      </c>
      <c r="D1316" t="s">
        <v>4</v>
      </c>
      <c r="E1316" t="s">
        <v>4</v>
      </c>
      <c r="F1316" t="s">
        <v>5</v>
      </c>
      <c r="G1316" t="s">
        <v>6</v>
      </c>
      <c r="H1316" t="s">
        <v>4191</v>
      </c>
      <c r="I1316" s="2">
        <v>60</v>
      </c>
      <c r="J1316" s="2">
        <v>0</v>
      </c>
      <c r="K1316" s="2">
        <v>0</v>
      </c>
      <c r="L1316" s="3">
        <v>45673</v>
      </c>
      <c r="M1316" s="3">
        <v>45673</v>
      </c>
      <c r="N1316" s="3"/>
      <c r="O1316" t="s">
        <v>4194</v>
      </c>
      <c r="P1316" t="s">
        <v>9</v>
      </c>
      <c r="Q1316" s="4">
        <v>0.45250000000000001</v>
      </c>
      <c r="R1316" t="s">
        <v>5</v>
      </c>
      <c r="S1316" t="s">
        <v>4</v>
      </c>
      <c r="T1316" t="s">
        <v>3353</v>
      </c>
      <c r="U1316" t="s">
        <v>10</v>
      </c>
      <c r="V1316" s="5">
        <v>0</v>
      </c>
      <c r="W1316" s="5">
        <v>0</v>
      </c>
      <c r="X1316" s="2">
        <v>0</v>
      </c>
      <c r="Y1316" t="s">
        <v>4</v>
      </c>
      <c r="Z1316" t="s">
        <v>4</v>
      </c>
      <c r="AA1316" t="s">
        <v>4</v>
      </c>
      <c r="AB1316" t="s">
        <v>2351</v>
      </c>
    </row>
    <row r="1317" spans="1:28" x14ac:dyDescent="0.2">
      <c r="A1317" t="s">
        <v>1462</v>
      </c>
      <c r="B1317" t="s">
        <v>2</v>
      </c>
      <c r="C1317" t="s">
        <v>3</v>
      </c>
      <c r="D1317" t="s">
        <v>4</v>
      </c>
      <c r="E1317" t="s">
        <v>4</v>
      </c>
      <c r="F1317" t="s">
        <v>5</v>
      </c>
      <c r="G1317" t="s">
        <v>6</v>
      </c>
      <c r="H1317" t="s">
        <v>4195</v>
      </c>
      <c r="I1317" s="2">
        <v>72</v>
      </c>
      <c r="J1317" s="2">
        <v>0</v>
      </c>
      <c r="K1317" s="2">
        <v>0</v>
      </c>
      <c r="L1317" s="3">
        <v>45845</v>
      </c>
      <c r="M1317" s="3">
        <v>45845</v>
      </c>
      <c r="N1317" s="3"/>
      <c r="O1317" t="s">
        <v>4196</v>
      </c>
      <c r="P1317" t="s">
        <v>9</v>
      </c>
      <c r="Q1317" s="4">
        <v>0.87446759259258999</v>
      </c>
      <c r="R1317" t="s">
        <v>5</v>
      </c>
      <c r="S1317" t="s">
        <v>4</v>
      </c>
      <c r="T1317" t="s">
        <v>2701</v>
      </c>
      <c r="U1317" t="s">
        <v>10</v>
      </c>
      <c r="V1317" s="5">
        <v>0</v>
      </c>
      <c r="W1317" s="5">
        <v>0</v>
      </c>
      <c r="X1317" s="2">
        <v>0</v>
      </c>
      <c r="Y1317" t="s">
        <v>4</v>
      </c>
      <c r="Z1317" t="s">
        <v>4</v>
      </c>
      <c r="AA1317" t="s">
        <v>4</v>
      </c>
      <c r="AB1317" t="s">
        <v>4</v>
      </c>
    </row>
    <row r="1318" spans="1:28" x14ac:dyDescent="0.2">
      <c r="A1318" t="s">
        <v>1462</v>
      </c>
      <c r="B1318" t="s">
        <v>2</v>
      </c>
      <c r="C1318" t="s">
        <v>3</v>
      </c>
      <c r="D1318" t="s">
        <v>4</v>
      </c>
      <c r="E1318" t="s">
        <v>4</v>
      </c>
      <c r="F1318" t="s">
        <v>5</v>
      </c>
      <c r="G1318" t="s">
        <v>6</v>
      </c>
      <c r="H1318" t="s">
        <v>4195</v>
      </c>
      <c r="I1318" s="2">
        <v>72</v>
      </c>
      <c r="J1318" s="2">
        <v>0</v>
      </c>
      <c r="K1318" s="2">
        <v>0</v>
      </c>
      <c r="L1318" s="3">
        <v>45845</v>
      </c>
      <c r="M1318" s="3">
        <v>45845</v>
      </c>
      <c r="N1318" s="3"/>
      <c r="O1318" t="s">
        <v>4197</v>
      </c>
      <c r="P1318" t="s">
        <v>9</v>
      </c>
      <c r="Q1318" s="4">
        <v>0.87446759259258999</v>
      </c>
      <c r="R1318" t="s">
        <v>5</v>
      </c>
      <c r="S1318" t="s">
        <v>4</v>
      </c>
      <c r="T1318" t="s">
        <v>2701</v>
      </c>
      <c r="U1318" t="s">
        <v>10</v>
      </c>
      <c r="V1318" s="5">
        <v>0</v>
      </c>
      <c r="W1318" s="5">
        <v>0</v>
      </c>
      <c r="X1318" s="2">
        <v>0</v>
      </c>
      <c r="Y1318" t="s">
        <v>4</v>
      </c>
      <c r="Z1318" t="s">
        <v>4</v>
      </c>
      <c r="AA1318" t="s">
        <v>4</v>
      </c>
      <c r="AB1318" t="s">
        <v>4</v>
      </c>
    </row>
    <row r="1319" spans="1:28" x14ac:dyDescent="0.2">
      <c r="A1319" t="s">
        <v>718</v>
      </c>
      <c r="B1319" t="s">
        <v>2</v>
      </c>
      <c r="C1319" t="s">
        <v>3</v>
      </c>
      <c r="D1319" t="s">
        <v>4</v>
      </c>
      <c r="E1319" t="s">
        <v>4</v>
      </c>
      <c r="F1319" t="s">
        <v>5</v>
      </c>
      <c r="G1319" t="s">
        <v>6</v>
      </c>
      <c r="H1319" t="s">
        <v>4198</v>
      </c>
      <c r="I1319" s="2">
        <v>44</v>
      </c>
      <c r="J1319" s="2">
        <v>0</v>
      </c>
      <c r="K1319" s="2">
        <v>0</v>
      </c>
      <c r="L1319" s="3">
        <v>45848</v>
      </c>
      <c r="M1319" s="3">
        <v>45848</v>
      </c>
      <c r="N1319" s="3"/>
      <c r="O1319" t="s">
        <v>4199</v>
      </c>
      <c r="P1319" t="s">
        <v>9</v>
      </c>
      <c r="Q1319" s="4">
        <v>0.89299768518518996</v>
      </c>
      <c r="R1319" t="s">
        <v>5</v>
      </c>
      <c r="S1319" t="s">
        <v>4</v>
      </c>
      <c r="T1319" t="s">
        <v>2580</v>
      </c>
      <c r="U1319" t="s">
        <v>10</v>
      </c>
      <c r="V1319" s="5">
        <v>0</v>
      </c>
      <c r="W1319" s="5">
        <v>0</v>
      </c>
      <c r="X1319" s="2">
        <v>0</v>
      </c>
      <c r="Y1319" t="s">
        <v>4</v>
      </c>
      <c r="Z1319" t="s">
        <v>4</v>
      </c>
      <c r="AA1319" t="s">
        <v>4</v>
      </c>
      <c r="AB1319" t="s">
        <v>4</v>
      </c>
    </row>
    <row r="1320" spans="1:28" x14ac:dyDescent="0.2">
      <c r="A1320" t="s">
        <v>0</v>
      </c>
      <c r="B1320" t="s">
        <v>2</v>
      </c>
      <c r="C1320" t="s">
        <v>3</v>
      </c>
      <c r="D1320" t="s">
        <v>4</v>
      </c>
      <c r="E1320" t="s">
        <v>4</v>
      </c>
      <c r="F1320" t="s">
        <v>5</v>
      </c>
      <c r="G1320" t="s">
        <v>6</v>
      </c>
      <c r="H1320" t="s">
        <v>202</v>
      </c>
      <c r="I1320" s="2">
        <v>196</v>
      </c>
      <c r="J1320" s="2">
        <v>0</v>
      </c>
      <c r="K1320" s="2">
        <v>0</v>
      </c>
      <c r="L1320" s="3">
        <v>45840</v>
      </c>
      <c r="M1320" s="3">
        <v>45840</v>
      </c>
      <c r="N1320" s="3"/>
      <c r="O1320" t="s">
        <v>204</v>
      </c>
      <c r="P1320" t="s">
        <v>9</v>
      </c>
      <c r="Q1320" s="4">
        <v>0.38384259259259002</v>
      </c>
      <c r="R1320" t="s">
        <v>5</v>
      </c>
      <c r="S1320" t="s">
        <v>4</v>
      </c>
      <c r="T1320" t="s">
        <v>2766</v>
      </c>
      <c r="U1320" t="s">
        <v>10</v>
      </c>
      <c r="V1320" s="5">
        <v>0</v>
      </c>
      <c r="W1320" s="5">
        <v>0</v>
      </c>
      <c r="X1320" s="2">
        <v>0</v>
      </c>
      <c r="Y1320" t="s">
        <v>4</v>
      </c>
      <c r="Z1320" t="s">
        <v>4</v>
      </c>
      <c r="AA1320" t="s">
        <v>4</v>
      </c>
      <c r="AB1320" t="s">
        <v>4</v>
      </c>
    </row>
    <row r="1321" spans="1:28" x14ac:dyDescent="0.2">
      <c r="A1321" t="s">
        <v>0</v>
      </c>
      <c r="B1321" t="s">
        <v>2</v>
      </c>
      <c r="C1321" t="s">
        <v>3</v>
      </c>
      <c r="D1321" t="s">
        <v>4</v>
      </c>
      <c r="E1321" t="s">
        <v>4</v>
      </c>
      <c r="F1321" t="s">
        <v>5</v>
      </c>
      <c r="G1321" t="s">
        <v>6</v>
      </c>
      <c r="H1321" t="s">
        <v>202</v>
      </c>
      <c r="I1321" s="2">
        <v>196</v>
      </c>
      <c r="J1321" s="2">
        <v>0</v>
      </c>
      <c r="K1321" s="2">
        <v>0</v>
      </c>
      <c r="L1321" s="3">
        <v>45840</v>
      </c>
      <c r="M1321" s="3">
        <v>45840</v>
      </c>
      <c r="N1321" s="3"/>
      <c r="O1321" t="s">
        <v>203</v>
      </c>
      <c r="P1321" t="s">
        <v>9</v>
      </c>
      <c r="Q1321" s="4">
        <v>0.38384259259259002</v>
      </c>
      <c r="R1321" t="s">
        <v>5</v>
      </c>
      <c r="S1321" t="s">
        <v>4</v>
      </c>
      <c r="T1321" t="s">
        <v>2766</v>
      </c>
      <c r="U1321" t="s">
        <v>10</v>
      </c>
      <c r="V1321" s="5">
        <v>0</v>
      </c>
      <c r="W1321" s="5">
        <v>0</v>
      </c>
      <c r="X1321" s="2">
        <v>0</v>
      </c>
      <c r="Y1321" t="s">
        <v>4</v>
      </c>
      <c r="Z1321" t="s">
        <v>4</v>
      </c>
      <c r="AA1321" t="s">
        <v>4</v>
      </c>
      <c r="AB1321" t="s">
        <v>4</v>
      </c>
    </row>
    <row r="1322" spans="1:28" x14ac:dyDescent="0.2">
      <c r="A1322" t="s">
        <v>0</v>
      </c>
      <c r="B1322" t="s">
        <v>2</v>
      </c>
      <c r="C1322" t="s">
        <v>3</v>
      </c>
      <c r="D1322" t="s">
        <v>4</v>
      </c>
      <c r="E1322" t="s">
        <v>4</v>
      </c>
      <c r="F1322" t="s">
        <v>5</v>
      </c>
      <c r="G1322" t="s">
        <v>6</v>
      </c>
      <c r="H1322" t="s">
        <v>205</v>
      </c>
      <c r="I1322" s="2">
        <v>196</v>
      </c>
      <c r="J1322" s="2">
        <v>0</v>
      </c>
      <c r="K1322" s="2">
        <v>0</v>
      </c>
      <c r="L1322" s="3">
        <v>45820</v>
      </c>
      <c r="M1322" s="3">
        <v>45820</v>
      </c>
      <c r="N1322" s="3"/>
      <c r="O1322" t="s">
        <v>207</v>
      </c>
      <c r="P1322" t="s">
        <v>9</v>
      </c>
      <c r="Q1322" s="4">
        <v>0.90736111111110995</v>
      </c>
      <c r="R1322" t="s">
        <v>5</v>
      </c>
      <c r="S1322" t="s">
        <v>4</v>
      </c>
      <c r="T1322" t="s">
        <v>3198</v>
      </c>
      <c r="U1322" t="s">
        <v>10</v>
      </c>
      <c r="V1322" s="5">
        <v>0</v>
      </c>
      <c r="W1322" s="5">
        <v>0</v>
      </c>
      <c r="X1322" s="2">
        <v>0</v>
      </c>
      <c r="Y1322" t="s">
        <v>4</v>
      </c>
      <c r="Z1322" t="s">
        <v>4</v>
      </c>
      <c r="AA1322" t="s">
        <v>4</v>
      </c>
      <c r="AB1322" t="s">
        <v>4</v>
      </c>
    </row>
    <row r="1323" spans="1:28" x14ac:dyDescent="0.2">
      <c r="A1323" t="s">
        <v>0</v>
      </c>
      <c r="B1323" t="s">
        <v>2</v>
      </c>
      <c r="C1323" t="s">
        <v>3</v>
      </c>
      <c r="D1323" t="s">
        <v>4</v>
      </c>
      <c r="E1323" t="s">
        <v>4</v>
      </c>
      <c r="F1323" t="s">
        <v>5</v>
      </c>
      <c r="G1323" t="s">
        <v>6</v>
      </c>
      <c r="H1323" t="s">
        <v>205</v>
      </c>
      <c r="I1323" s="2">
        <v>196</v>
      </c>
      <c r="J1323" s="2">
        <v>0</v>
      </c>
      <c r="K1323" s="2">
        <v>0</v>
      </c>
      <c r="L1323" s="3">
        <v>45820</v>
      </c>
      <c r="M1323" s="3">
        <v>45820</v>
      </c>
      <c r="N1323" s="3"/>
      <c r="O1323" t="s">
        <v>206</v>
      </c>
      <c r="P1323" t="s">
        <v>9</v>
      </c>
      <c r="Q1323" s="4">
        <v>0.90736111111110995</v>
      </c>
      <c r="R1323" t="s">
        <v>5</v>
      </c>
      <c r="S1323" t="s">
        <v>4</v>
      </c>
      <c r="T1323" t="s">
        <v>3198</v>
      </c>
      <c r="U1323" t="s">
        <v>10</v>
      </c>
      <c r="V1323" s="5">
        <v>0</v>
      </c>
      <c r="W1323" s="5">
        <v>0</v>
      </c>
      <c r="X1323" s="2">
        <v>0</v>
      </c>
      <c r="Y1323" t="s">
        <v>4</v>
      </c>
      <c r="Z1323" t="s">
        <v>4</v>
      </c>
      <c r="AA1323" t="s">
        <v>4</v>
      </c>
      <c r="AB1323" t="s">
        <v>4</v>
      </c>
    </row>
    <row r="1324" spans="1:28" x14ac:dyDescent="0.2">
      <c r="A1324" t="s">
        <v>1135</v>
      </c>
      <c r="B1324" t="s">
        <v>2</v>
      </c>
      <c r="C1324" t="s">
        <v>3</v>
      </c>
      <c r="D1324" t="s">
        <v>4</v>
      </c>
      <c r="E1324" t="s">
        <v>4</v>
      </c>
      <c r="F1324" t="s">
        <v>5</v>
      </c>
      <c r="G1324" t="s">
        <v>21</v>
      </c>
      <c r="H1324" t="s">
        <v>4200</v>
      </c>
      <c r="I1324" s="2">
        <v>480</v>
      </c>
      <c r="J1324" s="2">
        <v>0</v>
      </c>
      <c r="K1324" s="2">
        <v>0</v>
      </c>
      <c r="L1324" s="3">
        <v>45822</v>
      </c>
      <c r="M1324" s="3">
        <v>45822</v>
      </c>
      <c r="N1324" s="3"/>
      <c r="O1324" t="s">
        <v>4201</v>
      </c>
      <c r="P1324" t="s">
        <v>9</v>
      </c>
      <c r="Q1324" s="4">
        <v>0.88916666666666999</v>
      </c>
      <c r="R1324" t="s">
        <v>5</v>
      </c>
      <c r="S1324" t="s">
        <v>4</v>
      </c>
      <c r="T1324" t="s">
        <v>3122</v>
      </c>
      <c r="U1324" t="s">
        <v>10</v>
      </c>
      <c r="V1324" s="5">
        <v>0</v>
      </c>
      <c r="W1324" s="5">
        <v>0</v>
      </c>
      <c r="X1324" s="2">
        <v>0</v>
      </c>
      <c r="Y1324" t="s">
        <v>4</v>
      </c>
      <c r="Z1324" t="s">
        <v>4</v>
      </c>
      <c r="AA1324" t="s">
        <v>4</v>
      </c>
      <c r="AB1324" t="s">
        <v>4</v>
      </c>
    </row>
    <row r="1325" spans="1:28" x14ac:dyDescent="0.2">
      <c r="A1325" t="s">
        <v>1135</v>
      </c>
      <c r="B1325" t="s">
        <v>2</v>
      </c>
      <c r="C1325" t="s">
        <v>3</v>
      </c>
      <c r="D1325" t="s">
        <v>4</v>
      </c>
      <c r="E1325" t="s">
        <v>4</v>
      </c>
      <c r="F1325" t="s">
        <v>5</v>
      </c>
      <c r="G1325" t="s">
        <v>21</v>
      </c>
      <c r="H1325" t="s">
        <v>4200</v>
      </c>
      <c r="I1325" s="2">
        <v>480</v>
      </c>
      <c r="J1325" s="2">
        <v>0</v>
      </c>
      <c r="K1325" s="2">
        <v>0</v>
      </c>
      <c r="L1325" s="3">
        <v>45822</v>
      </c>
      <c r="M1325" s="3">
        <v>45822</v>
      </c>
      <c r="N1325" s="3"/>
      <c r="O1325" t="s">
        <v>4202</v>
      </c>
      <c r="P1325" t="s">
        <v>9</v>
      </c>
      <c r="Q1325" s="4">
        <v>0.88916666666666999</v>
      </c>
      <c r="R1325" t="s">
        <v>5</v>
      </c>
      <c r="S1325" t="s">
        <v>4</v>
      </c>
      <c r="T1325" t="s">
        <v>3122</v>
      </c>
      <c r="U1325" t="s">
        <v>10</v>
      </c>
      <c r="V1325" s="5">
        <v>0</v>
      </c>
      <c r="W1325" s="5">
        <v>0</v>
      </c>
      <c r="X1325" s="2">
        <v>0</v>
      </c>
      <c r="Y1325" t="s">
        <v>4</v>
      </c>
      <c r="Z1325" t="s">
        <v>4</v>
      </c>
      <c r="AA1325" t="s">
        <v>4</v>
      </c>
      <c r="AB1325" t="s">
        <v>4</v>
      </c>
    </row>
    <row r="1326" spans="1:28" x14ac:dyDescent="0.2">
      <c r="A1326" t="s">
        <v>1139</v>
      </c>
      <c r="B1326" t="s">
        <v>2</v>
      </c>
      <c r="C1326" t="s">
        <v>3</v>
      </c>
      <c r="D1326" t="s">
        <v>4</v>
      </c>
      <c r="E1326" t="s">
        <v>4</v>
      </c>
      <c r="F1326" t="s">
        <v>5</v>
      </c>
      <c r="G1326" t="s">
        <v>21</v>
      </c>
      <c r="H1326" t="s">
        <v>4203</v>
      </c>
      <c r="I1326" s="2">
        <v>432</v>
      </c>
      <c r="J1326" s="2">
        <v>0</v>
      </c>
      <c r="K1326" s="2">
        <v>0</v>
      </c>
      <c r="L1326" s="3">
        <v>45834</v>
      </c>
      <c r="M1326" s="3">
        <v>45834</v>
      </c>
      <c r="N1326" s="3"/>
      <c r="O1326" t="s">
        <v>4204</v>
      </c>
      <c r="P1326" t="s">
        <v>9</v>
      </c>
      <c r="Q1326" s="4">
        <v>0.49672453703704</v>
      </c>
      <c r="R1326" t="s">
        <v>5</v>
      </c>
      <c r="S1326" t="s">
        <v>4</v>
      </c>
      <c r="T1326" t="s">
        <v>2817</v>
      </c>
      <c r="U1326" t="s">
        <v>10</v>
      </c>
      <c r="V1326" s="5">
        <v>0</v>
      </c>
      <c r="W1326" s="5">
        <v>0</v>
      </c>
      <c r="X1326" s="2">
        <v>0</v>
      </c>
      <c r="Y1326" t="s">
        <v>4</v>
      </c>
      <c r="Z1326" t="s">
        <v>4</v>
      </c>
      <c r="AA1326" t="s">
        <v>4</v>
      </c>
      <c r="AB1326" t="s">
        <v>4</v>
      </c>
    </row>
    <row r="1327" spans="1:28" x14ac:dyDescent="0.2">
      <c r="A1327" t="s">
        <v>1139</v>
      </c>
      <c r="B1327" t="s">
        <v>2</v>
      </c>
      <c r="C1327" t="s">
        <v>3</v>
      </c>
      <c r="D1327" t="s">
        <v>4</v>
      </c>
      <c r="E1327" t="s">
        <v>4</v>
      </c>
      <c r="F1327" t="s">
        <v>5</v>
      </c>
      <c r="G1327" t="s">
        <v>21</v>
      </c>
      <c r="H1327" t="s">
        <v>4203</v>
      </c>
      <c r="I1327" s="2">
        <v>432</v>
      </c>
      <c r="J1327" s="2">
        <v>0</v>
      </c>
      <c r="K1327" s="2">
        <v>0</v>
      </c>
      <c r="L1327" s="3">
        <v>45834</v>
      </c>
      <c r="M1327" s="3">
        <v>45834</v>
      </c>
      <c r="N1327" s="3"/>
      <c r="O1327" t="s">
        <v>4205</v>
      </c>
      <c r="P1327" t="s">
        <v>9</v>
      </c>
      <c r="Q1327" s="4">
        <v>0.49672453703704</v>
      </c>
      <c r="R1327" t="s">
        <v>5</v>
      </c>
      <c r="S1327" t="s">
        <v>4</v>
      </c>
      <c r="T1327" t="s">
        <v>2817</v>
      </c>
      <c r="U1327" t="s">
        <v>10</v>
      </c>
      <c r="V1327" s="5">
        <v>0</v>
      </c>
      <c r="W1327" s="5">
        <v>0</v>
      </c>
      <c r="X1327" s="2">
        <v>0</v>
      </c>
      <c r="Y1327" t="s">
        <v>4</v>
      </c>
      <c r="Z1327" t="s">
        <v>4</v>
      </c>
      <c r="AA1327" t="s">
        <v>4</v>
      </c>
      <c r="AB1327" t="s">
        <v>4</v>
      </c>
    </row>
    <row r="1328" spans="1:28" x14ac:dyDescent="0.2">
      <c r="A1328" t="s">
        <v>1135</v>
      </c>
      <c r="B1328" t="s">
        <v>2</v>
      </c>
      <c r="C1328" t="s">
        <v>3</v>
      </c>
      <c r="D1328" t="s">
        <v>4</v>
      </c>
      <c r="E1328" t="s">
        <v>4</v>
      </c>
      <c r="F1328" t="s">
        <v>5</v>
      </c>
      <c r="G1328" t="s">
        <v>21</v>
      </c>
      <c r="H1328" t="s">
        <v>4206</v>
      </c>
      <c r="I1328" s="2">
        <v>480</v>
      </c>
      <c r="J1328" s="2">
        <v>0</v>
      </c>
      <c r="K1328" s="2">
        <v>0</v>
      </c>
      <c r="L1328" s="3">
        <v>45857</v>
      </c>
      <c r="M1328" s="3">
        <v>45857</v>
      </c>
      <c r="N1328" s="3"/>
      <c r="O1328" t="s">
        <v>4207</v>
      </c>
      <c r="P1328" t="s">
        <v>9</v>
      </c>
      <c r="Q1328" s="4">
        <v>0.77295138888889003</v>
      </c>
      <c r="R1328" t="s">
        <v>5</v>
      </c>
      <c r="S1328" t="s">
        <v>4</v>
      </c>
      <c r="T1328" t="s">
        <v>2262</v>
      </c>
      <c r="U1328" t="s">
        <v>10</v>
      </c>
      <c r="V1328" s="5">
        <v>0</v>
      </c>
      <c r="W1328" s="5">
        <v>0</v>
      </c>
      <c r="X1328" s="2">
        <v>0</v>
      </c>
      <c r="Y1328" t="s">
        <v>4</v>
      </c>
      <c r="Z1328" t="s">
        <v>4</v>
      </c>
      <c r="AA1328" t="s">
        <v>4</v>
      </c>
      <c r="AB1328" t="s">
        <v>4</v>
      </c>
    </row>
    <row r="1329" spans="1:28" x14ac:dyDescent="0.2">
      <c r="A1329" t="s">
        <v>1135</v>
      </c>
      <c r="B1329" t="s">
        <v>2</v>
      </c>
      <c r="C1329" t="s">
        <v>3</v>
      </c>
      <c r="D1329" t="s">
        <v>4</v>
      </c>
      <c r="E1329" t="s">
        <v>4</v>
      </c>
      <c r="F1329" t="s">
        <v>5</v>
      </c>
      <c r="G1329" t="s">
        <v>21</v>
      </c>
      <c r="H1329" t="s">
        <v>4206</v>
      </c>
      <c r="I1329" s="2">
        <v>480</v>
      </c>
      <c r="J1329" s="2">
        <v>0</v>
      </c>
      <c r="K1329" s="2">
        <v>0</v>
      </c>
      <c r="L1329" s="3">
        <v>45857</v>
      </c>
      <c r="M1329" s="3">
        <v>45857</v>
      </c>
      <c r="N1329" s="3"/>
      <c r="O1329" t="s">
        <v>4208</v>
      </c>
      <c r="P1329" t="s">
        <v>9</v>
      </c>
      <c r="Q1329" s="4">
        <v>0.77295138888889003</v>
      </c>
      <c r="R1329" t="s">
        <v>5</v>
      </c>
      <c r="S1329" t="s">
        <v>4</v>
      </c>
      <c r="T1329" t="s">
        <v>2262</v>
      </c>
      <c r="U1329" t="s">
        <v>10</v>
      </c>
      <c r="V1329" s="5">
        <v>0</v>
      </c>
      <c r="W1329" s="5">
        <v>0</v>
      </c>
      <c r="X1329" s="2">
        <v>0</v>
      </c>
      <c r="Y1329" t="s">
        <v>4</v>
      </c>
      <c r="Z1329" t="s">
        <v>4</v>
      </c>
      <c r="AA1329" t="s">
        <v>4</v>
      </c>
      <c r="AB1329" t="s">
        <v>4</v>
      </c>
    </row>
    <row r="1330" spans="1:28" x14ac:dyDescent="0.2">
      <c r="A1330" t="s">
        <v>659</v>
      </c>
      <c r="B1330" t="s">
        <v>2</v>
      </c>
      <c r="C1330" t="s">
        <v>3</v>
      </c>
      <c r="D1330" t="s">
        <v>4</v>
      </c>
      <c r="E1330" t="s">
        <v>4</v>
      </c>
      <c r="F1330" t="s">
        <v>5</v>
      </c>
      <c r="G1330" t="s">
        <v>21</v>
      </c>
      <c r="H1330" t="s">
        <v>4209</v>
      </c>
      <c r="I1330" s="2">
        <v>1110</v>
      </c>
      <c r="J1330" s="2">
        <v>0</v>
      </c>
      <c r="K1330" s="2">
        <v>0</v>
      </c>
      <c r="L1330" s="3">
        <v>45843</v>
      </c>
      <c r="M1330" s="3">
        <v>45843</v>
      </c>
      <c r="N1330" s="3"/>
      <c r="O1330" t="s">
        <v>4210</v>
      </c>
      <c r="P1330" t="s">
        <v>9</v>
      </c>
      <c r="Q1330" s="4">
        <v>0.56614583333333002</v>
      </c>
      <c r="R1330" t="s">
        <v>5</v>
      </c>
      <c r="S1330" t="s">
        <v>4</v>
      </c>
      <c r="T1330" t="s">
        <v>2783</v>
      </c>
      <c r="U1330" t="s">
        <v>10</v>
      </c>
      <c r="V1330" s="5">
        <v>0</v>
      </c>
      <c r="W1330" s="5">
        <v>0</v>
      </c>
      <c r="X1330" s="2">
        <v>0</v>
      </c>
      <c r="Y1330" t="s">
        <v>4</v>
      </c>
      <c r="Z1330" t="s">
        <v>4</v>
      </c>
      <c r="AA1330" t="s">
        <v>4</v>
      </c>
      <c r="AB1330" t="s">
        <v>4</v>
      </c>
    </row>
    <row r="1331" spans="1:28" x14ac:dyDescent="0.2">
      <c r="A1331" t="s">
        <v>659</v>
      </c>
      <c r="B1331" t="s">
        <v>2</v>
      </c>
      <c r="C1331" t="s">
        <v>3</v>
      </c>
      <c r="D1331" t="s">
        <v>4</v>
      </c>
      <c r="E1331" t="s">
        <v>4</v>
      </c>
      <c r="F1331" t="s">
        <v>5</v>
      </c>
      <c r="G1331" t="s">
        <v>21</v>
      </c>
      <c r="H1331" t="s">
        <v>4209</v>
      </c>
      <c r="I1331" s="2">
        <v>1110</v>
      </c>
      <c r="J1331" s="2">
        <v>0</v>
      </c>
      <c r="K1331" s="2">
        <v>0</v>
      </c>
      <c r="L1331" s="3">
        <v>45840</v>
      </c>
      <c r="M1331" s="3">
        <v>45840</v>
      </c>
      <c r="N1331" s="3"/>
      <c r="O1331" t="s">
        <v>4211</v>
      </c>
      <c r="P1331" t="s">
        <v>9</v>
      </c>
      <c r="Q1331" s="4">
        <v>0.56614583333333002</v>
      </c>
      <c r="R1331" t="s">
        <v>5</v>
      </c>
      <c r="S1331" t="s">
        <v>4</v>
      </c>
      <c r="T1331" t="s">
        <v>2766</v>
      </c>
      <c r="U1331" t="s">
        <v>10</v>
      </c>
      <c r="V1331" s="5">
        <v>0</v>
      </c>
      <c r="W1331" s="5">
        <v>0</v>
      </c>
      <c r="X1331" s="2">
        <v>0</v>
      </c>
      <c r="Y1331" t="s">
        <v>4</v>
      </c>
      <c r="Z1331" t="s">
        <v>4</v>
      </c>
      <c r="AA1331" t="s">
        <v>4</v>
      </c>
      <c r="AB1331" t="s">
        <v>4</v>
      </c>
    </row>
    <row r="1332" spans="1:28" hidden="1" x14ac:dyDescent="0.2">
      <c r="A1332" t="s">
        <v>1994</v>
      </c>
      <c r="B1332" t="s">
        <v>2</v>
      </c>
      <c r="C1332" t="s">
        <v>3</v>
      </c>
      <c r="D1332" t="s">
        <v>4</v>
      </c>
      <c r="E1332" t="s">
        <v>4</v>
      </c>
      <c r="F1332" t="s">
        <v>16</v>
      </c>
      <c r="G1332" t="s">
        <v>6</v>
      </c>
      <c r="H1332" t="s">
        <v>4212</v>
      </c>
      <c r="I1332" s="2">
        <v>400</v>
      </c>
      <c r="J1332" s="2">
        <v>0</v>
      </c>
      <c r="K1332" s="2">
        <v>0</v>
      </c>
      <c r="L1332" s="3">
        <v>45597</v>
      </c>
      <c r="M1332" s="3">
        <v>45715</v>
      </c>
      <c r="N1332" s="3">
        <v>45715</v>
      </c>
      <c r="O1332" t="s">
        <v>4213</v>
      </c>
      <c r="P1332" t="s">
        <v>20</v>
      </c>
      <c r="Q1332" s="4">
        <v>0.51725694444444004</v>
      </c>
      <c r="R1332" t="s">
        <v>16</v>
      </c>
      <c r="S1332" t="s">
        <v>4</v>
      </c>
      <c r="T1332" t="s">
        <v>4214</v>
      </c>
      <c r="U1332" t="s">
        <v>10</v>
      </c>
      <c r="V1332" s="5">
        <v>0</v>
      </c>
      <c r="W1332" s="5">
        <v>0</v>
      </c>
      <c r="X1332" s="2">
        <v>0</v>
      </c>
      <c r="Y1332" t="s">
        <v>4</v>
      </c>
      <c r="Z1332" t="s">
        <v>4</v>
      </c>
      <c r="AA1332" t="s">
        <v>4</v>
      </c>
      <c r="AB1332" t="s">
        <v>4</v>
      </c>
    </row>
    <row r="1333" spans="1:28" hidden="1" x14ac:dyDescent="0.2">
      <c r="A1333" t="s">
        <v>1854</v>
      </c>
      <c r="B1333" t="s">
        <v>2</v>
      </c>
      <c r="C1333" t="s">
        <v>3</v>
      </c>
      <c r="D1333" t="s">
        <v>4</v>
      </c>
      <c r="E1333" t="s">
        <v>4</v>
      </c>
      <c r="F1333" t="s">
        <v>16</v>
      </c>
      <c r="G1333" t="s">
        <v>6</v>
      </c>
      <c r="H1333" t="s">
        <v>4215</v>
      </c>
      <c r="I1333" s="2">
        <v>100</v>
      </c>
      <c r="J1333" s="2">
        <v>0</v>
      </c>
      <c r="K1333" s="2">
        <v>0</v>
      </c>
      <c r="L1333" s="3">
        <v>45569</v>
      </c>
      <c r="M1333" s="3">
        <v>45569</v>
      </c>
      <c r="N1333" s="3"/>
      <c r="O1333" t="s">
        <v>4216</v>
      </c>
      <c r="P1333" t="s">
        <v>20</v>
      </c>
      <c r="Q1333" s="4">
        <v>0.53817129629630001</v>
      </c>
      <c r="R1333" t="s">
        <v>16</v>
      </c>
      <c r="S1333" t="s">
        <v>4</v>
      </c>
      <c r="T1333" t="s">
        <v>4217</v>
      </c>
      <c r="U1333" t="s">
        <v>10</v>
      </c>
      <c r="V1333" s="5">
        <v>0</v>
      </c>
      <c r="W1333" s="5">
        <v>0</v>
      </c>
      <c r="X1333" s="2">
        <v>0</v>
      </c>
      <c r="Y1333" t="s">
        <v>4</v>
      </c>
      <c r="Z1333" t="s">
        <v>4</v>
      </c>
      <c r="AA1333" t="s">
        <v>4</v>
      </c>
      <c r="AB1333" t="s">
        <v>4</v>
      </c>
    </row>
    <row r="1334" spans="1:28" hidden="1" x14ac:dyDescent="0.2">
      <c r="A1334" t="s">
        <v>632</v>
      </c>
      <c r="B1334" t="s">
        <v>2</v>
      </c>
      <c r="C1334" t="s">
        <v>3</v>
      </c>
      <c r="D1334" t="s">
        <v>4</v>
      </c>
      <c r="E1334" t="s">
        <v>4</v>
      </c>
      <c r="F1334" t="s">
        <v>16</v>
      </c>
      <c r="G1334" t="s">
        <v>6</v>
      </c>
      <c r="H1334" t="s">
        <v>4218</v>
      </c>
      <c r="I1334" s="2">
        <v>2304</v>
      </c>
      <c r="J1334" s="2">
        <v>0</v>
      </c>
      <c r="K1334" s="2">
        <v>0</v>
      </c>
      <c r="L1334" s="3">
        <v>45858</v>
      </c>
      <c r="M1334" s="3">
        <v>45858</v>
      </c>
      <c r="N1334" s="3"/>
      <c r="O1334" t="s">
        <v>4219</v>
      </c>
      <c r="P1334" t="s">
        <v>20</v>
      </c>
      <c r="Q1334" s="4">
        <v>0.54211805555556003</v>
      </c>
      <c r="R1334" t="s">
        <v>16</v>
      </c>
      <c r="S1334" t="s">
        <v>4</v>
      </c>
      <c r="T1334" t="s">
        <v>2337</v>
      </c>
      <c r="U1334" t="s">
        <v>10</v>
      </c>
      <c r="V1334" s="5">
        <v>0</v>
      </c>
      <c r="W1334" s="5">
        <v>0</v>
      </c>
      <c r="X1334" s="2">
        <v>0</v>
      </c>
      <c r="Y1334" t="s">
        <v>4</v>
      </c>
      <c r="Z1334" t="s">
        <v>4</v>
      </c>
      <c r="AA1334" t="s">
        <v>4</v>
      </c>
      <c r="AB1334" t="s">
        <v>4</v>
      </c>
    </row>
    <row r="1335" spans="1:28" hidden="1" x14ac:dyDescent="0.2">
      <c r="A1335" t="s">
        <v>1199</v>
      </c>
      <c r="B1335" t="s">
        <v>2</v>
      </c>
      <c r="C1335" t="s">
        <v>3</v>
      </c>
      <c r="D1335" t="s">
        <v>4</v>
      </c>
      <c r="E1335" t="s">
        <v>4</v>
      </c>
      <c r="F1335" t="s">
        <v>16</v>
      </c>
      <c r="G1335" t="s">
        <v>6</v>
      </c>
      <c r="H1335" t="s">
        <v>4220</v>
      </c>
      <c r="I1335" s="2">
        <v>1100</v>
      </c>
      <c r="J1335" s="2">
        <v>0</v>
      </c>
      <c r="K1335" s="2">
        <v>0</v>
      </c>
      <c r="L1335" s="3">
        <v>45666</v>
      </c>
      <c r="M1335" s="3">
        <v>45666</v>
      </c>
      <c r="N1335" s="3"/>
      <c r="O1335" t="s">
        <v>4221</v>
      </c>
      <c r="P1335" t="s">
        <v>20</v>
      </c>
      <c r="Q1335" s="4">
        <v>0.58089120370369995</v>
      </c>
      <c r="R1335" t="s">
        <v>16</v>
      </c>
      <c r="S1335" t="s">
        <v>4</v>
      </c>
      <c r="T1335" t="s">
        <v>3560</v>
      </c>
      <c r="U1335" t="s">
        <v>10</v>
      </c>
      <c r="V1335" s="5">
        <v>0</v>
      </c>
      <c r="W1335" s="5">
        <v>0</v>
      </c>
      <c r="X1335" s="2">
        <v>0</v>
      </c>
      <c r="Y1335" t="s">
        <v>4</v>
      </c>
      <c r="Z1335" t="s">
        <v>4</v>
      </c>
      <c r="AA1335" t="s">
        <v>4</v>
      </c>
      <c r="AB1335" t="s">
        <v>4</v>
      </c>
    </row>
    <row r="1336" spans="1:28" hidden="1" x14ac:dyDescent="0.2">
      <c r="A1336" t="s">
        <v>2251</v>
      </c>
      <c r="B1336" t="s">
        <v>4</v>
      </c>
      <c r="C1336" t="s">
        <v>4</v>
      </c>
      <c r="D1336" t="s">
        <v>4</v>
      </c>
      <c r="E1336" t="s">
        <v>4</v>
      </c>
      <c r="F1336" t="s">
        <v>16</v>
      </c>
      <c r="G1336" t="s">
        <v>6</v>
      </c>
      <c r="H1336" t="s">
        <v>4222</v>
      </c>
      <c r="I1336" s="5">
        <v>0</v>
      </c>
      <c r="J1336" s="5">
        <v>0</v>
      </c>
      <c r="K1336" s="5">
        <v>0</v>
      </c>
      <c r="L1336" s="3"/>
      <c r="M1336" s="3"/>
      <c r="N1336" s="3"/>
      <c r="O1336" t="s">
        <v>4</v>
      </c>
      <c r="P1336" t="s">
        <v>20</v>
      </c>
      <c r="Q1336" s="4">
        <v>0.37939814814814998</v>
      </c>
      <c r="R1336" t="s">
        <v>4</v>
      </c>
      <c r="S1336" t="s">
        <v>4</v>
      </c>
      <c r="T1336" t="s">
        <v>2256</v>
      </c>
      <c r="U1336" t="s">
        <v>4</v>
      </c>
      <c r="V1336" s="5">
        <v>0</v>
      </c>
      <c r="W1336" s="5">
        <v>0</v>
      </c>
      <c r="X1336" s="2">
        <v>0</v>
      </c>
      <c r="Y1336" t="s">
        <v>4</v>
      </c>
      <c r="Z1336" t="s">
        <v>4</v>
      </c>
      <c r="AA1336" t="s">
        <v>4</v>
      </c>
      <c r="AB1336" t="s">
        <v>4</v>
      </c>
    </row>
    <row r="1337" spans="1:28" hidden="1" x14ac:dyDescent="0.2">
      <c r="A1337" t="s">
        <v>1199</v>
      </c>
      <c r="B1337" t="s">
        <v>2</v>
      </c>
      <c r="C1337" t="s">
        <v>3</v>
      </c>
      <c r="D1337" t="s">
        <v>4</v>
      </c>
      <c r="E1337" t="s">
        <v>4</v>
      </c>
      <c r="F1337" t="s">
        <v>16</v>
      </c>
      <c r="G1337" t="s">
        <v>6</v>
      </c>
      <c r="H1337" t="s">
        <v>4223</v>
      </c>
      <c r="I1337" s="2">
        <v>500</v>
      </c>
      <c r="J1337" s="2">
        <v>0</v>
      </c>
      <c r="K1337" s="2">
        <v>0</v>
      </c>
      <c r="L1337" s="3">
        <v>45558</v>
      </c>
      <c r="M1337" s="3">
        <v>45558</v>
      </c>
      <c r="N1337" s="3"/>
      <c r="O1337" t="s">
        <v>4224</v>
      </c>
      <c r="P1337" t="s">
        <v>20</v>
      </c>
      <c r="Q1337" s="4">
        <v>0.56329861111111001</v>
      </c>
      <c r="R1337" t="s">
        <v>16</v>
      </c>
      <c r="S1337" t="s">
        <v>4</v>
      </c>
      <c r="T1337" t="s">
        <v>4225</v>
      </c>
      <c r="U1337" t="s">
        <v>10</v>
      </c>
      <c r="V1337" s="5">
        <v>0</v>
      </c>
      <c r="W1337" s="5">
        <v>0</v>
      </c>
      <c r="X1337" s="2">
        <v>0</v>
      </c>
      <c r="Y1337" t="s">
        <v>4</v>
      </c>
      <c r="Z1337" t="s">
        <v>4</v>
      </c>
      <c r="AA1337" t="s">
        <v>4</v>
      </c>
      <c r="AB1337" t="s">
        <v>4</v>
      </c>
    </row>
    <row r="1338" spans="1:28" hidden="1" x14ac:dyDescent="0.2">
      <c r="A1338" t="s">
        <v>1857</v>
      </c>
      <c r="B1338" t="s">
        <v>2</v>
      </c>
      <c r="C1338" t="s">
        <v>3</v>
      </c>
      <c r="D1338" t="s">
        <v>4</v>
      </c>
      <c r="E1338" t="s">
        <v>4</v>
      </c>
      <c r="F1338" t="s">
        <v>16</v>
      </c>
      <c r="G1338" t="s">
        <v>6</v>
      </c>
      <c r="H1338" t="s">
        <v>4226</v>
      </c>
      <c r="I1338" s="2">
        <v>30000</v>
      </c>
      <c r="J1338" s="2">
        <v>0</v>
      </c>
      <c r="K1338" s="2">
        <v>0</v>
      </c>
      <c r="L1338" s="3">
        <v>45821</v>
      </c>
      <c r="M1338" s="3">
        <v>45821</v>
      </c>
      <c r="N1338" s="3"/>
      <c r="O1338" t="s">
        <v>4227</v>
      </c>
      <c r="P1338" t="s">
        <v>20</v>
      </c>
      <c r="Q1338" s="4">
        <v>0.95049768518518996</v>
      </c>
      <c r="R1338" t="s">
        <v>16</v>
      </c>
      <c r="S1338" t="s">
        <v>4</v>
      </c>
      <c r="T1338" t="s">
        <v>4228</v>
      </c>
      <c r="U1338" t="s">
        <v>10</v>
      </c>
      <c r="V1338" s="5">
        <v>0</v>
      </c>
      <c r="W1338" s="5">
        <v>0</v>
      </c>
      <c r="X1338" s="2">
        <v>0</v>
      </c>
      <c r="Y1338" t="s">
        <v>4</v>
      </c>
      <c r="Z1338" t="s">
        <v>4</v>
      </c>
      <c r="AA1338" t="s">
        <v>4</v>
      </c>
      <c r="AB1338" t="s">
        <v>4</v>
      </c>
    </row>
    <row r="1339" spans="1:28" hidden="1" x14ac:dyDescent="0.2">
      <c r="A1339" t="s">
        <v>1505</v>
      </c>
      <c r="B1339" t="s">
        <v>2</v>
      </c>
      <c r="C1339" t="s">
        <v>3</v>
      </c>
      <c r="D1339" t="s">
        <v>4</v>
      </c>
      <c r="E1339" t="s">
        <v>4</v>
      </c>
      <c r="F1339" t="s">
        <v>16</v>
      </c>
      <c r="G1339" t="s">
        <v>6</v>
      </c>
      <c r="H1339" t="s">
        <v>4229</v>
      </c>
      <c r="I1339" s="2">
        <v>8000</v>
      </c>
      <c r="J1339" s="2">
        <v>0</v>
      </c>
      <c r="K1339" s="2">
        <v>0</v>
      </c>
      <c r="L1339" s="3">
        <v>45828</v>
      </c>
      <c r="M1339" s="3">
        <v>45852</v>
      </c>
      <c r="N1339" s="3">
        <v>45852</v>
      </c>
      <c r="O1339" t="s">
        <v>4230</v>
      </c>
      <c r="P1339" t="s">
        <v>20</v>
      </c>
      <c r="Q1339" s="4">
        <v>0.51609953703704003</v>
      </c>
      <c r="R1339" t="s">
        <v>16</v>
      </c>
      <c r="S1339" t="s">
        <v>4</v>
      </c>
      <c r="T1339" t="s">
        <v>3742</v>
      </c>
      <c r="U1339" t="s">
        <v>10</v>
      </c>
      <c r="V1339" s="5">
        <v>0</v>
      </c>
      <c r="W1339" s="5">
        <v>0</v>
      </c>
      <c r="X1339" s="2">
        <v>0</v>
      </c>
      <c r="Y1339" t="s">
        <v>4</v>
      </c>
      <c r="Z1339" t="s">
        <v>4</v>
      </c>
      <c r="AA1339" t="s">
        <v>4</v>
      </c>
      <c r="AB1339" t="s">
        <v>4</v>
      </c>
    </row>
    <row r="1340" spans="1:28" hidden="1" x14ac:dyDescent="0.2">
      <c r="A1340" t="s">
        <v>1963</v>
      </c>
      <c r="B1340" t="s">
        <v>2</v>
      </c>
      <c r="C1340" t="s">
        <v>3</v>
      </c>
      <c r="D1340" t="s">
        <v>4</v>
      </c>
      <c r="E1340" t="s">
        <v>4</v>
      </c>
      <c r="F1340" t="s">
        <v>16</v>
      </c>
      <c r="G1340" t="s">
        <v>17</v>
      </c>
      <c r="H1340" t="s">
        <v>4231</v>
      </c>
      <c r="I1340" s="2">
        <v>6336</v>
      </c>
      <c r="J1340" s="2">
        <v>0</v>
      </c>
      <c r="K1340" s="2">
        <v>0</v>
      </c>
      <c r="L1340" s="3">
        <v>45742</v>
      </c>
      <c r="M1340" s="3">
        <v>45742</v>
      </c>
      <c r="N1340" s="3"/>
      <c r="O1340" t="s">
        <v>4232</v>
      </c>
      <c r="P1340" t="s">
        <v>20</v>
      </c>
      <c r="Q1340" s="4">
        <v>0.63450231481481001</v>
      </c>
      <c r="R1340" t="s">
        <v>16</v>
      </c>
      <c r="S1340" t="s">
        <v>4</v>
      </c>
      <c r="T1340" t="s">
        <v>3620</v>
      </c>
      <c r="U1340" t="s">
        <v>10</v>
      </c>
      <c r="V1340" s="5">
        <v>0</v>
      </c>
      <c r="W1340" s="5">
        <v>0</v>
      </c>
      <c r="X1340" s="2">
        <v>0</v>
      </c>
      <c r="Y1340" t="s">
        <v>4</v>
      </c>
      <c r="Z1340" t="s">
        <v>4</v>
      </c>
      <c r="AA1340" t="s">
        <v>4</v>
      </c>
      <c r="AB1340" t="s">
        <v>4</v>
      </c>
    </row>
    <row r="1341" spans="1:28" hidden="1" x14ac:dyDescent="0.2">
      <c r="A1341" t="s">
        <v>0</v>
      </c>
      <c r="B1341" t="s">
        <v>2</v>
      </c>
      <c r="C1341" t="s">
        <v>3</v>
      </c>
      <c r="D1341" t="s">
        <v>4</v>
      </c>
      <c r="E1341" t="s">
        <v>4</v>
      </c>
      <c r="F1341" t="s">
        <v>16</v>
      </c>
      <c r="G1341" t="s">
        <v>17</v>
      </c>
      <c r="H1341" t="s">
        <v>18</v>
      </c>
      <c r="I1341" s="2">
        <v>196</v>
      </c>
      <c r="J1341" s="2">
        <v>0</v>
      </c>
      <c r="K1341" s="2">
        <v>0</v>
      </c>
      <c r="L1341" s="3">
        <v>45843</v>
      </c>
      <c r="M1341" s="3">
        <v>45843</v>
      </c>
      <c r="N1341" s="3"/>
      <c r="O1341" t="s">
        <v>19</v>
      </c>
      <c r="P1341" t="s">
        <v>20</v>
      </c>
      <c r="Q1341" s="4">
        <v>0.92793981481481003</v>
      </c>
      <c r="R1341" t="s">
        <v>16</v>
      </c>
      <c r="S1341" t="s">
        <v>4</v>
      </c>
      <c r="T1341" t="s">
        <v>2783</v>
      </c>
      <c r="U1341" t="s">
        <v>10</v>
      </c>
      <c r="V1341" s="5">
        <v>0</v>
      </c>
      <c r="W1341" s="5">
        <v>0</v>
      </c>
      <c r="X1341" s="2">
        <v>0</v>
      </c>
      <c r="Y1341" t="s">
        <v>4</v>
      </c>
      <c r="Z1341" t="s">
        <v>4</v>
      </c>
      <c r="AA1341" t="s">
        <v>4</v>
      </c>
      <c r="AB1341" t="s">
        <v>4</v>
      </c>
    </row>
    <row r="1342" spans="1:28" hidden="1" x14ac:dyDescent="0.2">
      <c r="A1342" t="s">
        <v>942</v>
      </c>
      <c r="B1342" t="s">
        <v>2</v>
      </c>
      <c r="C1342" t="s">
        <v>3</v>
      </c>
      <c r="D1342" t="s">
        <v>4</v>
      </c>
      <c r="E1342" t="s">
        <v>4</v>
      </c>
      <c r="F1342" t="s">
        <v>16</v>
      </c>
      <c r="G1342" t="s">
        <v>6</v>
      </c>
      <c r="H1342" t="s">
        <v>4233</v>
      </c>
      <c r="I1342" s="2">
        <v>100</v>
      </c>
      <c r="J1342" s="2">
        <v>0</v>
      </c>
      <c r="K1342" s="2">
        <v>0</v>
      </c>
      <c r="L1342" s="3">
        <v>45832</v>
      </c>
      <c r="M1342" s="3">
        <v>45840</v>
      </c>
      <c r="N1342" s="3"/>
      <c r="O1342" t="s">
        <v>4234</v>
      </c>
      <c r="P1342" t="s">
        <v>20</v>
      </c>
      <c r="Q1342" s="4">
        <v>0.47865740740740997</v>
      </c>
      <c r="R1342" t="s">
        <v>16</v>
      </c>
      <c r="S1342" t="s">
        <v>4</v>
      </c>
      <c r="T1342" t="s">
        <v>2665</v>
      </c>
      <c r="U1342" t="s">
        <v>10</v>
      </c>
      <c r="V1342" s="5">
        <v>0</v>
      </c>
      <c r="W1342" s="5">
        <v>0</v>
      </c>
      <c r="X1342" s="2">
        <v>0</v>
      </c>
      <c r="Y1342" t="s">
        <v>4</v>
      </c>
      <c r="Z1342" t="s">
        <v>4</v>
      </c>
      <c r="AA1342" t="s">
        <v>4</v>
      </c>
      <c r="AB1342" t="s">
        <v>4</v>
      </c>
    </row>
    <row r="1343" spans="1:28" hidden="1" x14ac:dyDescent="0.2">
      <c r="A1343" t="s">
        <v>1947</v>
      </c>
      <c r="B1343" t="s">
        <v>2</v>
      </c>
      <c r="C1343" t="s">
        <v>3</v>
      </c>
      <c r="D1343" t="s">
        <v>4</v>
      </c>
      <c r="E1343" t="s">
        <v>4</v>
      </c>
      <c r="F1343" t="s">
        <v>16</v>
      </c>
      <c r="G1343" t="s">
        <v>6</v>
      </c>
      <c r="H1343" t="s">
        <v>4235</v>
      </c>
      <c r="I1343" s="2">
        <v>2100</v>
      </c>
      <c r="J1343" s="2">
        <v>0</v>
      </c>
      <c r="K1343" s="2">
        <v>0</v>
      </c>
      <c r="L1343" s="3">
        <v>45834</v>
      </c>
      <c r="M1343" s="3">
        <v>45855</v>
      </c>
      <c r="N1343" s="3"/>
      <c r="O1343" t="s">
        <v>4236</v>
      </c>
      <c r="P1343" t="s">
        <v>20</v>
      </c>
      <c r="Q1343" s="4">
        <v>0.91500000000000004</v>
      </c>
      <c r="R1343" t="s">
        <v>16</v>
      </c>
      <c r="S1343" t="s">
        <v>4</v>
      </c>
      <c r="T1343" t="s">
        <v>2817</v>
      </c>
      <c r="U1343" t="s">
        <v>4237</v>
      </c>
      <c r="V1343" s="5">
        <v>0</v>
      </c>
      <c r="W1343" s="5">
        <v>0</v>
      </c>
      <c r="X1343" s="2">
        <v>0</v>
      </c>
      <c r="Y1343" t="s">
        <v>4</v>
      </c>
      <c r="Z1343" t="s">
        <v>4</v>
      </c>
      <c r="AA1343" t="s">
        <v>4</v>
      </c>
      <c r="AB1343" t="s">
        <v>4</v>
      </c>
    </row>
    <row r="1344" spans="1:28" hidden="1" x14ac:dyDescent="0.2">
      <c r="A1344" t="s">
        <v>611</v>
      </c>
      <c r="B1344" t="s">
        <v>2</v>
      </c>
      <c r="C1344" t="s">
        <v>3</v>
      </c>
      <c r="D1344" t="s">
        <v>4</v>
      </c>
      <c r="E1344" t="s">
        <v>4</v>
      </c>
      <c r="F1344" t="s">
        <v>16</v>
      </c>
      <c r="G1344" t="s">
        <v>6</v>
      </c>
      <c r="H1344" t="s">
        <v>4238</v>
      </c>
      <c r="I1344" s="2">
        <v>12000</v>
      </c>
      <c r="J1344" s="2">
        <v>0</v>
      </c>
      <c r="K1344" s="2">
        <v>0</v>
      </c>
      <c r="L1344" s="3">
        <v>45848</v>
      </c>
      <c r="M1344" s="3">
        <v>45848</v>
      </c>
      <c r="N1344" s="3"/>
      <c r="O1344" t="s">
        <v>4239</v>
      </c>
      <c r="P1344" t="s">
        <v>20</v>
      </c>
      <c r="Q1344" s="4">
        <v>0.82087962962963001</v>
      </c>
      <c r="R1344" t="s">
        <v>16</v>
      </c>
      <c r="S1344" t="s">
        <v>4</v>
      </c>
      <c r="T1344" t="s">
        <v>2580</v>
      </c>
      <c r="U1344" t="s">
        <v>10</v>
      </c>
      <c r="V1344" s="5">
        <v>0</v>
      </c>
      <c r="W1344" s="5">
        <v>0</v>
      </c>
      <c r="X1344" s="2">
        <v>0</v>
      </c>
      <c r="Y1344" t="s">
        <v>4</v>
      </c>
      <c r="Z1344" t="s">
        <v>4</v>
      </c>
      <c r="AA1344" t="s">
        <v>4</v>
      </c>
      <c r="AB1344" t="s">
        <v>4</v>
      </c>
    </row>
    <row r="1345" spans="1:28" hidden="1" x14ac:dyDescent="0.2">
      <c r="A1345" t="s">
        <v>550</v>
      </c>
      <c r="B1345" t="s">
        <v>2</v>
      </c>
      <c r="C1345" t="s">
        <v>3</v>
      </c>
      <c r="D1345" t="s">
        <v>4</v>
      </c>
      <c r="E1345" t="s">
        <v>4</v>
      </c>
      <c r="F1345" t="s">
        <v>16</v>
      </c>
      <c r="G1345" t="s">
        <v>6</v>
      </c>
      <c r="H1345" t="s">
        <v>4240</v>
      </c>
      <c r="I1345" s="2">
        <v>50000</v>
      </c>
      <c r="J1345" s="2">
        <v>0</v>
      </c>
      <c r="K1345" s="2">
        <v>0</v>
      </c>
      <c r="L1345" s="3">
        <v>45856</v>
      </c>
      <c r="M1345" s="3">
        <v>45856</v>
      </c>
      <c r="N1345" s="3"/>
      <c r="O1345" t="s">
        <v>4241</v>
      </c>
      <c r="P1345" t="s">
        <v>20</v>
      </c>
      <c r="Q1345" s="4">
        <v>0.80462962962963003</v>
      </c>
      <c r="R1345" t="s">
        <v>16</v>
      </c>
      <c r="S1345" t="s">
        <v>4</v>
      </c>
      <c r="T1345" t="s">
        <v>2260</v>
      </c>
      <c r="U1345" t="s">
        <v>10</v>
      </c>
      <c r="V1345" s="5">
        <v>0</v>
      </c>
      <c r="W1345" s="5">
        <v>0</v>
      </c>
      <c r="X1345" s="2">
        <v>0</v>
      </c>
      <c r="Y1345" t="s">
        <v>4</v>
      </c>
      <c r="Z1345" t="s">
        <v>4</v>
      </c>
      <c r="AA1345" t="s">
        <v>4</v>
      </c>
      <c r="AB1345" t="s">
        <v>4</v>
      </c>
    </row>
    <row r="1346" spans="1:28" hidden="1" x14ac:dyDescent="0.2">
      <c r="A1346" t="s">
        <v>826</v>
      </c>
      <c r="B1346" t="s">
        <v>2</v>
      </c>
      <c r="C1346" t="s">
        <v>3</v>
      </c>
      <c r="D1346" t="s">
        <v>4</v>
      </c>
      <c r="E1346" t="s">
        <v>4</v>
      </c>
      <c r="F1346" t="s">
        <v>16</v>
      </c>
      <c r="G1346" t="s">
        <v>21</v>
      </c>
      <c r="H1346" t="s">
        <v>4242</v>
      </c>
      <c r="I1346" s="2">
        <v>51600</v>
      </c>
      <c r="J1346" s="2">
        <v>0</v>
      </c>
      <c r="K1346" s="2">
        <v>0</v>
      </c>
      <c r="L1346" s="3">
        <v>45821</v>
      </c>
      <c r="M1346" s="3">
        <v>45821</v>
      </c>
      <c r="N1346" s="3"/>
      <c r="O1346" t="s">
        <v>4243</v>
      </c>
      <c r="P1346" t="s">
        <v>20</v>
      </c>
      <c r="Q1346" s="4">
        <v>0.54540509259258996</v>
      </c>
      <c r="R1346" t="s">
        <v>16</v>
      </c>
      <c r="S1346" t="s">
        <v>4</v>
      </c>
      <c r="T1346" t="s">
        <v>4228</v>
      </c>
      <c r="U1346" t="s">
        <v>10</v>
      </c>
      <c r="V1346" s="5">
        <v>0</v>
      </c>
      <c r="W1346" s="5">
        <v>0</v>
      </c>
      <c r="X1346" s="2">
        <v>0</v>
      </c>
      <c r="Y1346" t="s">
        <v>4</v>
      </c>
      <c r="Z1346" t="s">
        <v>4</v>
      </c>
      <c r="AA1346" t="s">
        <v>4</v>
      </c>
      <c r="AB1346" t="s">
        <v>4</v>
      </c>
    </row>
    <row r="1347" spans="1:28" hidden="1" x14ac:dyDescent="0.2">
      <c r="A1347" t="s">
        <v>2061</v>
      </c>
      <c r="B1347" t="s">
        <v>2</v>
      </c>
      <c r="C1347" t="s">
        <v>3</v>
      </c>
      <c r="D1347" t="s">
        <v>4</v>
      </c>
      <c r="E1347" t="s">
        <v>4</v>
      </c>
      <c r="F1347" t="s">
        <v>16</v>
      </c>
      <c r="G1347" t="s">
        <v>21</v>
      </c>
      <c r="H1347" t="s">
        <v>4244</v>
      </c>
      <c r="I1347" s="2">
        <v>228</v>
      </c>
      <c r="J1347" s="2">
        <v>0</v>
      </c>
      <c r="K1347" s="2">
        <v>0</v>
      </c>
      <c r="L1347" s="3">
        <v>45853</v>
      </c>
      <c r="M1347" s="3">
        <v>45855</v>
      </c>
      <c r="N1347" s="3">
        <v>45855</v>
      </c>
      <c r="O1347" t="s">
        <v>4245</v>
      </c>
      <c r="P1347" t="s">
        <v>20</v>
      </c>
      <c r="Q1347" s="4">
        <v>0.96189814814815</v>
      </c>
      <c r="R1347" t="s">
        <v>16</v>
      </c>
      <c r="S1347" t="s">
        <v>4</v>
      </c>
      <c r="T1347" t="s">
        <v>2272</v>
      </c>
      <c r="U1347" t="s">
        <v>10</v>
      </c>
      <c r="V1347" s="5">
        <v>0</v>
      </c>
      <c r="W1347" s="5">
        <v>0</v>
      </c>
      <c r="X1347" s="2">
        <v>0</v>
      </c>
      <c r="Y1347" t="s">
        <v>4</v>
      </c>
      <c r="Z1347" t="s">
        <v>4</v>
      </c>
      <c r="AA1347" t="s">
        <v>4</v>
      </c>
      <c r="AB1347" t="s">
        <v>4</v>
      </c>
    </row>
    <row r="1348" spans="1:28" hidden="1" x14ac:dyDescent="0.2">
      <c r="A1348" t="s">
        <v>2251</v>
      </c>
      <c r="B1348" t="s">
        <v>4</v>
      </c>
      <c r="C1348" t="s">
        <v>4</v>
      </c>
      <c r="D1348" t="s">
        <v>4</v>
      </c>
      <c r="E1348" t="s">
        <v>4</v>
      </c>
      <c r="F1348" t="s">
        <v>16</v>
      </c>
      <c r="G1348" t="s">
        <v>21</v>
      </c>
      <c r="H1348" t="s">
        <v>4246</v>
      </c>
      <c r="I1348" s="5">
        <v>0</v>
      </c>
      <c r="J1348" s="5">
        <v>0</v>
      </c>
      <c r="K1348" s="5">
        <v>0</v>
      </c>
      <c r="L1348" s="3"/>
      <c r="M1348" s="3"/>
      <c r="N1348" s="3"/>
      <c r="O1348" t="s">
        <v>4</v>
      </c>
      <c r="P1348" t="s">
        <v>20</v>
      </c>
      <c r="Q1348" s="4">
        <v>0.33887731481480998</v>
      </c>
      <c r="R1348" t="s">
        <v>4</v>
      </c>
      <c r="S1348" t="s">
        <v>4</v>
      </c>
      <c r="T1348" t="s">
        <v>2256</v>
      </c>
      <c r="U1348" t="s">
        <v>4</v>
      </c>
      <c r="V1348" s="5">
        <v>0</v>
      </c>
      <c r="W1348" s="5">
        <v>0</v>
      </c>
      <c r="X1348" s="2">
        <v>0</v>
      </c>
      <c r="Y1348" t="s">
        <v>4</v>
      </c>
      <c r="Z1348" t="s">
        <v>4</v>
      </c>
      <c r="AA1348" t="s">
        <v>4</v>
      </c>
      <c r="AB1348" t="s">
        <v>4</v>
      </c>
    </row>
    <row r="1349" spans="1:28" hidden="1" x14ac:dyDescent="0.2">
      <c r="A1349" t="s">
        <v>2050</v>
      </c>
      <c r="B1349" t="s">
        <v>2</v>
      </c>
      <c r="C1349" t="s">
        <v>3</v>
      </c>
      <c r="D1349" t="s">
        <v>4</v>
      </c>
      <c r="E1349" t="s">
        <v>4</v>
      </c>
      <c r="F1349" t="s">
        <v>16</v>
      </c>
      <c r="G1349" t="s">
        <v>21</v>
      </c>
      <c r="H1349" t="s">
        <v>4247</v>
      </c>
      <c r="I1349" s="2">
        <v>200</v>
      </c>
      <c r="J1349" s="2">
        <v>0</v>
      </c>
      <c r="K1349" s="2">
        <v>0</v>
      </c>
      <c r="L1349" s="3">
        <v>45839</v>
      </c>
      <c r="M1349" s="3">
        <v>45839</v>
      </c>
      <c r="N1349" s="3"/>
      <c r="O1349" t="s">
        <v>4248</v>
      </c>
      <c r="P1349" t="s">
        <v>20</v>
      </c>
      <c r="Q1349" s="4">
        <v>0.66680555555555998</v>
      </c>
      <c r="R1349" t="s">
        <v>16</v>
      </c>
      <c r="S1349" t="s">
        <v>4</v>
      </c>
      <c r="T1349" t="s">
        <v>2312</v>
      </c>
      <c r="U1349" t="s">
        <v>10</v>
      </c>
      <c r="V1349" s="5">
        <v>0</v>
      </c>
      <c r="W1349" s="5">
        <v>0</v>
      </c>
      <c r="X1349" s="2">
        <v>0</v>
      </c>
      <c r="Y1349" t="s">
        <v>4</v>
      </c>
      <c r="Z1349" t="s">
        <v>4</v>
      </c>
      <c r="AA1349" t="s">
        <v>4</v>
      </c>
      <c r="AB1349" t="s">
        <v>4</v>
      </c>
    </row>
    <row r="1350" spans="1:28" hidden="1" x14ac:dyDescent="0.2">
      <c r="A1350" t="s">
        <v>1909</v>
      </c>
      <c r="B1350" t="s">
        <v>2</v>
      </c>
      <c r="C1350" t="s">
        <v>3</v>
      </c>
      <c r="D1350" t="s">
        <v>4</v>
      </c>
      <c r="E1350" t="s">
        <v>4</v>
      </c>
      <c r="F1350" t="s">
        <v>16</v>
      </c>
      <c r="G1350" t="s">
        <v>21</v>
      </c>
      <c r="H1350" t="s">
        <v>4249</v>
      </c>
      <c r="I1350" s="2">
        <v>168</v>
      </c>
      <c r="J1350" s="2">
        <v>0</v>
      </c>
      <c r="K1350" s="2">
        <v>0</v>
      </c>
      <c r="L1350" s="3">
        <v>45820</v>
      </c>
      <c r="M1350" s="3">
        <v>45850</v>
      </c>
      <c r="N1350" s="3">
        <v>45850</v>
      </c>
      <c r="O1350" t="s">
        <v>4250</v>
      </c>
      <c r="P1350" t="s">
        <v>20</v>
      </c>
      <c r="Q1350" s="4">
        <v>0.65230324074073998</v>
      </c>
      <c r="R1350" t="s">
        <v>16</v>
      </c>
      <c r="S1350" t="s">
        <v>4</v>
      </c>
      <c r="T1350" t="s">
        <v>3198</v>
      </c>
      <c r="U1350" t="s">
        <v>10</v>
      </c>
      <c r="V1350" s="5">
        <v>0</v>
      </c>
      <c r="W1350" s="5">
        <v>0</v>
      </c>
      <c r="X1350" s="2">
        <v>0</v>
      </c>
      <c r="Y1350" t="s">
        <v>4</v>
      </c>
      <c r="Z1350" t="s">
        <v>4</v>
      </c>
      <c r="AA1350" t="s">
        <v>4</v>
      </c>
      <c r="AB1350" t="s">
        <v>4</v>
      </c>
    </row>
    <row r="1351" spans="1:28" hidden="1" x14ac:dyDescent="0.2">
      <c r="A1351" t="s">
        <v>802</v>
      </c>
      <c r="B1351" t="s">
        <v>2</v>
      </c>
      <c r="C1351" t="s">
        <v>3</v>
      </c>
      <c r="D1351" t="s">
        <v>4</v>
      </c>
      <c r="E1351" t="s">
        <v>4</v>
      </c>
      <c r="F1351" t="s">
        <v>16</v>
      </c>
      <c r="G1351" t="s">
        <v>21</v>
      </c>
      <c r="H1351" t="s">
        <v>4251</v>
      </c>
      <c r="I1351" s="2">
        <v>1500</v>
      </c>
      <c r="J1351" s="2">
        <v>0</v>
      </c>
      <c r="K1351" s="2">
        <v>0</v>
      </c>
      <c r="L1351" s="3">
        <v>45856</v>
      </c>
      <c r="M1351" s="3">
        <v>45856</v>
      </c>
      <c r="N1351" s="3"/>
      <c r="O1351" t="s">
        <v>4252</v>
      </c>
      <c r="P1351" t="s">
        <v>20</v>
      </c>
      <c r="Q1351" s="4">
        <v>0.81943287037037005</v>
      </c>
      <c r="R1351" t="s">
        <v>16</v>
      </c>
      <c r="S1351" t="s">
        <v>4</v>
      </c>
      <c r="T1351" t="s">
        <v>2260</v>
      </c>
      <c r="U1351" t="s">
        <v>10</v>
      </c>
      <c r="V1351" s="5">
        <v>0</v>
      </c>
      <c r="W1351" s="5">
        <v>0</v>
      </c>
      <c r="X1351" s="2">
        <v>0</v>
      </c>
      <c r="Y1351" t="s">
        <v>4</v>
      </c>
      <c r="Z1351" t="s">
        <v>4</v>
      </c>
      <c r="AA1351" t="s">
        <v>4</v>
      </c>
      <c r="AB1351" t="s">
        <v>4</v>
      </c>
    </row>
    <row r="1352" spans="1:28" hidden="1" x14ac:dyDescent="0.2">
      <c r="A1352" t="s">
        <v>2001</v>
      </c>
      <c r="B1352" t="s">
        <v>2</v>
      </c>
      <c r="C1352" t="s">
        <v>3</v>
      </c>
      <c r="D1352" t="s">
        <v>4</v>
      </c>
      <c r="E1352" t="s">
        <v>4</v>
      </c>
      <c r="F1352" t="s">
        <v>16</v>
      </c>
      <c r="G1352" t="s">
        <v>21</v>
      </c>
      <c r="H1352" t="s">
        <v>4253</v>
      </c>
      <c r="I1352" s="2">
        <v>1190</v>
      </c>
      <c r="J1352" s="2">
        <v>0</v>
      </c>
      <c r="K1352" s="2">
        <v>0</v>
      </c>
      <c r="L1352" s="3">
        <v>44880</v>
      </c>
      <c r="M1352" s="3">
        <v>45752</v>
      </c>
      <c r="N1352" s="3">
        <v>45752</v>
      </c>
      <c r="O1352" t="s">
        <v>4254</v>
      </c>
      <c r="P1352" t="s">
        <v>20</v>
      </c>
      <c r="Q1352" s="4">
        <v>0.36307870370369999</v>
      </c>
      <c r="R1352" t="s">
        <v>16</v>
      </c>
      <c r="S1352" t="s">
        <v>4</v>
      </c>
      <c r="T1352" t="s">
        <v>4255</v>
      </c>
      <c r="U1352" t="s">
        <v>10</v>
      </c>
      <c r="V1352" s="5">
        <v>0</v>
      </c>
      <c r="W1352" s="5">
        <v>0</v>
      </c>
      <c r="X1352" s="2">
        <v>0</v>
      </c>
      <c r="Y1352" t="s">
        <v>4</v>
      </c>
      <c r="Z1352" t="s">
        <v>4</v>
      </c>
      <c r="AA1352" t="s">
        <v>4</v>
      </c>
      <c r="AB1352" t="s">
        <v>4</v>
      </c>
    </row>
    <row r="1353" spans="1:28" hidden="1" x14ac:dyDescent="0.2">
      <c r="A1353" t="s">
        <v>1193</v>
      </c>
      <c r="B1353" t="s">
        <v>2</v>
      </c>
      <c r="C1353" t="s">
        <v>3</v>
      </c>
      <c r="D1353" t="s">
        <v>4</v>
      </c>
      <c r="E1353" t="s">
        <v>4</v>
      </c>
      <c r="F1353" t="s">
        <v>16</v>
      </c>
      <c r="G1353" t="s">
        <v>21</v>
      </c>
      <c r="H1353" t="s">
        <v>4256</v>
      </c>
      <c r="I1353" s="2">
        <v>100</v>
      </c>
      <c r="J1353" s="2">
        <v>0</v>
      </c>
      <c r="K1353" s="2">
        <v>0</v>
      </c>
      <c r="L1353" s="3">
        <v>45791</v>
      </c>
      <c r="M1353" s="3">
        <v>45791</v>
      </c>
      <c r="N1353" s="3"/>
      <c r="O1353" t="s">
        <v>4257</v>
      </c>
      <c r="P1353" t="s">
        <v>20</v>
      </c>
      <c r="Q1353" s="4">
        <v>0.86396990740740998</v>
      </c>
      <c r="R1353" t="s">
        <v>16</v>
      </c>
      <c r="S1353" t="s">
        <v>4</v>
      </c>
      <c r="T1353" t="s">
        <v>3485</v>
      </c>
      <c r="U1353" t="s">
        <v>10</v>
      </c>
      <c r="V1353" s="5">
        <v>0</v>
      </c>
      <c r="W1353" s="5">
        <v>0</v>
      </c>
      <c r="X1353" s="2">
        <v>0</v>
      </c>
      <c r="Y1353" t="s">
        <v>4</v>
      </c>
      <c r="Z1353" t="s">
        <v>4</v>
      </c>
      <c r="AA1353" t="s">
        <v>4</v>
      </c>
      <c r="AB1353" t="s">
        <v>4</v>
      </c>
    </row>
    <row r="1354" spans="1:28" hidden="1" x14ac:dyDescent="0.2">
      <c r="A1354" t="s">
        <v>1317</v>
      </c>
      <c r="B1354" t="s">
        <v>2</v>
      </c>
      <c r="C1354" t="s">
        <v>3</v>
      </c>
      <c r="D1354" t="s">
        <v>4</v>
      </c>
      <c r="E1354" t="s">
        <v>4</v>
      </c>
      <c r="F1354" t="s">
        <v>16</v>
      </c>
      <c r="G1354" t="s">
        <v>21</v>
      </c>
      <c r="H1354" t="s">
        <v>4258</v>
      </c>
      <c r="I1354" s="2">
        <v>1500</v>
      </c>
      <c r="J1354" s="2">
        <v>0</v>
      </c>
      <c r="K1354" s="2">
        <v>0</v>
      </c>
      <c r="L1354" s="3">
        <v>45832</v>
      </c>
      <c r="M1354" s="3">
        <v>45832</v>
      </c>
      <c r="N1354" s="3"/>
      <c r="O1354" t="s">
        <v>4259</v>
      </c>
      <c r="P1354" t="s">
        <v>20</v>
      </c>
      <c r="Q1354" s="4">
        <v>0.42928240740741003</v>
      </c>
      <c r="R1354" t="s">
        <v>16</v>
      </c>
      <c r="S1354" t="s">
        <v>4</v>
      </c>
      <c r="T1354" t="s">
        <v>2665</v>
      </c>
      <c r="U1354" t="s">
        <v>10</v>
      </c>
      <c r="V1354" s="5">
        <v>0</v>
      </c>
      <c r="W1354" s="5">
        <v>0</v>
      </c>
      <c r="X1354" s="2">
        <v>0</v>
      </c>
      <c r="Y1354" t="s">
        <v>4</v>
      </c>
      <c r="Z1354" t="s">
        <v>4</v>
      </c>
      <c r="AA1354" t="s">
        <v>4</v>
      </c>
      <c r="AB1354" t="s">
        <v>4</v>
      </c>
    </row>
    <row r="1355" spans="1:28" hidden="1" x14ac:dyDescent="0.2">
      <c r="A1355" t="s">
        <v>1190</v>
      </c>
      <c r="B1355" t="s">
        <v>2</v>
      </c>
      <c r="C1355" t="s">
        <v>3</v>
      </c>
      <c r="D1355" t="s">
        <v>4</v>
      </c>
      <c r="E1355" t="s">
        <v>4</v>
      </c>
      <c r="F1355" t="s">
        <v>16</v>
      </c>
      <c r="G1355" t="s">
        <v>21</v>
      </c>
      <c r="H1355" t="s">
        <v>4260</v>
      </c>
      <c r="I1355" s="2">
        <v>400</v>
      </c>
      <c r="J1355" s="2">
        <v>0</v>
      </c>
      <c r="K1355" s="2">
        <v>0</v>
      </c>
      <c r="L1355" s="3">
        <v>45853</v>
      </c>
      <c r="M1355" s="3">
        <v>45853</v>
      </c>
      <c r="N1355" s="3"/>
      <c r="O1355" t="s">
        <v>4261</v>
      </c>
      <c r="P1355" t="s">
        <v>20</v>
      </c>
      <c r="Q1355" s="4">
        <v>0.82047453703703999</v>
      </c>
      <c r="R1355" t="s">
        <v>16</v>
      </c>
      <c r="S1355" t="s">
        <v>4</v>
      </c>
      <c r="T1355" t="s">
        <v>2272</v>
      </c>
      <c r="U1355" t="s">
        <v>10</v>
      </c>
      <c r="V1355" s="5">
        <v>0</v>
      </c>
      <c r="W1355" s="5">
        <v>0</v>
      </c>
      <c r="X1355" s="2">
        <v>0</v>
      </c>
      <c r="Y1355" t="s">
        <v>4</v>
      </c>
      <c r="Z1355" t="s">
        <v>4</v>
      </c>
      <c r="AA1355" t="s">
        <v>4</v>
      </c>
      <c r="AB1355" t="s">
        <v>4</v>
      </c>
    </row>
    <row r="1356" spans="1:28" hidden="1" x14ac:dyDescent="0.2">
      <c r="A1356" t="s">
        <v>1365</v>
      </c>
      <c r="B1356" t="s">
        <v>2</v>
      </c>
      <c r="C1356" t="s">
        <v>3</v>
      </c>
      <c r="D1356" t="s">
        <v>4</v>
      </c>
      <c r="E1356" t="s">
        <v>4</v>
      </c>
      <c r="F1356" t="s">
        <v>16</v>
      </c>
      <c r="G1356" t="s">
        <v>6</v>
      </c>
      <c r="H1356" t="s">
        <v>4262</v>
      </c>
      <c r="I1356" s="2">
        <v>15133</v>
      </c>
      <c r="J1356" s="2">
        <v>0</v>
      </c>
      <c r="K1356" s="2">
        <v>0</v>
      </c>
      <c r="L1356" s="3">
        <v>45818</v>
      </c>
      <c r="M1356" s="3">
        <v>45832</v>
      </c>
      <c r="N1356" s="3"/>
      <c r="O1356" t="s">
        <v>4263</v>
      </c>
      <c r="P1356" t="s">
        <v>20</v>
      </c>
      <c r="Q1356" s="4">
        <v>0.93185185185185004</v>
      </c>
      <c r="R1356" t="s">
        <v>16</v>
      </c>
      <c r="S1356" t="s">
        <v>4</v>
      </c>
      <c r="T1356" t="s">
        <v>2290</v>
      </c>
      <c r="U1356" t="s">
        <v>10</v>
      </c>
      <c r="V1356" s="5">
        <v>0</v>
      </c>
      <c r="W1356" s="5">
        <v>0</v>
      </c>
      <c r="X1356" s="2">
        <v>0</v>
      </c>
      <c r="Y1356" t="s">
        <v>2351</v>
      </c>
      <c r="Z1356" t="s">
        <v>2351</v>
      </c>
      <c r="AA1356" t="s">
        <v>2351</v>
      </c>
      <c r="AB1356" t="s">
        <v>2351</v>
      </c>
    </row>
    <row r="1357" spans="1:28" hidden="1" x14ac:dyDescent="0.2">
      <c r="A1357" t="s">
        <v>863</v>
      </c>
      <c r="B1357" t="s">
        <v>2</v>
      </c>
      <c r="C1357" t="s">
        <v>3</v>
      </c>
      <c r="D1357" t="s">
        <v>4</v>
      </c>
      <c r="E1357" t="s">
        <v>4</v>
      </c>
      <c r="F1357" t="s">
        <v>16</v>
      </c>
      <c r="G1357" t="s">
        <v>17</v>
      </c>
      <c r="H1357" t="s">
        <v>4264</v>
      </c>
      <c r="I1357" s="2">
        <v>675</v>
      </c>
      <c r="J1357" s="2">
        <v>0</v>
      </c>
      <c r="K1357" s="2">
        <v>0</v>
      </c>
      <c r="L1357" s="3">
        <v>45758</v>
      </c>
      <c r="M1357" s="3">
        <v>45758</v>
      </c>
      <c r="N1357" s="3"/>
      <c r="O1357" t="s">
        <v>4265</v>
      </c>
      <c r="P1357" t="s">
        <v>20</v>
      </c>
      <c r="Q1357" s="4">
        <v>0.55621527777778002</v>
      </c>
      <c r="R1357" t="s">
        <v>16</v>
      </c>
      <c r="S1357" t="s">
        <v>4</v>
      </c>
      <c r="T1357" t="s">
        <v>4266</v>
      </c>
      <c r="U1357" t="s">
        <v>10</v>
      </c>
      <c r="V1357" s="5">
        <v>0</v>
      </c>
      <c r="W1357" s="5">
        <v>0</v>
      </c>
      <c r="X1357" s="2">
        <v>0</v>
      </c>
      <c r="Y1357" t="s">
        <v>4</v>
      </c>
      <c r="Z1357" t="s">
        <v>4</v>
      </c>
      <c r="AA1357" t="s">
        <v>4</v>
      </c>
      <c r="AB1357" t="s">
        <v>4</v>
      </c>
    </row>
    <row r="1358" spans="1:28" hidden="1" x14ac:dyDescent="0.2">
      <c r="A1358" t="s">
        <v>1994</v>
      </c>
      <c r="B1358" t="s">
        <v>2</v>
      </c>
      <c r="C1358" t="s">
        <v>3</v>
      </c>
      <c r="D1358" t="s">
        <v>4</v>
      </c>
      <c r="E1358" t="s">
        <v>4</v>
      </c>
      <c r="F1358" t="s">
        <v>16</v>
      </c>
      <c r="G1358" t="s">
        <v>6</v>
      </c>
      <c r="H1358" t="s">
        <v>4267</v>
      </c>
      <c r="I1358" s="2">
        <v>2000</v>
      </c>
      <c r="J1358" s="2">
        <v>0</v>
      </c>
      <c r="K1358" s="2">
        <v>0</v>
      </c>
      <c r="L1358" s="3">
        <v>45811</v>
      </c>
      <c r="M1358" s="3">
        <v>45811</v>
      </c>
      <c r="N1358" s="3"/>
      <c r="O1358" t="s">
        <v>4268</v>
      </c>
      <c r="P1358" t="s">
        <v>20</v>
      </c>
      <c r="Q1358" s="4">
        <v>0.74931712962963004</v>
      </c>
      <c r="R1358" t="s">
        <v>16</v>
      </c>
      <c r="S1358" t="s">
        <v>4</v>
      </c>
      <c r="T1358" t="s">
        <v>2745</v>
      </c>
      <c r="U1358" t="s">
        <v>10</v>
      </c>
      <c r="V1358" s="5">
        <v>0</v>
      </c>
      <c r="W1358" s="5">
        <v>0</v>
      </c>
      <c r="X1358" s="2">
        <v>0</v>
      </c>
      <c r="Y1358" t="s">
        <v>4</v>
      </c>
      <c r="Z1358" t="s">
        <v>4</v>
      </c>
      <c r="AA1358" t="s">
        <v>4</v>
      </c>
      <c r="AB1358" t="s">
        <v>4</v>
      </c>
    </row>
    <row r="1359" spans="1:28" hidden="1" x14ac:dyDescent="0.2">
      <c r="A1359" t="s">
        <v>2174</v>
      </c>
      <c r="B1359" t="s">
        <v>2</v>
      </c>
      <c r="C1359" t="s">
        <v>3</v>
      </c>
      <c r="D1359" t="s">
        <v>4</v>
      </c>
      <c r="E1359" t="s">
        <v>4</v>
      </c>
      <c r="F1359" t="s">
        <v>16</v>
      </c>
      <c r="G1359" t="s">
        <v>6</v>
      </c>
      <c r="H1359" t="s">
        <v>4269</v>
      </c>
      <c r="I1359" s="2">
        <v>2730</v>
      </c>
      <c r="J1359" s="2">
        <v>0</v>
      </c>
      <c r="K1359" s="2">
        <v>0</v>
      </c>
      <c r="L1359" s="3">
        <v>45859</v>
      </c>
      <c r="M1359" s="3">
        <v>45859</v>
      </c>
      <c r="N1359" s="3"/>
      <c r="O1359" t="s">
        <v>4270</v>
      </c>
      <c r="P1359" t="s">
        <v>20</v>
      </c>
      <c r="Q1359" s="4">
        <v>0.45868055555555998</v>
      </c>
      <c r="R1359" t="s">
        <v>16</v>
      </c>
      <c r="S1359" t="s">
        <v>4</v>
      </c>
      <c r="T1359" t="s">
        <v>2261</v>
      </c>
      <c r="U1359" t="s">
        <v>10</v>
      </c>
      <c r="V1359" s="5">
        <v>0</v>
      </c>
      <c r="W1359" s="5">
        <v>0</v>
      </c>
      <c r="X1359" s="2">
        <v>0</v>
      </c>
      <c r="Y1359" t="s">
        <v>4</v>
      </c>
      <c r="Z1359" t="s">
        <v>4</v>
      </c>
      <c r="AA1359" t="s">
        <v>4</v>
      </c>
      <c r="AB1359" t="s">
        <v>4</v>
      </c>
    </row>
    <row r="1360" spans="1:28" hidden="1" x14ac:dyDescent="0.2">
      <c r="A1360" t="s">
        <v>463</v>
      </c>
      <c r="B1360" t="s">
        <v>2</v>
      </c>
      <c r="C1360" t="s">
        <v>3</v>
      </c>
      <c r="D1360" t="s">
        <v>4</v>
      </c>
      <c r="E1360" t="s">
        <v>4</v>
      </c>
      <c r="F1360" t="s">
        <v>16</v>
      </c>
      <c r="G1360" t="s">
        <v>6</v>
      </c>
      <c r="H1360" t="s">
        <v>4271</v>
      </c>
      <c r="I1360" s="2">
        <v>400</v>
      </c>
      <c r="J1360" s="2">
        <v>0</v>
      </c>
      <c r="K1360" s="2">
        <v>0</v>
      </c>
      <c r="L1360" s="3">
        <v>45283</v>
      </c>
      <c r="M1360" s="3">
        <v>45294</v>
      </c>
      <c r="N1360" s="3"/>
      <c r="O1360" t="s">
        <v>4272</v>
      </c>
      <c r="P1360" t="s">
        <v>20</v>
      </c>
      <c r="Q1360" s="4">
        <v>0.40847222222222002</v>
      </c>
      <c r="R1360" t="s">
        <v>16</v>
      </c>
      <c r="S1360" t="s">
        <v>4</v>
      </c>
      <c r="T1360" t="s">
        <v>4273</v>
      </c>
      <c r="U1360" t="s">
        <v>10</v>
      </c>
      <c r="V1360" s="5">
        <v>0</v>
      </c>
      <c r="W1360" s="5">
        <v>0</v>
      </c>
      <c r="X1360" s="2">
        <v>0</v>
      </c>
      <c r="Y1360" t="s">
        <v>2351</v>
      </c>
      <c r="Z1360" t="s">
        <v>4</v>
      </c>
      <c r="AA1360" t="s">
        <v>4</v>
      </c>
      <c r="AB1360" t="s">
        <v>4</v>
      </c>
    </row>
    <row r="1361" spans="1:28" hidden="1" x14ac:dyDescent="0.2">
      <c r="A1361" t="s">
        <v>1854</v>
      </c>
      <c r="B1361" t="s">
        <v>2</v>
      </c>
      <c r="C1361" t="s">
        <v>3</v>
      </c>
      <c r="D1361" t="s">
        <v>4</v>
      </c>
      <c r="E1361" t="s">
        <v>4</v>
      </c>
      <c r="F1361" t="s">
        <v>16</v>
      </c>
      <c r="G1361" t="s">
        <v>6</v>
      </c>
      <c r="H1361" t="s">
        <v>4274</v>
      </c>
      <c r="I1361" s="2">
        <v>432</v>
      </c>
      <c r="J1361" s="2">
        <v>0</v>
      </c>
      <c r="K1361" s="2">
        <v>0</v>
      </c>
      <c r="L1361" s="3">
        <v>45112</v>
      </c>
      <c r="M1361" s="3">
        <v>45112</v>
      </c>
      <c r="N1361" s="3"/>
      <c r="O1361" t="s">
        <v>4275</v>
      </c>
      <c r="P1361" t="s">
        <v>20</v>
      </c>
      <c r="Q1361" s="4">
        <v>0.60025462962963005</v>
      </c>
      <c r="R1361" t="s">
        <v>16</v>
      </c>
      <c r="S1361" t="s">
        <v>4</v>
      </c>
      <c r="T1361" t="s">
        <v>4276</v>
      </c>
      <c r="U1361" t="s">
        <v>10</v>
      </c>
      <c r="V1361" s="5">
        <v>0</v>
      </c>
      <c r="W1361" s="5">
        <v>0</v>
      </c>
      <c r="X1361" s="2">
        <v>0</v>
      </c>
      <c r="Y1361" t="s">
        <v>4</v>
      </c>
      <c r="Z1361" t="s">
        <v>4</v>
      </c>
      <c r="AA1361" t="s">
        <v>4</v>
      </c>
      <c r="AB1361" t="s">
        <v>4</v>
      </c>
    </row>
    <row r="1362" spans="1:28" hidden="1" x14ac:dyDescent="0.2">
      <c r="A1362" t="s">
        <v>2046</v>
      </c>
      <c r="B1362" t="s">
        <v>2</v>
      </c>
      <c r="C1362" t="s">
        <v>3</v>
      </c>
      <c r="D1362" t="s">
        <v>4</v>
      </c>
      <c r="E1362" t="s">
        <v>4</v>
      </c>
      <c r="F1362" t="s">
        <v>16</v>
      </c>
      <c r="G1362" t="s">
        <v>6</v>
      </c>
      <c r="H1362" t="s">
        <v>4277</v>
      </c>
      <c r="I1362" s="2">
        <v>2700</v>
      </c>
      <c r="J1362" s="2">
        <v>0</v>
      </c>
      <c r="K1362" s="2">
        <v>0</v>
      </c>
      <c r="L1362" s="3">
        <v>45842</v>
      </c>
      <c r="M1362" s="3">
        <v>45842</v>
      </c>
      <c r="N1362" s="3"/>
      <c r="O1362" t="s">
        <v>4278</v>
      </c>
      <c r="P1362" t="s">
        <v>20</v>
      </c>
      <c r="Q1362" s="4">
        <v>0.49554398148147999</v>
      </c>
      <c r="R1362" t="s">
        <v>16</v>
      </c>
      <c r="S1362" t="s">
        <v>4</v>
      </c>
      <c r="T1362" t="s">
        <v>2610</v>
      </c>
      <c r="U1362" t="s">
        <v>10</v>
      </c>
      <c r="V1362" s="5">
        <v>0</v>
      </c>
      <c r="W1362" s="5">
        <v>0</v>
      </c>
      <c r="X1362" s="2">
        <v>0</v>
      </c>
      <c r="Y1362" t="s">
        <v>4</v>
      </c>
      <c r="Z1362" t="s">
        <v>4</v>
      </c>
      <c r="AA1362" t="s">
        <v>4</v>
      </c>
      <c r="AB1362" t="s">
        <v>4</v>
      </c>
    </row>
    <row r="1363" spans="1:28" hidden="1" x14ac:dyDescent="0.2">
      <c r="A1363" t="s">
        <v>1982</v>
      </c>
      <c r="B1363" t="s">
        <v>2</v>
      </c>
      <c r="C1363" t="s">
        <v>3</v>
      </c>
      <c r="D1363" t="s">
        <v>4</v>
      </c>
      <c r="E1363" t="s">
        <v>4</v>
      </c>
      <c r="F1363" t="s">
        <v>16</v>
      </c>
      <c r="G1363" t="s">
        <v>6</v>
      </c>
      <c r="H1363" t="s">
        <v>4279</v>
      </c>
      <c r="I1363" s="2">
        <v>3360</v>
      </c>
      <c r="J1363" s="2">
        <v>0</v>
      </c>
      <c r="K1363" s="2">
        <v>0</v>
      </c>
      <c r="L1363" s="3">
        <v>45858</v>
      </c>
      <c r="M1363" s="3">
        <v>45858</v>
      </c>
      <c r="N1363" s="3"/>
      <c r="O1363" t="s">
        <v>4280</v>
      </c>
      <c r="P1363" t="s">
        <v>20</v>
      </c>
      <c r="Q1363" s="4">
        <v>0.38372685185185001</v>
      </c>
      <c r="R1363" t="s">
        <v>16</v>
      </c>
      <c r="S1363" t="s">
        <v>4</v>
      </c>
      <c r="T1363" t="s">
        <v>2337</v>
      </c>
      <c r="U1363" t="s">
        <v>10</v>
      </c>
      <c r="V1363" s="5">
        <v>0</v>
      </c>
      <c r="W1363" s="5">
        <v>0</v>
      </c>
      <c r="X1363" s="2">
        <v>0</v>
      </c>
      <c r="Y1363" t="s">
        <v>4</v>
      </c>
      <c r="Z1363" t="s">
        <v>4</v>
      </c>
      <c r="AA1363" t="s">
        <v>4</v>
      </c>
      <c r="AB1363" t="s">
        <v>4</v>
      </c>
    </row>
    <row r="1364" spans="1:28" hidden="1" x14ac:dyDescent="0.2">
      <c r="A1364" t="s">
        <v>2043</v>
      </c>
      <c r="B1364" t="s">
        <v>2</v>
      </c>
      <c r="C1364" t="s">
        <v>3</v>
      </c>
      <c r="D1364" t="s">
        <v>4</v>
      </c>
      <c r="E1364" t="s">
        <v>4</v>
      </c>
      <c r="F1364" t="s">
        <v>16</v>
      </c>
      <c r="G1364" t="s">
        <v>6</v>
      </c>
      <c r="H1364" t="s">
        <v>4281</v>
      </c>
      <c r="I1364" s="2">
        <v>108</v>
      </c>
      <c r="J1364" s="2">
        <v>0</v>
      </c>
      <c r="K1364" s="2">
        <v>0</v>
      </c>
      <c r="L1364" s="3">
        <v>45850</v>
      </c>
      <c r="M1364" s="3">
        <v>45850</v>
      </c>
      <c r="N1364" s="3"/>
      <c r="O1364" t="s">
        <v>4282</v>
      </c>
      <c r="P1364" t="s">
        <v>20</v>
      </c>
      <c r="Q1364" s="4">
        <v>0.58660879629630003</v>
      </c>
      <c r="R1364" t="s">
        <v>16</v>
      </c>
      <c r="S1364" t="s">
        <v>4</v>
      </c>
      <c r="T1364" t="s">
        <v>2680</v>
      </c>
      <c r="U1364" t="s">
        <v>10</v>
      </c>
      <c r="V1364" s="5">
        <v>0</v>
      </c>
      <c r="W1364" s="5">
        <v>0</v>
      </c>
      <c r="X1364" s="2">
        <v>0</v>
      </c>
      <c r="Y1364" t="s">
        <v>4</v>
      </c>
      <c r="Z1364" t="s">
        <v>4</v>
      </c>
      <c r="AA1364" t="s">
        <v>4</v>
      </c>
      <c r="AB1364" t="s">
        <v>4</v>
      </c>
    </row>
    <row r="1365" spans="1:28" hidden="1" x14ac:dyDescent="0.2">
      <c r="A1365" t="s">
        <v>623</v>
      </c>
      <c r="B1365" t="s">
        <v>2</v>
      </c>
      <c r="C1365" t="s">
        <v>3</v>
      </c>
      <c r="D1365" t="s">
        <v>4</v>
      </c>
      <c r="E1365" t="s">
        <v>4</v>
      </c>
      <c r="F1365" t="s">
        <v>16</v>
      </c>
      <c r="G1365" t="s">
        <v>6</v>
      </c>
      <c r="H1365" t="s">
        <v>4283</v>
      </c>
      <c r="I1365" s="2">
        <v>5250</v>
      </c>
      <c r="J1365" s="2">
        <v>0</v>
      </c>
      <c r="K1365" s="2">
        <v>0</v>
      </c>
      <c r="L1365" s="3">
        <v>45850</v>
      </c>
      <c r="M1365" s="3">
        <v>45850</v>
      </c>
      <c r="N1365" s="3"/>
      <c r="O1365" t="s">
        <v>4284</v>
      </c>
      <c r="P1365" t="s">
        <v>20</v>
      </c>
      <c r="Q1365" s="4">
        <v>0.96809027777778001</v>
      </c>
      <c r="R1365" t="s">
        <v>16</v>
      </c>
      <c r="S1365" t="s">
        <v>4</v>
      </c>
      <c r="T1365" t="s">
        <v>2680</v>
      </c>
      <c r="U1365" t="s">
        <v>10</v>
      </c>
      <c r="V1365" s="5">
        <v>0</v>
      </c>
      <c r="W1365" s="5">
        <v>0</v>
      </c>
      <c r="X1365" s="2">
        <v>0</v>
      </c>
      <c r="Y1365" t="s">
        <v>4</v>
      </c>
      <c r="Z1365" t="s">
        <v>4</v>
      </c>
      <c r="AA1365" t="s">
        <v>4</v>
      </c>
      <c r="AB1365" t="s">
        <v>4</v>
      </c>
    </row>
    <row r="1366" spans="1:28" hidden="1" x14ac:dyDescent="0.2">
      <c r="A1366" t="s">
        <v>2251</v>
      </c>
      <c r="B1366" t="s">
        <v>4</v>
      </c>
      <c r="C1366" t="s">
        <v>4</v>
      </c>
      <c r="D1366" t="s">
        <v>4</v>
      </c>
      <c r="E1366" t="s">
        <v>4</v>
      </c>
      <c r="F1366" t="s">
        <v>16</v>
      </c>
      <c r="G1366" t="s">
        <v>21</v>
      </c>
      <c r="H1366" t="s">
        <v>4285</v>
      </c>
      <c r="I1366" s="5">
        <v>0</v>
      </c>
      <c r="J1366" s="5">
        <v>0</v>
      </c>
      <c r="K1366" s="5">
        <v>0</v>
      </c>
      <c r="L1366" s="3"/>
      <c r="M1366" s="3"/>
      <c r="N1366" s="3"/>
      <c r="O1366" t="s">
        <v>4</v>
      </c>
      <c r="P1366" t="s">
        <v>20</v>
      </c>
      <c r="Q1366" s="4">
        <v>0.90439814814815001</v>
      </c>
      <c r="R1366" t="s">
        <v>4</v>
      </c>
      <c r="S1366" t="s">
        <v>4</v>
      </c>
      <c r="T1366" t="s">
        <v>2256</v>
      </c>
      <c r="U1366" t="s">
        <v>4</v>
      </c>
      <c r="V1366" s="5">
        <v>0</v>
      </c>
      <c r="W1366" s="5">
        <v>0</v>
      </c>
      <c r="X1366" s="2">
        <v>0</v>
      </c>
      <c r="Y1366" t="s">
        <v>4</v>
      </c>
      <c r="Z1366" t="s">
        <v>4</v>
      </c>
      <c r="AA1366" t="s">
        <v>4</v>
      </c>
      <c r="AB1366" t="s">
        <v>4</v>
      </c>
    </row>
    <row r="1367" spans="1:28" hidden="1" x14ac:dyDescent="0.2">
      <c r="A1367" t="s">
        <v>334</v>
      </c>
      <c r="B1367" t="s">
        <v>2</v>
      </c>
      <c r="C1367" t="s">
        <v>3</v>
      </c>
      <c r="D1367" t="s">
        <v>4</v>
      </c>
      <c r="E1367" t="s">
        <v>4</v>
      </c>
      <c r="F1367" t="s">
        <v>16</v>
      </c>
      <c r="G1367" t="s">
        <v>21</v>
      </c>
      <c r="H1367" t="s">
        <v>4286</v>
      </c>
      <c r="I1367" s="2">
        <v>11040</v>
      </c>
      <c r="J1367" s="2">
        <v>0</v>
      </c>
      <c r="K1367" s="2">
        <v>0</v>
      </c>
      <c r="L1367" s="3">
        <v>45849</v>
      </c>
      <c r="M1367" s="3">
        <v>45849</v>
      </c>
      <c r="N1367" s="3"/>
      <c r="O1367" t="s">
        <v>4287</v>
      </c>
      <c r="P1367" t="s">
        <v>20</v>
      </c>
      <c r="Q1367" s="4">
        <v>0.65118055555555998</v>
      </c>
      <c r="R1367" t="s">
        <v>16</v>
      </c>
      <c r="S1367" t="s">
        <v>4</v>
      </c>
      <c r="T1367" t="s">
        <v>2321</v>
      </c>
      <c r="U1367" t="s">
        <v>10</v>
      </c>
      <c r="V1367" s="5">
        <v>0</v>
      </c>
      <c r="W1367" s="5">
        <v>0</v>
      </c>
      <c r="X1367" s="2">
        <v>0</v>
      </c>
      <c r="Y1367" t="s">
        <v>4</v>
      </c>
      <c r="Z1367" t="s">
        <v>4</v>
      </c>
      <c r="AA1367" t="s">
        <v>4</v>
      </c>
      <c r="AB1367" t="s">
        <v>4</v>
      </c>
    </row>
    <row r="1368" spans="1:28" hidden="1" x14ac:dyDescent="0.2">
      <c r="A1368" t="s">
        <v>1207</v>
      </c>
      <c r="B1368" t="s">
        <v>2</v>
      </c>
      <c r="C1368" t="s">
        <v>3</v>
      </c>
      <c r="D1368" t="s">
        <v>4</v>
      </c>
      <c r="E1368" t="s">
        <v>4</v>
      </c>
      <c r="F1368" t="s">
        <v>16</v>
      </c>
      <c r="G1368" t="s">
        <v>21</v>
      </c>
      <c r="H1368" t="s">
        <v>4288</v>
      </c>
      <c r="I1368" s="2">
        <v>1200</v>
      </c>
      <c r="J1368" s="2">
        <v>0</v>
      </c>
      <c r="K1368" s="2">
        <v>0</v>
      </c>
      <c r="L1368" s="3">
        <v>45733</v>
      </c>
      <c r="M1368" s="3">
        <v>45733</v>
      </c>
      <c r="N1368" s="3"/>
      <c r="O1368" t="s">
        <v>4289</v>
      </c>
      <c r="P1368" t="s">
        <v>20</v>
      </c>
      <c r="Q1368" s="4">
        <v>0.87667824074073997</v>
      </c>
      <c r="R1368" t="s">
        <v>16</v>
      </c>
      <c r="S1368" t="s">
        <v>4</v>
      </c>
      <c r="T1368" t="s">
        <v>4290</v>
      </c>
      <c r="U1368" t="s">
        <v>10</v>
      </c>
      <c r="V1368" s="5">
        <v>0</v>
      </c>
      <c r="W1368" s="5">
        <v>0</v>
      </c>
      <c r="X1368" s="2">
        <v>0</v>
      </c>
      <c r="Y1368" t="s">
        <v>4</v>
      </c>
      <c r="Z1368" t="s">
        <v>4</v>
      </c>
      <c r="AA1368" t="s">
        <v>4</v>
      </c>
      <c r="AB1368" t="s">
        <v>4</v>
      </c>
    </row>
    <row r="1369" spans="1:28" hidden="1" x14ac:dyDescent="0.2">
      <c r="A1369" t="s">
        <v>1535</v>
      </c>
      <c r="B1369" t="s">
        <v>2</v>
      </c>
      <c r="C1369" t="s">
        <v>3</v>
      </c>
      <c r="D1369" t="s">
        <v>4</v>
      </c>
      <c r="E1369" t="s">
        <v>4</v>
      </c>
      <c r="F1369" t="s">
        <v>16</v>
      </c>
      <c r="G1369" t="s">
        <v>21</v>
      </c>
      <c r="H1369" t="s">
        <v>4291</v>
      </c>
      <c r="I1369" s="2">
        <v>120</v>
      </c>
      <c r="J1369" s="2">
        <v>0</v>
      </c>
      <c r="K1369" s="2">
        <v>0</v>
      </c>
      <c r="L1369" s="3">
        <v>45834</v>
      </c>
      <c r="M1369" s="3">
        <v>45834</v>
      </c>
      <c r="N1369" s="3"/>
      <c r="O1369" t="s">
        <v>4292</v>
      </c>
      <c r="P1369" t="s">
        <v>20</v>
      </c>
      <c r="Q1369" s="4">
        <v>0.77033564814815003</v>
      </c>
      <c r="R1369" t="s">
        <v>16</v>
      </c>
      <c r="S1369" t="s">
        <v>4</v>
      </c>
      <c r="T1369" t="s">
        <v>2817</v>
      </c>
      <c r="U1369" t="s">
        <v>10</v>
      </c>
      <c r="V1369" s="5">
        <v>0</v>
      </c>
      <c r="W1369" s="5">
        <v>0</v>
      </c>
      <c r="X1369" s="2">
        <v>0</v>
      </c>
      <c r="Y1369" t="s">
        <v>4</v>
      </c>
      <c r="Z1369" t="s">
        <v>4</v>
      </c>
      <c r="AA1369" t="s">
        <v>4</v>
      </c>
      <c r="AB1369" t="s">
        <v>4</v>
      </c>
    </row>
    <row r="1370" spans="1:28" hidden="1" x14ac:dyDescent="0.2">
      <c r="A1370" t="s">
        <v>863</v>
      </c>
      <c r="B1370" t="s">
        <v>2</v>
      </c>
      <c r="C1370" t="s">
        <v>3</v>
      </c>
      <c r="D1370" t="s">
        <v>4</v>
      </c>
      <c r="E1370" t="s">
        <v>4</v>
      </c>
      <c r="F1370" t="s">
        <v>16</v>
      </c>
      <c r="G1370" t="s">
        <v>17</v>
      </c>
      <c r="H1370" t="s">
        <v>4293</v>
      </c>
      <c r="I1370" s="2">
        <v>450</v>
      </c>
      <c r="J1370" s="2">
        <v>0</v>
      </c>
      <c r="K1370" s="2">
        <v>0</v>
      </c>
      <c r="L1370" s="3">
        <v>45728</v>
      </c>
      <c r="M1370" s="3">
        <v>45728</v>
      </c>
      <c r="N1370" s="3"/>
      <c r="O1370" t="s">
        <v>4294</v>
      </c>
      <c r="P1370" t="s">
        <v>20</v>
      </c>
      <c r="Q1370" s="4">
        <v>0.43199074074074001</v>
      </c>
      <c r="R1370" t="s">
        <v>16</v>
      </c>
      <c r="S1370" t="s">
        <v>4</v>
      </c>
      <c r="T1370" t="s">
        <v>4295</v>
      </c>
      <c r="U1370" t="s">
        <v>10</v>
      </c>
      <c r="V1370" s="5">
        <v>0</v>
      </c>
      <c r="W1370" s="5">
        <v>0</v>
      </c>
      <c r="X1370" s="2">
        <v>0</v>
      </c>
      <c r="Y1370" t="s">
        <v>4</v>
      </c>
      <c r="Z1370" t="s">
        <v>4</v>
      </c>
      <c r="AA1370" t="s">
        <v>4</v>
      </c>
      <c r="AB1370" t="s">
        <v>4</v>
      </c>
    </row>
    <row r="1371" spans="1:28" hidden="1" x14ac:dyDescent="0.2">
      <c r="A1371" t="s">
        <v>1857</v>
      </c>
      <c r="B1371" t="s">
        <v>2</v>
      </c>
      <c r="C1371" t="s">
        <v>3</v>
      </c>
      <c r="D1371" t="s">
        <v>4</v>
      </c>
      <c r="E1371" t="s">
        <v>4</v>
      </c>
      <c r="F1371" t="s">
        <v>16</v>
      </c>
      <c r="G1371" t="s">
        <v>17</v>
      </c>
      <c r="H1371" t="s">
        <v>4296</v>
      </c>
      <c r="I1371" s="2">
        <v>40000</v>
      </c>
      <c r="J1371" s="2">
        <v>0</v>
      </c>
      <c r="K1371" s="2">
        <v>0</v>
      </c>
      <c r="L1371" s="3">
        <v>45813</v>
      </c>
      <c r="M1371" s="3">
        <v>45813</v>
      </c>
      <c r="N1371" s="3"/>
      <c r="O1371" t="s">
        <v>4297</v>
      </c>
      <c r="P1371" t="s">
        <v>20</v>
      </c>
      <c r="Q1371" s="4">
        <v>0.43836805555556002</v>
      </c>
      <c r="R1371" t="s">
        <v>16</v>
      </c>
      <c r="S1371" t="s">
        <v>4</v>
      </c>
      <c r="T1371" t="s">
        <v>3649</v>
      </c>
      <c r="U1371" t="s">
        <v>10</v>
      </c>
      <c r="V1371" s="5">
        <v>0</v>
      </c>
      <c r="W1371" s="5">
        <v>0</v>
      </c>
      <c r="X1371" s="2">
        <v>0</v>
      </c>
      <c r="Y1371" t="s">
        <v>4</v>
      </c>
      <c r="Z1371" t="s">
        <v>4</v>
      </c>
      <c r="AA1371" t="s">
        <v>4</v>
      </c>
      <c r="AB1371" t="s">
        <v>4</v>
      </c>
    </row>
    <row r="1372" spans="1:28" hidden="1" x14ac:dyDescent="0.2">
      <c r="A1372" t="s">
        <v>1576</v>
      </c>
      <c r="B1372" t="s">
        <v>2</v>
      </c>
      <c r="C1372" t="s">
        <v>3</v>
      </c>
      <c r="D1372" t="s">
        <v>4</v>
      </c>
      <c r="E1372" t="s">
        <v>4</v>
      </c>
      <c r="F1372" t="s">
        <v>16</v>
      </c>
      <c r="G1372" t="s">
        <v>6</v>
      </c>
      <c r="H1372" t="s">
        <v>4298</v>
      </c>
      <c r="I1372" s="2">
        <v>16000</v>
      </c>
      <c r="J1372" s="2">
        <v>0</v>
      </c>
      <c r="K1372" s="2">
        <v>0</v>
      </c>
      <c r="L1372" s="3">
        <v>45852</v>
      </c>
      <c r="M1372" s="3">
        <v>45852</v>
      </c>
      <c r="N1372" s="3"/>
      <c r="O1372" t="s">
        <v>4299</v>
      </c>
      <c r="P1372" t="s">
        <v>20</v>
      </c>
      <c r="Q1372" s="4">
        <v>0.97760416666667005</v>
      </c>
      <c r="R1372" t="s">
        <v>16</v>
      </c>
      <c r="S1372" t="s">
        <v>4</v>
      </c>
      <c r="T1372" t="s">
        <v>2669</v>
      </c>
      <c r="U1372" t="s">
        <v>10</v>
      </c>
      <c r="V1372" s="5">
        <v>0</v>
      </c>
      <c r="W1372" s="5">
        <v>0</v>
      </c>
      <c r="X1372" s="2">
        <v>0</v>
      </c>
      <c r="Y1372" t="s">
        <v>4</v>
      </c>
      <c r="Z1372" t="s">
        <v>4</v>
      </c>
      <c r="AA1372" t="s">
        <v>4</v>
      </c>
      <c r="AB1372" t="s">
        <v>4</v>
      </c>
    </row>
    <row r="1373" spans="1:28" hidden="1" x14ac:dyDescent="0.2">
      <c r="A1373" t="s">
        <v>623</v>
      </c>
      <c r="B1373" t="s">
        <v>2</v>
      </c>
      <c r="C1373" t="s">
        <v>3</v>
      </c>
      <c r="D1373" t="s">
        <v>4</v>
      </c>
      <c r="E1373" t="s">
        <v>4</v>
      </c>
      <c r="F1373" t="s">
        <v>16</v>
      </c>
      <c r="G1373" t="s">
        <v>6</v>
      </c>
      <c r="H1373" t="s">
        <v>4300</v>
      </c>
      <c r="I1373" s="2">
        <v>5250</v>
      </c>
      <c r="J1373" s="2">
        <v>0</v>
      </c>
      <c r="K1373" s="2">
        <v>0</v>
      </c>
      <c r="L1373" s="3">
        <v>45850</v>
      </c>
      <c r="M1373" s="3">
        <v>45850</v>
      </c>
      <c r="N1373" s="3"/>
      <c r="O1373" t="s">
        <v>4301</v>
      </c>
      <c r="P1373" t="s">
        <v>20</v>
      </c>
      <c r="Q1373" s="4">
        <v>0.96819444444444003</v>
      </c>
      <c r="R1373" t="s">
        <v>16</v>
      </c>
      <c r="S1373" t="s">
        <v>4</v>
      </c>
      <c r="T1373" t="s">
        <v>2680</v>
      </c>
      <c r="U1373" t="s">
        <v>10</v>
      </c>
      <c r="V1373" s="5">
        <v>0</v>
      </c>
      <c r="W1373" s="5">
        <v>0</v>
      </c>
      <c r="X1373" s="2">
        <v>0</v>
      </c>
      <c r="Y1373" t="s">
        <v>4</v>
      </c>
      <c r="Z1373" t="s">
        <v>4</v>
      </c>
      <c r="AA1373" t="s">
        <v>4</v>
      </c>
      <c r="AB1373" t="s">
        <v>4</v>
      </c>
    </row>
    <row r="1374" spans="1:28" hidden="1" x14ac:dyDescent="0.2">
      <c r="A1374" t="s">
        <v>2251</v>
      </c>
      <c r="B1374" t="s">
        <v>4</v>
      </c>
      <c r="C1374" t="s">
        <v>4</v>
      </c>
      <c r="D1374" t="s">
        <v>4</v>
      </c>
      <c r="E1374" t="s">
        <v>4</v>
      </c>
      <c r="F1374" t="s">
        <v>16</v>
      </c>
      <c r="G1374" t="s">
        <v>6</v>
      </c>
      <c r="H1374" t="s">
        <v>4302</v>
      </c>
      <c r="I1374" s="5">
        <v>0</v>
      </c>
      <c r="J1374" s="5">
        <v>0</v>
      </c>
      <c r="K1374" s="5">
        <v>0</v>
      </c>
      <c r="L1374" s="3"/>
      <c r="M1374" s="3"/>
      <c r="N1374" s="3"/>
      <c r="O1374" t="s">
        <v>4</v>
      </c>
      <c r="P1374" t="s">
        <v>20</v>
      </c>
      <c r="Q1374" s="4">
        <v>0.37106481481481002</v>
      </c>
      <c r="R1374" t="s">
        <v>4</v>
      </c>
      <c r="S1374" t="s">
        <v>4</v>
      </c>
      <c r="T1374" t="s">
        <v>2256</v>
      </c>
      <c r="U1374" t="s">
        <v>4</v>
      </c>
      <c r="V1374" s="5">
        <v>0</v>
      </c>
      <c r="W1374" s="5">
        <v>0</v>
      </c>
      <c r="X1374" s="2">
        <v>0</v>
      </c>
      <c r="Y1374" t="s">
        <v>4</v>
      </c>
      <c r="Z1374" t="s">
        <v>4</v>
      </c>
      <c r="AA1374" t="s">
        <v>4</v>
      </c>
      <c r="AB1374" t="s">
        <v>4</v>
      </c>
    </row>
    <row r="1375" spans="1:28" hidden="1" x14ac:dyDescent="0.2">
      <c r="A1375" t="s">
        <v>863</v>
      </c>
      <c r="B1375" t="s">
        <v>2</v>
      </c>
      <c r="C1375" t="s">
        <v>3</v>
      </c>
      <c r="D1375" t="s">
        <v>4</v>
      </c>
      <c r="E1375" t="s">
        <v>4</v>
      </c>
      <c r="F1375" t="s">
        <v>16</v>
      </c>
      <c r="G1375" t="s">
        <v>17</v>
      </c>
      <c r="H1375" t="s">
        <v>4303</v>
      </c>
      <c r="I1375" s="2">
        <v>700</v>
      </c>
      <c r="J1375" s="2">
        <v>0</v>
      </c>
      <c r="K1375" s="2">
        <v>0</v>
      </c>
      <c r="L1375" s="3">
        <v>45835</v>
      </c>
      <c r="M1375" s="3">
        <v>45835</v>
      </c>
      <c r="N1375" s="3"/>
      <c r="O1375" t="s">
        <v>4304</v>
      </c>
      <c r="P1375" t="s">
        <v>20</v>
      </c>
      <c r="Q1375" s="4">
        <v>0.45763888888888998</v>
      </c>
      <c r="R1375" t="s">
        <v>16</v>
      </c>
      <c r="S1375" t="s">
        <v>4</v>
      </c>
      <c r="T1375" t="s">
        <v>2928</v>
      </c>
      <c r="U1375" t="s">
        <v>10</v>
      </c>
      <c r="V1375" s="5">
        <v>0</v>
      </c>
      <c r="W1375" s="5">
        <v>0</v>
      </c>
      <c r="X1375" s="2">
        <v>0</v>
      </c>
      <c r="Y1375" t="s">
        <v>4</v>
      </c>
      <c r="Z1375" t="s">
        <v>4</v>
      </c>
      <c r="AA1375" t="s">
        <v>4</v>
      </c>
      <c r="AB1375" t="s">
        <v>4</v>
      </c>
    </row>
    <row r="1376" spans="1:28" hidden="1" x14ac:dyDescent="0.2">
      <c r="A1376" t="s">
        <v>1943</v>
      </c>
      <c r="B1376" t="s">
        <v>2</v>
      </c>
      <c r="C1376" t="s">
        <v>3</v>
      </c>
      <c r="D1376" t="s">
        <v>4</v>
      </c>
      <c r="E1376" t="s">
        <v>4</v>
      </c>
      <c r="F1376" t="s">
        <v>16</v>
      </c>
      <c r="G1376" t="s">
        <v>21</v>
      </c>
      <c r="H1376" t="s">
        <v>4305</v>
      </c>
      <c r="I1376" s="2">
        <v>18000</v>
      </c>
      <c r="J1376" s="2">
        <v>0</v>
      </c>
      <c r="K1376" s="2">
        <v>0</v>
      </c>
      <c r="L1376" s="3">
        <v>45848</v>
      </c>
      <c r="M1376" s="3">
        <v>45848</v>
      </c>
      <c r="N1376" s="3"/>
      <c r="O1376" t="s">
        <v>4306</v>
      </c>
      <c r="P1376" t="s">
        <v>20</v>
      </c>
      <c r="Q1376" s="4">
        <v>0.89460648148148003</v>
      </c>
      <c r="R1376" t="s">
        <v>16</v>
      </c>
      <c r="S1376" t="s">
        <v>4</v>
      </c>
      <c r="T1376" t="s">
        <v>2580</v>
      </c>
      <c r="U1376" t="s">
        <v>10</v>
      </c>
      <c r="V1376" s="5">
        <v>0</v>
      </c>
      <c r="W1376" s="5">
        <v>0</v>
      </c>
      <c r="X1376" s="2">
        <v>0</v>
      </c>
      <c r="Y1376" t="s">
        <v>4</v>
      </c>
      <c r="Z1376" t="s">
        <v>4</v>
      </c>
      <c r="AA1376" t="s">
        <v>4</v>
      </c>
      <c r="AB1376" t="s">
        <v>4</v>
      </c>
    </row>
    <row r="1377" spans="1:28" hidden="1" x14ac:dyDescent="0.2">
      <c r="A1377" t="s">
        <v>653</v>
      </c>
      <c r="B1377" t="s">
        <v>2</v>
      </c>
      <c r="C1377" t="s">
        <v>3</v>
      </c>
      <c r="D1377" t="s">
        <v>4</v>
      </c>
      <c r="E1377" t="s">
        <v>4</v>
      </c>
      <c r="F1377" t="s">
        <v>16</v>
      </c>
      <c r="G1377" t="s">
        <v>21</v>
      </c>
      <c r="H1377" t="s">
        <v>4307</v>
      </c>
      <c r="I1377" s="2">
        <v>2000</v>
      </c>
      <c r="J1377" s="2">
        <v>0</v>
      </c>
      <c r="K1377" s="2">
        <v>0</v>
      </c>
      <c r="L1377" s="3">
        <v>45846</v>
      </c>
      <c r="M1377" s="3">
        <v>45850</v>
      </c>
      <c r="N1377" s="3"/>
      <c r="O1377" t="s">
        <v>4308</v>
      </c>
      <c r="P1377" t="s">
        <v>20</v>
      </c>
      <c r="Q1377" s="4">
        <v>0.35843750000000002</v>
      </c>
      <c r="R1377" t="s">
        <v>16</v>
      </c>
      <c r="S1377" t="s">
        <v>4</v>
      </c>
      <c r="T1377" t="s">
        <v>2318</v>
      </c>
      <c r="U1377" t="s">
        <v>4237</v>
      </c>
      <c r="V1377" s="5">
        <v>0</v>
      </c>
      <c r="W1377" s="5">
        <v>0</v>
      </c>
      <c r="X1377" s="2">
        <v>0</v>
      </c>
      <c r="Y1377" t="s">
        <v>4</v>
      </c>
      <c r="Z1377" t="s">
        <v>4</v>
      </c>
      <c r="AA1377" t="s">
        <v>4</v>
      </c>
      <c r="AB1377" t="s">
        <v>4</v>
      </c>
    </row>
    <row r="1378" spans="1:28" hidden="1" x14ac:dyDescent="0.2">
      <c r="A1378" t="s">
        <v>1123</v>
      </c>
      <c r="B1378" t="s">
        <v>2</v>
      </c>
      <c r="C1378" t="s">
        <v>3</v>
      </c>
      <c r="D1378" t="s">
        <v>4</v>
      </c>
      <c r="E1378" t="s">
        <v>4</v>
      </c>
      <c r="F1378" t="s">
        <v>16</v>
      </c>
      <c r="G1378" t="s">
        <v>21</v>
      </c>
      <c r="H1378" t="s">
        <v>4309</v>
      </c>
      <c r="I1378" s="2">
        <v>21000</v>
      </c>
      <c r="J1378" s="2">
        <v>0</v>
      </c>
      <c r="K1378" s="2">
        <v>0</v>
      </c>
      <c r="L1378" s="3">
        <v>45858</v>
      </c>
      <c r="M1378" s="3">
        <v>45858</v>
      </c>
      <c r="N1378" s="3"/>
      <c r="O1378" t="s">
        <v>4310</v>
      </c>
      <c r="P1378" t="s">
        <v>20</v>
      </c>
      <c r="Q1378" s="4">
        <v>0.59856481481481005</v>
      </c>
      <c r="R1378" t="s">
        <v>16</v>
      </c>
      <c r="S1378" t="s">
        <v>4</v>
      </c>
      <c r="T1378" t="s">
        <v>2337</v>
      </c>
      <c r="U1378" t="s">
        <v>10</v>
      </c>
      <c r="V1378" s="5">
        <v>0</v>
      </c>
      <c r="W1378" s="5">
        <v>0</v>
      </c>
      <c r="X1378" s="2">
        <v>0</v>
      </c>
      <c r="Y1378" t="s">
        <v>4</v>
      </c>
      <c r="Z1378" t="s">
        <v>4</v>
      </c>
      <c r="AA1378" t="s">
        <v>4</v>
      </c>
      <c r="AB1378" t="s">
        <v>4</v>
      </c>
    </row>
    <row r="1379" spans="1:28" hidden="1" x14ac:dyDescent="0.2">
      <c r="A1379" t="s">
        <v>721</v>
      </c>
      <c r="B1379" t="s">
        <v>2</v>
      </c>
      <c r="C1379" t="s">
        <v>3</v>
      </c>
      <c r="D1379" t="s">
        <v>4</v>
      </c>
      <c r="E1379" t="s">
        <v>4</v>
      </c>
      <c r="F1379" t="s">
        <v>16</v>
      </c>
      <c r="G1379" t="s">
        <v>21</v>
      </c>
      <c r="H1379" t="s">
        <v>4311</v>
      </c>
      <c r="I1379" s="2">
        <v>12000</v>
      </c>
      <c r="J1379" s="2">
        <v>0</v>
      </c>
      <c r="K1379" s="2">
        <v>0</v>
      </c>
      <c r="L1379" s="3">
        <v>45826</v>
      </c>
      <c r="M1379" s="3">
        <v>45857</v>
      </c>
      <c r="N1379" s="3">
        <v>45855</v>
      </c>
      <c r="O1379" t="s">
        <v>4312</v>
      </c>
      <c r="P1379" t="s">
        <v>20</v>
      </c>
      <c r="Q1379" s="4">
        <v>0.37556712962963001</v>
      </c>
      <c r="R1379" t="s">
        <v>16</v>
      </c>
      <c r="S1379" t="s">
        <v>4</v>
      </c>
      <c r="T1379" t="s">
        <v>4018</v>
      </c>
      <c r="U1379" t="s">
        <v>10</v>
      </c>
      <c r="V1379" s="5">
        <v>0</v>
      </c>
      <c r="W1379" s="5">
        <v>0</v>
      </c>
      <c r="X1379" s="2">
        <v>0</v>
      </c>
      <c r="Y1379" t="s">
        <v>4</v>
      </c>
      <c r="Z1379" t="s">
        <v>4</v>
      </c>
      <c r="AA1379" t="s">
        <v>4</v>
      </c>
      <c r="AB1379" t="s">
        <v>4</v>
      </c>
    </row>
    <row r="1380" spans="1:28" hidden="1" x14ac:dyDescent="0.2">
      <c r="A1380" t="s">
        <v>1211</v>
      </c>
      <c r="B1380" t="s">
        <v>2</v>
      </c>
      <c r="C1380" t="s">
        <v>3</v>
      </c>
      <c r="D1380" t="s">
        <v>4</v>
      </c>
      <c r="E1380" t="s">
        <v>4</v>
      </c>
      <c r="F1380" t="s">
        <v>16</v>
      </c>
      <c r="G1380" t="s">
        <v>21</v>
      </c>
      <c r="H1380" t="s">
        <v>4313</v>
      </c>
      <c r="I1380" s="2">
        <v>98</v>
      </c>
      <c r="J1380" s="2">
        <v>0</v>
      </c>
      <c r="K1380" s="2">
        <v>0</v>
      </c>
      <c r="L1380" s="3">
        <v>45798</v>
      </c>
      <c r="M1380" s="3">
        <v>45840</v>
      </c>
      <c r="N1380" s="3">
        <v>45840</v>
      </c>
      <c r="O1380" t="s">
        <v>4314</v>
      </c>
      <c r="P1380" t="s">
        <v>20</v>
      </c>
      <c r="Q1380" s="4">
        <v>0.35424768518519001</v>
      </c>
      <c r="R1380" t="s">
        <v>16</v>
      </c>
      <c r="S1380" t="s">
        <v>4</v>
      </c>
      <c r="T1380" t="s">
        <v>4315</v>
      </c>
      <c r="U1380" t="s">
        <v>10</v>
      </c>
      <c r="V1380" s="5">
        <v>0</v>
      </c>
      <c r="W1380" s="5">
        <v>0</v>
      </c>
      <c r="X1380" s="2">
        <v>0</v>
      </c>
      <c r="Y1380" t="s">
        <v>4</v>
      </c>
      <c r="Z1380" t="s">
        <v>4</v>
      </c>
      <c r="AA1380" t="s">
        <v>4</v>
      </c>
      <c r="AB1380" t="s">
        <v>4</v>
      </c>
    </row>
    <row r="1381" spans="1:28" hidden="1" x14ac:dyDescent="0.2">
      <c r="A1381" t="s">
        <v>2039</v>
      </c>
      <c r="B1381" t="s">
        <v>2</v>
      </c>
      <c r="C1381" t="s">
        <v>3</v>
      </c>
      <c r="D1381" t="s">
        <v>4</v>
      </c>
      <c r="E1381" t="s">
        <v>4</v>
      </c>
      <c r="F1381" t="s">
        <v>16</v>
      </c>
      <c r="G1381" t="s">
        <v>21</v>
      </c>
      <c r="H1381" t="s">
        <v>4316</v>
      </c>
      <c r="I1381" s="2">
        <v>108</v>
      </c>
      <c r="J1381" s="2">
        <v>0</v>
      </c>
      <c r="K1381" s="2">
        <v>0</v>
      </c>
      <c r="L1381" s="3">
        <v>45858</v>
      </c>
      <c r="M1381" s="3">
        <v>45858</v>
      </c>
      <c r="N1381" s="3"/>
      <c r="O1381" t="s">
        <v>4317</v>
      </c>
      <c r="P1381" t="s">
        <v>20</v>
      </c>
      <c r="Q1381" s="4">
        <v>0.3562962962963</v>
      </c>
      <c r="R1381" t="s">
        <v>16</v>
      </c>
      <c r="S1381" t="s">
        <v>4</v>
      </c>
      <c r="T1381" t="s">
        <v>2337</v>
      </c>
      <c r="U1381" t="s">
        <v>10</v>
      </c>
      <c r="V1381" s="5">
        <v>0</v>
      </c>
      <c r="W1381" s="5">
        <v>0</v>
      </c>
      <c r="X1381" s="2">
        <v>0</v>
      </c>
      <c r="Y1381" t="s">
        <v>4</v>
      </c>
      <c r="Z1381" t="s">
        <v>4</v>
      </c>
      <c r="AA1381" t="s">
        <v>4</v>
      </c>
      <c r="AB1381" t="s">
        <v>4</v>
      </c>
    </row>
    <row r="1382" spans="1:28" hidden="1" x14ac:dyDescent="0.2">
      <c r="A1382" t="s">
        <v>2146</v>
      </c>
      <c r="B1382" t="s">
        <v>2</v>
      </c>
      <c r="C1382" t="s">
        <v>3</v>
      </c>
      <c r="D1382" t="s">
        <v>4</v>
      </c>
      <c r="E1382" t="s">
        <v>4</v>
      </c>
      <c r="F1382" t="s">
        <v>16</v>
      </c>
      <c r="G1382" t="s">
        <v>21</v>
      </c>
      <c r="H1382" t="s">
        <v>4318</v>
      </c>
      <c r="I1382" s="2">
        <v>6250</v>
      </c>
      <c r="J1382" s="2">
        <v>0</v>
      </c>
      <c r="K1382" s="2">
        <v>0</v>
      </c>
      <c r="L1382" s="3">
        <v>45841</v>
      </c>
      <c r="M1382" s="3">
        <v>45858</v>
      </c>
      <c r="N1382" s="3">
        <v>45854</v>
      </c>
      <c r="O1382" t="s">
        <v>4319</v>
      </c>
      <c r="P1382" t="s">
        <v>20</v>
      </c>
      <c r="Q1382" s="4">
        <v>0.35579861111111</v>
      </c>
      <c r="R1382" t="s">
        <v>16</v>
      </c>
      <c r="S1382" t="s">
        <v>4</v>
      </c>
      <c r="T1382" t="s">
        <v>3152</v>
      </c>
      <c r="U1382" t="s">
        <v>10</v>
      </c>
      <c r="V1382" s="5">
        <v>0</v>
      </c>
      <c r="W1382" s="5">
        <v>0</v>
      </c>
      <c r="X1382" s="2">
        <v>0</v>
      </c>
      <c r="Y1382" t="s">
        <v>4</v>
      </c>
      <c r="Z1382" t="s">
        <v>4</v>
      </c>
      <c r="AA1382" t="s">
        <v>4</v>
      </c>
      <c r="AB1382" t="s">
        <v>4</v>
      </c>
    </row>
    <row r="1383" spans="1:28" hidden="1" x14ac:dyDescent="0.2">
      <c r="A1383" t="s">
        <v>396</v>
      </c>
      <c r="B1383" t="s">
        <v>2</v>
      </c>
      <c r="C1383" t="s">
        <v>3</v>
      </c>
      <c r="D1383" t="s">
        <v>4</v>
      </c>
      <c r="E1383" t="s">
        <v>4</v>
      </c>
      <c r="F1383" t="s">
        <v>16</v>
      </c>
      <c r="G1383" t="s">
        <v>21</v>
      </c>
      <c r="H1383" t="s">
        <v>4320</v>
      </c>
      <c r="I1383" s="2">
        <v>726</v>
      </c>
      <c r="J1383" s="2">
        <v>0</v>
      </c>
      <c r="K1383" s="2">
        <v>0</v>
      </c>
      <c r="L1383" s="3">
        <v>45857</v>
      </c>
      <c r="M1383" s="3">
        <v>45857</v>
      </c>
      <c r="N1383" s="3"/>
      <c r="O1383" t="s">
        <v>4321</v>
      </c>
      <c r="P1383" t="s">
        <v>20</v>
      </c>
      <c r="Q1383" s="4">
        <v>0.77403935185185002</v>
      </c>
      <c r="R1383" t="s">
        <v>16</v>
      </c>
      <c r="S1383" t="s">
        <v>4</v>
      </c>
      <c r="T1383" t="s">
        <v>2262</v>
      </c>
      <c r="U1383" t="s">
        <v>10</v>
      </c>
      <c r="V1383" s="5">
        <v>0</v>
      </c>
      <c r="W1383" s="5">
        <v>0</v>
      </c>
      <c r="X1383" s="2">
        <v>0</v>
      </c>
      <c r="Y1383" t="s">
        <v>4</v>
      </c>
      <c r="Z1383" t="s">
        <v>4</v>
      </c>
      <c r="AA1383" t="s">
        <v>4</v>
      </c>
      <c r="AB1383" t="s">
        <v>4</v>
      </c>
    </row>
    <row r="1384" spans="1:28" hidden="1" x14ac:dyDescent="0.2">
      <c r="A1384" t="s">
        <v>1186</v>
      </c>
      <c r="B1384" t="s">
        <v>2</v>
      </c>
      <c r="C1384" t="s">
        <v>3</v>
      </c>
      <c r="D1384" t="s">
        <v>4</v>
      </c>
      <c r="E1384" t="s">
        <v>4</v>
      </c>
      <c r="F1384" t="s">
        <v>16</v>
      </c>
      <c r="G1384" t="s">
        <v>21</v>
      </c>
      <c r="H1384" t="s">
        <v>4322</v>
      </c>
      <c r="I1384" s="2">
        <v>1000</v>
      </c>
      <c r="J1384" s="2">
        <v>0</v>
      </c>
      <c r="K1384" s="2">
        <v>0</v>
      </c>
      <c r="L1384" s="3">
        <v>45853</v>
      </c>
      <c r="M1384" s="3">
        <v>45853</v>
      </c>
      <c r="N1384" s="3"/>
      <c r="O1384" t="s">
        <v>4323</v>
      </c>
      <c r="P1384" t="s">
        <v>20</v>
      </c>
      <c r="Q1384" s="4">
        <v>0.82369212962963001</v>
      </c>
      <c r="R1384" t="s">
        <v>16</v>
      </c>
      <c r="S1384" t="s">
        <v>4</v>
      </c>
      <c r="T1384" t="s">
        <v>2272</v>
      </c>
      <c r="U1384" t="s">
        <v>10</v>
      </c>
      <c r="V1384" s="5">
        <v>0</v>
      </c>
      <c r="W1384" s="5">
        <v>0</v>
      </c>
      <c r="X1384" s="2">
        <v>0</v>
      </c>
      <c r="Y1384" t="s">
        <v>4</v>
      </c>
      <c r="Z1384" t="s">
        <v>4</v>
      </c>
      <c r="AA1384" t="s">
        <v>4</v>
      </c>
      <c r="AB1384" t="s">
        <v>4</v>
      </c>
    </row>
    <row r="1385" spans="1:28" hidden="1" x14ac:dyDescent="0.2">
      <c r="A1385" t="s">
        <v>1979</v>
      </c>
      <c r="B1385" t="s">
        <v>2</v>
      </c>
      <c r="C1385" t="s">
        <v>3</v>
      </c>
      <c r="D1385" t="s">
        <v>4</v>
      </c>
      <c r="E1385" t="s">
        <v>4</v>
      </c>
      <c r="F1385" t="s">
        <v>16</v>
      </c>
      <c r="G1385" t="s">
        <v>21</v>
      </c>
      <c r="H1385" t="s">
        <v>4324</v>
      </c>
      <c r="I1385" s="2">
        <v>3360</v>
      </c>
      <c r="J1385" s="2">
        <v>0</v>
      </c>
      <c r="K1385" s="2">
        <v>0</v>
      </c>
      <c r="L1385" s="3">
        <v>45858</v>
      </c>
      <c r="M1385" s="3">
        <v>45858</v>
      </c>
      <c r="N1385" s="3"/>
      <c r="O1385" t="s">
        <v>4325</v>
      </c>
      <c r="P1385" t="s">
        <v>20</v>
      </c>
      <c r="Q1385" s="4">
        <v>0.40775462962962999</v>
      </c>
      <c r="R1385" t="s">
        <v>16</v>
      </c>
      <c r="S1385" t="s">
        <v>4</v>
      </c>
      <c r="T1385" t="s">
        <v>2337</v>
      </c>
      <c r="U1385" t="s">
        <v>10</v>
      </c>
      <c r="V1385" s="5">
        <v>0</v>
      </c>
      <c r="W1385" s="5">
        <v>0</v>
      </c>
      <c r="X1385" s="2">
        <v>0</v>
      </c>
      <c r="Y1385" t="s">
        <v>4</v>
      </c>
      <c r="Z1385" t="s">
        <v>4</v>
      </c>
      <c r="AA1385" t="s">
        <v>4</v>
      </c>
      <c r="AB1385" t="s">
        <v>4</v>
      </c>
    </row>
    <row r="1386" spans="1:28" hidden="1" x14ac:dyDescent="0.2">
      <c r="A1386" t="s">
        <v>863</v>
      </c>
      <c r="B1386" t="s">
        <v>2</v>
      </c>
      <c r="C1386" t="s">
        <v>3</v>
      </c>
      <c r="D1386" t="s">
        <v>4</v>
      </c>
      <c r="E1386" t="s">
        <v>4</v>
      </c>
      <c r="F1386" t="s">
        <v>16</v>
      </c>
      <c r="G1386" t="s">
        <v>17</v>
      </c>
      <c r="H1386" t="s">
        <v>4326</v>
      </c>
      <c r="I1386" s="2">
        <v>50</v>
      </c>
      <c r="J1386" s="2">
        <v>0</v>
      </c>
      <c r="K1386" s="2">
        <v>0</v>
      </c>
      <c r="L1386" s="3">
        <v>45716</v>
      </c>
      <c r="M1386" s="3">
        <v>45716</v>
      </c>
      <c r="N1386" s="3"/>
      <c r="O1386" t="s">
        <v>4327</v>
      </c>
      <c r="P1386" t="s">
        <v>20</v>
      </c>
      <c r="Q1386" s="4">
        <v>0.44094907407407002</v>
      </c>
      <c r="R1386" t="s">
        <v>16</v>
      </c>
      <c r="S1386" t="s">
        <v>4</v>
      </c>
      <c r="T1386" t="s">
        <v>4328</v>
      </c>
      <c r="U1386" t="s">
        <v>10</v>
      </c>
      <c r="V1386" s="5">
        <v>0</v>
      </c>
      <c r="W1386" s="5">
        <v>0</v>
      </c>
      <c r="X1386" s="2">
        <v>0</v>
      </c>
      <c r="Y1386" t="s">
        <v>4</v>
      </c>
      <c r="Z1386" t="s">
        <v>4</v>
      </c>
      <c r="AA1386" t="s">
        <v>4</v>
      </c>
      <c r="AB1386" t="s">
        <v>4</v>
      </c>
    </row>
    <row r="1387" spans="1:28" hidden="1" x14ac:dyDescent="0.2">
      <c r="A1387" t="s">
        <v>2196</v>
      </c>
      <c r="B1387" t="s">
        <v>2</v>
      </c>
      <c r="C1387" t="s">
        <v>3</v>
      </c>
      <c r="D1387" t="s">
        <v>4</v>
      </c>
      <c r="E1387" t="s">
        <v>4</v>
      </c>
      <c r="F1387" t="s">
        <v>16</v>
      </c>
      <c r="G1387" t="s">
        <v>17</v>
      </c>
      <c r="H1387" t="s">
        <v>4329</v>
      </c>
      <c r="I1387" s="2">
        <v>768</v>
      </c>
      <c r="J1387" s="2">
        <v>0</v>
      </c>
      <c r="K1387" s="2">
        <v>0</v>
      </c>
      <c r="L1387" s="3">
        <v>45772</v>
      </c>
      <c r="M1387" s="3">
        <v>45772</v>
      </c>
      <c r="N1387" s="3"/>
      <c r="O1387" t="s">
        <v>4330</v>
      </c>
      <c r="P1387" t="s">
        <v>20</v>
      </c>
      <c r="Q1387" s="4">
        <v>0.92318287037036995</v>
      </c>
      <c r="R1387" t="s">
        <v>16</v>
      </c>
      <c r="S1387" t="s">
        <v>4</v>
      </c>
      <c r="T1387" t="s">
        <v>4331</v>
      </c>
      <c r="U1387" t="s">
        <v>10</v>
      </c>
      <c r="V1387" s="5">
        <v>0</v>
      </c>
      <c r="W1387" s="5">
        <v>0</v>
      </c>
      <c r="X1387" s="2">
        <v>0</v>
      </c>
      <c r="Y1387" t="s">
        <v>4</v>
      </c>
      <c r="Z1387" t="s">
        <v>4</v>
      </c>
      <c r="AA1387" t="s">
        <v>4</v>
      </c>
      <c r="AB1387" t="s">
        <v>4</v>
      </c>
    </row>
    <row r="1388" spans="1:28" hidden="1" x14ac:dyDescent="0.2">
      <c r="A1388" t="s">
        <v>1199</v>
      </c>
      <c r="B1388" t="s">
        <v>2</v>
      </c>
      <c r="C1388" t="s">
        <v>3</v>
      </c>
      <c r="D1388" t="s">
        <v>4</v>
      </c>
      <c r="E1388" t="s">
        <v>4</v>
      </c>
      <c r="F1388" t="s">
        <v>16</v>
      </c>
      <c r="G1388" t="s">
        <v>6</v>
      </c>
      <c r="H1388" t="s">
        <v>4332</v>
      </c>
      <c r="I1388" s="2">
        <v>1180</v>
      </c>
      <c r="J1388" s="2">
        <v>0</v>
      </c>
      <c r="K1388" s="2">
        <v>0</v>
      </c>
      <c r="L1388" s="3">
        <v>45491</v>
      </c>
      <c r="M1388" s="3">
        <v>45491</v>
      </c>
      <c r="N1388" s="3"/>
      <c r="O1388" t="s">
        <v>4333</v>
      </c>
      <c r="P1388" t="s">
        <v>20</v>
      </c>
      <c r="Q1388" s="4">
        <v>0.91350694444444003</v>
      </c>
      <c r="R1388" t="s">
        <v>16</v>
      </c>
      <c r="S1388" t="s">
        <v>4</v>
      </c>
      <c r="T1388" t="s">
        <v>4334</v>
      </c>
      <c r="U1388" t="s">
        <v>10</v>
      </c>
      <c r="V1388" s="5">
        <v>0</v>
      </c>
      <c r="W1388" s="5">
        <v>0</v>
      </c>
      <c r="X1388" s="2">
        <v>0</v>
      </c>
      <c r="Y1388" t="s">
        <v>4</v>
      </c>
      <c r="Z1388" t="s">
        <v>4</v>
      </c>
      <c r="AA1388" t="s">
        <v>4</v>
      </c>
      <c r="AB1388" t="s">
        <v>4</v>
      </c>
    </row>
    <row r="1389" spans="1:28" hidden="1" x14ac:dyDescent="0.2">
      <c r="A1389" t="s">
        <v>1223</v>
      </c>
      <c r="B1389" t="s">
        <v>2</v>
      </c>
      <c r="C1389" t="s">
        <v>3</v>
      </c>
      <c r="D1389" t="s">
        <v>4</v>
      </c>
      <c r="E1389" t="s">
        <v>4</v>
      </c>
      <c r="F1389" t="s">
        <v>16</v>
      </c>
      <c r="G1389" t="s">
        <v>17</v>
      </c>
      <c r="H1389" t="s">
        <v>4335</v>
      </c>
      <c r="I1389" s="2">
        <v>900</v>
      </c>
      <c r="J1389" s="2">
        <v>0</v>
      </c>
      <c r="K1389" s="2">
        <v>0</v>
      </c>
      <c r="L1389" s="3">
        <v>45733</v>
      </c>
      <c r="M1389" s="3">
        <v>45733</v>
      </c>
      <c r="N1389" s="3"/>
      <c r="O1389" t="s">
        <v>4336</v>
      </c>
      <c r="P1389" t="s">
        <v>20</v>
      </c>
      <c r="Q1389" s="4">
        <v>0.95984953703704001</v>
      </c>
      <c r="R1389" t="s">
        <v>16</v>
      </c>
      <c r="S1389" t="s">
        <v>4</v>
      </c>
      <c r="T1389" t="s">
        <v>4290</v>
      </c>
      <c r="U1389" t="s">
        <v>10</v>
      </c>
      <c r="V1389" s="5">
        <v>0</v>
      </c>
      <c r="W1389" s="5">
        <v>0</v>
      </c>
      <c r="X1389" s="2">
        <v>0</v>
      </c>
      <c r="Y1389" t="s">
        <v>4</v>
      </c>
      <c r="Z1389" t="s">
        <v>4</v>
      </c>
      <c r="AA1389" t="s">
        <v>4</v>
      </c>
      <c r="AB1389" t="s">
        <v>4</v>
      </c>
    </row>
    <row r="1390" spans="1:28" hidden="1" x14ac:dyDescent="0.2">
      <c r="A1390" t="s">
        <v>482</v>
      </c>
      <c r="B1390" t="s">
        <v>2</v>
      </c>
      <c r="C1390" t="s">
        <v>3</v>
      </c>
      <c r="D1390" t="s">
        <v>4</v>
      </c>
      <c r="E1390" t="s">
        <v>4</v>
      </c>
      <c r="F1390" t="s">
        <v>16</v>
      </c>
      <c r="G1390" t="s">
        <v>17</v>
      </c>
      <c r="H1390" t="s">
        <v>4337</v>
      </c>
      <c r="I1390" s="2">
        <v>1440</v>
      </c>
      <c r="J1390" s="2">
        <v>0</v>
      </c>
      <c r="K1390" s="2">
        <v>0</v>
      </c>
      <c r="L1390" s="3">
        <v>45849</v>
      </c>
      <c r="M1390" s="3">
        <v>45849</v>
      </c>
      <c r="N1390" s="3"/>
      <c r="O1390" t="s">
        <v>4338</v>
      </c>
      <c r="P1390" t="s">
        <v>20</v>
      </c>
      <c r="Q1390" s="4">
        <v>0.92915509259258999</v>
      </c>
      <c r="R1390" t="s">
        <v>16</v>
      </c>
      <c r="S1390" t="s">
        <v>4</v>
      </c>
      <c r="T1390" t="s">
        <v>2321</v>
      </c>
      <c r="U1390" t="s">
        <v>10</v>
      </c>
      <c r="V1390" s="5">
        <v>0</v>
      </c>
      <c r="W1390" s="5">
        <v>0</v>
      </c>
      <c r="X1390" s="2">
        <v>0</v>
      </c>
      <c r="Y1390" t="s">
        <v>4</v>
      </c>
      <c r="Z1390" t="s">
        <v>4</v>
      </c>
      <c r="AA1390" t="s">
        <v>4</v>
      </c>
      <c r="AB1390" t="s">
        <v>4</v>
      </c>
    </row>
    <row r="1391" spans="1:28" hidden="1" x14ac:dyDescent="0.2">
      <c r="A1391" t="s">
        <v>1947</v>
      </c>
      <c r="B1391" t="s">
        <v>2</v>
      </c>
      <c r="C1391" t="s">
        <v>3</v>
      </c>
      <c r="D1391" t="s">
        <v>4</v>
      </c>
      <c r="E1391" t="s">
        <v>4</v>
      </c>
      <c r="F1391" t="s">
        <v>16</v>
      </c>
      <c r="G1391" t="s">
        <v>6</v>
      </c>
      <c r="H1391" t="s">
        <v>4339</v>
      </c>
      <c r="I1391" s="2">
        <v>5775</v>
      </c>
      <c r="J1391" s="2">
        <v>0</v>
      </c>
      <c r="K1391" s="2">
        <v>0</v>
      </c>
      <c r="L1391" s="3">
        <v>45846</v>
      </c>
      <c r="M1391" s="3">
        <v>45846</v>
      </c>
      <c r="N1391" s="3"/>
      <c r="O1391" t="s">
        <v>4340</v>
      </c>
      <c r="P1391" t="s">
        <v>20</v>
      </c>
      <c r="Q1391" s="4">
        <v>0.35840277777778001</v>
      </c>
      <c r="R1391" t="s">
        <v>16</v>
      </c>
      <c r="S1391" t="s">
        <v>4</v>
      </c>
      <c r="T1391" t="s">
        <v>2318</v>
      </c>
      <c r="U1391" t="s">
        <v>4237</v>
      </c>
      <c r="V1391" s="5">
        <v>0</v>
      </c>
      <c r="W1391" s="5">
        <v>0</v>
      </c>
      <c r="X1391" s="2">
        <v>0</v>
      </c>
      <c r="Y1391" t="s">
        <v>4</v>
      </c>
      <c r="Z1391" t="s">
        <v>4</v>
      </c>
      <c r="AA1391" t="s">
        <v>4</v>
      </c>
      <c r="AB1391" t="s">
        <v>4</v>
      </c>
    </row>
    <row r="1392" spans="1:28" hidden="1" x14ac:dyDescent="0.2">
      <c r="A1392" t="s">
        <v>1909</v>
      </c>
      <c r="B1392" t="s">
        <v>2</v>
      </c>
      <c r="C1392" t="s">
        <v>3</v>
      </c>
      <c r="D1392" t="s">
        <v>4</v>
      </c>
      <c r="E1392" t="s">
        <v>4</v>
      </c>
      <c r="F1392" t="s">
        <v>16</v>
      </c>
      <c r="G1392" t="s">
        <v>21</v>
      </c>
      <c r="H1392" t="s">
        <v>4341</v>
      </c>
      <c r="I1392" s="2">
        <v>308</v>
      </c>
      <c r="J1392" s="2">
        <v>0</v>
      </c>
      <c r="K1392" s="2">
        <v>0</v>
      </c>
      <c r="L1392" s="3">
        <v>45825</v>
      </c>
      <c r="M1392" s="3">
        <v>45825</v>
      </c>
      <c r="N1392" s="3"/>
      <c r="O1392" t="s">
        <v>4342</v>
      </c>
      <c r="P1392" t="s">
        <v>20</v>
      </c>
      <c r="Q1392" s="4">
        <v>0.61832175925926003</v>
      </c>
      <c r="R1392" t="s">
        <v>16</v>
      </c>
      <c r="S1392" t="s">
        <v>4</v>
      </c>
      <c r="T1392" t="s">
        <v>3105</v>
      </c>
      <c r="U1392" t="s">
        <v>10</v>
      </c>
      <c r="V1392" s="5">
        <v>0</v>
      </c>
      <c r="W1392" s="5">
        <v>0</v>
      </c>
      <c r="X1392" s="2">
        <v>0</v>
      </c>
      <c r="Y1392" t="s">
        <v>4</v>
      </c>
      <c r="Z1392" t="s">
        <v>4</v>
      </c>
      <c r="AA1392" t="s">
        <v>4</v>
      </c>
      <c r="AB1392" t="s">
        <v>4</v>
      </c>
    </row>
    <row r="1393" spans="1:28" hidden="1" x14ac:dyDescent="0.2">
      <c r="A1393" t="s">
        <v>2251</v>
      </c>
      <c r="B1393" t="s">
        <v>4</v>
      </c>
      <c r="C1393" t="s">
        <v>4</v>
      </c>
      <c r="D1393" t="s">
        <v>4</v>
      </c>
      <c r="E1393" t="s">
        <v>4</v>
      </c>
      <c r="F1393" t="s">
        <v>16</v>
      </c>
      <c r="G1393" t="s">
        <v>21</v>
      </c>
      <c r="H1393" t="s">
        <v>4343</v>
      </c>
      <c r="I1393" s="5">
        <v>0</v>
      </c>
      <c r="J1393" s="5">
        <v>0</v>
      </c>
      <c r="K1393" s="5">
        <v>0</v>
      </c>
      <c r="L1393" s="3"/>
      <c r="M1393" s="3"/>
      <c r="N1393" s="3"/>
      <c r="O1393" t="s">
        <v>4</v>
      </c>
      <c r="P1393" t="s">
        <v>20</v>
      </c>
      <c r="Q1393" s="4">
        <v>0.64337962962963002</v>
      </c>
      <c r="R1393" t="s">
        <v>4</v>
      </c>
      <c r="S1393" t="s">
        <v>4</v>
      </c>
      <c r="T1393" t="s">
        <v>2256</v>
      </c>
      <c r="U1393" t="s">
        <v>4</v>
      </c>
      <c r="V1393" s="5">
        <v>0</v>
      </c>
      <c r="W1393" s="5">
        <v>0</v>
      </c>
      <c r="X1393" s="2">
        <v>0</v>
      </c>
      <c r="Y1393" t="s">
        <v>4</v>
      </c>
      <c r="Z1393" t="s">
        <v>4</v>
      </c>
      <c r="AA1393" t="s">
        <v>4</v>
      </c>
      <c r="AB1393" t="s">
        <v>4</v>
      </c>
    </row>
    <row r="1394" spans="1:28" hidden="1" x14ac:dyDescent="0.2">
      <c r="A1394" t="s">
        <v>538</v>
      </c>
      <c r="B1394" t="s">
        <v>2</v>
      </c>
      <c r="C1394" t="s">
        <v>3</v>
      </c>
      <c r="D1394" t="s">
        <v>4</v>
      </c>
      <c r="E1394" t="s">
        <v>4</v>
      </c>
      <c r="F1394" t="s">
        <v>16</v>
      </c>
      <c r="G1394" t="s">
        <v>21</v>
      </c>
      <c r="H1394" t="s">
        <v>4344</v>
      </c>
      <c r="I1394" s="2">
        <v>408</v>
      </c>
      <c r="J1394" s="2">
        <v>0</v>
      </c>
      <c r="K1394" s="2">
        <v>0</v>
      </c>
      <c r="L1394" s="3">
        <v>45854</v>
      </c>
      <c r="M1394" s="3">
        <v>45854</v>
      </c>
      <c r="N1394" s="3"/>
      <c r="O1394" t="s">
        <v>4345</v>
      </c>
      <c r="P1394" t="s">
        <v>20</v>
      </c>
      <c r="Q1394" s="4">
        <v>0.72645833333332999</v>
      </c>
      <c r="R1394" t="s">
        <v>16</v>
      </c>
      <c r="S1394" t="s">
        <v>4</v>
      </c>
      <c r="T1394" t="s">
        <v>2299</v>
      </c>
      <c r="U1394" t="s">
        <v>10</v>
      </c>
      <c r="V1394" s="5">
        <v>0</v>
      </c>
      <c r="W1394" s="5">
        <v>0</v>
      </c>
      <c r="X1394" s="2">
        <v>0</v>
      </c>
      <c r="Y1394" t="s">
        <v>4</v>
      </c>
      <c r="Z1394" t="s">
        <v>4</v>
      </c>
      <c r="AA1394" t="s">
        <v>4</v>
      </c>
      <c r="AB1394" t="s">
        <v>4</v>
      </c>
    </row>
    <row r="1395" spans="1:28" hidden="1" x14ac:dyDescent="0.2">
      <c r="A1395" t="s">
        <v>2039</v>
      </c>
      <c r="B1395" t="s">
        <v>2</v>
      </c>
      <c r="C1395" t="s">
        <v>3</v>
      </c>
      <c r="D1395" t="s">
        <v>4</v>
      </c>
      <c r="E1395" t="s">
        <v>4</v>
      </c>
      <c r="F1395" t="s">
        <v>16</v>
      </c>
      <c r="G1395" t="s">
        <v>21</v>
      </c>
      <c r="H1395" t="s">
        <v>4346</v>
      </c>
      <c r="I1395" s="2">
        <v>64</v>
      </c>
      <c r="J1395" s="2">
        <v>0</v>
      </c>
      <c r="K1395" s="2">
        <v>0</v>
      </c>
      <c r="L1395" s="3">
        <v>45859</v>
      </c>
      <c r="M1395" s="3">
        <v>45859</v>
      </c>
      <c r="N1395" s="3"/>
      <c r="O1395" t="s">
        <v>4347</v>
      </c>
      <c r="P1395" t="s">
        <v>20</v>
      </c>
      <c r="Q1395" s="4">
        <v>0.53903935185185003</v>
      </c>
      <c r="R1395" t="s">
        <v>16</v>
      </c>
      <c r="S1395" t="s">
        <v>4</v>
      </c>
      <c r="T1395" t="s">
        <v>2261</v>
      </c>
      <c r="U1395" t="s">
        <v>10</v>
      </c>
      <c r="V1395" s="5">
        <v>0</v>
      </c>
      <c r="W1395" s="5">
        <v>0</v>
      </c>
      <c r="X1395" s="2">
        <v>0</v>
      </c>
      <c r="Y1395" t="s">
        <v>4</v>
      </c>
      <c r="Z1395" t="s">
        <v>4</v>
      </c>
      <c r="AA1395" t="s">
        <v>4</v>
      </c>
      <c r="AB1395" t="s">
        <v>4</v>
      </c>
    </row>
    <row r="1396" spans="1:28" hidden="1" x14ac:dyDescent="0.2">
      <c r="A1396" t="s">
        <v>0</v>
      </c>
      <c r="B1396" t="s">
        <v>2</v>
      </c>
      <c r="C1396" t="s">
        <v>3</v>
      </c>
      <c r="D1396" t="s">
        <v>4</v>
      </c>
      <c r="E1396" t="s">
        <v>4</v>
      </c>
      <c r="F1396" t="s">
        <v>16</v>
      </c>
      <c r="G1396" t="s">
        <v>21</v>
      </c>
      <c r="H1396" t="s">
        <v>22</v>
      </c>
      <c r="I1396" s="2">
        <v>196</v>
      </c>
      <c r="J1396" s="2">
        <v>0</v>
      </c>
      <c r="K1396" s="2">
        <v>0</v>
      </c>
      <c r="L1396" s="3">
        <v>45843</v>
      </c>
      <c r="M1396" s="3">
        <v>45843</v>
      </c>
      <c r="N1396" s="3"/>
      <c r="O1396" t="s">
        <v>23</v>
      </c>
      <c r="P1396" t="s">
        <v>20</v>
      </c>
      <c r="Q1396" s="4">
        <v>0.95025462962963003</v>
      </c>
      <c r="R1396" t="s">
        <v>16</v>
      </c>
      <c r="S1396" t="s">
        <v>4</v>
      </c>
      <c r="T1396" t="s">
        <v>2783</v>
      </c>
      <c r="U1396" t="s">
        <v>10</v>
      </c>
      <c r="V1396" s="5">
        <v>0</v>
      </c>
      <c r="W1396" s="5">
        <v>0</v>
      </c>
      <c r="X1396" s="2">
        <v>0</v>
      </c>
      <c r="Y1396" t="s">
        <v>4</v>
      </c>
      <c r="Z1396" t="s">
        <v>4</v>
      </c>
      <c r="AA1396" t="s">
        <v>4</v>
      </c>
      <c r="AB1396" t="s">
        <v>4</v>
      </c>
    </row>
    <row r="1397" spans="1:28" hidden="1" x14ac:dyDescent="0.2">
      <c r="A1397" t="s">
        <v>2251</v>
      </c>
      <c r="B1397" t="s">
        <v>4</v>
      </c>
      <c r="C1397" t="s">
        <v>4</v>
      </c>
      <c r="D1397" t="s">
        <v>4</v>
      </c>
      <c r="E1397" t="s">
        <v>4</v>
      </c>
      <c r="F1397" t="s">
        <v>16</v>
      </c>
      <c r="G1397" t="s">
        <v>21</v>
      </c>
      <c r="H1397" t="s">
        <v>4348</v>
      </c>
      <c r="I1397" s="5">
        <v>0</v>
      </c>
      <c r="J1397" s="5">
        <v>0</v>
      </c>
      <c r="K1397" s="5">
        <v>0</v>
      </c>
      <c r="L1397" s="3"/>
      <c r="M1397" s="3"/>
      <c r="N1397" s="3"/>
      <c r="O1397" t="s">
        <v>4</v>
      </c>
      <c r="P1397" t="s">
        <v>20</v>
      </c>
      <c r="Q1397" s="4">
        <v>0.90646990740740996</v>
      </c>
      <c r="R1397" t="s">
        <v>4</v>
      </c>
      <c r="S1397" t="s">
        <v>4</v>
      </c>
      <c r="T1397" t="s">
        <v>2256</v>
      </c>
      <c r="U1397" t="s">
        <v>4</v>
      </c>
      <c r="V1397" s="5">
        <v>0</v>
      </c>
      <c r="W1397" s="5">
        <v>0</v>
      </c>
      <c r="X1397" s="2">
        <v>0</v>
      </c>
      <c r="Y1397" t="s">
        <v>4</v>
      </c>
      <c r="Z1397" t="s">
        <v>4</v>
      </c>
      <c r="AA1397" t="s">
        <v>4</v>
      </c>
      <c r="AB1397" t="s">
        <v>4</v>
      </c>
    </row>
    <row r="1398" spans="1:28" hidden="1" x14ac:dyDescent="0.2">
      <c r="A1398" t="s">
        <v>2251</v>
      </c>
      <c r="B1398" t="s">
        <v>4</v>
      </c>
      <c r="C1398" t="s">
        <v>4</v>
      </c>
      <c r="D1398" t="s">
        <v>4</v>
      </c>
      <c r="E1398" t="s">
        <v>4</v>
      </c>
      <c r="F1398" t="s">
        <v>16</v>
      </c>
      <c r="G1398" t="s">
        <v>21</v>
      </c>
      <c r="H1398" t="s">
        <v>4349</v>
      </c>
      <c r="I1398" s="5">
        <v>0</v>
      </c>
      <c r="J1398" s="5">
        <v>0</v>
      </c>
      <c r="K1398" s="5">
        <v>0</v>
      </c>
      <c r="L1398" s="3"/>
      <c r="M1398" s="3"/>
      <c r="N1398" s="3"/>
      <c r="O1398" t="s">
        <v>4</v>
      </c>
      <c r="P1398" t="s">
        <v>20</v>
      </c>
      <c r="Q1398" s="4">
        <v>0.99446759259258999</v>
      </c>
      <c r="R1398" t="s">
        <v>4</v>
      </c>
      <c r="S1398" t="s">
        <v>4</v>
      </c>
      <c r="T1398" t="s">
        <v>2256</v>
      </c>
      <c r="U1398" t="s">
        <v>4</v>
      </c>
      <c r="V1398" s="5">
        <v>0</v>
      </c>
      <c r="W1398" s="5">
        <v>0</v>
      </c>
      <c r="X1398" s="2">
        <v>0</v>
      </c>
      <c r="Y1398" t="s">
        <v>4</v>
      </c>
      <c r="Z1398" t="s">
        <v>4</v>
      </c>
      <c r="AA1398" t="s">
        <v>4</v>
      </c>
      <c r="AB1398" t="s">
        <v>4</v>
      </c>
    </row>
    <row r="1399" spans="1:28" hidden="1" x14ac:dyDescent="0.2">
      <c r="A1399" t="s">
        <v>2152</v>
      </c>
      <c r="B1399" t="s">
        <v>2</v>
      </c>
      <c r="C1399" t="s">
        <v>3</v>
      </c>
      <c r="D1399" t="s">
        <v>4</v>
      </c>
      <c r="E1399" t="s">
        <v>4</v>
      </c>
      <c r="F1399" t="s">
        <v>16</v>
      </c>
      <c r="G1399" t="s">
        <v>21</v>
      </c>
      <c r="H1399" t="s">
        <v>4350</v>
      </c>
      <c r="I1399" s="2">
        <v>280</v>
      </c>
      <c r="J1399" s="2">
        <v>0</v>
      </c>
      <c r="K1399" s="2">
        <v>0</v>
      </c>
      <c r="L1399" s="3">
        <v>45835</v>
      </c>
      <c r="M1399" s="3">
        <v>45835</v>
      </c>
      <c r="N1399" s="3"/>
      <c r="O1399" t="s">
        <v>4351</v>
      </c>
      <c r="P1399" t="s">
        <v>20</v>
      </c>
      <c r="Q1399" s="4">
        <v>0.90967592592593005</v>
      </c>
      <c r="R1399" t="s">
        <v>16</v>
      </c>
      <c r="S1399" t="s">
        <v>4</v>
      </c>
      <c r="T1399" t="s">
        <v>2928</v>
      </c>
      <c r="U1399" t="s">
        <v>10</v>
      </c>
      <c r="V1399" s="5">
        <v>0</v>
      </c>
      <c r="W1399" s="5">
        <v>0</v>
      </c>
      <c r="X1399" s="2">
        <v>0</v>
      </c>
      <c r="Y1399" t="s">
        <v>4</v>
      </c>
      <c r="Z1399" t="s">
        <v>4</v>
      </c>
      <c r="AA1399" t="s">
        <v>4</v>
      </c>
      <c r="AB1399" t="s">
        <v>4</v>
      </c>
    </row>
    <row r="1400" spans="1:28" hidden="1" x14ac:dyDescent="0.2">
      <c r="A1400" t="s">
        <v>727</v>
      </c>
      <c r="B1400" t="s">
        <v>2</v>
      </c>
      <c r="C1400" t="s">
        <v>3</v>
      </c>
      <c r="D1400" t="s">
        <v>4</v>
      </c>
      <c r="E1400" t="s">
        <v>4</v>
      </c>
      <c r="F1400" t="s">
        <v>16</v>
      </c>
      <c r="G1400" t="s">
        <v>21</v>
      </c>
      <c r="H1400" t="s">
        <v>4352</v>
      </c>
      <c r="I1400" s="2">
        <v>6000</v>
      </c>
      <c r="J1400" s="2">
        <v>0</v>
      </c>
      <c r="K1400" s="2">
        <v>0</v>
      </c>
      <c r="L1400" s="3">
        <v>45847</v>
      </c>
      <c r="M1400" s="3">
        <v>45847</v>
      </c>
      <c r="N1400" s="3"/>
      <c r="O1400" t="s">
        <v>4353</v>
      </c>
      <c r="P1400" t="s">
        <v>20</v>
      </c>
      <c r="Q1400" s="4">
        <v>0.93255787037036997</v>
      </c>
      <c r="R1400" t="s">
        <v>16</v>
      </c>
      <c r="S1400" t="s">
        <v>4</v>
      </c>
      <c r="T1400" t="s">
        <v>2341</v>
      </c>
      <c r="U1400" t="s">
        <v>10</v>
      </c>
      <c r="V1400" s="5">
        <v>0</v>
      </c>
      <c r="W1400" s="5">
        <v>0</v>
      </c>
      <c r="X1400" s="2">
        <v>0</v>
      </c>
      <c r="Y1400" t="s">
        <v>4</v>
      </c>
      <c r="Z1400" t="s">
        <v>4</v>
      </c>
      <c r="AA1400" t="s">
        <v>4</v>
      </c>
      <c r="AB1400" t="s">
        <v>4</v>
      </c>
    </row>
    <row r="1401" spans="1:28" hidden="1" x14ac:dyDescent="0.2">
      <c r="A1401" t="s">
        <v>2251</v>
      </c>
      <c r="B1401" t="s">
        <v>4</v>
      </c>
      <c r="C1401" t="s">
        <v>4</v>
      </c>
      <c r="D1401" t="s">
        <v>4</v>
      </c>
      <c r="E1401" t="s">
        <v>4</v>
      </c>
      <c r="F1401" t="s">
        <v>16</v>
      </c>
      <c r="G1401" t="s">
        <v>21</v>
      </c>
      <c r="H1401" t="s">
        <v>4354</v>
      </c>
      <c r="I1401" s="5">
        <v>0</v>
      </c>
      <c r="J1401" s="5">
        <v>0</v>
      </c>
      <c r="K1401" s="5">
        <v>0</v>
      </c>
      <c r="L1401" s="3"/>
      <c r="M1401" s="3"/>
      <c r="N1401" s="3"/>
      <c r="O1401" t="s">
        <v>4</v>
      </c>
      <c r="P1401" t="s">
        <v>20</v>
      </c>
      <c r="Q1401" s="4">
        <v>0.34392361111110997</v>
      </c>
      <c r="R1401" t="s">
        <v>4</v>
      </c>
      <c r="S1401" t="s">
        <v>4</v>
      </c>
      <c r="T1401" t="s">
        <v>2256</v>
      </c>
      <c r="U1401" t="s">
        <v>4</v>
      </c>
      <c r="V1401" s="5">
        <v>0</v>
      </c>
      <c r="W1401" s="5">
        <v>0</v>
      </c>
      <c r="X1401" s="2">
        <v>0</v>
      </c>
      <c r="Y1401" t="s">
        <v>4</v>
      </c>
      <c r="Z1401" t="s">
        <v>4</v>
      </c>
      <c r="AA1401" t="s">
        <v>4</v>
      </c>
      <c r="AB1401" t="s">
        <v>4</v>
      </c>
    </row>
    <row r="1402" spans="1:28" hidden="1" x14ac:dyDescent="0.2">
      <c r="A1402" t="s">
        <v>479</v>
      </c>
      <c r="B1402" t="s">
        <v>2</v>
      </c>
      <c r="C1402" t="s">
        <v>3</v>
      </c>
      <c r="D1402" t="s">
        <v>4</v>
      </c>
      <c r="E1402" t="s">
        <v>4</v>
      </c>
      <c r="F1402" t="s">
        <v>16</v>
      </c>
      <c r="G1402" t="s">
        <v>17</v>
      </c>
      <c r="H1402" t="s">
        <v>4355</v>
      </c>
      <c r="I1402" s="2">
        <v>1440</v>
      </c>
      <c r="J1402" s="2">
        <v>0</v>
      </c>
      <c r="K1402" s="2">
        <v>0</v>
      </c>
      <c r="L1402" s="3">
        <v>45856</v>
      </c>
      <c r="M1402" s="3">
        <v>45856</v>
      </c>
      <c r="N1402" s="3"/>
      <c r="O1402" t="s">
        <v>4356</v>
      </c>
      <c r="P1402" t="s">
        <v>20</v>
      </c>
      <c r="Q1402" s="4">
        <v>0.77490740740741004</v>
      </c>
      <c r="R1402" t="s">
        <v>16</v>
      </c>
      <c r="S1402" t="s">
        <v>4</v>
      </c>
      <c r="T1402" t="s">
        <v>2260</v>
      </c>
      <c r="U1402" t="s">
        <v>10</v>
      </c>
      <c r="V1402" s="5">
        <v>0</v>
      </c>
      <c r="W1402" s="5">
        <v>0</v>
      </c>
      <c r="X1402" s="2">
        <v>0</v>
      </c>
      <c r="Y1402" t="s">
        <v>4</v>
      </c>
      <c r="Z1402" t="s">
        <v>4</v>
      </c>
      <c r="AA1402" t="s">
        <v>4</v>
      </c>
      <c r="AB1402" t="s">
        <v>4</v>
      </c>
    </row>
    <row r="1403" spans="1:28" hidden="1" x14ac:dyDescent="0.2">
      <c r="A1403" t="s">
        <v>590</v>
      </c>
      <c r="B1403" t="s">
        <v>2</v>
      </c>
      <c r="C1403" t="s">
        <v>3</v>
      </c>
      <c r="D1403" t="s">
        <v>4</v>
      </c>
      <c r="E1403" t="s">
        <v>4</v>
      </c>
      <c r="F1403" t="s">
        <v>16</v>
      </c>
      <c r="G1403" t="s">
        <v>17</v>
      </c>
      <c r="H1403" t="s">
        <v>4357</v>
      </c>
      <c r="I1403" s="2">
        <v>48000</v>
      </c>
      <c r="J1403" s="2">
        <v>0</v>
      </c>
      <c r="K1403" s="2">
        <v>0</v>
      </c>
      <c r="L1403" s="3">
        <v>45827</v>
      </c>
      <c r="M1403" s="3">
        <v>45859</v>
      </c>
      <c r="N1403" s="3">
        <v>45859</v>
      </c>
      <c r="O1403" t="s">
        <v>4358</v>
      </c>
      <c r="P1403" t="s">
        <v>20</v>
      </c>
      <c r="Q1403" s="4">
        <v>0.82195601851851996</v>
      </c>
      <c r="R1403" t="s">
        <v>16</v>
      </c>
      <c r="S1403" t="s">
        <v>4</v>
      </c>
      <c r="T1403" t="s">
        <v>2327</v>
      </c>
      <c r="U1403" t="s">
        <v>10</v>
      </c>
      <c r="V1403" s="5">
        <v>0</v>
      </c>
      <c r="W1403" s="5">
        <v>0</v>
      </c>
      <c r="X1403" s="2">
        <v>0</v>
      </c>
      <c r="Y1403" t="s">
        <v>4</v>
      </c>
      <c r="Z1403" t="s">
        <v>4</v>
      </c>
      <c r="AA1403" t="s">
        <v>4</v>
      </c>
      <c r="AB1403" t="s">
        <v>4</v>
      </c>
    </row>
    <row r="1404" spans="1:28" hidden="1" x14ac:dyDescent="0.2">
      <c r="A1404" t="s">
        <v>602</v>
      </c>
      <c r="B1404" t="s">
        <v>2</v>
      </c>
      <c r="C1404" t="s">
        <v>3</v>
      </c>
      <c r="D1404" t="s">
        <v>4</v>
      </c>
      <c r="E1404" t="s">
        <v>4</v>
      </c>
      <c r="F1404" t="s">
        <v>16</v>
      </c>
      <c r="G1404" t="s">
        <v>6</v>
      </c>
      <c r="H1404" t="s">
        <v>4359</v>
      </c>
      <c r="I1404" s="2">
        <v>78000</v>
      </c>
      <c r="J1404" s="2">
        <v>0</v>
      </c>
      <c r="K1404" s="2">
        <v>0</v>
      </c>
      <c r="L1404" s="3">
        <v>45856</v>
      </c>
      <c r="M1404" s="3">
        <v>45856</v>
      </c>
      <c r="N1404" s="3"/>
      <c r="O1404" t="s">
        <v>4360</v>
      </c>
      <c r="P1404" t="s">
        <v>20</v>
      </c>
      <c r="Q1404" s="4">
        <v>0.82843750000000005</v>
      </c>
      <c r="R1404" t="s">
        <v>16</v>
      </c>
      <c r="S1404" t="s">
        <v>4</v>
      </c>
      <c r="T1404" t="s">
        <v>2260</v>
      </c>
      <c r="U1404" t="s">
        <v>10</v>
      </c>
      <c r="V1404" s="5">
        <v>0</v>
      </c>
      <c r="W1404" s="5">
        <v>0</v>
      </c>
      <c r="X1404" s="2">
        <v>0</v>
      </c>
      <c r="Y1404" t="s">
        <v>4</v>
      </c>
      <c r="Z1404" t="s">
        <v>4</v>
      </c>
      <c r="AA1404" t="s">
        <v>4</v>
      </c>
      <c r="AB1404" t="s">
        <v>4</v>
      </c>
    </row>
    <row r="1405" spans="1:28" hidden="1" x14ac:dyDescent="0.2">
      <c r="A1405" t="s">
        <v>979</v>
      </c>
      <c r="B1405" t="s">
        <v>2</v>
      </c>
      <c r="C1405" t="s">
        <v>3</v>
      </c>
      <c r="D1405" t="s">
        <v>4</v>
      </c>
      <c r="E1405" t="s">
        <v>4</v>
      </c>
      <c r="F1405" t="s">
        <v>16</v>
      </c>
      <c r="G1405" t="s">
        <v>6</v>
      </c>
      <c r="H1405" t="s">
        <v>4361</v>
      </c>
      <c r="I1405" s="2">
        <v>8000</v>
      </c>
      <c r="J1405" s="2">
        <v>0</v>
      </c>
      <c r="K1405" s="2">
        <v>0</v>
      </c>
      <c r="L1405" s="3">
        <v>45846</v>
      </c>
      <c r="M1405" s="3">
        <v>45846</v>
      </c>
      <c r="N1405" s="3"/>
      <c r="O1405" t="s">
        <v>4362</v>
      </c>
      <c r="P1405" t="s">
        <v>20</v>
      </c>
      <c r="Q1405" s="4">
        <v>0.36608796296295998</v>
      </c>
      <c r="R1405" t="s">
        <v>16</v>
      </c>
      <c r="S1405" t="s">
        <v>4</v>
      </c>
      <c r="T1405" t="s">
        <v>2318</v>
      </c>
      <c r="U1405" t="s">
        <v>10</v>
      </c>
      <c r="V1405" s="5">
        <v>0</v>
      </c>
      <c r="W1405" s="5">
        <v>0</v>
      </c>
      <c r="X1405" s="2">
        <v>0</v>
      </c>
      <c r="Y1405" t="s">
        <v>4</v>
      </c>
      <c r="Z1405" t="s">
        <v>4</v>
      </c>
      <c r="AA1405" t="s">
        <v>4</v>
      </c>
      <c r="AB1405" t="s">
        <v>4</v>
      </c>
    </row>
    <row r="1406" spans="1:28" hidden="1" x14ac:dyDescent="0.2">
      <c r="A1406" t="s">
        <v>584</v>
      </c>
      <c r="B1406" t="s">
        <v>2</v>
      </c>
      <c r="C1406" t="s">
        <v>3</v>
      </c>
      <c r="D1406" t="s">
        <v>4</v>
      </c>
      <c r="E1406" t="s">
        <v>4</v>
      </c>
      <c r="F1406" t="s">
        <v>16</v>
      </c>
      <c r="G1406" t="s">
        <v>6</v>
      </c>
      <c r="H1406" t="s">
        <v>4363</v>
      </c>
      <c r="I1406" s="2">
        <v>168000</v>
      </c>
      <c r="J1406" s="2">
        <v>0</v>
      </c>
      <c r="K1406" s="2">
        <v>0</v>
      </c>
      <c r="L1406" s="3">
        <v>45856</v>
      </c>
      <c r="M1406" s="3">
        <v>45856</v>
      </c>
      <c r="N1406" s="3"/>
      <c r="O1406" t="s">
        <v>4364</v>
      </c>
      <c r="P1406" t="s">
        <v>20</v>
      </c>
      <c r="Q1406" s="4">
        <v>0.91349537037036999</v>
      </c>
      <c r="R1406" t="s">
        <v>16</v>
      </c>
      <c r="S1406" t="s">
        <v>4</v>
      </c>
      <c r="T1406" t="s">
        <v>2260</v>
      </c>
      <c r="U1406" t="s">
        <v>10</v>
      </c>
      <c r="V1406" s="5">
        <v>0</v>
      </c>
      <c r="W1406" s="5">
        <v>0</v>
      </c>
      <c r="X1406" s="2">
        <v>0</v>
      </c>
      <c r="Y1406" t="s">
        <v>4</v>
      </c>
      <c r="Z1406" t="s">
        <v>4</v>
      </c>
      <c r="AA1406" t="s">
        <v>4</v>
      </c>
      <c r="AB1406" t="s">
        <v>4</v>
      </c>
    </row>
    <row r="1407" spans="1:28" hidden="1" x14ac:dyDescent="0.2">
      <c r="A1407" t="s">
        <v>632</v>
      </c>
      <c r="B1407" t="s">
        <v>2</v>
      </c>
      <c r="C1407" t="s">
        <v>3</v>
      </c>
      <c r="D1407" t="s">
        <v>4</v>
      </c>
      <c r="E1407" t="s">
        <v>4</v>
      </c>
      <c r="F1407" t="s">
        <v>16</v>
      </c>
      <c r="G1407" t="s">
        <v>6</v>
      </c>
      <c r="H1407" t="s">
        <v>4365</v>
      </c>
      <c r="I1407" s="2">
        <v>1728</v>
      </c>
      <c r="J1407" s="2">
        <v>0</v>
      </c>
      <c r="K1407" s="2">
        <v>0</v>
      </c>
      <c r="L1407" s="3">
        <v>45835</v>
      </c>
      <c r="M1407" s="3">
        <v>45835</v>
      </c>
      <c r="N1407" s="3">
        <v>45835</v>
      </c>
      <c r="O1407" t="s">
        <v>4366</v>
      </c>
      <c r="P1407" t="s">
        <v>20</v>
      </c>
      <c r="Q1407" s="4">
        <v>0.61434027777778</v>
      </c>
      <c r="R1407" t="s">
        <v>16</v>
      </c>
      <c r="S1407" t="s">
        <v>4</v>
      </c>
      <c r="T1407" t="s">
        <v>2928</v>
      </c>
      <c r="U1407" t="s">
        <v>10</v>
      </c>
      <c r="V1407" s="5">
        <v>0</v>
      </c>
      <c r="W1407" s="5">
        <v>0</v>
      </c>
      <c r="X1407" s="2">
        <v>0</v>
      </c>
      <c r="Y1407" t="s">
        <v>4</v>
      </c>
      <c r="Z1407" t="s">
        <v>4</v>
      </c>
      <c r="AA1407" t="s">
        <v>4</v>
      </c>
      <c r="AB1407" t="s">
        <v>4</v>
      </c>
    </row>
    <row r="1408" spans="1:28" hidden="1" x14ac:dyDescent="0.2">
      <c r="A1408" t="s">
        <v>1116</v>
      </c>
      <c r="B1408" t="s">
        <v>2</v>
      </c>
      <c r="C1408" t="s">
        <v>3</v>
      </c>
      <c r="D1408" t="s">
        <v>4</v>
      </c>
      <c r="E1408" t="s">
        <v>4</v>
      </c>
      <c r="F1408" t="s">
        <v>16</v>
      </c>
      <c r="G1408" t="s">
        <v>21</v>
      </c>
      <c r="H1408" t="s">
        <v>4367</v>
      </c>
      <c r="I1408" s="2">
        <v>2250</v>
      </c>
      <c r="J1408" s="2">
        <v>0</v>
      </c>
      <c r="K1408" s="2">
        <v>0</v>
      </c>
      <c r="L1408" s="3">
        <v>45848</v>
      </c>
      <c r="M1408" s="3">
        <v>45848</v>
      </c>
      <c r="N1408" s="3"/>
      <c r="O1408" t="s">
        <v>4368</v>
      </c>
      <c r="P1408" t="s">
        <v>20</v>
      </c>
      <c r="Q1408" s="4">
        <v>0.63225694444444003</v>
      </c>
      <c r="R1408" t="s">
        <v>16</v>
      </c>
      <c r="S1408" t="s">
        <v>4</v>
      </c>
      <c r="T1408" t="s">
        <v>2580</v>
      </c>
      <c r="U1408" t="s">
        <v>10</v>
      </c>
      <c r="V1408" s="5">
        <v>0</v>
      </c>
      <c r="W1408" s="5">
        <v>0</v>
      </c>
      <c r="X1408" s="2">
        <v>0</v>
      </c>
      <c r="Y1408" t="s">
        <v>4</v>
      </c>
      <c r="Z1408" t="s">
        <v>4</v>
      </c>
      <c r="AA1408" t="s">
        <v>4</v>
      </c>
      <c r="AB1408" t="s">
        <v>4</v>
      </c>
    </row>
    <row r="1409" spans="1:28" hidden="1" x14ac:dyDescent="0.2">
      <c r="A1409" t="s">
        <v>1488</v>
      </c>
      <c r="B1409" t="s">
        <v>2</v>
      </c>
      <c r="C1409" t="s">
        <v>3</v>
      </c>
      <c r="D1409" t="s">
        <v>4</v>
      </c>
      <c r="E1409" t="s">
        <v>4</v>
      </c>
      <c r="F1409" t="s">
        <v>16</v>
      </c>
      <c r="G1409" t="s">
        <v>21</v>
      </c>
      <c r="H1409" t="s">
        <v>4369</v>
      </c>
      <c r="I1409" s="2">
        <v>500</v>
      </c>
      <c r="J1409" s="2">
        <v>0</v>
      </c>
      <c r="K1409" s="2">
        <v>0</v>
      </c>
      <c r="L1409" s="3">
        <v>45846</v>
      </c>
      <c r="M1409" s="3">
        <v>45846</v>
      </c>
      <c r="N1409" s="3"/>
      <c r="O1409" t="s">
        <v>4370</v>
      </c>
      <c r="P1409" t="s">
        <v>20</v>
      </c>
      <c r="Q1409" s="4">
        <v>0.73906249999999996</v>
      </c>
      <c r="R1409" t="s">
        <v>16</v>
      </c>
      <c r="S1409" t="s">
        <v>4</v>
      </c>
      <c r="T1409" t="s">
        <v>2318</v>
      </c>
      <c r="U1409" t="s">
        <v>10</v>
      </c>
      <c r="V1409" s="5">
        <v>0</v>
      </c>
      <c r="W1409" s="5">
        <v>0</v>
      </c>
      <c r="X1409" s="2">
        <v>0</v>
      </c>
      <c r="Y1409" t="s">
        <v>4</v>
      </c>
      <c r="Z1409" t="s">
        <v>4</v>
      </c>
      <c r="AA1409" t="s">
        <v>4</v>
      </c>
      <c r="AB1409" t="s">
        <v>4</v>
      </c>
    </row>
    <row r="1410" spans="1:28" hidden="1" x14ac:dyDescent="0.2">
      <c r="A1410" t="s">
        <v>1284</v>
      </c>
      <c r="B1410" t="s">
        <v>2</v>
      </c>
      <c r="C1410" t="s">
        <v>3</v>
      </c>
      <c r="D1410" t="s">
        <v>4</v>
      </c>
      <c r="E1410" t="s">
        <v>4</v>
      </c>
      <c r="F1410" t="s">
        <v>16</v>
      </c>
      <c r="G1410" t="s">
        <v>21</v>
      </c>
      <c r="H1410" t="s">
        <v>4371</v>
      </c>
      <c r="I1410" s="2">
        <v>25000</v>
      </c>
      <c r="J1410" s="2">
        <v>0</v>
      </c>
      <c r="K1410" s="2">
        <v>0</v>
      </c>
      <c r="L1410" s="3">
        <v>45791</v>
      </c>
      <c r="M1410" s="3">
        <v>45791</v>
      </c>
      <c r="N1410" s="3"/>
      <c r="O1410" t="s">
        <v>4372</v>
      </c>
      <c r="P1410" t="s">
        <v>20</v>
      </c>
      <c r="Q1410" s="4">
        <v>0.87719907407407005</v>
      </c>
      <c r="R1410" t="s">
        <v>16</v>
      </c>
      <c r="S1410" t="s">
        <v>4</v>
      </c>
      <c r="T1410" t="s">
        <v>3485</v>
      </c>
      <c r="U1410" t="s">
        <v>10</v>
      </c>
      <c r="V1410" s="5">
        <v>0</v>
      </c>
      <c r="W1410" s="5">
        <v>0</v>
      </c>
      <c r="X1410" s="2">
        <v>0</v>
      </c>
      <c r="Y1410" t="s">
        <v>4</v>
      </c>
      <c r="Z1410" t="s">
        <v>4</v>
      </c>
      <c r="AA1410" t="s">
        <v>4</v>
      </c>
      <c r="AB1410" t="s">
        <v>4</v>
      </c>
    </row>
    <row r="1411" spans="1:28" hidden="1" x14ac:dyDescent="0.2">
      <c r="A1411" t="s">
        <v>1471</v>
      </c>
      <c r="B1411" t="s">
        <v>2</v>
      </c>
      <c r="C1411" t="s">
        <v>3</v>
      </c>
      <c r="D1411" t="s">
        <v>4</v>
      </c>
      <c r="E1411" t="s">
        <v>4</v>
      </c>
      <c r="F1411" t="s">
        <v>16</v>
      </c>
      <c r="G1411" t="s">
        <v>21</v>
      </c>
      <c r="H1411" t="s">
        <v>4373</v>
      </c>
      <c r="I1411" s="2">
        <v>60</v>
      </c>
      <c r="J1411" s="2">
        <v>0</v>
      </c>
      <c r="K1411" s="2">
        <v>0</v>
      </c>
      <c r="L1411" s="3">
        <v>45852</v>
      </c>
      <c r="M1411" s="3">
        <v>45852</v>
      </c>
      <c r="N1411" s="3"/>
      <c r="O1411" t="s">
        <v>4374</v>
      </c>
      <c r="P1411" t="s">
        <v>20</v>
      </c>
      <c r="Q1411" s="4">
        <v>0.54016203703704002</v>
      </c>
      <c r="R1411" t="s">
        <v>16</v>
      </c>
      <c r="S1411" t="s">
        <v>4</v>
      </c>
      <c r="T1411" t="s">
        <v>2669</v>
      </c>
      <c r="U1411" t="s">
        <v>10</v>
      </c>
      <c r="V1411" s="5">
        <v>0</v>
      </c>
      <c r="W1411" s="5">
        <v>0</v>
      </c>
      <c r="X1411" s="2">
        <v>0</v>
      </c>
      <c r="Y1411" t="s">
        <v>4</v>
      </c>
      <c r="Z1411" t="s">
        <v>4</v>
      </c>
      <c r="AA1411" t="s">
        <v>4</v>
      </c>
      <c r="AB1411" t="s">
        <v>4</v>
      </c>
    </row>
    <row r="1412" spans="1:28" hidden="1" x14ac:dyDescent="0.2">
      <c r="A1412" t="s">
        <v>643</v>
      </c>
      <c r="B1412" t="s">
        <v>2</v>
      </c>
      <c r="C1412" t="s">
        <v>3</v>
      </c>
      <c r="D1412" t="s">
        <v>4</v>
      </c>
      <c r="E1412" t="s">
        <v>4</v>
      </c>
      <c r="F1412" t="s">
        <v>16</v>
      </c>
      <c r="G1412" t="s">
        <v>21</v>
      </c>
      <c r="H1412" t="s">
        <v>4375</v>
      </c>
      <c r="I1412" s="2">
        <v>630</v>
      </c>
      <c r="J1412" s="2">
        <v>0</v>
      </c>
      <c r="K1412" s="2">
        <v>0</v>
      </c>
      <c r="L1412" s="3">
        <v>45682</v>
      </c>
      <c r="M1412" s="3">
        <v>45859</v>
      </c>
      <c r="N1412" s="3">
        <v>45859</v>
      </c>
      <c r="O1412" t="s">
        <v>4376</v>
      </c>
      <c r="P1412" t="s">
        <v>20</v>
      </c>
      <c r="Q1412" s="4">
        <v>0.78593749999999996</v>
      </c>
      <c r="R1412" t="s">
        <v>16</v>
      </c>
      <c r="S1412" t="s">
        <v>4</v>
      </c>
      <c r="T1412" t="s">
        <v>4377</v>
      </c>
      <c r="U1412" t="s">
        <v>10</v>
      </c>
      <c r="V1412" s="5">
        <v>0</v>
      </c>
      <c r="W1412" s="5">
        <v>0</v>
      </c>
      <c r="X1412" s="2">
        <v>0</v>
      </c>
      <c r="Y1412" t="s">
        <v>4</v>
      </c>
      <c r="Z1412" t="s">
        <v>4</v>
      </c>
      <c r="AA1412" t="s">
        <v>4</v>
      </c>
      <c r="AB1412" t="s">
        <v>4</v>
      </c>
    </row>
    <row r="1413" spans="1:28" hidden="1" x14ac:dyDescent="0.2">
      <c r="A1413" t="s">
        <v>1050</v>
      </c>
      <c r="B1413" t="s">
        <v>2</v>
      </c>
      <c r="C1413" t="s">
        <v>3</v>
      </c>
      <c r="D1413" t="s">
        <v>4</v>
      </c>
      <c r="E1413" t="s">
        <v>4</v>
      </c>
      <c r="F1413" t="s">
        <v>16</v>
      </c>
      <c r="G1413" t="s">
        <v>21</v>
      </c>
      <c r="H1413" t="s">
        <v>4378</v>
      </c>
      <c r="I1413" s="2">
        <v>8400</v>
      </c>
      <c r="J1413" s="2">
        <v>0</v>
      </c>
      <c r="K1413" s="2">
        <v>0</v>
      </c>
      <c r="L1413" s="3">
        <v>45854</v>
      </c>
      <c r="M1413" s="3">
        <v>45854</v>
      </c>
      <c r="N1413" s="3"/>
      <c r="O1413" t="s">
        <v>4379</v>
      </c>
      <c r="P1413" t="s">
        <v>20</v>
      </c>
      <c r="Q1413" s="4">
        <v>0.47549768518518998</v>
      </c>
      <c r="R1413" t="s">
        <v>16</v>
      </c>
      <c r="S1413" t="s">
        <v>4</v>
      </c>
      <c r="T1413" t="s">
        <v>2299</v>
      </c>
      <c r="U1413" t="s">
        <v>10</v>
      </c>
      <c r="V1413" s="5">
        <v>0</v>
      </c>
      <c r="W1413" s="5">
        <v>0</v>
      </c>
      <c r="X1413" s="2">
        <v>0</v>
      </c>
      <c r="Y1413" t="s">
        <v>4</v>
      </c>
      <c r="Z1413" t="s">
        <v>4</v>
      </c>
      <c r="AA1413" t="s">
        <v>4</v>
      </c>
      <c r="AB1413" t="s">
        <v>4</v>
      </c>
    </row>
    <row r="1414" spans="1:28" hidden="1" x14ac:dyDescent="0.2">
      <c r="A1414" t="s">
        <v>1306</v>
      </c>
      <c r="B1414" t="s">
        <v>2</v>
      </c>
      <c r="C1414" t="s">
        <v>3</v>
      </c>
      <c r="D1414" t="s">
        <v>4</v>
      </c>
      <c r="E1414" t="s">
        <v>4</v>
      </c>
      <c r="F1414" t="s">
        <v>16</v>
      </c>
      <c r="G1414" t="s">
        <v>21</v>
      </c>
      <c r="H1414" t="s">
        <v>4380</v>
      </c>
      <c r="I1414" s="2">
        <v>1063</v>
      </c>
      <c r="J1414" s="2">
        <v>0</v>
      </c>
      <c r="K1414" s="2">
        <v>0</v>
      </c>
      <c r="L1414" s="3">
        <v>45712</v>
      </c>
      <c r="M1414" s="3">
        <v>45855</v>
      </c>
      <c r="N1414" s="3">
        <v>45855</v>
      </c>
      <c r="O1414" t="s">
        <v>4381</v>
      </c>
      <c r="P1414" t="s">
        <v>20</v>
      </c>
      <c r="Q1414" s="4">
        <v>0.96415509259259002</v>
      </c>
      <c r="R1414" t="s">
        <v>16</v>
      </c>
      <c r="S1414" t="s">
        <v>4</v>
      </c>
      <c r="T1414" t="s">
        <v>4382</v>
      </c>
      <c r="U1414" t="s">
        <v>10</v>
      </c>
      <c r="V1414" s="5">
        <v>0</v>
      </c>
      <c r="W1414" s="5">
        <v>0</v>
      </c>
      <c r="X1414" s="2">
        <v>0</v>
      </c>
      <c r="Y1414" t="s">
        <v>4</v>
      </c>
      <c r="Z1414" t="s">
        <v>4</v>
      </c>
      <c r="AA1414" t="s">
        <v>4</v>
      </c>
      <c r="AB1414" t="s">
        <v>4</v>
      </c>
    </row>
    <row r="1415" spans="1:28" hidden="1" x14ac:dyDescent="0.2">
      <c r="A1415" t="s">
        <v>638</v>
      </c>
      <c r="B1415" t="s">
        <v>2</v>
      </c>
      <c r="C1415" t="s">
        <v>3</v>
      </c>
      <c r="D1415" t="s">
        <v>4</v>
      </c>
      <c r="E1415" t="s">
        <v>4</v>
      </c>
      <c r="F1415" t="s">
        <v>16</v>
      </c>
      <c r="G1415" t="s">
        <v>21</v>
      </c>
      <c r="H1415" t="s">
        <v>4383</v>
      </c>
      <c r="I1415" s="2">
        <v>720</v>
      </c>
      <c r="J1415" s="2">
        <v>0</v>
      </c>
      <c r="K1415" s="2">
        <v>0</v>
      </c>
      <c r="L1415" s="3">
        <v>45827</v>
      </c>
      <c r="M1415" s="3">
        <v>45827</v>
      </c>
      <c r="N1415" s="3"/>
      <c r="O1415" t="s">
        <v>4384</v>
      </c>
      <c r="P1415" t="s">
        <v>20</v>
      </c>
      <c r="Q1415" s="4">
        <v>0.43678240740740998</v>
      </c>
      <c r="R1415" t="s">
        <v>16</v>
      </c>
      <c r="S1415" t="s">
        <v>4</v>
      </c>
      <c r="T1415" t="s">
        <v>2327</v>
      </c>
      <c r="U1415" t="s">
        <v>10</v>
      </c>
      <c r="V1415" s="5">
        <v>0</v>
      </c>
      <c r="W1415" s="5">
        <v>0</v>
      </c>
      <c r="X1415" s="2">
        <v>0</v>
      </c>
      <c r="Y1415" t="s">
        <v>4</v>
      </c>
      <c r="Z1415" t="s">
        <v>4</v>
      </c>
      <c r="AA1415" t="s">
        <v>4</v>
      </c>
      <c r="AB1415" t="s">
        <v>4</v>
      </c>
    </row>
    <row r="1416" spans="1:28" hidden="1" x14ac:dyDescent="0.2">
      <c r="A1416" t="s">
        <v>1135</v>
      </c>
      <c r="B1416" t="s">
        <v>2</v>
      </c>
      <c r="C1416" t="s">
        <v>3</v>
      </c>
      <c r="D1416" t="s">
        <v>4</v>
      </c>
      <c r="E1416" t="s">
        <v>4</v>
      </c>
      <c r="F1416" t="s">
        <v>16</v>
      </c>
      <c r="G1416" t="s">
        <v>21</v>
      </c>
      <c r="H1416" t="s">
        <v>4385</v>
      </c>
      <c r="I1416" s="2">
        <v>480</v>
      </c>
      <c r="J1416" s="2">
        <v>0</v>
      </c>
      <c r="K1416" s="2">
        <v>0</v>
      </c>
      <c r="L1416" s="3">
        <v>45857</v>
      </c>
      <c r="M1416" s="3">
        <v>45857</v>
      </c>
      <c r="N1416" s="3"/>
      <c r="O1416" t="s">
        <v>4386</v>
      </c>
      <c r="P1416" t="s">
        <v>20</v>
      </c>
      <c r="Q1416" s="4">
        <v>0.8046875</v>
      </c>
      <c r="R1416" t="s">
        <v>16</v>
      </c>
      <c r="S1416" t="s">
        <v>4</v>
      </c>
      <c r="T1416" t="s">
        <v>2262</v>
      </c>
      <c r="U1416" t="s">
        <v>10</v>
      </c>
      <c r="V1416" s="5">
        <v>0</v>
      </c>
      <c r="W1416" s="5">
        <v>0</v>
      </c>
      <c r="X1416" s="2">
        <v>0</v>
      </c>
      <c r="Y1416" t="s">
        <v>4</v>
      </c>
      <c r="Z1416" t="s">
        <v>4</v>
      </c>
      <c r="AA1416" t="s">
        <v>4</v>
      </c>
      <c r="AB1416" t="s">
        <v>4</v>
      </c>
    </row>
    <row r="1417" spans="1:28" hidden="1" x14ac:dyDescent="0.2">
      <c r="A1417" t="s">
        <v>2170</v>
      </c>
      <c r="B1417" t="s">
        <v>2</v>
      </c>
      <c r="C1417" t="s">
        <v>3</v>
      </c>
      <c r="D1417" t="s">
        <v>4</v>
      </c>
      <c r="E1417" t="s">
        <v>4</v>
      </c>
      <c r="F1417" t="s">
        <v>16</v>
      </c>
      <c r="G1417" t="s">
        <v>21</v>
      </c>
      <c r="H1417" t="s">
        <v>4387</v>
      </c>
      <c r="I1417" s="2">
        <v>40000</v>
      </c>
      <c r="J1417" s="2">
        <v>0</v>
      </c>
      <c r="K1417" s="2">
        <v>0</v>
      </c>
      <c r="L1417" s="3">
        <v>45813</v>
      </c>
      <c r="M1417" s="3">
        <v>45813</v>
      </c>
      <c r="N1417" s="3"/>
      <c r="O1417" t="s">
        <v>4388</v>
      </c>
      <c r="P1417" t="s">
        <v>20</v>
      </c>
      <c r="Q1417" s="4">
        <v>0.43083333333333002</v>
      </c>
      <c r="R1417" t="s">
        <v>16</v>
      </c>
      <c r="S1417" t="s">
        <v>4</v>
      </c>
      <c r="T1417" t="s">
        <v>3649</v>
      </c>
      <c r="U1417" t="s">
        <v>10</v>
      </c>
      <c r="V1417" s="5">
        <v>0</v>
      </c>
      <c r="W1417" s="5">
        <v>0</v>
      </c>
      <c r="X1417" s="2">
        <v>0</v>
      </c>
      <c r="Y1417" t="s">
        <v>4</v>
      </c>
      <c r="Z1417" t="s">
        <v>4</v>
      </c>
      <c r="AA1417" t="s">
        <v>4</v>
      </c>
      <c r="AB1417" t="s">
        <v>4</v>
      </c>
    </row>
    <row r="1418" spans="1:28" hidden="1" x14ac:dyDescent="0.2">
      <c r="A1418" t="s">
        <v>822</v>
      </c>
      <c r="B1418" t="s">
        <v>2</v>
      </c>
      <c r="C1418" t="s">
        <v>3</v>
      </c>
      <c r="D1418" t="s">
        <v>4</v>
      </c>
      <c r="E1418" t="s">
        <v>4</v>
      </c>
      <c r="F1418" t="s">
        <v>16</v>
      </c>
      <c r="G1418" t="s">
        <v>17</v>
      </c>
      <c r="H1418" t="s">
        <v>4389</v>
      </c>
      <c r="I1418" s="2">
        <v>1440</v>
      </c>
      <c r="J1418" s="2">
        <v>0</v>
      </c>
      <c r="K1418" s="2">
        <v>0</v>
      </c>
      <c r="L1418" s="3">
        <v>45858</v>
      </c>
      <c r="M1418" s="3">
        <v>45858</v>
      </c>
      <c r="N1418" s="3"/>
      <c r="O1418" t="s">
        <v>4390</v>
      </c>
      <c r="P1418" t="s">
        <v>20</v>
      </c>
      <c r="Q1418" s="4">
        <v>0.56865740740741</v>
      </c>
      <c r="R1418" t="s">
        <v>16</v>
      </c>
      <c r="S1418" t="s">
        <v>4</v>
      </c>
      <c r="T1418" t="s">
        <v>2337</v>
      </c>
      <c r="U1418" t="s">
        <v>10</v>
      </c>
      <c r="V1418" s="5">
        <v>0</v>
      </c>
      <c r="W1418" s="5">
        <v>0</v>
      </c>
      <c r="X1418" s="2">
        <v>0</v>
      </c>
      <c r="Y1418" t="s">
        <v>4</v>
      </c>
      <c r="Z1418" t="s">
        <v>4</v>
      </c>
      <c r="AA1418" t="s">
        <v>4</v>
      </c>
      <c r="AB1418" t="s">
        <v>4</v>
      </c>
    </row>
    <row r="1419" spans="1:28" hidden="1" x14ac:dyDescent="0.2">
      <c r="A1419" t="s">
        <v>476</v>
      </c>
      <c r="B1419" t="s">
        <v>2</v>
      </c>
      <c r="C1419" t="s">
        <v>3</v>
      </c>
      <c r="D1419" t="s">
        <v>4</v>
      </c>
      <c r="E1419" t="s">
        <v>4</v>
      </c>
      <c r="F1419" t="s">
        <v>16</v>
      </c>
      <c r="G1419" t="s">
        <v>17</v>
      </c>
      <c r="H1419" t="s">
        <v>4391</v>
      </c>
      <c r="I1419" s="2">
        <v>720</v>
      </c>
      <c r="J1419" s="2">
        <v>0</v>
      </c>
      <c r="K1419" s="2">
        <v>0</v>
      </c>
      <c r="L1419" s="3">
        <v>45844</v>
      </c>
      <c r="M1419" s="3">
        <v>45844</v>
      </c>
      <c r="N1419" s="3"/>
      <c r="O1419" t="s">
        <v>4392</v>
      </c>
      <c r="P1419" t="s">
        <v>20</v>
      </c>
      <c r="Q1419" s="4">
        <v>0.55873842592593004</v>
      </c>
      <c r="R1419" t="s">
        <v>16</v>
      </c>
      <c r="S1419" t="s">
        <v>4</v>
      </c>
      <c r="T1419" t="s">
        <v>2792</v>
      </c>
      <c r="U1419" t="s">
        <v>10</v>
      </c>
      <c r="V1419" s="5">
        <v>0</v>
      </c>
      <c r="W1419" s="5">
        <v>0</v>
      </c>
      <c r="X1419" s="2">
        <v>0</v>
      </c>
      <c r="Y1419" t="s">
        <v>4</v>
      </c>
      <c r="Z1419" t="s">
        <v>4</v>
      </c>
      <c r="AA1419" t="s">
        <v>4</v>
      </c>
      <c r="AB1419" t="s">
        <v>4</v>
      </c>
    </row>
    <row r="1420" spans="1:28" hidden="1" x14ac:dyDescent="0.2">
      <c r="A1420" t="s">
        <v>562</v>
      </c>
      <c r="B1420" t="s">
        <v>2</v>
      </c>
      <c r="C1420" t="s">
        <v>3</v>
      </c>
      <c r="D1420" t="s">
        <v>4</v>
      </c>
      <c r="E1420" t="s">
        <v>4</v>
      </c>
      <c r="F1420" t="s">
        <v>16</v>
      </c>
      <c r="G1420" t="s">
        <v>6</v>
      </c>
      <c r="H1420" t="s">
        <v>4393</v>
      </c>
      <c r="I1420" s="2">
        <v>44000</v>
      </c>
      <c r="J1420" s="2">
        <v>0</v>
      </c>
      <c r="K1420" s="2">
        <v>0</v>
      </c>
      <c r="L1420" s="3">
        <v>45856</v>
      </c>
      <c r="M1420" s="3">
        <v>45856</v>
      </c>
      <c r="N1420" s="3"/>
      <c r="O1420" t="s">
        <v>4394</v>
      </c>
      <c r="P1420" t="s">
        <v>20</v>
      </c>
      <c r="Q1420" s="4">
        <v>0.91851851851851996</v>
      </c>
      <c r="R1420" t="s">
        <v>16</v>
      </c>
      <c r="S1420" t="s">
        <v>4</v>
      </c>
      <c r="T1420" t="s">
        <v>2260</v>
      </c>
      <c r="U1420" t="s">
        <v>10</v>
      </c>
      <c r="V1420" s="5">
        <v>0</v>
      </c>
      <c r="W1420" s="5">
        <v>0</v>
      </c>
      <c r="X1420" s="2">
        <v>0</v>
      </c>
      <c r="Y1420" t="s">
        <v>4</v>
      </c>
      <c r="Z1420" t="s">
        <v>4</v>
      </c>
      <c r="AA1420" t="s">
        <v>4</v>
      </c>
      <c r="AB1420" t="s">
        <v>4</v>
      </c>
    </row>
    <row r="1421" spans="1:28" hidden="1" x14ac:dyDescent="0.2">
      <c r="A1421" t="s">
        <v>696</v>
      </c>
      <c r="B1421" t="s">
        <v>2</v>
      </c>
      <c r="C1421" t="s">
        <v>3</v>
      </c>
      <c r="D1421" t="s">
        <v>4</v>
      </c>
      <c r="E1421" t="s">
        <v>4</v>
      </c>
      <c r="F1421" t="s">
        <v>16</v>
      </c>
      <c r="G1421" t="s">
        <v>6</v>
      </c>
      <c r="H1421" t="s">
        <v>4395</v>
      </c>
      <c r="I1421" s="2">
        <v>60</v>
      </c>
      <c r="J1421" s="2">
        <v>0</v>
      </c>
      <c r="K1421" s="2">
        <v>0</v>
      </c>
      <c r="L1421" s="3">
        <v>45737</v>
      </c>
      <c r="M1421" s="3">
        <v>45737</v>
      </c>
      <c r="N1421" s="3"/>
      <c r="O1421" t="s">
        <v>4396</v>
      </c>
      <c r="P1421" t="s">
        <v>20</v>
      </c>
      <c r="Q1421" s="4">
        <v>0.61100694444444004</v>
      </c>
      <c r="R1421" t="s">
        <v>16</v>
      </c>
      <c r="S1421" t="s">
        <v>4</v>
      </c>
      <c r="T1421" t="s">
        <v>4397</v>
      </c>
      <c r="U1421" t="s">
        <v>10</v>
      </c>
      <c r="V1421" s="5">
        <v>0</v>
      </c>
      <c r="W1421" s="5">
        <v>0</v>
      </c>
      <c r="X1421" s="2">
        <v>0</v>
      </c>
      <c r="Y1421" t="s">
        <v>4</v>
      </c>
      <c r="Z1421" t="s">
        <v>4</v>
      </c>
      <c r="AA1421" t="s">
        <v>4</v>
      </c>
      <c r="AB1421" t="s">
        <v>4</v>
      </c>
    </row>
    <row r="1422" spans="1:28" hidden="1" x14ac:dyDescent="0.2">
      <c r="A1422" t="s">
        <v>909</v>
      </c>
      <c r="B1422" t="s">
        <v>2</v>
      </c>
      <c r="C1422" t="s">
        <v>3</v>
      </c>
      <c r="D1422" t="s">
        <v>4</v>
      </c>
      <c r="E1422" t="s">
        <v>4</v>
      </c>
      <c r="F1422" t="s">
        <v>16</v>
      </c>
      <c r="G1422" t="s">
        <v>6</v>
      </c>
      <c r="H1422" t="s">
        <v>4398</v>
      </c>
      <c r="I1422" s="2">
        <v>113</v>
      </c>
      <c r="J1422" s="2">
        <v>0</v>
      </c>
      <c r="K1422" s="2">
        <v>0</v>
      </c>
      <c r="L1422" s="3">
        <v>45454</v>
      </c>
      <c r="M1422" s="3">
        <v>45454</v>
      </c>
      <c r="N1422" s="3"/>
      <c r="O1422" t="s">
        <v>4399</v>
      </c>
      <c r="P1422" t="s">
        <v>20</v>
      </c>
      <c r="Q1422" s="4">
        <v>0.67288194444444005</v>
      </c>
      <c r="R1422" t="s">
        <v>16</v>
      </c>
      <c r="S1422" t="s">
        <v>4</v>
      </c>
      <c r="T1422" t="s">
        <v>4400</v>
      </c>
      <c r="U1422" t="s">
        <v>10</v>
      </c>
      <c r="V1422" s="5">
        <v>0</v>
      </c>
      <c r="W1422" s="5">
        <v>0</v>
      </c>
      <c r="X1422" s="2">
        <v>0</v>
      </c>
      <c r="Y1422" t="s">
        <v>4</v>
      </c>
      <c r="Z1422" t="s">
        <v>4</v>
      </c>
      <c r="AA1422" t="s">
        <v>4</v>
      </c>
      <c r="AB1422" t="s">
        <v>4</v>
      </c>
    </row>
    <row r="1423" spans="1:28" hidden="1" x14ac:dyDescent="0.2">
      <c r="A1423" t="s">
        <v>350</v>
      </c>
      <c r="B1423" t="s">
        <v>2</v>
      </c>
      <c r="C1423" t="s">
        <v>3</v>
      </c>
      <c r="D1423" t="s">
        <v>4</v>
      </c>
      <c r="E1423" t="s">
        <v>4</v>
      </c>
      <c r="F1423" t="s">
        <v>16</v>
      </c>
      <c r="G1423" t="s">
        <v>6</v>
      </c>
      <c r="H1423" t="s">
        <v>4401</v>
      </c>
      <c r="I1423" s="2">
        <v>4000</v>
      </c>
      <c r="J1423" s="2">
        <v>0</v>
      </c>
      <c r="K1423" s="2">
        <v>0</v>
      </c>
      <c r="L1423" s="3">
        <v>45856</v>
      </c>
      <c r="M1423" s="3">
        <v>45856</v>
      </c>
      <c r="N1423" s="3"/>
      <c r="O1423" t="s">
        <v>4402</v>
      </c>
      <c r="P1423" t="s">
        <v>20</v>
      </c>
      <c r="Q1423" s="4">
        <v>0.96950231481480997</v>
      </c>
      <c r="R1423" t="s">
        <v>16</v>
      </c>
      <c r="S1423" t="s">
        <v>4</v>
      </c>
      <c r="T1423" t="s">
        <v>2260</v>
      </c>
      <c r="U1423" t="s">
        <v>10</v>
      </c>
      <c r="V1423" s="5">
        <v>0</v>
      </c>
      <c r="W1423" s="5">
        <v>0</v>
      </c>
      <c r="X1423" s="2">
        <v>0</v>
      </c>
      <c r="Y1423" t="s">
        <v>4</v>
      </c>
      <c r="Z1423" t="s">
        <v>4</v>
      </c>
      <c r="AA1423" t="s">
        <v>4</v>
      </c>
      <c r="AB1423" t="s">
        <v>4</v>
      </c>
    </row>
    <row r="1424" spans="1:28" hidden="1" x14ac:dyDescent="0.2">
      <c r="A1424" t="s">
        <v>304</v>
      </c>
      <c r="B1424" t="s">
        <v>2</v>
      </c>
      <c r="C1424" t="s">
        <v>3</v>
      </c>
      <c r="D1424" t="s">
        <v>4</v>
      </c>
      <c r="E1424" t="s">
        <v>4</v>
      </c>
      <c r="F1424" t="s">
        <v>16</v>
      </c>
      <c r="G1424" t="s">
        <v>21</v>
      </c>
      <c r="H1424" t="s">
        <v>4403</v>
      </c>
      <c r="I1424" s="2">
        <v>2000</v>
      </c>
      <c r="J1424" s="2">
        <v>0</v>
      </c>
      <c r="K1424" s="2">
        <v>0</v>
      </c>
      <c r="L1424" s="3">
        <v>45854</v>
      </c>
      <c r="M1424" s="3">
        <v>45854</v>
      </c>
      <c r="N1424" s="3"/>
      <c r="O1424" t="s">
        <v>4404</v>
      </c>
      <c r="P1424" t="s">
        <v>20</v>
      </c>
      <c r="Q1424" s="4">
        <v>0.53949074074073999</v>
      </c>
      <c r="R1424" t="s">
        <v>16</v>
      </c>
      <c r="S1424" t="s">
        <v>4</v>
      </c>
      <c r="T1424" t="s">
        <v>2299</v>
      </c>
      <c r="U1424" t="s">
        <v>10</v>
      </c>
      <c r="V1424" s="5">
        <v>0</v>
      </c>
      <c r="W1424" s="5">
        <v>0</v>
      </c>
      <c r="X1424" s="2">
        <v>0</v>
      </c>
      <c r="Y1424" t="s">
        <v>4</v>
      </c>
      <c r="Z1424" t="s">
        <v>4</v>
      </c>
      <c r="AA1424" t="s">
        <v>4</v>
      </c>
      <c r="AB1424" t="s">
        <v>4</v>
      </c>
    </row>
    <row r="1425" spans="1:28" hidden="1" x14ac:dyDescent="0.2">
      <c r="A1425" t="s">
        <v>334</v>
      </c>
      <c r="B1425" t="s">
        <v>2</v>
      </c>
      <c r="C1425" t="s">
        <v>3</v>
      </c>
      <c r="D1425" t="s">
        <v>4</v>
      </c>
      <c r="E1425" t="s">
        <v>4</v>
      </c>
      <c r="F1425" t="s">
        <v>16</v>
      </c>
      <c r="G1425" t="s">
        <v>21</v>
      </c>
      <c r="H1425" t="s">
        <v>4405</v>
      </c>
      <c r="I1425" s="2">
        <v>11040</v>
      </c>
      <c r="J1425" s="2">
        <v>0</v>
      </c>
      <c r="K1425" s="2">
        <v>0</v>
      </c>
      <c r="L1425" s="3">
        <v>45856</v>
      </c>
      <c r="M1425" s="3">
        <v>45856</v>
      </c>
      <c r="N1425" s="3"/>
      <c r="O1425" t="s">
        <v>4406</v>
      </c>
      <c r="P1425" t="s">
        <v>20</v>
      </c>
      <c r="Q1425" s="4">
        <v>0.89149305555556002</v>
      </c>
      <c r="R1425" t="s">
        <v>16</v>
      </c>
      <c r="S1425" t="s">
        <v>4</v>
      </c>
      <c r="T1425" t="s">
        <v>2260</v>
      </c>
      <c r="U1425" t="s">
        <v>10</v>
      </c>
      <c r="V1425" s="5">
        <v>0</v>
      </c>
      <c r="W1425" s="5">
        <v>0</v>
      </c>
      <c r="X1425" s="2">
        <v>0</v>
      </c>
      <c r="Y1425" t="s">
        <v>4</v>
      </c>
      <c r="Z1425" t="s">
        <v>4</v>
      </c>
      <c r="AA1425" t="s">
        <v>4</v>
      </c>
      <c r="AB1425" t="s">
        <v>4</v>
      </c>
    </row>
    <row r="1426" spans="1:28" hidden="1" x14ac:dyDescent="0.2">
      <c r="A1426" t="s">
        <v>1227</v>
      </c>
      <c r="B1426" t="s">
        <v>2</v>
      </c>
      <c r="C1426" t="s">
        <v>3</v>
      </c>
      <c r="D1426" t="s">
        <v>4</v>
      </c>
      <c r="E1426" t="s">
        <v>4</v>
      </c>
      <c r="F1426" t="s">
        <v>16</v>
      </c>
      <c r="G1426" t="s">
        <v>21</v>
      </c>
      <c r="H1426" t="s">
        <v>4407</v>
      </c>
      <c r="I1426" s="2">
        <v>1162</v>
      </c>
      <c r="J1426" s="2">
        <v>0</v>
      </c>
      <c r="K1426" s="2">
        <v>0</v>
      </c>
      <c r="L1426" s="3">
        <v>45565</v>
      </c>
      <c r="M1426" s="3">
        <v>45818</v>
      </c>
      <c r="N1426" s="3">
        <v>45818</v>
      </c>
      <c r="O1426" t="s">
        <v>4408</v>
      </c>
      <c r="P1426" t="s">
        <v>20</v>
      </c>
      <c r="Q1426" s="4">
        <v>0.59542824074073997</v>
      </c>
      <c r="R1426" t="s">
        <v>16</v>
      </c>
      <c r="S1426" t="s">
        <v>4</v>
      </c>
      <c r="T1426" t="s">
        <v>4409</v>
      </c>
      <c r="U1426" t="s">
        <v>10</v>
      </c>
      <c r="V1426" s="5">
        <v>0</v>
      </c>
      <c r="W1426" s="5">
        <v>0</v>
      </c>
      <c r="X1426" s="2">
        <v>0</v>
      </c>
      <c r="Y1426" t="s">
        <v>4</v>
      </c>
      <c r="Z1426" t="s">
        <v>4</v>
      </c>
      <c r="AA1426" t="s">
        <v>4</v>
      </c>
      <c r="AB1426" t="s">
        <v>4</v>
      </c>
    </row>
    <row r="1427" spans="1:28" hidden="1" x14ac:dyDescent="0.2">
      <c r="A1427" t="s">
        <v>2251</v>
      </c>
      <c r="B1427" t="s">
        <v>4</v>
      </c>
      <c r="C1427" t="s">
        <v>4</v>
      </c>
      <c r="D1427" t="s">
        <v>4</v>
      </c>
      <c r="E1427" t="s">
        <v>4</v>
      </c>
      <c r="F1427" t="s">
        <v>16</v>
      </c>
      <c r="G1427" t="s">
        <v>21</v>
      </c>
      <c r="H1427" t="s">
        <v>4410</v>
      </c>
      <c r="I1427" s="5">
        <v>0</v>
      </c>
      <c r="J1427" s="5">
        <v>0</v>
      </c>
      <c r="K1427" s="5">
        <v>0</v>
      </c>
      <c r="L1427" s="3"/>
      <c r="M1427" s="3"/>
      <c r="N1427" s="3"/>
      <c r="O1427" t="s">
        <v>4</v>
      </c>
      <c r="P1427" t="s">
        <v>20</v>
      </c>
      <c r="Q1427" s="4">
        <v>0.97231481481480997</v>
      </c>
      <c r="R1427" t="s">
        <v>4</v>
      </c>
      <c r="S1427" t="s">
        <v>4</v>
      </c>
      <c r="T1427" t="s">
        <v>2256</v>
      </c>
      <c r="U1427" t="s">
        <v>4</v>
      </c>
      <c r="V1427" s="5">
        <v>0</v>
      </c>
      <c r="W1427" s="5">
        <v>0</v>
      </c>
      <c r="X1427" s="2">
        <v>0</v>
      </c>
      <c r="Y1427" t="s">
        <v>4</v>
      </c>
      <c r="Z1427" t="s">
        <v>4</v>
      </c>
      <c r="AA1427" t="s">
        <v>4</v>
      </c>
      <c r="AB1427" t="s">
        <v>4</v>
      </c>
    </row>
    <row r="1428" spans="1:28" hidden="1" x14ac:dyDescent="0.2">
      <c r="A1428" t="s">
        <v>2180</v>
      </c>
      <c r="B1428" t="s">
        <v>2</v>
      </c>
      <c r="C1428" t="s">
        <v>3</v>
      </c>
      <c r="D1428" t="s">
        <v>4</v>
      </c>
      <c r="E1428" t="s">
        <v>4</v>
      </c>
      <c r="F1428" t="s">
        <v>16</v>
      </c>
      <c r="G1428" t="s">
        <v>21</v>
      </c>
      <c r="H1428" t="s">
        <v>4411</v>
      </c>
      <c r="I1428" s="2">
        <v>2000</v>
      </c>
      <c r="J1428" s="2">
        <v>0</v>
      </c>
      <c r="K1428" s="2">
        <v>0</v>
      </c>
      <c r="L1428" s="3">
        <v>45841</v>
      </c>
      <c r="M1428" s="3">
        <v>45859</v>
      </c>
      <c r="N1428" s="3">
        <v>45852</v>
      </c>
      <c r="O1428" t="s">
        <v>4412</v>
      </c>
      <c r="P1428" t="s">
        <v>20</v>
      </c>
      <c r="Q1428" s="4">
        <v>0.33887731481480998</v>
      </c>
      <c r="R1428" t="s">
        <v>16</v>
      </c>
      <c r="S1428" t="s">
        <v>4</v>
      </c>
      <c r="T1428" t="s">
        <v>3152</v>
      </c>
      <c r="U1428" t="s">
        <v>10</v>
      </c>
      <c r="V1428" s="5">
        <v>0</v>
      </c>
      <c r="W1428" s="5">
        <v>0</v>
      </c>
      <c r="X1428" s="2">
        <v>0</v>
      </c>
      <c r="Y1428" t="s">
        <v>4</v>
      </c>
      <c r="Z1428" t="s">
        <v>4</v>
      </c>
      <c r="AA1428" t="s">
        <v>4</v>
      </c>
      <c r="AB1428" t="s">
        <v>4</v>
      </c>
    </row>
    <row r="1429" spans="1:28" hidden="1" x14ac:dyDescent="0.2">
      <c r="A1429" t="s">
        <v>1190</v>
      </c>
      <c r="B1429" t="s">
        <v>2</v>
      </c>
      <c r="C1429" t="s">
        <v>3</v>
      </c>
      <c r="D1429" t="s">
        <v>4</v>
      </c>
      <c r="E1429" t="s">
        <v>4</v>
      </c>
      <c r="F1429" t="s">
        <v>16</v>
      </c>
      <c r="G1429" t="s">
        <v>21</v>
      </c>
      <c r="H1429" t="s">
        <v>4413</v>
      </c>
      <c r="I1429" s="2">
        <v>1080</v>
      </c>
      <c r="J1429" s="2">
        <v>0</v>
      </c>
      <c r="K1429" s="2">
        <v>0</v>
      </c>
      <c r="L1429" s="3">
        <v>45818</v>
      </c>
      <c r="M1429" s="3">
        <v>45824</v>
      </c>
      <c r="N1429" s="3">
        <v>45824</v>
      </c>
      <c r="O1429" t="s">
        <v>4414</v>
      </c>
      <c r="P1429" t="s">
        <v>20</v>
      </c>
      <c r="Q1429" s="4">
        <v>0.89116898148148005</v>
      </c>
      <c r="R1429" t="s">
        <v>16</v>
      </c>
      <c r="S1429" t="s">
        <v>4</v>
      </c>
      <c r="T1429" t="s">
        <v>2290</v>
      </c>
      <c r="U1429" t="s">
        <v>10</v>
      </c>
      <c r="V1429" s="5">
        <v>0</v>
      </c>
      <c r="W1429" s="5">
        <v>0</v>
      </c>
      <c r="X1429" s="2">
        <v>0</v>
      </c>
      <c r="Y1429" t="s">
        <v>4</v>
      </c>
      <c r="Z1429" t="s">
        <v>4</v>
      </c>
      <c r="AA1429" t="s">
        <v>4</v>
      </c>
      <c r="AB1429" t="s">
        <v>4</v>
      </c>
    </row>
    <row r="1430" spans="1:28" hidden="1" x14ac:dyDescent="0.2">
      <c r="A1430" t="s">
        <v>1022</v>
      </c>
      <c r="B1430" t="s">
        <v>2</v>
      </c>
      <c r="C1430" t="s">
        <v>3</v>
      </c>
      <c r="D1430" t="s">
        <v>4</v>
      </c>
      <c r="E1430" t="s">
        <v>4</v>
      </c>
      <c r="F1430" t="s">
        <v>16</v>
      </c>
      <c r="G1430" t="s">
        <v>21</v>
      </c>
      <c r="H1430" t="s">
        <v>4415</v>
      </c>
      <c r="I1430" s="2">
        <v>1200</v>
      </c>
      <c r="J1430" s="2">
        <v>0</v>
      </c>
      <c r="K1430" s="2">
        <v>0</v>
      </c>
      <c r="L1430" s="3">
        <v>45854</v>
      </c>
      <c r="M1430" s="3">
        <v>45854</v>
      </c>
      <c r="N1430" s="3"/>
      <c r="O1430" t="s">
        <v>4416</v>
      </c>
      <c r="P1430" t="s">
        <v>20</v>
      </c>
      <c r="Q1430" s="4">
        <v>0.77030092592593002</v>
      </c>
      <c r="R1430" t="s">
        <v>16</v>
      </c>
      <c r="S1430" t="s">
        <v>4</v>
      </c>
      <c r="T1430" t="s">
        <v>2299</v>
      </c>
      <c r="U1430" t="s">
        <v>10</v>
      </c>
      <c r="V1430" s="5">
        <v>0</v>
      </c>
      <c r="W1430" s="5">
        <v>0</v>
      </c>
      <c r="X1430" s="2">
        <v>0</v>
      </c>
      <c r="Y1430" t="s">
        <v>4</v>
      </c>
      <c r="Z1430" t="s">
        <v>4</v>
      </c>
      <c r="AA1430" t="s">
        <v>4</v>
      </c>
      <c r="AB1430" t="s">
        <v>4</v>
      </c>
    </row>
    <row r="1431" spans="1:28" hidden="1" x14ac:dyDescent="0.2">
      <c r="A1431" t="s">
        <v>1881</v>
      </c>
      <c r="B1431" t="s">
        <v>2</v>
      </c>
      <c r="C1431" t="s">
        <v>3</v>
      </c>
      <c r="D1431" t="s">
        <v>4</v>
      </c>
      <c r="E1431" t="s">
        <v>4</v>
      </c>
      <c r="F1431" t="s">
        <v>16</v>
      </c>
      <c r="G1431" t="s">
        <v>21</v>
      </c>
      <c r="H1431" t="s">
        <v>4417</v>
      </c>
      <c r="I1431" s="2">
        <v>2200</v>
      </c>
      <c r="J1431" s="2">
        <v>0</v>
      </c>
      <c r="K1431" s="2">
        <v>0</v>
      </c>
      <c r="L1431" s="3">
        <v>45832</v>
      </c>
      <c r="M1431" s="3">
        <v>45859</v>
      </c>
      <c r="N1431" s="3">
        <v>45843</v>
      </c>
      <c r="O1431" t="s">
        <v>4418</v>
      </c>
      <c r="P1431" t="s">
        <v>20</v>
      </c>
      <c r="Q1431" s="4">
        <v>0.32831018518519001</v>
      </c>
      <c r="R1431" t="s">
        <v>16</v>
      </c>
      <c r="S1431" t="s">
        <v>4</v>
      </c>
      <c r="T1431" t="s">
        <v>2665</v>
      </c>
      <c r="U1431" t="s">
        <v>10</v>
      </c>
      <c r="V1431" s="5">
        <v>0</v>
      </c>
      <c r="W1431" s="5">
        <v>0</v>
      </c>
      <c r="X1431" s="2">
        <v>0</v>
      </c>
      <c r="Y1431" t="s">
        <v>4</v>
      </c>
      <c r="Z1431" t="s">
        <v>4</v>
      </c>
      <c r="AA1431" t="s">
        <v>4</v>
      </c>
      <c r="AB1431" t="s">
        <v>4</v>
      </c>
    </row>
    <row r="1432" spans="1:28" hidden="1" x14ac:dyDescent="0.2">
      <c r="A1432" t="s">
        <v>2092</v>
      </c>
      <c r="B1432" t="s">
        <v>2</v>
      </c>
      <c r="C1432" t="s">
        <v>3</v>
      </c>
      <c r="D1432" t="s">
        <v>4</v>
      </c>
      <c r="E1432" t="s">
        <v>4</v>
      </c>
      <c r="F1432" t="s">
        <v>16</v>
      </c>
      <c r="G1432" t="s">
        <v>21</v>
      </c>
      <c r="H1432" t="s">
        <v>4419</v>
      </c>
      <c r="I1432" s="2">
        <v>6000</v>
      </c>
      <c r="J1432" s="2">
        <v>0</v>
      </c>
      <c r="K1432" s="2">
        <v>0</v>
      </c>
      <c r="L1432" s="3">
        <v>45846</v>
      </c>
      <c r="M1432" s="3">
        <v>45846</v>
      </c>
      <c r="N1432" s="3"/>
      <c r="O1432" t="s">
        <v>4420</v>
      </c>
      <c r="P1432" t="s">
        <v>20</v>
      </c>
      <c r="Q1432" s="4">
        <v>1.40046296296E-3</v>
      </c>
      <c r="R1432" t="s">
        <v>16</v>
      </c>
      <c r="S1432" t="s">
        <v>4</v>
      </c>
      <c r="T1432" t="s">
        <v>2318</v>
      </c>
      <c r="U1432" t="s">
        <v>10</v>
      </c>
      <c r="V1432" s="5">
        <v>0</v>
      </c>
      <c r="W1432" s="5">
        <v>0</v>
      </c>
      <c r="X1432" s="2">
        <v>0</v>
      </c>
      <c r="Y1432" t="s">
        <v>4</v>
      </c>
      <c r="Z1432" t="s">
        <v>4</v>
      </c>
      <c r="AA1432" t="s">
        <v>4</v>
      </c>
      <c r="AB1432" t="s">
        <v>4</v>
      </c>
    </row>
    <row r="1433" spans="1:28" hidden="1" x14ac:dyDescent="0.2">
      <c r="A1433" t="s">
        <v>2152</v>
      </c>
      <c r="B1433" t="s">
        <v>2</v>
      </c>
      <c r="C1433" t="s">
        <v>3</v>
      </c>
      <c r="D1433" t="s">
        <v>4</v>
      </c>
      <c r="E1433" t="s">
        <v>4</v>
      </c>
      <c r="F1433" t="s">
        <v>16</v>
      </c>
      <c r="G1433" t="s">
        <v>21</v>
      </c>
      <c r="H1433" t="s">
        <v>4421</v>
      </c>
      <c r="I1433" s="2">
        <v>400</v>
      </c>
      <c r="J1433" s="2">
        <v>0</v>
      </c>
      <c r="K1433" s="2">
        <v>0</v>
      </c>
      <c r="L1433" s="3">
        <v>45835</v>
      </c>
      <c r="M1433" s="3">
        <v>45835</v>
      </c>
      <c r="N1433" s="3"/>
      <c r="O1433" t="s">
        <v>4422</v>
      </c>
      <c r="P1433" t="s">
        <v>20</v>
      </c>
      <c r="Q1433" s="4">
        <v>0.91306712962962999</v>
      </c>
      <c r="R1433" t="s">
        <v>16</v>
      </c>
      <c r="S1433" t="s">
        <v>4</v>
      </c>
      <c r="T1433" t="s">
        <v>2928</v>
      </c>
      <c r="U1433" t="s">
        <v>10</v>
      </c>
      <c r="V1433" s="5">
        <v>0</v>
      </c>
      <c r="W1433" s="5">
        <v>0</v>
      </c>
      <c r="X1433" s="2">
        <v>0</v>
      </c>
      <c r="Y1433" t="s">
        <v>4</v>
      </c>
      <c r="Z1433" t="s">
        <v>4</v>
      </c>
      <c r="AA1433" t="s">
        <v>4</v>
      </c>
      <c r="AB1433" t="s">
        <v>4</v>
      </c>
    </row>
    <row r="1434" spans="1:28" hidden="1" x14ac:dyDescent="0.2">
      <c r="A1434" t="s">
        <v>863</v>
      </c>
      <c r="B1434" t="s">
        <v>2</v>
      </c>
      <c r="C1434" t="s">
        <v>3</v>
      </c>
      <c r="D1434" t="s">
        <v>4</v>
      </c>
      <c r="E1434" t="s">
        <v>4</v>
      </c>
      <c r="F1434" t="s">
        <v>16</v>
      </c>
      <c r="G1434" t="s">
        <v>17</v>
      </c>
      <c r="H1434" t="s">
        <v>4423</v>
      </c>
      <c r="I1434" s="2">
        <v>700</v>
      </c>
      <c r="J1434" s="2">
        <v>0</v>
      </c>
      <c r="K1434" s="2">
        <v>0</v>
      </c>
      <c r="L1434" s="3">
        <v>45821</v>
      </c>
      <c r="M1434" s="3">
        <v>45821</v>
      </c>
      <c r="N1434" s="3"/>
      <c r="O1434" t="s">
        <v>4424</v>
      </c>
      <c r="P1434" t="s">
        <v>20</v>
      </c>
      <c r="Q1434" s="4">
        <v>0.48427083333332999</v>
      </c>
      <c r="R1434" t="s">
        <v>16</v>
      </c>
      <c r="S1434" t="s">
        <v>4</v>
      </c>
      <c r="T1434" t="s">
        <v>4228</v>
      </c>
      <c r="U1434" t="s">
        <v>10</v>
      </c>
      <c r="V1434" s="5">
        <v>0</v>
      </c>
      <c r="W1434" s="5">
        <v>0</v>
      </c>
      <c r="X1434" s="2">
        <v>0</v>
      </c>
      <c r="Y1434" t="s">
        <v>4</v>
      </c>
      <c r="Z1434" t="s">
        <v>4</v>
      </c>
      <c r="AA1434" t="s">
        <v>4</v>
      </c>
      <c r="AB1434" t="s">
        <v>4</v>
      </c>
    </row>
    <row r="1435" spans="1:28" hidden="1" x14ac:dyDescent="0.2">
      <c r="A1435" t="s">
        <v>571</v>
      </c>
      <c r="B1435" t="s">
        <v>2</v>
      </c>
      <c r="C1435" t="s">
        <v>3</v>
      </c>
      <c r="D1435" t="s">
        <v>4</v>
      </c>
      <c r="E1435" t="s">
        <v>4</v>
      </c>
      <c r="F1435" t="s">
        <v>16</v>
      </c>
      <c r="G1435" t="s">
        <v>17</v>
      </c>
      <c r="H1435" t="s">
        <v>4425</v>
      </c>
      <c r="I1435" s="2">
        <v>30000</v>
      </c>
      <c r="J1435" s="2">
        <v>0</v>
      </c>
      <c r="K1435" s="2">
        <v>0</v>
      </c>
      <c r="L1435" s="3">
        <v>45858</v>
      </c>
      <c r="M1435" s="3">
        <v>45858</v>
      </c>
      <c r="N1435" s="3"/>
      <c r="O1435" t="s">
        <v>4426</v>
      </c>
      <c r="P1435" t="s">
        <v>20</v>
      </c>
      <c r="Q1435" s="4">
        <v>0.57637731481481003</v>
      </c>
      <c r="R1435" t="s">
        <v>16</v>
      </c>
      <c r="S1435" t="s">
        <v>4</v>
      </c>
      <c r="T1435" t="s">
        <v>2337</v>
      </c>
      <c r="U1435" t="s">
        <v>10</v>
      </c>
      <c r="V1435" s="5">
        <v>0</v>
      </c>
      <c r="W1435" s="5">
        <v>0</v>
      </c>
      <c r="X1435" s="2">
        <v>0</v>
      </c>
      <c r="Y1435" t="s">
        <v>4</v>
      </c>
      <c r="Z1435" t="s">
        <v>4</v>
      </c>
      <c r="AA1435" t="s">
        <v>4</v>
      </c>
      <c r="AB1435" t="s">
        <v>4</v>
      </c>
    </row>
    <row r="1436" spans="1:28" hidden="1" x14ac:dyDescent="0.2">
      <c r="A1436" t="s">
        <v>288</v>
      </c>
      <c r="B1436" t="s">
        <v>2</v>
      </c>
      <c r="C1436" t="s">
        <v>3</v>
      </c>
      <c r="D1436" t="s">
        <v>4</v>
      </c>
      <c r="E1436" t="s">
        <v>4</v>
      </c>
      <c r="F1436" t="s">
        <v>16</v>
      </c>
      <c r="G1436" t="s">
        <v>6</v>
      </c>
      <c r="H1436" t="s">
        <v>4427</v>
      </c>
      <c r="I1436" s="2">
        <v>2080</v>
      </c>
      <c r="J1436" s="2">
        <v>0</v>
      </c>
      <c r="K1436" s="2">
        <v>0</v>
      </c>
      <c r="L1436" s="3">
        <v>45855</v>
      </c>
      <c r="M1436" s="3">
        <v>45855</v>
      </c>
      <c r="N1436" s="3"/>
      <c r="O1436" t="s">
        <v>4428</v>
      </c>
      <c r="P1436" t="s">
        <v>20</v>
      </c>
      <c r="Q1436" s="4">
        <v>0.98218749999999999</v>
      </c>
      <c r="R1436" t="s">
        <v>16</v>
      </c>
      <c r="S1436" t="s">
        <v>4</v>
      </c>
      <c r="T1436" t="s">
        <v>2350</v>
      </c>
      <c r="U1436" t="s">
        <v>10</v>
      </c>
      <c r="V1436" s="5">
        <v>0</v>
      </c>
      <c r="W1436" s="5">
        <v>0</v>
      </c>
      <c r="X1436" s="2">
        <v>0</v>
      </c>
      <c r="Y1436" t="s">
        <v>4</v>
      </c>
      <c r="Z1436" t="s">
        <v>4</v>
      </c>
      <c r="AA1436" t="s">
        <v>4</v>
      </c>
      <c r="AB1436" t="s">
        <v>4</v>
      </c>
    </row>
    <row r="1437" spans="1:28" hidden="1" x14ac:dyDescent="0.2">
      <c r="A1437" t="s">
        <v>304</v>
      </c>
      <c r="B1437" t="s">
        <v>2</v>
      </c>
      <c r="C1437" t="s">
        <v>3</v>
      </c>
      <c r="D1437" t="s">
        <v>4</v>
      </c>
      <c r="E1437" t="s">
        <v>4</v>
      </c>
      <c r="F1437" t="s">
        <v>16</v>
      </c>
      <c r="G1437" t="s">
        <v>6</v>
      </c>
      <c r="H1437" t="s">
        <v>4429</v>
      </c>
      <c r="I1437" s="2">
        <v>2000</v>
      </c>
      <c r="J1437" s="2">
        <v>0</v>
      </c>
      <c r="K1437" s="2">
        <v>0</v>
      </c>
      <c r="L1437" s="3">
        <v>45843</v>
      </c>
      <c r="M1437" s="3">
        <v>45843</v>
      </c>
      <c r="N1437" s="3"/>
      <c r="O1437" t="s">
        <v>4430</v>
      </c>
      <c r="P1437" t="s">
        <v>20</v>
      </c>
      <c r="Q1437" s="4">
        <v>0.54642361111111004</v>
      </c>
      <c r="R1437" t="s">
        <v>16</v>
      </c>
      <c r="S1437" t="s">
        <v>4</v>
      </c>
      <c r="T1437" t="s">
        <v>2783</v>
      </c>
      <c r="U1437" t="s">
        <v>10</v>
      </c>
      <c r="V1437" s="5">
        <v>0</v>
      </c>
      <c r="W1437" s="5">
        <v>0</v>
      </c>
      <c r="X1437" s="2">
        <v>0</v>
      </c>
      <c r="Y1437" t="s">
        <v>4</v>
      </c>
      <c r="Z1437" t="s">
        <v>4</v>
      </c>
      <c r="AA1437" t="s">
        <v>4</v>
      </c>
      <c r="AB1437" t="s">
        <v>4</v>
      </c>
    </row>
    <row r="1438" spans="1:28" hidden="1" x14ac:dyDescent="0.2">
      <c r="A1438" t="s">
        <v>470</v>
      </c>
      <c r="B1438" t="s">
        <v>2</v>
      </c>
      <c r="C1438" t="s">
        <v>3</v>
      </c>
      <c r="D1438" t="s">
        <v>4</v>
      </c>
      <c r="E1438" t="s">
        <v>4</v>
      </c>
      <c r="F1438" t="s">
        <v>16</v>
      </c>
      <c r="G1438" t="s">
        <v>6</v>
      </c>
      <c r="H1438" t="s">
        <v>4431</v>
      </c>
      <c r="I1438" s="2">
        <v>3600</v>
      </c>
      <c r="J1438" s="2">
        <v>0</v>
      </c>
      <c r="K1438" s="2">
        <v>0</v>
      </c>
      <c r="L1438" s="3">
        <v>45844</v>
      </c>
      <c r="M1438" s="3">
        <v>45844</v>
      </c>
      <c r="N1438" s="3"/>
      <c r="O1438" t="s">
        <v>4432</v>
      </c>
      <c r="P1438" t="s">
        <v>20</v>
      </c>
      <c r="Q1438" s="4">
        <v>0.43285879629629997</v>
      </c>
      <c r="R1438" t="s">
        <v>16</v>
      </c>
      <c r="S1438" t="s">
        <v>4</v>
      </c>
      <c r="T1438" t="s">
        <v>2792</v>
      </c>
      <c r="U1438" t="s">
        <v>10</v>
      </c>
      <c r="V1438" s="5">
        <v>0</v>
      </c>
      <c r="W1438" s="5">
        <v>0</v>
      </c>
      <c r="X1438" s="2">
        <v>0</v>
      </c>
      <c r="Y1438" t="s">
        <v>4</v>
      </c>
      <c r="Z1438" t="s">
        <v>4</v>
      </c>
      <c r="AA1438" t="s">
        <v>4</v>
      </c>
      <c r="AB1438" t="s">
        <v>4</v>
      </c>
    </row>
    <row r="1439" spans="1:28" hidden="1" x14ac:dyDescent="0.2">
      <c r="A1439" t="s">
        <v>979</v>
      </c>
      <c r="B1439" t="s">
        <v>2</v>
      </c>
      <c r="C1439" t="s">
        <v>3</v>
      </c>
      <c r="D1439" t="s">
        <v>4</v>
      </c>
      <c r="E1439" t="s">
        <v>4</v>
      </c>
      <c r="F1439" t="s">
        <v>16</v>
      </c>
      <c r="G1439" t="s">
        <v>6</v>
      </c>
      <c r="H1439" t="s">
        <v>4433</v>
      </c>
      <c r="I1439" s="2">
        <v>16000</v>
      </c>
      <c r="J1439" s="2">
        <v>0</v>
      </c>
      <c r="K1439" s="2">
        <v>0</v>
      </c>
      <c r="L1439" s="3">
        <v>45673</v>
      </c>
      <c r="M1439" s="3">
        <v>45673</v>
      </c>
      <c r="N1439" s="3"/>
      <c r="O1439" t="s">
        <v>4434</v>
      </c>
      <c r="P1439" t="s">
        <v>20</v>
      </c>
      <c r="Q1439" s="4">
        <v>0.43686342592593003</v>
      </c>
      <c r="R1439" t="s">
        <v>16</v>
      </c>
      <c r="S1439" t="s">
        <v>4</v>
      </c>
      <c r="T1439" t="s">
        <v>3353</v>
      </c>
      <c r="U1439" t="s">
        <v>10</v>
      </c>
      <c r="V1439" s="5">
        <v>0</v>
      </c>
      <c r="W1439" s="5">
        <v>0</v>
      </c>
      <c r="X1439" s="2">
        <v>0</v>
      </c>
      <c r="Y1439" t="s">
        <v>4</v>
      </c>
      <c r="Z1439" t="s">
        <v>4</v>
      </c>
      <c r="AA1439" t="s">
        <v>4</v>
      </c>
      <c r="AB1439" t="s">
        <v>4</v>
      </c>
    </row>
    <row r="1440" spans="1:28" hidden="1" x14ac:dyDescent="0.2">
      <c r="A1440" t="s">
        <v>837</v>
      </c>
      <c r="B1440" t="s">
        <v>2</v>
      </c>
      <c r="C1440" t="s">
        <v>3</v>
      </c>
      <c r="D1440" t="s">
        <v>4</v>
      </c>
      <c r="E1440" t="s">
        <v>4</v>
      </c>
      <c r="F1440" t="s">
        <v>16</v>
      </c>
      <c r="G1440" t="s">
        <v>21</v>
      </c>
      <c r="H1440" t="s">
        <v>4435</v>
      </c>
      <c r="I1440" s="2">
        <v>35000</v>
      </c>
      <c r="J1440" s="2">
        <v>0</v>
      </c>
      <c r="K1440" s="2">
        <v>0</v>
      </c>
      <c r="L1440" s="3">
        <v>45860</v>
      </c>
      <c r="M1440" s="3">
        <v>45860</v>
      </c>
      <c r="N1440" s="3"/>
      <c r="O1440" t="s">
        <v>4436</v>
      </c>
      <c r="P1440" t="s">
        <v>20</v>
      </c>
      <c r="Q1440" s="4">
        <v>0.32871527777777998</v>
      </c>
      <c r="R1440" t="s">
        <v>16</v>
      </c>
      <c r="S1440" t="s">
        <v>4</v>
      </c>
      <c r="T1440" t="s">
        <v>2256</v>
      </c>
      <c r="U1440" t="s">
        <v>10</v>
      </c>
      <c r="V1440" s="5">
        <v>0</v>
      </c>
      <c r="W1440" s="5">
        <v>0</v>
      </c>
      <c r="X1440" s="2">
        <v>0</v>
      </c>
      <c r="Y1440" t="s">
        <v>4</v>
      </c>
      <c r="Z1440" t="s">
        <v>4</v>
      </c>
      <c r="AA1440" t="s">
        <v>4</v>
      </c>
      <c r="AB1440" t="s">
        <v>4</v>
      </c>
    </row>
    <row r="1441" spans="1:28" hidden="1" x14ac:dyDescent="0.2">
      <c r="A1441" t="s">
        <v>2184</v>
      </c>
      <c r="B1441" t="s">
        <v>2</v>
      </c>
      <c r="C1441" t="s">
        <v>3</v>
      </c>
      <c r="D1441" t="s">
        <v>4</v>
      </c>
      <c r="E1441" t="s">
        <v>4</v>
      </c>
      <c r="F1441" t="s">
        <v>16</v>
      </c>
      <c r="G1441" t="s">
        <v>21</v>
      </c>
      <c r="H1441" t="s">
        <v>4437</v>
      </c>
      <c r="I1441" s="2">
        <v>3000</v>
      </c>
      <c r="J1441" s="2">
        <v>0</v>
      </c>
      <c r="K1441" s="2">
        <v>0</v>
      </c>
      <c r="L1441" s="3">
        <v>45841</v>
      </c>
      <c r="M1441" s="3">
        <v>45859</v>
      </c>
      <c r="N1441" s="3"/>
      <c r="O1441" t="s">
        <v>4438</v>
      </c>
      <c r="P1441" t="s">
        <v>20</v>
      </c>
      <c r="Q1441" s="4">
        <v>0.33887731481480998</v>
      </c>
      <c r="R1441" t="s">
        <v>16</v>
      </c>
      <c r="S1441" t="s">
        <v>4</v>
      </c>
      <c r="T1441" t="s">
        <v>3152</v>
      </c>
      <c r="U1441" t="s">
        <v>10</v>
      </c>
      <c r="V1441" s="5">
        <v>0</v>
      </c>
      <c r="W1441" s="5">
        <v>0</v>
      </c>
      <c r="X1441" s="2">
        <v>0</v>
      </c>
      <c r="Y1441" t="s">
        <v>4</v>
      </c>
      <c r="Z1441" t="s">
        <v>4</v>
      </c>
      <c r="AA1441" t="s">
        <v>4</v>
      </c>
      <c r="AB1441" t="s">
        <v>4</v>
      </c>
    </row>
    <row r="1442" spans="1:28" hidden="1" x14ac:dyDescent="0.2">
      <c r="A1442" t="s">
        <v>623</v>
      </c>
      <c r="B1442" t="s">
        <v>2</v>
      </c>
      <c r="C1442" t="s">
        <v>3</v>
      </c>
      <c r="D1442" t="s">
        <v>4</v>
      </c>
      <c r="E1442" t="s">
        <v>4</v>
      </c>
      <c r="F1442" t="s">
        <v>16</v>
      </c>
      <c r="G1442" t="s">
        <v>21</v>
      </c>
      <c r="H1442" t="s">
        <v>4439</v>
      </c>
      <c r="I1442" s="2">
        <v>5250</v>
      </c>
      <c r="J1442" s="2">
        <v>0</v>
      </c>
      <c r="K1442" s="2">
        <v>0</v>
      </c>
      <c r="L1442" s="3">
        <v>45850</v>
      </c>
      <c r="M1442" s="3">
        <v>45850</v>
      </c>
      <c r="N1442" s="3"/>
      <c r="O1442" t="s">
        <v>4440</v>
      </c>
      <c r="P1442" t="s">
        <v>20</v>
      </c>
      <c r="Q1442" s="4">
        <v>0.92243055555555997</v>
      </c>
      <c r="R1442" t="s">
        <v>16</v>
      </c>
      <c r="S1442" t="s">
        <v>4</v>
      </c>
      <c r="T1442" t="s">
        <v>2680</v>
      </c>
      <c r="U1442" t="s">
        <v>10</v>
      </c>
      <c r="V1442" s="5">
        <v>0</v>
      </c>
      <c r="W1442" s="5">
        <v>0</v>
      </c>
      <c r="X1442" s="2">
        <v>0</v>
      </c>
      <c r="Y1442" t="s">
        <v>4</v>
      </c>
      <c r="Z1442" t="s">
        <v>4</v>
      </c>
      <c r="AA1442" t="s">
        <v>4</v>
      </c>
      <c r="AB1442" t="s">
        <v>4</v>
      </c>
    </row>
    <row r="1443" spans="1:28" hidden="1" x14ac:dyDescent="0.2">
      <c r="A1443" t="s">
        <v>915</v>
      </c>
      <c r="B1443" t="s">
        <v>2</v>
      </c>
      <c r="C1443" t="s">
        <v>3</v>
      </c>
      <c r="D1443" t="s">
        <v>4</v>
      </c>
      <c r="E1443" t="s">
        <v>4</v>
      </c>
      <c r="F1443" t="s">
        <v>16</v>
      </c>
      <c r="G1443" t="s">
        <v>21</v>
      </c>
      <c r="H1443" t="s">
        <v>4441</v>
      </c>
      <c r="I1443" s="2">
        <v>50</v>
      </c>
      <c r="J1443" s="2">
        <v>0</v>
      </c>
      <c r="K1443" s="2">
        <v>0</v>
      </c>
      <c r="L1443" s="3">
        <v>45741</v>
      </c>
      <c r="M1443" s="3">
        <v>45757</v>
      </c>
      <c r="N1443" s="3"/>
      <c r="O1443" t="s">
        <v>4442</v>
      </c>
      <c r="P1443" t="s">
        <v>20</v>
      </c>
      <c r="Q1443" s="4">
        <v>0.42134259259258999</v>
      </c>
      <c r="R1443" t="s">
        <v>16</v>
      </c>
      <c r="S1443" t="s">
        <v>4</v>
      </c>
      <c r="T1443" t="s">
        <v>2992</v>
      </c>
      <c r="U1443" t="s">
        <v>10</v>
      </c>
      <c r="V1443" s="5">
        <v>0</v>
      </c>
      <c r="W1443" s="5">
        <v>0</v>
      </c>
      <c r="X1443" s="2">
        <v>0</v>
      </c>
      <c r="Y1443" t="s">
        <v>4</v>
      </c>
      <c r="Z1443" t="s">
        <v>4</v>
      </c>
      <c r="AA1443" t="s">
        <v>4</v>
      </c>
      <c r="AB1443" t="s">
        <v>4</v>
      </c>
    </row>
    <row r="1444" spans="1:28" hidden="1" x14ac:dyDescent="0.2">
      <c r="A1444" t="s">
        <v>1490</v>
      </c>
      <c r="B1444" t="s">
        <v>2</v>
      </c>
      <c r="C1444" t="s">
        <v>3</v>
      </c>
      <c r="D1444" t="s">
        <v>4</v>
      </c>
      <c r="E1444" t="s">
        <v>4</v>
      </c>
      <c r="F1444" t="s">
        <v>16</v>
      </c>
      <c r="G1444" t="s">
        <v>21</v>
      </c>
      <c r="H1444" t="s">
        <v>4443</v>
      </c>
      <c r="I1444" s="2">
        <v>1000</v>
      </c>
      <c r="J1444" s="2">
        <v>0</v>
      </c>
      <c r="K1444" s="2">
        <v>0</v>
      </c>
      <c r="L1444" s="3">
        <v>45846</v>
      </c>
      <c r="M1444" s="3">
        <v>45846</v>
      </c>
      <c r="N1444" s="3"/>
      <c r="O1444" t="s">
        <v>4444</v>
      </c>
      <c r="P1444" t="s">
        <v>20</v>
      </c>
      <c r="Q1444" s="4">
        <v>0.73934027777778</v>
      </c>
      <c r="R1444" t="s">
        <v>16</v>
      </c>
      <c r="S1444" t="s">
        <v>4</v>
      </c>
      <c r="T1444" t="s">
        <v>2318</v>
      </c>
      <c r="U1444" t="s">
        <v>10</v>
      </c>
      <c r="V1444" s="5">
        <v>0</v>
      </c>
      <c r="W1444" s="5">
        <v>0</v>
      </c>
      <c r="X1444" s="2">
        <v>0</v>
      </c>
      <c r="Y1444" t="s">
        <v>4</v>
      </c>
      <c r="Z1444" t="s">
        <v>4</v>
      </c>
      <c r="AA1444" t="s">
        <v>4</v>
      </c>
      <c r="AB1444" t="s">
        <v>4</v>
      </c>
    </row>
    <row r="1445" spans="1:28" hidden="1" x14ac:dyDescent="0.2">
      <c r="A1445" t="s">
        <v>1481</v>
      </c>
      <c r="B1445" t="s">
        <v>2</v>
      </c>
      <c r="C1445" t="s">
        <v>3</v>
      </c>
      <c r="D1445" t="s">
        <v>4</v>
      </c>
      <c r="E1445" t="s">
        <v>4</v>
      </c>
      <c r="F1445" t="s">
        <v>16</v>
      </c>
      <c r="G1445" t="s">
        <v>21</v>
      </c>
      <c r="H1445" t="s">
        <v>4445</v>
      </c>
      <c r="I1445" s="2">
        <v>500</v>
      </c>
      <c r="J1445" s="2">
        <v>0</v>
      </c>
      <c r="K1445" s="2">
        <v>0</v>
      </c>
      <c r="L1445" s="3">
        <v>45850</v>
      </c>
      <c r="M1445" s="3">
        <v>45856</v>
      </c>
      <c r="N1445" s="3">
        <v>45856</v>
      </c>
      <c r="O1445" t="s">
        <v>4446</v>
      </c>
      <c r="P1445" t="s">
        <v>20</v>
      </c>
      <c r="Q1445" s="4">
        <v>0.59961805555556003</v>
      </c>
      <c r="R1445" t="s">
        <v>16</v>
      </c>
      <c r="S1445" t="s">
        <v>4</v>
      </c>
      <c r="T1445" t="s">
        <v>2680</v>
      </c>
      <c r="U1445" t="s">
        <v>10</v>
      </c>
      <c r="V1445" s="5">
        <v>0</v>
      </c>
      <c r="W1445" s="5">
        <v>0</v>
      </c>
      <c r="X1445" s="2">
        <v>0</v>
      </c>
      <c r="Y1445" t="s">
        <v>4</v>
      </c>
      <c r="Z1445" t="s">
        <v>4</v>
      </c>
      <c r="AA1445" t="s">
        <v>4</v>
      </c>
      <c r="AB1445" t="s">
        <v>4</v>
      </c>
    </row>
    <row r="1446" spans="1:28" hidden="1" x14ac:dyDescent="0.2">
      <c r="A1446" t="s">
        <v>1230</v>
      </c>
      <c r="B1446" t="s">
        <v>2</v>
      </c>
      <c r="C1446" t="s">
        <v>3</v>
      </c>
      <c r="D1446" t="s">
        <v>4</v>
      </c>
      <c r="E1446" t="s">
        <v>4</v>
      </c>
      <c r="F1446" t="s">
        <v>16</v>
      </c>
      <c r="G1446" t="s">
        <v>21</v>
      </c>
      <c r="H1446" t="s">
        <v>4447</v>
      </c>
      <c r="I1446" s="2">
        <v>1000</v>
      </c>
      <c r="J1446" s="2">
        <v>0</v>
      </c>
      <c r="K1446" s="2">
        <v>0</v>
      </c>
      <c r="L1446" s="3">
        <v>45793</v>
      </c>
      <c r="M1446" s="3">
        <v>45793</v>
      </c>
      <c r="N1446" s="3"/>
      <c r="O1446" t="s">
        <v>4448</v>
      </c>
      <c r="P1446" t="s">
        <v>20</v>
      </c>
      <c r="Q1446" s="4">
        <v>0.87777777777777999</v>
      </c>
      <c r="R1446" t="s">
        <v>16</v>
      </c>
      <c r="S1446" t="s">
        <v>4</v>
      </c>
      <c r="T1446" t="s">
        <v>4449</v>
      </c>
      <c r="U1446" t="s">
        <v>10</v>
      </c>
      <c r="V1446" s="5">
        <v>0</v>
      </c>
      <c r="W1446" s="5">
        <v>0</v>
      </c>
      <c r="X1446" s="2">
        <v>0</v>
      </c>
      <c r="Y1446" t="s">
        <v>4</v>
      </c>
      <c r="Z1446" t="s">
        <v>4</v>
      </c>
      <c r="AA1446" t="s">
        <v>4</v>
      </c>
      <c r="AB1446" t="s">
        <v>4</v>
      </c>
    </row>
    <row r="1447" spans="1:28" hidden="1" x14ac:dyDescent="0.2">
      <c r="A1447" t="s">
        <v>1831</v>
      </c>
      <c r="B1447" t="s">
        <v>2</v>
      </c>
      <c r="C1447" t="s">
        <v>3</v>
      </c>
      <c r="D1447" t="s">
        <v>4</v>
      </c>
      <c r="E1447" t="s">
        <v>4</v>
      </c>
      <c r="F1447" t="s">
        <v>16</v>
      </c>
      <c r="G1447" t="s">
        <v>21</v>
      </c>
      <c r="H1447" t="s">
        <v>4450</v>
      </c>
      <c r="I1447" s="2">
        <v>10026</v>
      </c>
      <c r="J1447" s="2">
        <v>0</v>
      </c>
      <c r="K1447" s="2">
        <v>0</v>
      </c>
      <c r="L1447" s="3">
        <v>45842</v>
      </c>
      <c r="M1447" s="3">
        <v>45842</v>
      </c>
      <c r="N1447" s="3"/>
      <c r="O1447" t="s">
        <v>4451</v>
      </c>
      <c r="P1447" t="s">
        <v>20</v>
      </c>
      <c r="Q1447" s="4">
        <v>0.48450231481480999</v>
      </c>
      <c r="R1447" t="s">
        <v>16</v>
      </c>
      <c r="S1447" t="s">
        <v>4</v>
      </c>
      <c r="T1447" t="s">
        <v>2610</v>
      </c>
      <c r="U1447" t="s">
        <v>10</v>
      </c>
      <c r="V1447" s="5">
        <v>0</v>
      </c>
      <c r="W1447" s="5">
        <v>0</v>
      </c>
      <c r="X1447" s="2">
        <v>0</v>
      </c>
      <c r="Y1447" t="s">
        <v>4</v>
      </c>
      <c r="Z1447" t="s">
        <v>4</v>
      </c>
      <c r="AA1447" t="s">
        <v>4</v>
      </c>
      <c r="AB1447" t="s">
        <v>4</v>
      </c>
    </row>
    <row r="1448" spans="1:28" hidden="1" x14ac:dyDescent="0.2">
      <c r="A1448" t="s">
        <v>1879</v>
      </c>
      <c r="B1448" t="s">
        <v>2</v>
      </c>
      <c r="C1448" t="s">
        <v>3</v>
      </c>
      <c r="D1448" t="s">
        <v>4</v>
      </c>
      <c r="E1448" t="s">
        <v>4</v>
      </c>
      <c r="F1448" t="s">
        <v>16</v>
      </c>
      <c r="G1448" t="s">
        <v>21</v>
      </c>
      <c r="H1448" t="s">
        <v>4452</v>
      </c>
      <c r="I1448" s="2">
        <v>2800</v>
      </c>
      <c r="J1448" s="2">
        <v>0</v>
      </c>
      <c r="K1448" s="2">
        <v>0</v>
      </c>
      <c r="L1448" s="3">
        <v>45832</v>
      </c>
      <c r="M1448" s="3">
        <v>45859</v>
      </c>
      <c r="N1448" s="3">
        <v>45843</v>
      </c>
      <c r="O1448" t="s">
        <v>4453</v>
      </c>
      <c r="P1448" t="s">
        <v>20</v>
      </c>
      <c r="Q1448" s="4">
        <v>0.35090277777778001</v>
      </c>
      <c r="R1448" t="s">
        <v>16</v>
      </c>
      <c r="S1448" t="s">
        <v>4</v>
      </c>
      <c r="T1448" t="s">
        <v>2665</v>
      </c>
      <c r="U1448" t="s">
        <v>10</v>
      </c>
      <c r="V1448" s="5">
        <v>0</v>
      </c>
      <c r="W1448" s="5">
        <v>0</v>
      </c>
      <c r="X1448" s="2">
        <v>0</v>
      </c>
      <c r="Y1448" t="s">
        <v>4</v>
      </c>
      <c r="Z1448" t="s">
        <v>4</v>
      </c>
      <c r="AA1448" t="s">
        <v>4</v>
      </c>
      <c r="AB1448" t="s">
        <v>4</v>
      </c>
    </row>
    <row r="1449" spans="1:28" hidden="1" x14ac:dyDescent="0.2">
      <c r="A1449" t="s">
        <v>1317</v>
      </c>
      <c r="B1449" t="s">
        <v>2</v>
      </c>
      <c r="C1449" t="s">
        <v>3</v>
      </c>
      <c r="D1449" t="s">
        <v>4</v>
      </c>
      <c r="E1449" t="s">
        <v>4</v>
      </c>
      <c r="F1449" t="s">
        <v>16</v>
      </c>
      <c r="G1449" t="s">
        <v>21</v>
      </c>
      <c r="H1449" t="s">
        <v>4454</v>
      </c>
      <c r="I1449" s="2">
        <v>2000</v>
      </c>
      <c r="J1449" s="2">
        <v>0</v>
      </c>
      <c r="K1449" s="2">
        <v>0</v>
      </c>
      <c r="L1449" s="3">
        <v>45828</v>
      </c>
      <c r="M1449" s="3">
        <v>45856</v>
      </c>
      <c r="N1449" s="3">
        <v>45856</v>
      </c>
      <c r="O1449" t="s">
        <v>4455</v>
      </c>
      <c r="P1449" t="s">
        <v>20</v>
      </c>
      <c r="Q1449" s="4">
        <v>0.67423611111111004</v>
      </c>
      <c r="R1449" t="s">
        <v>16</v>
      </c>
      <c r="S1449" t="s">
        <v>4</v>
      </c>
      <c r="T1449" t="s">
        <v>3742</v>
      </c>
      <c r="U1449" t="s">
        <v>10</v>
      </c>
      <c r="V1449" s="5">
        <v>0</v>
      </c>
      <c r="W1449" s="5">
        <v>0</v>
      </c>
      <c r="X1449" s="2">
        <v>0</v>
      </c>
      <c r="Y1449" t="s">
        <v>4</v>
      </c>
      <c r="Z1449" t="s">
        <v>4</v>
      </c>
      <c r="AA1449" t="s">
        <v>4</v>
      </c>
      <c r="AB1449" t="s">
        <v>4</v>
      </c>
    </row>
    <row r="1450" spans="1:28" hidden="1" x14ac:dyDescent="0.2">
      <c r="A1450" t="s">
        <v>1963</v>
      </c>
      <c r="B1450" t="s">
        <v>2</v>
      </c>
      <c r="C1450" t="s">
        <v>3</v>
      </c>
      <c r="D1450" t="s">
        <v>4</v>
      </c>
      <c r="E1450" t="s">
        <v>4</v>
      </c>
      <c r="F1450" t="s">
        <v>16</v>
      </c>
      <c r="G1450" t="s">
        <v>17</v>
      </c>
      <c r="H1450" t="s">
        <v>4456</v>
      </c>
      <c r="I1450" s="2">
        <v>6336</v>
      </c>
      <c r="J1450" s="2">
        <v>0</v>
      </c>
      <c r="K1450" s="2">
        <v>0</v>
      </c>
      <c r="L1450" s="3">
        <v>45817</v>
      </c>
      <c r="M1450" s="3">
        <v>45817</v>
      </c>
      <c r="N1450" s="3"/>
      <c r="O1450" t="s">
        <v>4457</v>
      </c>
      <c r="P1450" t="s">
        <v>20</v>
      </c>
      <c r="Q1450" s="4">
        <v>0.65761574074074003</v>
      </c>
      <c r="R1450" t="s">
        <v>16</v>
      </c>
      <c r="S1450" t="s">
        <v>4</v>
      </c>
      <c r="T1450" t="s">
        <v>2894</v>
      </c>
      <c r="U1450" t="s">
        <v>10</v>
      </c>
      <c r="V1450" s="5">
        <v>0</v>
      </c>
      <c r="W1450" s="5">
        <v>0</v>
      </c>
      <c r="X1450" s="2">
        <v>0</v>
      </c>
      <c r="Y1450" t="s">
        <v>4</v>
      </c>
      <c r="Z1450" t="s">
        <v>4</v>
      </c>
      <c r="AA1450" t="s">
        <v>4</v>
      </c>
      <c r="AB1450" t="s">
        <v>4</v>
      </c>
    </row>
    <row r="1451" spans="1:28" hidden="1" x14ac:dyDescent="0.2">
      <c r="A1451" t="s">
        <v>863</v>
      </c>
      <c r="B1451" t="s">
        <v>2</v>
      </c>
      <c r="C1451" t="s">
        <v>3</v>
      </c>
      <c r="D1451" t="s">
        <v>4</v>
      </c>
      <c r="E1451" t="s">
        <v>4</v>
      </c>
      <c r="F1451" t="s">
        <v>16</v>
      </c>
      <c r="G1451" t="s">
        <v>17</v>
      </c>
      <c r="H1451" t="s">
        <v>4458</v>
      </c>
      <c r="I1451" s="2">
        <v>700</v>
      </c>
      <c r="J1451" s="2">
        <v>0</v>
      </c>
      <c r="K1451" s="2">
        <v>0</v>
      </c>
      <c r="L1451" s="3">
        <v>45758</v>
      </c>
      <c r="M1451" s="3">
        <v>45758</v>
      </c>
      <c r="N1451" s="3"/>
      <c r="O1451" t="s">
        <v>4459</v>
      </c>
      <c r="P1451" t="s">
        <v>20</v>
      </c>
      <c r="Q1451" s="4">
        <v>0.76165509259259001</v>
      </c>
      <c r="R1451" t="s">
        <v>16</v>
      </c>
      <c r="S1451" t="s">
        <v>4</v>
      </c>
      <c r="T1451" t="s">
        <v>4266</v>
      </c>
      <c r="U1451" t="s">
        <v>10</v>
      </c>
      <c r="V1451" s="5">
        <v>0</v>
      </c>
      <c r="W1451" s="5">
        <v>0</v>
      </c>
      <c r="X1451" s="2">
        <v>0</v>
      </c>
      <c r="Y1451" t="s">
        <v>4</v>
      </c>
      <c r="Z1451" t="s">
        <v>4</v>
      </c>
      <c r="AA1451" t="s">
        <v>4</v>
      </c>
      <c r="AB1451" t="s">
        <v>4</v>
      </c>
    </row>
    <row r="1452" spans="1:28" hidden="1" x14ac:dyDescent="0.2">
      <c r="A1452" t="s">
        <v>847</v>
      </c>
      <c r="B1452" t="s">
        <v>2</v>
      </c>
      <c r="C1452" t="s">
        <v>3</v>
      </c>
      <c r="D1452" t="s">
        <v>4</v>
      </c>
      <c r="E1452" t="s">
        <v>4</v>
      </c>
      <c r="F1452" t="s">
        <v>16</v>
      </c>
      <c r="G1452" t="s">
        <v>6</v>
      </c>
      <c r="H1452" t="s">
        <v>4460</v>
      </c>
      <c r="I1452" s="2">
        <v>16000</v>
      </c>
      <c r="J1452" s="2">
        <v>0</v>
      </c>
      <c r="K1452" s="2">
        <v>0</v>
      </c>
      <c r="L1452" s="3">
        <v>45857</v>
      </c>
      <c r="M1452" s="3">
        <v>45857</v>
      </c>
      <c r="N1452" s="3"/>
      <c r="O1452" t="s">
        <v>4461</v>
      </c>
      <c r="P1452" t="s">
        <v>20</v>
      </c>
      <c r="Q1452" s="4">
        <v>0.64106481481481004</v>
      </c>
      <c r="R1452" t="s">
        <v>16</v>
      </c>
      <c r="S1452" t="s">
        <v>4</v>
      </c>
      <c r="T1452" t="s">
        <v>2262</v>
      </c>
      <c r="U1452" t="s">
        <v>10</v>
      </c>
      <c r="V1452" s="5">
        <v>0</v>
      </c>
      <c r="W1452" s="5">
        <v>0</v>
      </c>
      <c r="X1452" s="2">
        <v>0</v>
      </c>
      <c r="Y1452" t="s">
        <v>4</v>
      </c>
      <c r="Z1452" t="s">
        <v>4</v>
      </c>
      <c r="AA1452" t="s">
        <v>4</v>
      </c>
      <c r="AB1452" t="s">
        <v>4</v>
      </c>
    </row>
    <row r="1453" spans="1:28" hidden="1" x14ac:dyDescent="0.2">
      <c r="A1453" t="s">
        <v>1508</v>
      </c>
      <c r="B1453" t="s">
        <v>2</v>
      </c>
      <c r="C1453" t="s">
        <v>3</v>
      </c>
      <c r="D1453" t="s">
        <v>4</v>
      </c>
      <c r="E1453" t="s">
        <v>4</v>
      </c>
      <c r="F1453" t="s">
        <v>16</v>
      </c>
      <c r="G1453" t="s">
        <v>6</v>
      </c>
      <c r="H1453" t="s">
        <v>4462</v>
      </c>
      <c r="I1453" s="2">
        <v>2562</v>
      </c>
      <c r="J1453" s="2">
        <v>0</v>
      </c>
      <c r="K1453" s="2">
        <v>0</v>
      </c>
      <c r="L1453" s="3">
        <v>45774</v>
      </c>
      <c r="M1453" s="3">
        <v>45774</v>
      </c>
      <c r="N1453" s="3"/>
      <c r="O1453" t="s">
        <v>4463</v>
      </c>
      <c r="P1453" t="s">
        <v>20</v>
      </c>
      <c r="Q1453" s="4">
        <v>0.71545138888889004</v>
      </c>
      <c r="R1453" t="s">
        <v>16</v>
      </c>
      <c r="S1453" t="s">
        <v>4</v>
      </c>
      <c r="T1453" t="s">
        <v>4464</v>
      </c>
      <c r="U1453" t="s">
        <v>10</v>
      </c>
      <c r="V1453" s="5">
        <v>0</v>
      </c>
      <c r="W1453" s="5">
        <v>0</v>
      </c>
      <c r="X1453" s="2">
        <v>0</v>
      </c>
      <c r="Y1453" t="s">
        <v>4</v>
      </c>
      <c r="Z1453" t="s">
        <v>4</v>
      </c>
      <c r="AA1453" t="s">
        <v>4</v>
      </c>
      <c r="AB1453" t="s">
        <v>4</v>
      </c>
    </row>
    <row r="1454" spans="1:28" hidden="1" x14ac:dyDescent="0.2">
      <c r="A1454" t="s">
        <v>550</v>
      </c>
      <c r="B1454" t="s">
        <v>2</v>
      </c>
      <c r="C1454" t="s">
        <v>3</v>
      </c>
      <c r="D1454" t="s">
        <v>4</v>
      </c>
      <c r="E1454" t="s">
        <v>4</v>
      </c>
      <c r="F1454" t="s">
        <v>16</v>
      </c>
      <c r="G1454" t="s">
        <v>6</v>
      </c>
      <c r="H1454" t="s">
        <v>4465</v>
      </c>
      <c r="I1454" s="2">
        <v>20000</v>
      </c>
      <c r="J1454" s="2">
        <v>0</v>
      </c>
      <c r="K1454" s="2">
        <v>0</v>
      </c>
      <c r="L1454" s="3">
        <v>45834</v>
      </c>
      <c r="M1454" s="3">
        <v>45853</v>
      </c>
      <c r="N1454" s="3">
        <v>45853</v>
      </c>
      <c r="O1454" t="s">
        <v>4466</v>
      </c>
      <c r="P1454" t="s">
        <v>20</v>
      </c>
      <c r="Q1454" s="4">
        <v>0.73961805555556004</v>
      </c>
      <c r="R1454" t="s">
        <v>16</v>
      </c>
      <c r="S1454" t="s">
        <v>4</v>
      </c>
      <c r="T1454" t="s">
        <v>2817</v>
      </c>
      <c r="U1454" t="s">
        <v>10</v>
      </c>
      <c r="V1454" s="5">
        <v>0</v>
      </c>
      <c r="W1454" s="5">
        <v>0</v>
      </c>
      <c r="X1454" s="2">
        <v>0</v>
      </c>
      <c r="Y1454" t="s">
        <v>4</v>
      </c>
      <c r="Z1454" t="s">
        <v>4</v>
      </c>
      <c r="AA1454" t="s">
        <v>4</v>
      </c>
      <c r="AB1454" t="s">
        <v>4</v>
      </c>
    </row>
    <row r="1455" spans="1:28" hidden="1" x14ac:dyDescent="0.2">
      <c r="A1455" t="s">
        <v>1555</v>
      </c>
      <c r="B1455" t="s">
        <v>2</v>
      </c>
      <c r="C1455" t="s">
        <v>3</v>
      </c>
      <c r="D1455" t="s">
        <v>4</v>
      </c>
      <c r="E1455" t="s">
        <v>4</v>
      </c>
      <c r="F1455" t="s">
        <v>16</v>
      </c>
      <c r="G1455" t="s">
        <v>6</v>
      </c>
      <c r="H1455" t="s">
        <v>4467</v>
      </c>
      <c r="I1455" s="2">
        <v>120</v>
      </c>
      <c r="J1455" s="2">
        <v>0</v>
      </c>
      <c r="K1455" s="2">
        <v>0</v>
      </c>
      <c r="L1455" s="3">
        <v>45857</v>
      </c>
      <c r="M1455" s="3">
        <v>45857</v>
      </c>
      <c r="N1455" s="3"/>
      <c r="O1455" t="s">
        <v>4468</v>
      </c>
      <c r="P1455" t="s">
        <v>20</v>
      </c>
      <c r="Q1455" s="4">
        <v>0.36905092592592997</v>
      </c>
      <c r="R1455" t="s">
        <v>16</v>
      </c>
      <c r="S1455" t="s">
        <v>4</v>
      </c>
      <c r="T1455" t="s">
        <v>2262</v>
      </c>
      <c r="U1455" t="s">
        <v>10</v>
      </c>
      <c r="V1455" s="5">
        <v>0</v>
      </c>
      <c r="W1455" s="5">
        <v>0</v>
      </c>
      <c r="X1455" s="2">
        <v>0</v>
      </c>
      <c r="Y1455" t="s">
        <v>4</v>
      </c>
      <c r="Z1455" t="s">
        <v>4</v>
      </c>
      <c r="AA1455" t="s">
        <v>4</v>
      </c>
      <c r="AB1455" t="s">
        <v>4</v>
      </c>
    </row>
    <row r="1456" spans="1:28" hidden="1" x14ac:dyDescent="0.2">
      <c r="A1456" t="s">
        <v>0</v>
      </c>
      <c r="B1456" t="s">
        <v>2</v>
      </c>
      <c r="C1456" t="s">
        <v>3</v>
      </c>
      <c r="D1456" t="s">
        <v>4</v>
      </c>
      <c r="E1456" t="s">
        <v>4</v>
      </c>
      <c r="F1456" t="s">
        <v>16</v>
      </c>
      <c r="G1456" t="s">
        <v>21</v>
      </c>
      <c r="H1456" t="s">
        <v>24</v>
      </c>
      <c r="I1456" s="2">
        <v>0</v>
      </c>
      <c r="J1456" s="2">
        <v>0</v>
      </c>
      <c r="K1456" s="2">
        <v>196</v>
      </c>
      <c r="L1456" s="3">
        <v>45839</v>
      </c>
      <c r="M1456" s="3">
        <v>45860</v>
      </c>
      <c r="N1456" s="3"/>
      <c r="O1456" t="s">
        <v>25</v>
      </c>
      <c r="P1456" t="s">
        <v>20</v>
      </c>
      <c r="Q1456" s="4">
        <v>0.39812500000000001</v>
      </c>
      <c r="R1456" t="s">
        <v>16</v>
      </c>
      <c r="S1456" t="s">
        <v>4</v>
      </c>
      <c r="T1456" t="s">
        <v>2312</v>
      </c>
      <c r="U1456" t="s">
        <v>10</v>
      </c>
      <c r="V1456" s="5">
        <v>0</v>
      </c>
      <c r="W1456" s="5">
        <v>0</v>
      </c>
      <c r="X1456" s="2">
        <v>0</v>
      </c>
      <c r="Y1456" t="s">
        <v>4</v>
      </c>
      <c r="Z1456" t="s">
        <v>4</v>
      </c>
      <c r="AA1456" t="s">
        <v>4</v>
      </c>
      <c r="AB1456" t="s">
        <v>4</v>
      </c>
    </row>
    <row r="1457" spans="1:28" hidden="1" x14ac:dyDescent="0.2">
      <c r="A1457" t="s">
        <v>1246</v>
      </c>
      <c r="B1457" t="s">
        <v>2</v>
      </c>
      <c r="C1457" t="s">
        <v>3</v>
      </c>
      <c r="D1457" t="s">
        <v>4</v>
      </c>
      <c r="E1457" t="s">
        <v>4</v>
      </c>
      <c r="F1457" t="s">
        <v>16</v>
      </c>
      <c r="G1457" t="s">
        <v>21</v>
      </c>
      <c r="H1457" t="s">
        <v>4469</v>
      </c>
      <c r="I1457" s="2">
        <v>3427</v>
      </c>
      <c r="J1457" s="2">
        <v>0</v>
      </c>
      <c r="K1457" s="2">
        <v>0</v>
      </c>
      <c r="L1457" s="3">
        <v>45856</v>
      </c>
      <c r="M1457" s="3">
        <v>45856</v>
      </c>
      <c r="N1457" s="3">
        <v>45856</v>
      </c>
      <c r="O1457" t="s">
        <v>4470</v>
      </c>
      <c r="P1457" t="s">
        <v>20</v>
      </c>
      <c r="Q1457" s="4">
        <v>0.90768518518519004</v>
      </c>
      <c r="R1457" t="s">
        <v>16</v>
      </c>
      <c r="S1457" t="s">
        <v>4</v>
      </c>
      <c r="T1457" t="s">
        <v>2260</v>
      </c>
      <c r="U1457" t="s">
        <v>10</v>
      </c>
      <c r="V1457" s="5">
        <v>0</v>
      </c>
      <c r="W1457" s="5">
        <v>0</v>
      </c>
      <c r="X1457" s="2">
        <v>0</v>
      </c>
      <c r="Y1457" t="s">
        <v>4</v>
      </c>
      <c r="Z1457" t="s">
        <v>4</v>
      </c>
      <c r="AA1457" t="s">
        <v>4</v>
      </c>
      <c r="AB1457" t="s">
        <v>4</v>
      </c>
    </row>
    <row r="1458" spans="1:28" hidden="1" x14ac:dyDescent="0.2">
      <c r="A1458" t="s">
        <v>1321</v>
      </c>
      <c r="B1458" t="s">
        <v>2</v>
      </c>
      <c r="C1458" t="s">
        <v>3</v>
      </c>
      <c r="D1458" t="s">
        <v>4</v>
      </c>
      <c r="E1458" t="s">
        <v>4</v>
      </c>
      <c r="F1458" t="s">
        <v>16</v>
      </c>
      <c r="G1458" t="s">
        <v>21</v>
      </c>
      <c r="H1458" t="s">
        <v>4471</v>
      </c>
      <c r="I1458" s="2">
        <v>950</v>
      </c>
      <c r="J1458" s="2">
        <v>0</v>
      </c>
      <c r="K1458" s="2">
        <v>0</v>
      </c>
      <c r="L1458" s="3">
        <v>45828</v>
      </c>
      <c r="M1458" s="3">
        <v>45851</v>
      </c>
      <c r="N1458" s="3">
        <v>45851</v>
      </c>
      <c r="O1458" t="s">
        <v>4472</v>
      </c>
      <c r="P1458" t="s">
        <v>20</v>
      </c>
      <c r="Q1458" s="4">
        <v>0.41194444444444001</v>
      </c>
      <c r="R1458" t="s">
        <v>16</v>
      </c>
      <c r="S1458" t="s">
        <v>4</v>
      </c>
      <c r="T1458" t="s">
        <v>3742</v>
      </c>
      <c r="U1458" t="s">
        <v>10</v>
      </c>
      <c r="V1458" s="5">
        <v>0</v>
      </c>
      <c r="W1458" s="5">
        <v>0</v>
      </c>
      <c r="X1458" s="2">
        <v>0</v>
      </c>
      <c r="Y1458" t="s">
        <v>4</v>
      </c>
      <c r="Z1458" t="s">
        <v>4</v>
      </c>
      <c r="AA1458" t="s">
        <v>4</v>
      </c>
      <c r="AB1458" t="s">
        <v>4</v>
      </c>
    </row>
    <row r="1459" spans="1:28" hidden="1" x14ac:dyDescent="0.2">
      <c r="A1459" t="s">
        <v>1116</v>
      </c>
      <c r="B1459" t="s">
        <v>2</v>
      </c>
      <c r="C1459" t="s">
        <v>3</v>
      </c>
      <c r="D1459" t="s">
        <v>4</v>
      </c>
      <c r="E1459" t="s">
        <v>4</v>
      </c>
      <c r="F1459" t="s">
        <v>16</v>
      </c>
      <c r="G1459" t="s">
        <v>21</v>
      </c>
      <c r="H1459" t="s">
        <v>4473</v>
      </c>
      <c r="I1459" s="2">
        <v>1050</v>
      </c>
      <c r="J1459" s="2">
        <v>0</v>
      </c>
      <c r="K1459" s="2">
        <v>0</v>
      </c>
      <c r="L1459" s="3">
        <v>45848</v>
      </c>
      <c r="M1459" s="3">
        <v>45848</v>
      </c>
      <c r="N1459" s="3"/>
      <c r="O1459" t="s">
        <v>4474</v>
      </c>
      <c r="P1459" t="s">
        <v>20</v>
      </c>
      <c r="Q1459" s="4">
        <v>0.63243055555556005</v>
      </c>
      <c r="R1459" t="s">
        <v>16</v>
      </c>
      <c r="S1459" t="s">
        <v>4</v>
      </c>
      <c r="T1459" t="s">
        <v>2580</v>
      </c>
      <c r="U1459" t="s">
        <v>10</v>
      </c>
      <c r="V1459" s="5">
        <v>0</v>
      </c>
      <c r="W1459" s="5">
        <v>0</v>
      </c>
      <c r="X1459" s="2">
        <v>0</v>
      </c>
      <c r="Y1459" t="s">
        <v>4</v>
      </c>
      <c r="Z1459" t="s">
        <v>4</v>
      </c>
      <c r="AA1459" t="s">
        <v>4</v>
      </c>
      <c r="AB1459" t="s">
        <v>4</v>
      </c>
    </row>
    <row r="1460" spans="1:28" hidden="1" x14ac:dyDescent="0.2">
      <c r="A1460" t="s">
        <v>1207</v>
      </c>
      <c r="B1460" t="s">
        <v>2</v>
      </c>
      <c r="C1460" t="s">
        <v>3</v>
      </c>
      <c r="D1460" t="s">
        <v>4</v>
      </c>
      <c r="E1460" t="s">
        <v>4</v>
      </c>
      <c r="F1460" t="s">
        <v>16</v>
      </c>
      <c r="G1460" t="s">
        <v>21</v>
      </c>
      <c r="H1460" t="s">
        <v>4475</v>
      </c>
      <c r="I1460" s="2">
        <v>149</v>
      </c>
      <c r="J1460" s="2">
        <v>0</v>
      </c>
      <c r="K1460" s="2">
        <v>0</v>
      </c>
      <c r="L1460" s="3">
        <v>45598</v>
      </c>
      <c r="M1460" s="3">
        <v>45644</v>
      </c>
      <c r="N1460" s="3">
        <v>45644</v>
      </c>
      <c r="O1460" t="s">
        <v>4476</v>
      </c>
      <c r="P1460" t="s">
        <v>20</v>
      </c>
      <c r="Q1460" s="4">
        <v>0.78415509259258998</v>
      </c>
      <c r="R1460" t="s">
        <v>16</v>
      </c>
      <c r="S1460" t="s">
        <v>4</v>
      </c>
      <c r="T1460" t="s">
        <v>2675</v>
      </c>
      <c r="U1460" t="s">
        <v>10</v>
      </c>
      <c r="V1460" s="5">
        <v>0</v>
      </c>
      <c r="W1460" s="5">
        <v>0</v>
      </c>
      <c r="X1460" s="2">
        <v>0</v>
      </c>
      <c r="Y1460" t="s">
        <v>4</v>
      </c>
      <c r="Z1460" t="s">
        <v>4</v>
      </c>
      <c r="AA1460" t="s">
        <v>4</v>
      </c>
      <c r="AB1460" t="s">
        <v>4</v>
      </c>
    </row>
    <row r="1461" spans="1:28" hidden="1" x14ac:dyDescent="0.2">
      <c r="A1461" t="s">
        <v>1959</v>
      </c>
      <c r="B1461" t="s">
        <v>2</v>
      </c>
      <c r="C1461" t="s">
        <v>3</v>
      </c>
      <c r="D1461" t="s">
        <v>4</v>
      </c>
      <c r="E1461" t="s">
        <v>4</v>
      </c>
      <c r="F1461" t="s">
        <v>16</v>
      </c>
      <c r="G1461" t="s">
        <v>21</v>
      </c>
      <c r="H1461" t="s">
        <v>4477</v>
      </c>
      <c r="I1461" s="2">
        <v>18000</v>
      </c>
      <c r="J1461" s="2">
        <v>0</v>
      </c>
      <c r="K1461" s="2">
        <v>0</v>
      </c>
      <c r="L1461" s="3">
        <v>45303</v>
      </c>
      <c r="M1461" s="3">
        <v>45303</v>
      </c>
      <c r="N1461" s="3"/>
      <c r="O1461" t="s">
        <v>4478</v>
      </c>
      <c r="P1461" t="s">
        <v>20</v>
      </c>
      <c r="Q1461" s="4">
        <v>0.92820601851852003</v>
      </c>
      <c r="R1461" t="s">
        <v>16</v>
      </c>
      <c r="S1461" t="s">
        <v>4</v>
      </c>
      <c r="T1461" t="s">
        <v>4479</v>
      </c>
      <c r="U1461" t="s">
        <v>10</v>
      </c>
      <c r="V1461" s="5">
        <v>0</v>
      </c>
      <c r="W1461" s="5">
        <v>0</v>
      </c>
      <c r="X1461" s="2">
        <v>0</v>
      </c>
      <c r="Y1461" t="s">
        <v>4</v>
      </c>
      <c r="Z1461" t="s">
        <v>4</v>
      </c>
      <c r="AA1461" t="s">
        <v>4</v>
      </c>
      <c r="AB1461" t="s">
        <v>4</v>
      </c>
    </row>
    <row r="1462" spans="1:28" hidden="1" x14ac:dyDescent="0.2">
      <c r="A1462" t="s">
        <v>1831</v>
      </c>
      <c r="B1462" t="s">
        <v>2</v>
      </c>
      <c r="C1462" t="s">
        <v>3</v>
      </c>
      <c r="D1462" t="s">
        <v>4</v>
      </c>
      <c r="E1462" t="s">
        <v>4</v>
      </c>
      <c r="F1462" t="s">
        <v>16</v>
      </c>
      <c r="G1462" t="s">
        <v>21</v>
      </c>
      <c r="H1462" t="s">
        <v>4480</v>
      </c>
      <c r="I1462" s="2">
        <v>2448</v>
      </c>
      <c r="J1462" s="2">
        <v>0</v>
      </c>
      <c r="K1462" s="2">
        <v>0</v>
      </c>
      <c r="L1462" s="3">
        <v>45835</v>
      </c>
      <c r="M1462" s="3">
        <v>45835</v>
      </c>
      <c r="N1462" s="3"/>
      <c r="O1462" t="s">
        <v>4481</v>
      </c>
      <c r="P1462" t="s">
        <v>20</v>
      </c>
      <c r="Q1462" s="4">
        <v>0.67105324074074002</v>
      </c>
      <c r="R1462" t="s">
        <v>16</v>
      </c>
      <c r="S1462" t="s">
        <v>4</v>
      </c>
      <c r="T1462" t="s">
        <v>2928</v>
      </c>
      <c r="U1462" t="s">
        <v>10</v>
      </c>
      <c r="V1462" s="5">
        <v>0</v>
      </c>
      <c r="W1462" s="5">
        <v>0</v>
      </c>
      <c r="X1462" s="2">
        <v>0</v>
      </c>
      <c r="Y1462" t="s">
        <v>4</v>
      </c>
      <c r="Z1462" t="s">
        <v>4</v>
      </c>
      <c r="AA1462" t="s">
        <v>4</v>
      </c>
      <c r="AB1462" t="s">
        <v>4</v>
      </c>
    </row>
    <row r="1463" spans="1:28" hidden="1" x14ac:dyDescent="0.2">
      <c r="A1463" t="s">
        <v>1909</v>
      </c>
      <c r="B1463" t="s">
        <v>2</v>
      </c>
      <c r="C1463" t="s">
        <v>3</v>
      </c>
      <c r="D1463" t="s">
        <v>4</v>
      </c>
      <c r="E1463" t="s">
        <v>4</v>
      </c>
      <c r="F1463" t="s">
        <v>16</v>
      </c>
      <c r="G1463" t="s">
        <v>21</v>
      </c>
      <c r="H1463" t="s">
        <v>4482</v>
      </c>
      <c r="I1463" s="2">
        <v>252</v>
      </c>
      <c r="J1463" s="2">
        <v>0</v>
      </c>
      <c r="K1463" s="2">
        <v>0</v>
      </c>
      <c r="L1463" s="3">
        <v>45848</v>
      </c>
      <c r="M1463" s="3">
        <v>45848</v>
      </c>
      <c r="N1463" s="3"/>
      <c r="O1463" t="s">
        <v>4483</v>
      </c>
      <c r="P1463" t="s">
        <v>20</v>
      </c>
      <c r="Q1463" s="4">
        <v>0.63278935185185003</v>
      </c>
      <c r="R1463" t="s">
        <v>16</v>
      </c>
      <c r="S1463" t="s">
        <v>4</v>
      </c>
      <c r="T1463" t="s">
        <v>2580</v>
      </c>
      <c r="U1463" t="s">
        <v>10</v>
      </c>
      <c r="V1463" s="5">
        <v>0</v>
      </c>
      <c r="W1463" s="5">
        <v>0</v>
      </c>
      <c r="X1463" s="2">
        <v>0</v>
      </c>
      <c r="Y1463" t="s">
        <v>4</v>
      </c>
      <c r="Z1463" t="s">
        <v>4</v>
      </c>
      <c r="AA1463" t="s">
        <v>4</v>
      </c>
      <c r="AB1463" t="s">
        <v>4</v>
      </c>
    </row>
    <row r="1464" spans="1:28" hidden="1" x14ac:dyDescent="0.2">
      <c r="A1464" t="s">
        <v>1867</v>
      </c>
      <c r="B1464" t="s">
        <v>2</v>
      </c>
      <c r="C1464" t="s">
        <v>3</v>
      </c>
      <c r="D1464" t="s">
        <v>4</v>
      </c>
      <c r="E1464" t="s">
        <v>4</v>
      </c>
      <c r="F1464" t="s">
        <v>16</v>
      </c>
      <c r="G1464" t="s">
        <v>21</v>
      </c>
      <c r="H1464" t="s">
        <v>4484</v>
      </c>
      <c r="I1464" s="2">
        <v>2500</v>
      </c>
      <c r="J1464" s="2">
        <v>0</v>
      </c>
      <c r="K1464" s="2">
        <v>0</v>
      </c>
      <c r="L1464" s="3">
        <v>45858</v>
      </c>
      <c r="M1464" s="3">
        <v>45858</v>
      </c>
      <c r="N1464" s="3"/>
      <c r="O1464" t="s">
        <v>4485</v>
      </c>
      <c r="P1464" t="s">
        <v>20</v>
      </c>
      <c r="Q1464" s="4">
        <v>0.56888888888889</v>
      </c>
      <c r="R1464" t="s">
        <v>16</v>
      </c>
      <c r="S1464" t="s">
        <v>4</v>
      </c>
      <c r="T1464" t="s">
        <v>2337</v>
      </c>
      <c r="U1464" t="s">
        <v>10</v>
      </c>
      <c r="V1464" s="5">
        <v>0</v>
      </c>
      <c r="W1464" s="5">
        <v>0</v>
      </c>
      <c r="X1464" s="2">
        <v>0</v>
      </c>
      <c r="Y1464" t="s">
        <v>4</v>
      </c>
      <c r="Z1464" t="s">
        <v>4</v>
      </c>
      <c r="AA1464" t="s">
        <v>4</v>
      </c>
      <c r="AB1464" t="s">
        <v>4</v>
      </c>
    </row>
    <row r="1465" spans="1:28" hidden="1" x14ac:dyDescent="0.2">
      <c r="A1465" t="s">
        <v>1193</v>
      </c>
      <c r="B1465" t="s">
        <v>2</v>
      </c>
      <c r="C1465" t="s">
        <v>3</v>
      </c>
      <c r="D1465" t="s">
        <v>4</v>
      </c>
      <c r="E1465" t="s">
        <v>4</v>
      </c>
      <c r="F1465" t="s">
        <v>16</v>
      </c>
      <c r="G1465" t="s">
        <v>21</v>
      </c>
      <c r="H1465" t="s">
        <v>4486</v>
      </c>
      <c r="I1465" s="2">
        <v>1200</v>
      </c>
      <c r="J1465" s="2">
        <v>0</v>
      </c>
      <c r="K1465" s="2">
        <v>0</v>
      </c>
      <c r="L1465" s="3">
        <v>45818</v>
      </c>
      <c r="M1465" s="3">
        <v>45818</v>
      </c>
      <c r="N1465" s="3"/>
      <c r="O1465" t="s">
        <v>4487</v>
      </c>
      <c r="P1465" t="s">
        <v>20</v>
      </c>
      <c r="Q1465" s="4">
        <v>0.94068287037037002</v>
      </c>
      <c r="R1465" t="s">
        <v>16</v>
      </c>
      <c r="S1465" t="s">
        <v>4</v>
      </c>
      <c r="T1465" t="s">
        <v>2290</v>
      </c>
      <c r="U1465" t="s">
        <v>10</v>
      </c>
      <c r="V1465" s="5">
        <v>0</v>
      </c>
      <c r="W1465" s="5">
        <v>0</v>
      </c>
      <c r="X1465" s="2">
        <v>0</v>
      </c>
      <c r="Y1465" t="s">
        <v>4</v>
      </c>
      <c r="Z1465" t="s">
        <v>4</v>
      </c>
      <c r="AA1465" t="s">
        <v>4</v>
      </c>
      <c r="AB1465" t="s">
        <v>4</v>
      </c>
    </row>
    <row r="1466" spans="1:28" hidden="1" x14ac:dyDescent="0.2">
      <c r="A1466" t="s">
        <v>979</v>
      </c>
      <c r="B1466" t="s">
        <v>2</v>
      </c>
      <c r="C1466" t="s">
        <v>3</v>
      </c>
      <c r="D1466" t="s">
        <v>4</v>
      </c>
      <c r="E1466" t="s">
        <v>4</v>
      </c>
      <c r="F1466" t="s">
        <v>16</v>
      </c>
      <c r="G1466" t="s">
        <v>6</v>
      </c>
      <c r="H1466" t="s">
        <v>4488</v>
      </c>
      <c r="I1466" s="2">
        <v>40000</v>
      </c>
      <c r="J1466" s="2">
        <v>0</v>
      </c>
      <c r="K1466" s="2">
        <v>0</v>
      </c>
      <c r="L1466" s="3">
        <v>45716</v>
      </c>
      <c r="M1466" s="3">
        <v>45716</v>
      </c>
      <c r="N1466" s="3"/>
      <c r="O1466" t="s">
        <v>4489</v>
      </c>
      <c r="P1466" t="s">
        <v>20</v>
      </c>
      <c r="Q1466" s="4">
        <v>0.86033564814815</v>
      </c>
      <c r="R1466" t="s">
        <v>16</v>
      </c>
      <c r="S1466" t="s">
        <v>4</v>
      </c>
      <c r="T1466" t="s">
        <v>4328</v>
      </c>
      <c r="U1466" t="s">
        <v>10</v>
      </c>
      <c r="V1466" s="5">
        <v>0</v>
      </c>
      <c r="W1466" s="5">
        <v>0</v>
      </c>
      <c r="X1466" s="2">
        <v>0</v>
      </c>
      <c r="Y1466" t="s">
        <v>4</v>
      </c>
      <c r="Z1466" t="s">
        <v>4</v>
      </c>
      <c r="AA1466" t="s">
        <v>4</v>
      </c>
      <c r="AB1466" t="s">
        <v>4</v>
      </c>
    </row>
    <row r="1467" spans="1:28" hidden="1" x14ac:dyDescent="0.2">
      <c r="A1467" t="s">
        <v>1199</v>
      </c>
      <c r="B1467" t="s">
        <v>2</v>
      </c>
      <c r="C1467" t="s">
        <v>3</v>
      </c>
      <c r="D1467" t="s">
        <v>4</v>
      </c>
      <c r="E1467" t="s">
        <v>4</v>
      </c>
      <c r="F1467" t="s">
        <v>16</v>
      </c>
      <c r="G1467" t="s">
        <v>6</v>
      </c>
      <c r="H1467" t="s">
        <v>4490</v>
      </c>
      <c r="I1467" s="2">
        <v>800</v>
      </c>
      <c r="J1467" s="2">
        <v>0</v>
      </c>
      <c r="K1467" s="2">
        <v>0</v>
      </c>
      <c r="L1467" s="3">
        <v>45590</v>
      </c>
      <c r="M1467" s="3">
        <v>45590</v>
      </c>
      <c r="N1467" s="3"/>
      <c r="O1467" t="s">
        <v>4491</v>
      </c>
      <c r="P1467" t="s">
        <v>20</v>
      </c>
      <c r="Q1467" s="4">
        <v>0.38670138888889</v>
      </c>
      <c r="R1467" t="s">
        <v>16</v>
      </c>
      <c r="S1467" t="s">
        <v>4</v>
      </c>
      <c r="T1467" t="s">
        <v>2677</v>
      </c>
      <c r="U1467" t="s">
        <v>10</v>
      </c>
      <c r="V1467" s="5">
        <v>0</v>
      </c>
      <c r="W1467" s="5">
        <v>0</v>
      </c>
      <c r="X1467" s="2">
        <v>0</v>
      </c>
      <c r="Y1467" t="s">
        <v>4</v>
      </c>
      <c r="Z1467" t="s">
        <v>4</v>
      </c>
      <c r="AA1467" t="s">
        <v>4</v>
      </c>
      <c r="AB1467" t="s">
        <v>4</v>
      </c>
    </row>
    <row r="1468" spans="1:28" hidden="1" x14ac:dyDescent="0.2">
      <c r="A1468" t="s">
        <v>1471</v>
      </c>
      <c r="B1468" t="s">
        <v>2</v>
      </c>
      <c r="C1468" t="s">
        <v>3</v>
      </c>
      <c r="D1468" t="s">
        <v>4</v>
      </c>
      <c r="E1468" t="s">
        <v>4</v>
      </c>
      <c r="F1468" t="s">
        <v>16</v>
      </c>
      <c r="G1468" t="s">
        <v>6</v>
      </c>
      <c r="H1468" t="s">
        <v>4492</v>
      </c>
      <c r="I1468" s="2">
        <v>60</v>
      </c>
      <c r="J1468" s="2">
        <v>0</v>
      </c>
      <c r="K1468" s="2">
        <v>0</v>
      </c>
      <c r="L1468" s="3">
        <v>45857</v>
      </c>
      <c r="M1468" s="3">
        <v>45857</v>
      </c>
      <c r="N1468" s="3"/>
      <c r="O1468" t="s">
        <v>4493</v>
      </c>
      <c r="P1468" t="s">
        <v>20</v>
      </c>
      <c r="Q1468" s="4">
        <v>0.59899305555556004</v>
      </c>
      <c r="R1468" t="s">
        <v>16</v>
      </c>
      <c r="S1468" t="s">
        <v>4</v>
      </c>
      <c r="T1468" t="s">
        <v>2262</v>
      </c>
      <c r="U1468" t="s">
        <v>10</v>
      </c>
      <c r="V1468" s="5">
        <v>0</v>
      </c>
      <c r="W1468" s="5">
        <v>0</v>
      </c>
      <c r="X1468" s="2">
        <v>0</v>
      </c>
      <c r="Y1468" t="s">
        <v>4</v>
      </c>
      <c r="Z1468" t="s">
        <v>4</v>
      </c>
      <c r="AA1468" t="s">
        <v>4</v>
      </c>
      <c r="AB1468" t="s">
        <v>4</v>
      </c>
    </row>
    <row r="1469" spans="1:28" hidden="1" x14ac:dyDescent="0.2">
      <c r="A1469" t="s">
        <v>1471</v>
      </c>
      <c r="B1469" t="s">
        <v>2</v>
      </c>
      <c r="C1469" t="s">
        <v>3</v>
      </c>
      <c r="D1469" t="s">
        <v>4</v>
      </c>
      <c r="E1469" t="s">
        <v>4</v>
      </c>
      <c r="F1469" t="s">
        <v>16</v>
      </c>
      <c r="G1469" t="s">
        <v>6</v>
      </c>
      <c r="H1469" t="s">
        <v>4494</v>
      </c>
      <c r="I1469" s="2">
        <v>60</v>
      </c>
      <c r="J1469" s="2">
        <v>0</v>
      </c>
      <c r="K1469" s="2">
        <v>0</v>
      </c>
      <c r="L1469" s="3">
        <v>45857</v>
      </c>
      <c r="M1469" s="3">
        <v>45857</v>
      </c>
      <c r="N1469" s="3"/>
      <c r="O1469" t="s">
        <v>4495</v>
      </c>
      <c r="P1469" t="s">
        <v>20</v>
      </c>
      <c r="Q1469" s="4">
        <v>0.59912037037037003</v>
      </c>
      <c r="R1469" t="s">
        <v>16</v>
      </c>
      <c r="S1469" t="s">
        <v>4</v>
      </c>
      <c r="T1469" t="s">
        <v>2262</v>
      </c>
      <c r="U1469" t="s">
        <v>10</v>
      </c>
      <c r="V1469" s="5">
        <v>0</v>
      </c>
      <c r="W1469" s="5">
        <v>0</v>
      </c>
      <c r="X1469" s="2">
        <v>0</v>
      </c>
      <c r="Y1469" t="s">
        <v>4</v>
      </c>
      <c r="Z1469" t="s">
        <v>4</v>
      </c>
      <c r="AA1469" t="s">
        <v>4</v>
      </c>
      <c r="AB1469" t="s">
        <v>4</v>
      </c>
    </row>
    <row r="1470" spans="1:28" hidden="1" x14ac:dyDescent="0.2">
      <c r="A1470" t="s">
        <v>1888</v>
      </c>
      <c r="B1470" t="s">
        <v>2</v>
      </c>
      <c r="C1470" t="s">
        <v>3</v>
      </c>
      <c r="D1470" t="s">
        <v>4</v>
      </c>
      <c r="E1470" t="s">
        <v>4</v>
      </c>
      <c r="F1470" t="s">
        <v>16</v>
      </c>
      <c r="G1470" t="s">
        <v>6</v>
      </c>
      <c r="H1470" t="s">
        <v>4496</v>
      </c>
      <c r="I1470" s="2">
        <v>3600</v>
      </c>
      <c r="J1470" s="2">
        <v>0</v>
      </c>
      <c r="K1470" s="2">
        <v>0</v>
      </c>
      <c r="L1470" s="3">
        <v>45847</v>
      </c>
      <c r="M1470" s="3">
        <v>45847</v>
      </c>
      <c r="N1470" s="3"/>
      <c r="O1470" t="s">
        <v>4497</v>
      </c>
      <c r="P1470" t="s">
        <v>20</v>
      </c>
      <c r="Q1470" s="4">
        <v>0.51375000000000004</v>
      </c>
      <c r="R1470" t="s">
        <v>16</v>
      </c>
      <c r="S1470" t="s">
        <v>4</v>
      </c>
      <c r="T1470" t="s">
        <v>2341</v>
      </c>
      <c r="U1470" t="s">
        <v>10</v>
      </c>
      <c r="V1470" s="5">
        <v>0</v>
      </c>
      <c r="W1470" s="5">
        <v>0</v>
      </c>
      <c r="X1470" s="2">
        <v>0</v>
      </c>
      <c r="Y1470" t="s">
        <v>4</v>
      </c>
      <c r="Z1470" t="s">
        <v>4</v>
      </c>
      <c r="AA1470" t="s">
        <v>4</v>
      </c>
      <c r="AB1470" t="s">
        <v>4</v>
      </c>
    </row>
    <row r="1471" spans="1:28" hidden="1" x14ac:dyDescent="0.2">
      <c r="A1471" t="s">
        <v>0</v>
      </c>
      <c r="B1471" t="s">
        <v>2</v>
      </c>
      <c r="C1471" t="s">
        <v>3</v>
      </c>
      <c r="D1471" t="s">
        <v>4</v>
      </c>
      <c r="E1471" t="s">
        <v>4</v>
      </c>
      <c r="F1471" t="s">
        <v>16</v>
      </c>
      <c r="G1471" t="s">
        <v>6</v>
      </c>
      <c r="H1471" t="s">
        <v>26</v>
      </c>
      <c r="I1471" s="2">
        <v>196</v>
      </c>
      <c r="J1471" s="2">
        <v>0</v>
      </c>
      <c r="K1471" s="2">
        <v>0</v>
      </c>
      <c r="L1471" s="3">
        <v>45843</v>
      </c>
      <c r="M1471" s="3">
        <v>45843</v>
      </c>
      <c r="N1471" s="3"/>
      <c r="O1471" t="s">
        <v>27</v>
      </c>
      <c r="P1471" t="s">
        <v>20</v>
      </c>
      <c r="Q1471" s="4">
        <v>0.93466435185185004</v>
      </c>
      <c r="R1471" t="s">
        <v>16</v>
      </c>
      <c r="S1471" t="s">
        <v>4</v>
      </c>
      <c r="T1471" t="s">
        <v>2783</v>
      </c>
      <c r="U1471" t="s">
        <v>10</v>
      </c>
      <c r="V1471" s="5">
        <v>0</v>
      </c>
      <c r="W1471" s="5">
        <v>0</v>
      </c>
      <c r="X1471" s="2">
        <v>0</v>
      </c>
      <c r="Y1471" t="s">
        <v>4</v>
      </c>
      <c r="Z1471" t="s">
        <v>4</v>
      </c>
      <c r="AA1471" t="s">
        <v>4</v>
      </c>
      <c r="AB1471" t="s">
        <v>4</v>
      </c>
    </row>
    <row r="1472" spans="1:28" hidden="1" x14ac:dyDescent="0.2">
      <c r="A1472" t="s">
        <v>632</v>
      </c>
      <c r="B1472" t="s">
        <v>2</v>
      </c>
      <c r="C1472" t="s">
        <v>3</v>
      </c>
      <c r="D1472" t="s">
        <v>4</v>
      </c>
      <c r="E1472" t="s">
        <v>4</v>
      </c>
      <c r="F1472" t="s">
        <v>16</v>
      </c>
      <c r="G1472" t="s">
        <v>6</v>
      </c>
      <c r="H1472" t="s">
        <v>4498</v>
      </c>
      <c r="I1472" s="2">
        <v>2304</v>
      </c>
      <c r="J1472" s="2">
        <v>0</v>
      </c>
      <c r="K1472" s="2">
        <v>0</v>
      </c>
      <c r="L1472" s="3">
        <v>45858</v>
      </c>
      <c r="M1472" s="3">
        <v>45858</v>
      </c>
      <c r="N1472" s="3"/>
      <c r="O1472" t="s">
        <v>4499</v>
      </c>
      <c r="P1472" t="s">
        <v>20</v>
      </c>
      <c r="Q1472" s="4">
        <v>0.54228009259259002</v>
      </c>
      <c r="R1472" t="s">
        <v>16</v>
      </c>
      <c r="S1472" t="s">
        <v>4</v>
      </c>
      <c r="T1472" t="s">
        <v>2337</v>
      </c>
      <c r="U1472" t="s">
        <v>10</v>
      </c>
      <c r="V1472" s="5">
        <v>0</v>
      </c>
      <c r="W1472" s="5">
        <v>0</v>
      </c>
      <c r="X1472" s="2">
        <v>0</v>
      </c>
      <c r="Y1472" t="s">
        <v>4</v>
      </c>
      <c r="Z1472" t="s">
        <v>4</v>
      </c>
      <c r="AA1472" t="s">
        <v>4</v>
      </c>
      <c r="AB1472" t="s">
        <v>4</v>
      </c>
    </row>
    <row r="1473" spans="1:28" hidden="1" x14ac:dyDescent="0.2">
      <c r="A1473" t="s">
        <v>623</v>
      </c>
      <c r="B1473" t="s">
        <v>2</v>
      </c>
      <c r="C1473" t="s">
        <v>3</v>
      </c>
      <c r="D1473" t="s">
        <v>4</v>
      </c>
      <c r="E1473" t="s">
        <v>4</v>
      </c>
      <c r="F1473" t="s">
        <v>16</v>
      </c>
      <c r="G1473" t="s">
        <v>6</v>
      </c>
      <c r="H1473" t="s">
        <v>4500</v>
      </c>
      <c r="I1473" s="2">
        <v>5250</v>
      </c>
      <c r="J1473" s="2">
        <v>0</v>
      </c>
      <c r="K1473" s="2">
        <v>0</v>
      </c>
      <c r="L1473" s="3">
        <v>45850</v>
      </c>
      <c r="M1473" s="3">
        <v>45850</v>
      </c>
      <c r="N1473" s="3"/>
      <c r="O1473" t="s">
        <v>4501</v>
      </c>
      <c r="P1473" t="s">
        <v>20</v>
      </c>
      <c r="Q1473" s="4">
        <v>0.96832175925926001</v>
      </c>
      <c r="R1473" t="s">
        <v>16</v>
      </c>
      <c r="S1473" t="s">
        <v>4</v>
      </c>
      <c r="T1473" t="s">
        <v>2680</v>
      </c>
      <c r="U1473" t="s">
        <v>10</v>
      </c>
      <c r="V1473" s="5">
        <v>0</v>
      </c>
      <c r="W1473" s="5">
        <v>0</v>
      </c>
      <c r="X1473" s="2">
        <v>0</v>
      </c>
      <c r="Y1473" t="s">
        <v>4</v>
      </c>
      <c r="Z1473" t="s">
        <v>4</v>
      </c>
      <c r="AA1473" t="s">
        <v>4</v>
      </c>
      <c r="AB1473" t="s">
        <v>4</v>
      </c>
    </row>
    <row r="1474" spans="1:28" hidden="1" x14ac:dyDescent="0.2">
      <c r="A1474" t="s">
        <v>1579</v>
      </c>
      <c r="B1474" t="s">
        <v>2</v>
      </c>
      <c r="C1474" t="s">
        <v>3</v>
      </c>
      <c r="D1474" t="s">
        <v>4</v>
      </c>
      <c r="E1474" t="s">
        <v>4</v>
      </c>
      <c r="F1474" t="s">
        <v>16</v>
      </c>
      <c r="G1474" t="s">
        <v>6</v>
      </c>
      <c r="H1474" t="s">
        <v>4502</v>
      </c>
      <c r="I1474" s="2">
        <v>1200</v>
      </c>
      <c r="J1474" s="2">
        <v>0</v>
      </c>
      <c r="K1474" s="2">
        <v>0</v>
      </c>
      <c r="L1474" s="3">
        <v>45857</v>
      </c>
      <c r="M1474" s="3">
        <v>45857</v>
      </c>
      <c r="N1474" s="3"/>
      <c r="O1474" t="s">
        <v>4503</v>
      </c>
      <c r="P1474" t="s">
        <v>20</v>
      </c>
      <c r="Q1474" s="4">
        <v>0.60266203703704002</v>
      </c>
      <c r="R1474" t="s">
        <v>16</v>
      </c>
      <c r="S1474" t="s">
        <v>4</v>
      </c>
      <c r="T1474" t="s">
        <v>2262</v>
      </c>
      <c r="U1474" t="s">
        <v>10</v>
      </c>
      <c r="V1474" s="5">
        <v>0</v>
      </c>
      <c r="W1474" s="5">
        <v>0</v>
      </c>
      <c r="X1474" s="2">
        <v>0</v>
      </c>
      <c r="Y1474" t="s">
        <v>4</v>
      </c>
      <c r="Z1474" t="s">
        <v>4</v>
      </c>
      <c r="AA1474" t="s">
        <v>4</v>
      </c>
      <c r="AB1474" t="s">
        <v>4</v>
      </c>
    </row>
    <row r="1475" spans="1:28" hidden="1" x14ac:dyDescent="0.2">
      <c r="A1475" t="s">
        <v>665</v>
      </c>
      <c r="B1475" t="s">
        <v>2</v>
      </c>
      <c r="C1475" t="s">
        <v>3</v>
      </c>
      <c r="D1475" t="s">
        <v>4</v>
      </c>
      <c r="E1475" t="s">
        <v>4</v>
      </c>
      <c r="F1475" t="s">
        <v>16</v>
      </c>
      <c r="G1475" t="s">
        <v>6</v>
      </c>
      <c r="H1475" t="s">
        <v>4504</v>
      </c>
      <c r="I1475" s="2">
        <v>216</v>
      </c>
      <c r="J1475" s="2">
        <v>0</v>
      </c>
      <c r="K1475" s="2">
        <v>0</v>
      </c>
      <c r="L1475" s="3">
        <v>45857</v>
      </c>
      <c r="M1475" s="3">
        <v>45857</v>
      </c>
      <c r="N1475" s="3"/>
      <c r="O1475" t="s">
        <v>4505</v>
      </c>
      <c r="P1475" t="s">
        <v>20</v>
      </c>
      <c r="Q1475" s="4">
        <v>0.60498842592593005</v>
      </c>
      <c r="R1475" t="s">
        <v>16</v>
      </c>
      <c r="S1475" t="s">
        <v>4</v>
      </c>
      <c r="T1475" t="s">
        <v>2262</v>
      </c>
      <c r="U1475" t="s">
        <v>10</v>
      </c>
      <c r="V1475" s="5">
        <v>0</v>
      </c>
      <c r="W1475" s="5">
        <v>0</v>
      </c>
      <c r="X1475" s="2">
        <v>0</v>
      </c>
      <c r="Y1475" t="s">
        <v>4</v>
      </c>
      <c r="Z1475" t="s">
        <v>4</v>
      </c>
      <c r="AA1475" t="s">
        <v>4</v>
      </c>
      <c r="AB1475" t="s">
        <v>4</v>
      </c>
    </row>
    <row r="1476" spans="1:28" hidden="1" x14ac:dyDescent="0.2">
      <c r="A1476" t="s">
        <v>1242</v>
      </c>
      <c r="B1476" t="s">
        <v>2</v>
      </c>
      <c r="C1476" t="s">
        <v>3</v>
      </c>
      <c r="D1476" t="s">
        <v>4</v>
      </c>
      <c r="E1476" t="s">
        <v>4</v>
      </c>
      <c r="F1476" t="s">
        <v>16</v>
      </c>
      <c r="G1476" t="s">
        <v>21</v>
      </c>
      <c r="H1476" t="s">
        <v>4506</v>
      </c>
      <c r="I1476" s="2">
        <v>700</v>
      </c>
      <c r="J1476" s="2">
        <v>0</v>
      </c>
      <c r="K1476" s="2">
        <v>0</v>
      </c>
      <c r="L1476" s="3">
        <v>45733</v>
      </c>
      <c r="M1476" s="3">
        <v>45851</v>
      </c>
      <c r="N1476" s="3">
        <v>45851</v>
      </c>
      <c r="O1476" t="s">
        <v>4507</v>
      </c>
      <c r="P1476" t="s">
        <v>20</v>
      </c>
      <c r="Q1476" s="4">
        <v>0.35913194444444002</v>
      </c>
      <c r="R1476" t="s">
        <v>16</v>
      </c>
      <c r="S1476" t="s">
        <v>4</v>
      </c>
      <c r="T1476" t="s">
        <v>4290</v>
      </c>
      <c r="U1476" t="s">
        <v>10</v>
      </c>
      <c r="V1476" s="5">
        <v>0</v>
      </c>
      <c r="W1476" s="5">
        <v>0</v>
      </c>
      <c r="X1476" s="2">
        <v>0</v>
      </c>
      <c r="Y1476" t="s">
        <v>4</v>
      </c>
      <c r="Z1476" t="s">
        <v>4</v>
      </c>
      <c r="AA1476" t="s">
        <v>4</v>
      </c>
      <c r="AB1476" t="s">
        <v>4</v>
      </c>
    </row>
    <row r="1477" spans="1:28" hidden="1" x14ac:dyDescent="0.2">
      <c r="A1477" t="s">
        <v>2088</v>
      </c>
      <c r="B1477" t="s">
        <v>2</v>
      </c>
      <c r="C1477" t="s">
        <v>3</v>
      </c>
      <c r="D1477" t="s">
        <v>4</v>
      </c>
      <c r="E1477" t="s">
        <v>4</v>
      </c>
      <c r="F1477" t="s">
        <v>16</v>
      </c>
      <c r="G1477" t="s">
        <v>6</v>
      </c>
      <c r="H1477" t="s">
        <v>4508</v>
      </c>
      <c r="I1477" s="2">
        <v>0</v>
      </c>
      <c r="J1477" s="2">
        <v>0</v>
      </c>
      <c r="K1477" s="2">
        <v>23400</v>
      </c>
      <c r="L1477" s="3">
        <v>45857</v>
      </c>
      <c r="M1477" s="3">
        <v>45860</v>
      </c>
      <c r="N1477" s="3"/>
      <c r="O1477" t="s">
        <v>4509</v>
      </c>
      <c r="P1477" t="s">
        <v>20</v>
      </c>
      <c r="Q1477" s="4">
        <v>0.34603009259258999</v>
      </c>
      <c r="R1477" t="s">
        <v>16</v>
      </c>
      <c r="S1477" t="s">
        <v>4</v>
      </c>
      <c r="T1477" t="s">
        <v>2262</v>
      </c>
      <c r="U1477" t="s">
        <v>10</v>
      </c>
      <c r="V1477" s="5">
        <v>0</v>
      </c>
      <c r="W1477" s="5">
        <v>0</v>
      </c>
      <c r="X1477" s="2">
        <v>0</v>
      </c>
      <c r="Y1477" t="s">
        <v>4</v>
      </c>
      <c r="Z1477" t="s">
        <v>4</v>
      </c>
      <c r="AA1477" t="s">
        <v>4</v>
      </c>
      <c r="AB1477" t="s">
        <v>4</v>
      </c>
    </row>
    <row r="1478" spans="1:28" hidden="1" x14ac:dyDescent="0.2">
      <c r="A1478" t="s">
        <v>334</v>
      </c>
      <c r="B1478" t="s">
        <v>2</v>
      </c>
      <c r="C1478" t="s">
        <v>3</v>
      </c>
      <c r="D1478" t="s">
        <v>4</v>
      </c>
      <c r="E1478" t="s">
        <v>4</v>
      </c>
      <c r="F1478" t="s">
        <v>16</v>
      </c>
      <c r="G1478" t="s">
        <v>21</v>
      </c>
      <c r="H1478" t="s">
        <v>4510</v>
      </c>
      <c r="I1478" s="2">
        <v>13800</v>
      </c>
      <c r="J1478" s="2">
        <v>0</v>
      </c>
      <c r="K1478" s="2">
        <v>0</v>
      </c>
      <c r="L1478" s="3">
        <v>45856</v>
      </c>
      <c r="M1478" s="3">
        <v>45856</v>
      </c>
      <c r="N1478" s="3"/>
      <c r="O1478" t="s">
        <v>4511</v>
      </c>
      <c r="P1478" t="s">
        <v>20</v>
      </c>
      <c r="Q1478" s="4">
        <v>0.89349537037036997</v>
      </c>
      <c r="R1478" t="s">
        <v>16</v>
      </c>
      <c r="S1478" t="s">
        <v>4</v>
      </c>
      <c r="T1478" t="s">
        <v>2260</v>
      </c>
      <c r="U1478" t="s">
        <v>10</v>
      </c>
      <c r="V1478" s="5">
        <v>0</v>
      </c>
      <c r="W1478" s="5">
        <v>0</v>
      </c>
      <c r="X1478" s="2">
        <v>0</v>
      </c>
      <c r="Y1478" t="s">
        <v>4</v>
      </c>
      <c r="Z1478" t="s">
        <v>4</v>
      </c>
      <c r="AA1478" t="s">
        <v>4</v>
      </c>
      <c r="AB1478" t="s">
        <v>4</v>
      </c>
    </row>
    <row r="1479" spans="1:28" hidden="1" x14ac:dyDescent="0.2">
      <c r="A1479" t="s">
        <v>1462</v>
      </c>
      <c r="B1479" t="s">
        <v>2</v>
      </c>
      <c r="C1479" t="s">
        <v>3</v>
      </c>
      <c r="D1479" t="s">
        <v>4</v>
      </c>
      <c r="E1479" t="s">
        <v>4</v>
      </c>
      <c r="F1479" t="s">
        <v>16</v>
      </c>
      <c r="G1479" t="s">
        <v>21</v>
      </c>
      <c r="H1479" t="s">
        <v>4512</v>
      </c>
      <c r="I1479" s="2">
        <v>72</v>
      </c>
      <c r="J1479" s="2">
        <v>0</v>
      </c>
      <c r="K1479" s="2">
        <v>0</v>
      </c>
      <c r="L1479" s="3">
        <v>45845</v>
      </c>
      <c r="M1479" s="3">
        <v>45845</v>
      </c>
      <c r="N1479" s="3"/>
      <c r="O1479" t="s">
        <v>4513</v>
      </c>
      <c r="P1479" t="s">
        <v>20</v>
      </c>
      <c r="Q1479" s="4">
        <v>0.88748842592593002</v>
      </c>
      <c r="R1479" t="s">
        <v>16</v>
      </c>
      <c r="S1479" t="s">
        <v>4</v>
      </c>
      <c r="T1479" t="s">
        <v>2701</v>
      </c>
      <c r="U1479" t="s">
        <v>10</v>
      </c>
      <c r="V1479" s="5">
        <v>0</v>
      </c>
      <c r="W1479" s="5">
        <v>0</v>
      </c>
      <c r="X1479" s="2">
        <v>0</v>
      </c>
      <c r="Y1479" t="s">
        <v>4</v>
      </c>
      <c r="Z1479" t="s">
        <v>4</v>
      </c>
      <c r="AA1479" t="s">
        <v>4</v>
      </c>
      <c r="AB1479" t="s">
        <v>4</v>
      </c>
    </row>
    <row r="1480" spans="1:28" hidden="1" x14ac:dyDescent="0.2">
      <c r="A1480" t="s">
        <v>1569</v>
      </c>
      <c r="B1480" t="s">
        <v>2</v>
      </c>
      <c r="C1480" t="s">
        <v>3</v>
      </c>
      <c r="D1480" t="s">
        <v>4</v>
      </c>
      <c r="E1480" t="s">
        <v>4</v>
      </c>
      <c r="F1480" t="s">
        <v>16</v>
      </c>
      <c r="G1480" t="s">
        <v>6</v>
      </c>
      <c r="H1480" t="s">
        <v>4514</v>
      </c>
      <c r="I1480" s="2">
        <v>40</v>
      </c>
      <c r="J1480" s="2">
        <v>0</v>
      </c>
      <c r="K1480" s="2">
        <v>0</v>
      </c>
      <c r="L1480" s="3">
        <v>45852</v>
      </c>
      <c r="M1480" s="3">
        <v>45852</v>
      </c>
      <c r="N1480" s="3"/>
      <c r="O1480" t="s">
        <v>4515</v>
      </c>
      <c r="P1480" t="s">
        <v>20</v>
      </c>
      <c r="Q1480" s="4">
        <v>0.43248842592593001</v>
      </c>
      <c r="R1480" t="s">
        <v>16</v>
      </c>
      <c r="S1480" t="s">
        <v>4</v>
      </c>
      <c r="T1480" t="s">
        <v>2669</v>
      </c>
      <c r="U1480" t="s">
        <v>10</v>
      </c>
      <c r="V1480" s="5">
        <v>0</v>
      </c>
      <c r="W1480" s="5">
        <v>0</v>
      </c>
      <c r="X1480" s="2">
        <v>0</v>
      </c>
      <c r="Y1480" t="s">
        <v>4</v>
      </c>
      <c r="Z1480" t="s">
        <v>4</v>
      </c>
      <c r="AA1480" t="s">
        <v>4</v>
      </c>
      <c r="AB1480" t="s">
        <v>4</v>
      </c>
    </row>
    <row r="1481" spans="1:28" hidden="1" x14ac:dyDescent="0.2">
      <c r="A1481" t="s">
        <v>334</v>
      </c>
      <c r="B1481" t="s">
        <v>2</v>
      </c>
      <c r="C1481" t="s">
        <v>3</v>
      </c>
      <c r="D1481" t="s">
        <v>4</v>
      </c>
      <c r="E1481" t="s">
        <v>4</v>
      </c>
      <c r="F1481" t="s">
        <v>16</v>
      </c>
      <c r="G1481" t="s">
        <v>6</v>
      </c>
      <c r="H1481" t="s">
        <v>4516</v>
      </c>
      <c r="I1481" s="2">
        <v>11040</v>
      </c>
      <c r="J1481" s="2">
        <v>0</v>
      </c>
      <c r="K1481" s="2">
        <v>0</v>
      </c>
      <c r="L1481" s="3">
        <v>45842</v>
      </c>
      <c r="M1481" s="3">
        <v>45842</v>
      </c>
      <c r="N1481" s="3"/>
      <c r="O1481" t="s">
        <v>4517</v>
      </c>
      <c r="P1481" t="s">
        <v>20</v>
      </c>
      <c r="Q1481" s="4">
        <v>0.98724537037036997</v>
      </c>
      <c r="R1481" t="s">
        <v>16</v>
      </c>
      <c r="S1481" t="s">
        <v>4</v>
      </c>
      <c r="T1481" t="s">
        <v>2610</v>
      </c>
      <c r="U1481" t="s">
        <v>10</v>
      </c>
      <c r="V1481" s="5">
        <v>0</v>
      </c>
      <c r="W1481" s="5">
        <v>0</v>
      </c>
      <c r="X1481" s="2">
        <v>0</v>
      </c>
      <c r="Y1481" t="s">
        <v>4</v>
      </c>
      <c r="Z1481" t="s">
        <v>4</v>
      </c>
      <c r="AA1481" t="s">
        <v>4</v>
      </c>
      <c r="AB1481" t="s">
        <v>4</v>
      </c>
    </row>
    <row r="1482" spans="1:28" hidden="1" x14ac:dyDescent="0.2">
      <c r="A1482" t="s">
        <v>1963</v>
      </c>
      <c r="B1482" t="s">
        <v>2</v>
      </c>
      <c r="C1482" t="s">
        <v>3</v>
      </c>
      <c r="D1482" t="s">
        <v>4</v>
      </c>
      <c r="E1482" t="s">
        <v>4</v>
      </c>
      <c r="F1482" t="s">
        <v>16</v>
      </c>
      <c r="G1482" t="s">
        <v>17</v>
      </c>
      <c r="H1482" t="s">
        <v>4518</v>
      </c>
      <c r="I1482" s="2">
        <v>6336</v>
      </c>
      <c r="J1482" s="2">
        <v>0</v>
      </c>
      <c r="K1482" s="2">
        <v>0</v>
      </c>
      <c r="L1482" s="3">
        <v>45847</v>
      </c>
      <c r="M1482" s="3">
        <v>45847</v>
      </c>
      <c r="N1482" s="3"/>
      <c r="O1482" t="s">
        <v>4519</v>
      </c>
      <c r="P1482" t="s">
        <v>20</v>
      </c>
      <c r="Q1482" s="4">
        <v>0.96688657407406997</v>
      </c>
      <c r="R1482" t="s">
        <v>16</v>
      </c>
      <c r="S1482" t="s">
        <v>4</v>
      </c>
      <c r="T1482" t="s">
        <v>2341</v>
      </c>
      <c r="U1482" t="s">
        <v>10</v>
      </c>
      <c r="V1482" s="5">
        <v>0</v>
      </c>
      <c r="W1482" s="5">
        <v>0</v>
      </c>
      <c r="X1482" s="2">
        <v>0</v>
      </c>
      <c r="Y1482" t="s">
        <v>4</v>
      </c>
      <c r="Z1482" t="s">
        <v>4</v>
      </c>
      <c r="AA1482" t="s">
        <v>4</v>
      </c>
      <c r="AB1482" t="s">
        <v>4</v>
      </c>
    </row>
    <row r="1483" spans="1:28" hidden="1" x14ac:dyDescent="0.2">
      <c r="A1483" t="s">
        <v>805</v>
      </c>
      <c r="B1483" t="s">
        <v>2</v>
      </c>
      <c r="C1483" t="s">
        <v>3</v>
      </c>
      <c r="D1483" t="s">
        <v>4</v>
      </c>
      <c r="E1483" t="s">
        <v>4</v>
      </c>
      <c r="F1483" t="s">
        <v>16</v>
      </c>
      <c r="G1483" t="s">
        <v>6</v>
      </c>
      <c r="H1483" t="s">
        <v>4520</v>
      </c>
      <c r="I1483" s="2">
        <v>400</v>
      </c>
      <c r="J1483" s="2">
        <v>0</v>
      </c>
      <c r="K1483" s="2">
        <v>0</v>
      </c>
      <c r="L1483" s="3">
        <v>45855</v>
      </c>
      <c r="M1483" s="3">
        <v>45855</v>
      </c>
      <c r="N1483" s="3"/>
      <c r="O1483" t="s">
        <v>4521</v>
      </c>
      <c r="P1483" t="s">
        <v>20</v>
      </c>
      <c r="Q1483" s="4">
        <v>0.75820601851851999</v>
      </c>
      <c r="R1483" t="s">
        <v>16</v>
      </c>
      <c r="S1483" t="s">
        <v>4</v>
      </c>
      <c r="T1483" t="s">
        <v>2350</v>
      </c>
      <c r="U1483" t="s">
        <v>10</v>
      </c>
      <c r="V1483" s="5">
        <v>0</v>
      </c>
      <c r="W1483" s="5">
        <v>0</v>
      </c>
      <c r="X1483" s="2">
        <v>0</v>
      </c>
      <c r="Y1483" t="s">
        <v>4</v>
      </c>
      <c r="Z1483" t="s">
        <v>4</v>
      </c>
      <c r="AA1483" t="s">
        <v>4</v>
      </c>
      <c r="AB1483" t="s">
        <v>4</v>
      </c>
    </row>
    <row r="1484" spans="1:28" hidden="1" x14ac:dyDescent="0.2">
      <c r="A1484" t="s">
        <v>2170</v>
      </c>
      <c r="B1484" t="s">
        <v>2</v>
      </c>
      <c r="C1484" t="s">
        <v>3</v>
      </c>
      <c r="D1484" t="s">
        <v>4</v>
      </c>
      <c r="E1484" t="s">
        <v>4</v>
      </c>
      <c r="F1484" t="s">
        <v>16</v>
      </c>
      <c r="G1484" t="s">
        <v>6</v>
      </c>
      <c r="H1484" t="s">
        <v>4522</v>
      </c>
      <c r="I1484" s="2">
        <v>13250</v>
      </c>
      <c r="J1484" s="2">
        <v>0</v>
      </c>
      <c r="K1484" s="2">
        <v>0</v>
      </c>
      <c r="L1484" s="3">
        <v>45835</v>
      </c>
      <c r="M1484" s="3">
        <v>45835</v>
      </c>
      <c r="N1484" s="3"/>
      <c r="O1484" t="s">
        <v>4523</v>
      </c>
      <c r="P1484" t="s">
        <v>20</v>
      </c>
      <c r="Q1484" s="4">
        <v>0.37086805555556002</v>
      </c>
      <c r="R1484" t="s">
        <v>16</v>
      </c>
      <c r="S1484" t="s">
        <v>4</v>
      </c>
      <c r="T1484" t="s">
        <v>2928</v>
      </c>
      <c r="U1484" t="s">
        <v>10</v>
      </c>
      <c r="V1484" s="5">
        <v>0</v>
      </c>
      <c r="W1484" s="5">
        <v>0</v>
      </c>
      <c r="X1484" s="2">
        <v>0</v>
      </c>
      <c r="Y1484" t="s">
        <v>4</v>
      </c>
      <c r="Z1484" t="s">
        <v>4</v>
      </c>
      <c r="AA1484" t="s">
        <v>4</v>
      </c>
      <c r="AB1484" t="s">
        <v>4</v>
      </c>
    </row>
    <row r="1485" spans="1:28" hidden="1" x14ac:dyDescent="0.2">
      <c r="A1485" t="s">
        <v>1131</v>
      </c>
      <c r="B1485" t="s">
        <v>2</v>
      </c>
      <c r="C1485" t="s">
        <v>3</v>
      </c>
      <c r="D1485" t="s">
        <v>4</v>
      </c>
      <c r="E1485" t="s">
        <v>4</v>
      </c>
      <c r="F1485" t="s">
        <v>16</v>
      </c>
      <c r="G1485" t="s">
        <v>6</v>
      </c>
      <c r="H1485" t="s">
        <v>4524</v>
      </c>
      <c r="I1485" s="5">
        <v>204.3</v>
      </c>
      <c r="J1485" s="2">
        <v>0</v>
      </c>
      <c r="K1485" s="2">
        <v>0</v>
      </c>
      <c r="L1485" s="3">
        <v>45851</v>
      </c>
      <c r="M1485" s="3">
        <v>45851</v>
      </c>
      <c r="N1485" s="3"/>
      <c r="O1485" t="s">
        <v>4525</v>
      </c>
      <c r="P1485" t="s">
        <v>20</v>
      </c>
      <c r="Q1485" s="4">
        <v>0.57674768518519004</v>
      </c>
      <c r="R1485" t="s">
        <v>16</v>
      </c>
      <c r="S1485" t="s">
        <v>4</v>
      </c>
      <c r="T1485" t="s">
        <v>2747</v>
      </c>
      <c r="U1485" t="s">
        <v>10</v>
      </c>
      <c r="V1485" s="5">
        <v>0</v>
      </c>
      <c r="W1485" s="5">
        <v>0</v>
      </c>
      <c r="X1485" s="2">
        <v>0</v>
      </c>
      <c r="Y1485" t="s">
        <v>4</v>
      </c>
      <c r="Z1485" t="s">
        <v>4</v>
      </c>
      <c r="AA1485" t="s">
        <v>4</v>
      </c>
      <c r="AB1485" t="s">
        <v>4</v>
      </c>
    </row>
    <row r="1486" spans="1:28" hidden="1" x14ac:dyDescent="0.2">
      <c r="A1486" t="s">
        <v>1199</v>
      </c>
      <c r="B1486" t="s">
        <v>2</v>
      </c>
      <c r="C1486" t="s">
        <v>3</v>
      </c>
      <c r="D1486" t="s">
        <v>4</v>
      </c>
      <c r="E1486" t="s">
        <v>4</v>
      </c>
      <c r="F1486" t="s">
        <v>16</v>
      </c>
      <c r="G1486" t="s">
        <v>6</v>
      </c>
      <c r="H1486" t="s">
        <v>4526</v>
      </c>
      <c r="I1486" s="2">
        <v>199</v>
      </c>
      <c r="J1486" s="2">
        <v>0</v>
      </c>
      <c r="K1486" s="2">
        <v>0</v>
      </c>
      <c r="L1486" s="3">
        <v>45598</v>
      </c>
      <c r="M1486" s="3">
        <v>45820</v>
      </c>
      <c r="N1486" s="3">
        <v>45696</v>
      </c>
      <c r="O1486" t="s">
        <v>4527</v>
      </c>
      <c r="P1486" t="s">
        <v>20</v>
      </c>
      <c r="Q1486" s="4">
        <v>0.69616898148147999</v>
      </c>
      <c r="R1486" t="s">
        <v>16</v>
      </c>
      <c r="S1486" t="s">
        <v>4</v>
      </c>
      <c r="T1486" t="s">
        <v>2675</v>
      </c>
      <c r="U1486" t="s">
        <v>10</v>
      </c>
      <c r="V1486" s="5">
        <v>0</v>
      </c>
      <c r="W1486" s="5">
        <v>0</v>
      </c>
      <c r="X1486" s="2">
        <v>0</v>
      </c>
      <c r="Y1486" t="s">
        <v>4</v>
      </c>
      <c r="Z1486" t="s">
        <v>4</v>
      </c>
      <c r="AA1486" t="s">
        <v>4</v>
      </c>
      <c r="AB1486" t="s">
        <v>4</v>
      </c>
    </row>
    <row r="1487" spans="1:28" hidden="1" x14ac:dyDescent="0.2">
      <c r="A1487" t="s">
        <v>350</v>
      </c>
      <c r="B1487" t="s">
        <v>2</v>
      </c>
      <c r="C1487" t="s">
        <v>3</v>
      </c>
      <c r="D1487" t="s">
        <v>4</v>
      </c>
      <c r="E1487" t="s">
        <v>4</v>
      </c>
      <c r="F1487" t="s">
        <v>16</v>
      </c>
      <c r="G1487" t="s">
        <v>6</v>
      </c>
      <c r="H1487" t="s">
        <v>4528</v>
      </c>
      <c r="I1487" s="2">
        <v>1892</v>
      </c>
      <c r="J1487" s="2">
        <v>0</v>
      </c>
      <c r="K1487" s="2">
        <v>0</v>
      </c>
      <c r="L1487" s="3">
        <v>45828</v>
      </c>
      <c r="M1487" s="3">
        <v>45859</v>
      </c>
      <c r="N1487" s="3">
        <v>45859</v>
      </c>
      <c r="O1487" t="s">
        <v>4529</v>
      </c>
      <c r="P1487" t="s">
        <v>20</v>
      </c>
      <c r="Q1487" s="4">
        <v>0.59659722222222</v>
      </c>
      <c r="R1487" t="s">
        <v>16</v>
      </c>
      <c r="S1487" t="s">
        <v>4</v>
      </c>
      <c r="T1487" t="s">
        <v>3742</v>
      </c>
      <c r="U1487" t="s">
        <v>10</v>
      </c>
      <c r="V1487" s="5">
        <v>0</v>
      </c>
      <c r="W1487" s="5">
        <v>0</v>
      </c>
      <c r="X1487" s="2">
        <v>0</v>
      </c>
      <c r="Y1487" t="s">
        <v>4</v>
      </c>
      <c r="Z1487" t="s">
        <v>4</v>
      </c>
      <c r="AA1487" t="s">
        <v>4</v>
      </c>
      <c r="AB1487" t="s">
        <v>4</v>
      </c>
    </row>
    <row r="1488" spans="1:28" hidden="1" x14ac:dyDescent="0.2">
      <c r="A1488" t="s">
        <v>1560</v>
      </c>
      <c r="B1488" t="s">
        <v>2</v>
      </c>
      <c r="C1488" t="s">
        <v>3</v>
      </c>
      <c r="D1488" t="s">
        <v>4</v>
      </c>
      <c r="E1488" t="s">
        <v>4</v>
      </c>
      <c r="F1488" t="s">
        <v>16</v>
      </c>
      <c r="G1488" t="s">
        <v>6</v>
      </c>
      <c r="H1488" t="s">
        <v>4530</v>
      </c>
      <c r="I1488" s="2">
        <v>93</v>
      </c>
      <c r="J1488" s="2">
        <v>0</v>
      </c>
      <c r="K1488" s="2">
        <v>0</v>
      </c>
      <c r="L1488" s="3">
        <v>45789</v>
      </c>
      <c r="M1488" s="3">
        <v>45807</v>
      </c>
      <c r="N1488" s="3">
        <v>45807</v>
      </c>
      <c r="O1488" t="s">
        <v>4531</v>
      </c>
      <c r="P1488" t="s">
        <v>20</v>
      </c>
      <c r="Q1488" s="4">
        <v>0.76435185185184995</v>
      </c>
      <c r="R1488" t="s">
        <v>16</v>
      </c>
      <c r="S1488" t="s">
        <v>4</v>
      </c>
      <c r="T1488" t="s">
        <v>3787</v>
      </c>
      <c r="U1488" t="s">
        <v>10</v>
      </c>
      <c r="V1488" s="5">
        <v>0</v>
      </c>
      <c r="W1488" s="5">
        <v>0</v>
      </c>
      <c r="X1488" s="2">
        <v>0</v>
      </c>
      <c r="Y1488" t="s">
        <v>4</v>
      </c>
      <c r="Z1488" t="s">
        <v>4</v>
      </c>
      <c r="AA1488" t="s">
        <v>4</v>
      </c>
      <c r="AB1488" t="s">
        <v>4</v>
      </c>
    </row>
    <row r="1489" spans="1:28" hidden="1" x14ac:dyDescent="0.2">
      <c r="A1489" t="s">
        <v>632</v>
      </c>
      <c r="B1489" t="s">
        <v>2</v>
      </c>
      <c r="C1489" t="s">
        <v>3</v>
      </c>
      <c r="D1489" t="s">
        <v>4</v>
      </c>
      <c r="E1489" t="s">
        <v>4</v>
      </c>
      <c r="F1489" t="s">
        <v>16</v>
      </c>
      <c r="G1489" t="s">
        <v>6</v>
      </c>
      <c r="H1489" t="s">
        <v>4532</v>
      </c>
      <c r="I1489" s="2">
        <v>2304</v>
      </c>
      <c r="J1489" s="2">
        <v>0</v>
      </c>
      <c r="K1489" s="2">
        <v>0</v>
      </c>
      <c r="L1489" s="3">
        <v>45858</v>
      </c>
      <c r="M1489" s="3">
        <v>45858</v>
      </c>
      <c r="N1489" s="3"/>
      <c r="O1489" t="s">
        <v>4533</v>
      </c>
      <c r="P1489" t="s">
        <v>20</v>
      </c>
      <c r="Q1489" s="4">
        <v>0.54259259259258996</v>
      </c>
      <c r="R1489" t="s">
        <v>16</v>
      </c>
      <c r="S1489" t="s">
        <v>4</v>
      </c>
      <c r="T1489" t="s">
        <v>2337</v>
      </c>
      <c r="U1489" t="s">
        <v>10</v>
      </c>
      <c r="V1489" s="5">
        <v>0</v>
      </c>
      <c r="W1489" s="5">
        <v>0</v>
      </c>
      <c r="X1489" s="2">
        <v>0</v>
      </c>
      <c r="Y1489" t="s">
        <v>4</v>
      </c>
      <c r="Z1489" t="s">
        <v>4</v>
      </c>
      <c r="AA1489" t="s">
        <v>4</v>
      </c>
      <c r="AB1489" t="s">
        <v>4</v>
      </c>
    </row>
    <row r="1490" spans="1:28" hidden="1" x14ac:dyDescent="0.2">
      <c r="A1490" t="s">
        <v>1569</v>
      </c>
      <c r="B1490" t="s">
        <v>2</v>
      </c>
      <c r="C1490" t="s">
        <v>3</v>
      </c>
      <c r="D1490" t="s">
        <v>4</v>
      </c>
      <c r="E1490" t="s">
        <v>4</v>
      </c>
      <c r="F1490" t="s">
        <v>16</v>
      </c>
      <c r="G1490" t="s">
        <v>21</v>
      </c>
      <c r="H1490" t="s">
        <v>4534</v>
      </c>
      <c r="I1490" s="2">
        <v>40</v>
      </c>
      <c r="J1490" s="2">
        <v>0</v>
      </c>
      <c r="K1490" s="2">
        <v>0</v>
      </c>
      <c r="L1490" s="3">
        <v>45852</v>
      </c>
      <c r="M1490" s="3">
        <v>45852</v>
      </c>
      <c r="N1490" s="3"/>
      <c r="O1490" t="s">
        <v>4535</v>
      </c>
      <c r="P1490" t="s">
        <v>20</v>
      </c>
      <c r="Q1490" s="4">
        <v>0.43256944444444001</v>
      </c>
      <c r="R1490" t="s">
        <v>16</v>
      </c>
      <c r="S1490" t="s">
        <v>4</v>
      </c>
      <c r="T1490" t="s">
        <v>2669</v>
      </c>
      <c r="U1490" t="s">
        <v>10</v>
      </c>
      <c r="V1490" s="5">
        <v>0</v>
      </c>
      <c r="W1490" s="5">
        <v>0</v>
      </c>
      <c r="X1490" s="2">
        <v>0</v>
      </c>
      <c r="Y1490" t="s">
        <v>4</v>
      </c>
      <c r="Z1490" t="s">
        <v>4</v>
      </c>
      <c r="AA1490" t="s">
        <v>4</v>
      </c>
      <c r="AB1490" t="s">
        <v>4</v>
      </c>
    </row>
    <row r="1491" spans="1:28" hidden="1" x14ac:dyDescent="0.2">
      <c r="A1491" t="s">
        <v>1233</v>
      </c>
      <c r="B1491" t="s">
        <v>2</v>
      </c>
      <c r="C1491" t="s">
        <v>3</v>
      </c>
      <c r="D1491" t="s">
        <v>4</v>
      </c>
      <c r="E1491" t="s">
        <v>4</v>
      </c>
      <c r="F1491" t="s">
        <v>16</v>
      </c>
      <c r="G1491" t="s">
        <v>21</v>
      </c>
      <c r="H1491" t="s">
        <v>4536</v>
      </c>
      <c r="I1491" s="2">
        <v>1800</v>
      </c>
      <c r="J1491" s="2">
        <v>0</v>
      </c>
      <c r="K1491" s="2">
        <v>0</v>
      </c>
      <c r="L1491" s="3">
        <v>45853</v>
      </c>
      <c r="M1491" s="3">
        <v>45853</v>
      </c>
      <c r="N1491" s="3"/>
      <c r="O1491" t="s">
        <v>4537</v>
      </c>
      <c r="P1491" t="s">
        <v>20</v>
      </c>
      <c r="Q1491" s="4">
        <v>0.87488425925926006</v>
      </c>
      <c r="R1491" t="s">
        <v>16</v>
      </c>
      <c r="S1491" t="s">
        <v>4</v>
      </c>
      <c r="T1491" t="s">
        <v>2272</v>
      </c>
      <c r="U1491" t="s">
        <v>10</v>
      </c>
      <c r="V1491" s="5">
        <v>0</v>
      </c>
      <c r="W1491" s="5">
        <v>0</v>
      </c>
      <c r="X1491" s="2">
        <v>0</v>
      </c>
      <c r="Y1491" t="s">
        <v>4</v>
      </c>
      <c r="Z1491" t="s">
        <v>4</v>
      </c>
      <c r="AA1491" t="s">
        <v>4</v>
      </c>
      <c r="AB1491" t="s">
        <v>4</v>
      </c>
    </row>
    <row r="1492" spans="1:28" hidden="1" x14ac:dyDescent="0.2">
      <c r="A1492" t="s">
        <v>2061</v>
      </c>
      <c r="B1492" t="s">
        <v>2</v>
      </c>
      <c r="C1492" t="s">
        <v>3</v>
      </c>
      <c r="D1492" t="s">
        <v>4</v>
      </c>
      <c r="E1492" t="s">
        <v>4</v>
      </c>
      <c r="F1492" t="s">
        <v>16</v>
      </c>
      <c r="G1492" t="s">
        <v>21</v>
      </c>
      <c r="H1492" t="s">
        <v>4538</v>
      </c>
      <c r="I1492" s="2">
        <v>200</v>
      </c>
      <c r="J1492" s="2">
        <v>0</v>
      </c>
      <c r="K1492" s="2">
        <v>0</v>
      </c>
      <c r="L1492" s="3">
        <v>45850</v>
      </c>
      <c r="M1492" s="3">
        <v>45852</v>
      </c>
      <c r="N1492" s="3">
        <v>45852</v>
      </c>
      <c r="O1492" t="s">
        <v>4539</v>
      </c>
      <c r="P1492" t="s">
        <v>20</v>
      </c>
      <c r="Q1492" s="4">
        <v>0.76192129629630001</v>
      </c>
      <c r="R1492" t="s">
        <v>16</v>
      </c>
      <c r="S1492" t="s">
        <v>4</v>
      </c>
      <c r="T1492" t="s">
        <v>2680</v>
      </c>
      <c r="U1492" t="s">
        <v>10</v>
      </c>
      <c r="V1492" s="5">
        <v>0</v>
      </c>
      <c r="W1492" s="5">
        <v>0</v>
      </c>
      <c r="X1492" s="2">
        <v>0</v>
      </c>
      <c r="Y1492" t="s">
        <v>4</v>
      </c>
      <c r="Z1492" t="s">
        <v>4</v>
      </c>
      <c r="AA1492" t="s">
        <v>4</v>
      </c>
      <c r="AB1492" t="s">
        <v>4</v>
      </c>
    </row>
    <row r="1493" spans="1:28" hidden="1" x14ac:dyDescent="0.2">
      <c r="A1493" t="s">
        <v>2200</v>
      </c>
      <c r="B1493" t="s">
        <v>2</v>
      </c>
      <c r="C1493" t="s">
        <v>3</v>
      </c>
      <c r="D1493" t="s">
        <v>4</v>
      </c>
      <c r="E1493" t="s">
        <v>4</v>
      </c>
      <c r="F1493" t="s">
        <v>16</v>
      </c>
      <c r="G1493" t="s">
        <v>21</v>
      </c>
      <c r="H1493" t="s">
        <v>4540</v>
      </c>
      <c r="I1493" s="2">
        <v>100</v>
      </c>
      <c r="J1493" s="2">
        <v>0</v>
      </c>
      <c r="K1493" s="2">
        <v>0</v>
      </c>
      <c r="L1493" s="3">
        <v>45761</v>
      </c>
      <c r="M1493" s="3">
        <v>45761</v>
      </c>
      <c r="N1493" s="3"/>
      <c r="O1493" t="s">
        <v>4541</v>
      </c>
      <c r="P1493" t="s">
        <v>20</v>
      </c>
      <c r="Q1493" s="4">
        <v>0.61637731481480995</v>
      </c>
      <c r="R1493" t="s">
        <v>16</v>
      </c>
      <c r="S1493" t="s">
        <v>4</v>
      </c>
      <c r="T1493" t="s">
        <v>4542</v>
      </c>
      <c r="U1493" t="s">
        <v>10</v>
      </c>
      <c r="V1493" s="5">
        <v>0</v>
      </c>
      <c r="W1493" s="5">
        <v>0</v>
      </c>
      <c r="X1493" s="2">
        <v>0</v>
      </c>
      <c r="Y1493" t="s">
        <v>4</v>
      </c>
      <c r="Z1493" t="s">
        <v>4</v>
      </c>
      <c r="AA1493" t="s">
        <v>4</v>
      </c>
      <c r="AB1493" t="s">
        <v>4</v>
      </c>
    </row>
    <row r="1494" spans="1:28" hidden="1" x14ac:dyDescent="0.2">
      <c r="A1494" t="s">
        <v>2043</v>
      </c>
      <c r="B1494" t="s">
        <v>2</v>
      </c>
      <c r="C1494" t="s">
        <v>3</v>
      </c>
      <c r="D1494" t="s">
        <v>4</v>
      </c>
      <c r="E1494" t="s">
        <v>4</v>
      </c>
      <c r="F1494" t="s">
        <v>16</v>
      </c>
      <c r="G1494" t="s">
        <v>21</v>
      </c>
      <c r="H1494" t="s">
        <v>4543</v>
      </c>
      <c r="I1494" s="2">
        <v>108</v>
      </c>
      <c r="J1494" s="2">
        <v>0</v>
      </c>
      <c r="K1494" s="2">
        <v>0</v>
      </c>
      <c r="L1494" s="3">
        <v>45850</v>
      </c>
      <c r="M1494" s="3">
        <v>45850</v>
      </c>
      <c r="N1494" s="3"/>
      <c r="O1494" t="s">
        <v>4544</v>
      </c>
      <c r="P1494" t="s">
        <v>20</v>
      </c>
      <c r="Q1494" s="4">
        <v>0.58743055555556001</v>
      </c>
      <c r="R1494" t="s">
        <v>16</v>
      </c>
      <c r="S1494" t="s">
        <v>4</v>
      </c>
      <c r="T1494" t="s">
        <v>2680</v>
      </c>
      <c r="U1494" t="s">
        <v>10</v>
      </c>
      <c r="V1494" s="5">
        <v>0</v>
      </c>
      <c r="W1494" s="5">
        <v>0</v>
      </c>
      <c r="X1494" s="2">
        <v>0</v>
      </c>
      <c r="Y1494" t="s">
        <v>4</v>
      </c>
      <c r="Z1494" t="s">
        <v>4</v>
      </c>
      <c r="AA1494" t="s">
        <v>4</v>
      </c>
      <c r="AB1494" t="s">
        <v>4</v>
      </c>
    </row>
    <row r="1495" spans="1:28" hidden="1" x14ac:dyDescent="0.2">
      <c r="A1495" t="s">
        <v>1881</v>
      </c>
      <c r="B1495" t="s">
        <v>2</v>
      </c>
      <c r="C1495" t="s">
        <v>3</v>
      </c>
      <c r="D1495" t="s">
        <v>4</v>
      </c>
      <c r="E1495" t="s">
        <v>4</v>
      </c>
      <c r="F1495" t="s">
        <v>16</v>
      </c>
      <c r="G1495" t="s">
        <v>21</v>
      </c>
      <c r="H1495" t="s">
        <v>4545</v>
      </c>
      <c r="I1495" s="2">
        <v>9600</v>
      </c>
      <c r="J1495" s="2">
        <v>0</v>
      </c>
      <c r="K1495" s="2">
        <v>0</v>
      </c>
      <c r="L1495" s="3">
        <v>45858</v>
      </c>
      <c r="M1495" s="3">
        <v>45858</v>
      </c>
      <c r="N1495" s="3"/>
      <c r="O1495" t="s">
        <v>4546</v>
      </c>
      <c r="P1495" t="s">
        <v>20</v>
      </c>
      <c r="Q1495" s="4">
        <v>0.56901620370369999</v>
      </c>
      <c r="R1495" t="s">
        <v>16</v>
      </c>
      <c r="S1495" t="s">
        <v>4</v>
      </c>
      <c r="T1495" t="s">
        <v>2337</v>
      </c>
      <c r="U1495" t="s">
        <v>10</v>
      </c>
      <c r="V1495" s="5">
        <v>0</v>
      </c>
      <c r="W1495" s="5">
        <v>0</v>
      </c>
      <c r="X1495" s="2">
        <v>0</v>
      </c>
      <c r="Y1495" t="s">
        <v>4</v>
      </c>
      <c r="Z1495" t="s">
        <v>4</v>
      </c>
      <c r="AA1495" t="s">
        <v>4</v>
      </c>
      <c r="AB1495" t="s">
        <v>4</v>
      </c>
    </row>
    <row r="1496" spans="1:28" hidden="1" x14ac:dyDescent="0.2">
      <c r="A1496" t="s">
        <v>304</v>
      </c>
      <c r="B1496" t="s">
        <v>2</v>
      </c>
      <c r="C1496" t="s">
        <v>3</v>
      </c>
      <c r="D1496" t="s">
        <v>4</v>
      </c>
      <c r="E1496" t="s">
        <v>4</v>
      </c>
      <c r="F1496" t="s">
        <v>16</v>
      </c>
      <c r="G1496" t="s">
        <v>21</v>
      </c>
      <c r="H1496" t="s">
        <v>4547</v>
      </c>
      <c r="I1496" s="2">
        <v>6250</v>
      </c>
      <c r="J1496" s="2">
        <v>0</v>
      </c>
      <c r="K1496" s="2">
        <v>0</v>
      </c>
      <c r="L1496" s="3">
        <v>45854</v>
      </c>
      <c r="M1496" s="3">
        <v>45854</v>
      </c>
      <c r="N1496" s="3"/>
      <c r="O1496" t="s">
        <v>4548</v>
      </c>
      <c r="P1496" t="s">
        <v>20</v>
      </c>
      <c r="Q1496" s="4">
        <v>0.53987268518519005</v>
      </c>
      <c r="R1496" t="s">
        <v>16</v>
      </c>
      <c r="S1496" t="s">
        <v>4</v>
      </c>
      <c r="T1496" t="s">
        <v>2299</v>
      </c>
      <c r="U1496" t="s">
        <v>10</v>
      </c>
      <c r="V1496" s="5">
        <v>0</v>
      </c>
      <c r="W1496" s="5">
        <v>0</v>
      </c>
      <c r="X1496" s="2">
        <v>0</v>
      </c>
      <c r="Y1496" t="s">
        <v>4</v>
      </c>
      <c r="Z1496" t="s">
        <v>4</v>
      </c>
      <c r="AA1496" t="s">
        <v>4</v>
      </c>
      <c r="AB1496" t="s">
        <v>4</v>
      </c>
    </row>
    <row r="1497" spans="1:28" hidden="1" x14ac:dyDescent="0.2">
      <c r="A1497" t="s">
        <v>1190</v>
      </c>
      <c r="B1497" t="s">
        <v>2</v>
      </c>
      <c r="C1497" t="s">
        <v>3</v>
      </c>
      <c r="D1497" t="s">
        <v>4</v>
      </c>
      <c r="E1497" t="s">
        <v>4</v>
      </c>
      <c r="F1497" t="s">
        <v>16</v>
      </c>
      <c r="G1497" t="s">
        <v>21</v>
      </c>
      <c r="H1497" t="s">
        <v>4549</v>
      </c>
      <c r="I1497" s="2">
        <v>600</v>
      </c>
      <c r="J1497" s="2">
        <v>0</v>
      </c>
      <c r="K1497" s="2">
        <v>0</v>
      </c>
      <c r="L1497" s="3">
        <v>45819</v>
      </c>
      <c r="M1497" s="3">
        <v>45819</v>
      </c>
      <c r="N1497" s="3"/>
      <c r="O1497" t="s">
        <v>4550</v>
      </c>
      <c r="P1497" t="s">
        <v>20</v>
      </c>
      <c r="Q1497" s="4">
        <v>0.92351851851851996</v>
      </c>
      <c r="R1497" t="s">
        <v>16</v>
      </c>
      <c r="S1497" t="s">
        <v>4</v>
      </c>
      <c r="T1497" t="s">
        <v>2263</v>
      </c>
      <c r="U1497" t="s">
        <v>10</v>
      </c>
      <c r="V1497" s="5">
        <v>0</v>
      </c>
      <c r="W1497" s="5">
        <v>0</v>
      </c>
      <c r="X1497" s="2">
        <v>0</v>
      </c>
      <c r="Y1497" t="s">
        <v>4</v>
      </c>
      <c r="Z1497" t="s">
        <v>4</v>
      </c>
      <c r="AA1497" t="s">
        <v>4</v>
      </c>
      <c r="AB1497" t="s">
        <v>4</v>
      </c>
    </row>
    <row r="1498" spans="1:28" hidden="1" x14ac:dyDescent="0.2">
      <c r="A1498" t="s">
        <v>802</v>
      </c>
      <c r="B1498" t="s">
        <v>2</v>
      </c>
      <c r="C1498" t="s">
        <v>3</v>
      </c>
      <c r="D1498" t="s">
        <v>4</v>
      </c>
      <c r="E1498" t="s">
        <v>4</v>
      </c>
      <c r="F1498" t="s">
        <v>16</v>
      </c>
      <c r="G1498" t="s">
        <v>21</v>
      </c>
      <c r="H1498" t="s">
        <v>4551</v>
      </c>
      <c r="I1498" s="2">
        <v>1400</v>
      </c>
      <c r="J1498" s="2">
        <v>0</v>
      </c>
      <c r="K1498" s="2">
        <v>0</v>
      </c>
      <c r="L1498" s="3">
        <v>45852</v>
      </c>
      <c r="M1498" s="3">
        <v>45852</v>
      </c>
      <c r="N1498" s="3"/>
      <c r="O1498" t="s">
        <v>4552</v>
      </c>
      <c r="P1498" t="s">
        <v>20</v>
      </c>
      <c r="Q1498" s="4">
        <v>0.88385416666667005</v>
      </c>
      <c r="R1498" t="s">
        <v>16</v>
      </c>
      <c r="S1498" t="s">
        <v>4</v>
      </c>
      <c r="T1498" t="s">
        <v>2669</v>
      </c>
      <c r="U1498" t="s">
        <v>10</v>
      </c>
      <c r="V1498" s="5">
        <v>0</v>
      </c>
      <c r="W1498" s="5">
        <v>0</v>
      </c>
      <c r="X1498" s="2">
        <v>0</v>
      </c>
      <c r="Y1498" t="s">
        <v>4</v>
      </c>
      <c r="Z1498" t="s">
        <v>4</v>
      </c>
      <c r="AA1498" t="s">
        <v>4</v>
      </c>
      <c r="AB1498" t="s">
        <v>4</v>
      </c>
    </row>
    <row r="1499" spans="1:28" hidden="1" x14ac:dyDescent="0.2">
      <c r="A1499" t="s">
        <v>638</v>
      </c>
      <c r="B1499" t="s">
        <v>2</v>
      </c>
      <c r="C1499" t="s">
        <v>3</v>
      </c>
      <c r="D1499" t="s">
        <v>4</v>
      </c>
      <c r="E1499" t="s">
        <v>4</v>
      </c>
      <c r="F1499" t="s">
        <v>16</v>
      </c>
      <c r="G1499" t="s">
        <v>21</v>
      </c>
      <c r="H1499" t="s">
        <v>4553</v>
      </c>
      <c r="I1499" s="2">
        <v>720</v>
      </c>
      <c r="J1499" s="2">
        <v>0</v>
      </c>
      <c r="K1499" s="2">
        <v>0</v>
      </c>
      <c r="L1499" s="3">
        <v>45748</v>
      </c>
      <c r="M1499" s="3">
        <v>45748</v>
      </c>
      <c r="N1499" s="3"/>
      <c r="O1499" t="s">
        <v>4554</v>
      </c>
      <c r="P1499" t="s">
        <v>20</v>
      </c>
      <c r="Q1499" s="4">
        <v>0.86263888888888995</v>
      </c>
      <c r="R1499" t="s">
        <v>16</v>
      </c>
      <c r="S1499" t="s">
        <v>4</v>
      </c>
      <c r="T1499" t="s">
        <v>3368</v>
      </c>
      <c r="U1499" t="s">
        <v>10</v>
      </c>
      <c r="V1499" s="5">
        <v>0</v>
      </c>
      <c r="W1499" s="5">
        <v>0</v>
      </c>
      <c r="X1499" s="2">
        <v>0</v>
      </c>
      <c r="Y1499" t="s">
        <v>4</v>
      </c>
      <c r="Z1499" t="s">
        <v>4</v>
      </c>
      <c r="AA1499" t="s">
        <v>4</v>
      </c>
      <c r="AB1499" t="s">
        <v>4</v>
      </c>
    </row>
    <row r="1500" spans="1:28" hidden="1" x14ac:dyDescent="0.2">
      <c r="A1500" t="s">
        <v>2202</v>
      </c>
      <c r="B1500" t="s">
        <v>2</v>
      </c>
      <c r="C1500" t="s">
        <v>3</v>
      </c>
      <c r="D1500" t="s">
        <v>4</v>
      </c>
      <c r="E1500" t="s">
        <v>4</v>
      </c>
      <c r="F1500" t="s">
        <v>16</v>
      </c>
      <c r="G1500" t="s">
        <v>21</v>
      </c>
      <c r="H1500" t="s">
        <v>4555</v>
      </c>
      <c r="I1500" s="2">
        <v>800</v>
      </c>
      <c r="J1500" s="2">
        <v>0</v>
      </c>
      <c r="K1500" s="2">
        <v>0</v>
      </c>
      <c r="L1500" s="3">
        <v>45761</v>
      </c>
      <c r="M1500" s="3">
        <v>45761</v>
      </c>
      <c r="N1500" s="3"/>
      <c r="O1500" t="s">
        <v>4556</v>
      </c>
      <c r="P1500" t="s">
        <v>20</v>
      </c>
      <c r="Q1500" s="4">
        <v>0.61663194444444003</v>
      </c>
      <c r="R1500" t="s">
        <v>16</v>
      </c>
      <c r="S1500" t="s">
        <v>4</v>
      </c>
      <c r="T1500" t="s">
        <v>4542</v>
      </c>
      <c r="U1500" t="s">
        <v>10</v>
      </c>
      <c r="V1500" s="5">
        <v>0</v>
      </c>
      <c r="W1500" s="5">
        <v>0</v>
      </c>
      <c r="X1500" s="2">
        <v>0</v>
      </c>
      <c r="Y1500" t="s">
        <v>4</v>
      </c>
      <c r="Z1500" t="s">
        <v>4</v>
      </c>
      <c r="AA1500" t="s">
        <v>4</v>
      </c>
      <c r="AB1500" t="s">
        <v>4</v>
      </c>
    </row>
    <row r="1501" spans="1:28" hidden="1" x14ac:dyDescent="0.2">
      <c r="A1501" t="s">
        <v>2251</v>
      </c>
      <c r="B1501" t="s">
        <v>4</v>
      </c>
      <c r="C1501" t="s">
        <v>4</v>
      </c>
      <c r="D1501" t="s">
        <v>4</v>
      </c>
      <c r="E1501" t="s">
        <v>4</v>
      </c>
      <c r="F1501" t="s">
        <v>16</v>
      </c>
      <c r="G1501" t="s">
        <v>21</v>
      </c>
      <c r="H1501" t="s">
        <v>4557</v>
      </c>
      <c r="I1501" s="5">
        <v>0</v>
      </c>
      <c r="J1501" s="5">
        <v>0</v>
      </c>
      <c r="K1501" s="5">
        <v>0</v>
      </c>
      <c r="L1501" s="3"/>
      <c r="M1501" s="3"/>
      <c r="N1501" s="3"/>
      <c r="O1501" t="s">
        <v>4</v>
      </c>
      <c r="P1501" t="s">
        <v>20</v>
      </c>
      <c r="Q1501" s="4">
        <v>0.34807870370369998</v>
      </c>
      <c r="R1501" t="s">
        <v>4</v>
      </c>
      <c r="S1501" t="s">
        <v>4</v>
      </c>
      <c r="T1501" t="s">
        <v>2256</v>
      </c>
      <c r="U1501" t="s">
        <v>4</v>
      </c>
      <c r="V1501" s="5">
        <v>0</v>
      </c>
      <c r="W1501" s="5">
        <v>0</v>
      </c>
      <c r="X1501" s="2">
        <v>0</v>
      </c>
      <c r="Y1501" t="s">
        <v>4</v>
      </c>
      <c r="Z1501" t="s">
        <v>4</v>
      </c>
      <c r="AA1501" t="s">
        <v>4</v>
      </c>
      <c r="AB1501" t="s">
        <v>4</v>
      </c>
    </row>
    <row r="1502" spans="1:28" hidden="1" x14ac:dyDescent="0.2">
      <c r="A1502" t="s">
        <v>1831</v>
      </c>
      <c r="B1502" t="s">
        <v>2</v>
      </c>
      <c r="C1502" t="s">
        <v>3</v>
      </c>
      <c r="D1502" t="s">
        <v>4</v>
      </c>
      <c r="E1502" t="s">
        <v>4</v>
      </c>
      <c r="F1502" t="s">
        <v>16</v>
      </c>
      <c r="G1502" t="s">
        <v>21</v>
      </c>
      <c r="H1502" t="s">
        <v>4558</v>
      </c>
      <c r="I1502" s="2">
        <v>6260</v>
      </c>
      <c r="J1502" s="2">
        <v>0</v>
      </c>
      <c r="K1502" s="2">
        <v>0</v>
      </c>
      <c r="L1502" s="3">
        <v>45828</v>
      </c>
      <c r="M1502" s="3">
        <v>45860</v>
      </c>
      <c r="N1502" s="3">
        <v>45854</v>
      </c>
      <c r="O1502" t="s">
        <v>4559</v>
      </c>
      <c r="P1502" t="s">
        <v>20</v>
      </c>
      <c r="Q1502" s="4">
        <v>0.33615740740741001</v>
      </c>
      <c r="R1502" t="s">
        <v>16</v>
      </c>
      <c r="S1502" t="s">
        <v>4</v>
      </c>
      <c r="T1502" t="s">
        <v>3742</v>
      </c>
      <c r="U1502" t="s">
        <v>10</v>
      </c>
      <c r="V1502" s="5">
        <v>0</v>
      </c>
      <c r="W1502" s="5">
        <v>0</v>
      </c>
      <c r="X1502" s="2">
        <v>0</v>
      </c>
      <c r="Y1502" t="s">
        <v>4</v>
      </c>
      <c r="Z1502" t="s">
        <v>4</v>
      </c>
      <c r="AA1502" t="s">
        <v>4</v>
      </c>
      <c r="AB1502" t="s">
        <v>4</v>
      </c>
    </row>
    <row r="1503" spans="1:28" hidden="1" x14ac:dyDescent="0.2">
      <c r="A1503" t="s">
        <v>1256</v>
      </c>
      <c r="B1503" t="s">
        <v>2</v>
      </c>
      <c r="C1503" t="s">
        <v>3</v>
      </c>
      <c r="D1503" t="s">
        <v>4</v>
      </c>
      <c r="E1503" t="s">
        <v>4</v>
      </c>
      <c r="F1503" t="s">
        <v>16</v>
      </c>
      <c r="G1503" t="s">
        <v>21</v>
      </c>
      <c r="H1503" t="s">
        <v>4560</v>
      </c>
      <c r="I1503" s="2">
        <v>1769</v>
      </c>
      <c r="J1503" s="2">
        <v>0</v>
      </c>
      <c r="K1503" s="2">
        <v>0</v>
      </c>
      <c r="L1503" s="3">
        <v>45143</v>
      </c>
      <c r="M1503" s="3">
        <v>45691</v>
      </c>
      <c r="N1503" s="3">
        <v>45691</v>
      </c>
      <c r="O1503" t="s">
        <v>4561</v>
      </c>
      <c r="P1503" t="s">
        <v>20</v>
      </c>
      <c r="Q1503" s="4">
        <v>0.71261574074073997</v>
      </c>
      <c r="R1503" t="s">
        <v>16</v>
      </c>
      <c r="S1503" t="s">
        <v>4</v>
      </c>
      <c r="T1503" t="s">
        <v>4562</v>
      </c>
      <c r="U1503" t="s">
        <v>10</v>
      </c>
      <c r="V1503" s="5">
        <v>0</v>
      </c>
      <c r="W1503" s="5">
        <v>0</v>
      </c>
      <c r="X1503" s="2">
        <v>0</v>
      </c>
      <c r="Y1503" t="s">
        <v>4</v>
      </c>
      <c r="Z1503" t="s">
        <v>4</v>
      </c>
      <c r="AA1503" t="s">
        <v>4</v>
      </c>
      <c r="AB1503" t="s">
        <v>4</v>
      </c>
    </row>
    <row r="1504" spans="1:28" hidden="1" x14ac:dyDescent="0.2">
      <c r="A1504" t="s">
        <v>1230</v>
      </c>
      <c r="B1504" t="s">
        <v>2</v>
      </c>
      <c r="C1504" t="s">
        <v>3</v>
      </c>
      <c r="D1504" t="s">
        <v>4</v>
      </c>
      <c r="E1504" t="s">
        <v>4</v>
      </c>
      <c r="F1504" t="s">
        <v>16</v>
      </c>
      <c r="G1504" t="s">
        <v>21</v>
      </c>
      <c r="H1504" t="s">
        <v>4563</v>
      </c>
      <c r="I1504" s="2">
        <v>789</v>
      </c>
      <c r="J1504" s="2">
        <v>0</v>
      </c>
      <c r="K1504" s="2">
        <v>0</v>
      </c>
      <c r="L1504" s="3">
        <v>45817</v>
      </c>
      <c r="M1504" s="3">
        <v>45860</v>
      </c>
      <c r="N1504" s="3">
        <v>45860</v>
      </c>
      <c r="O1504" t="s">
        <v>4564</v>
      </c>
      <c r="P1504" t="s">
        <v>20</v>
      </c>
      <c r="Q1504" s="4">
        <v>0.46702546296295999</v>
      </c>
      <c r="R1504" t="s">
        <v>16</v>
      </c>
      <c r="S1504" t="s">
        <v>4</v>
      </c>
      <c r="T1504" t="s">
        <v>2894</v>
      </c>
      <c r="U1504" t="s">
        <v>10</v>
      </c>
      <c r="V1504" s="5">
        <v>0</v>
      </c>
      <c r="W1504" s="5">
        <v>0</v>
      </c>
      <c r="X1504" s="2">
        <v>0</v>
      </c>
      <c r="Y1504" t="s">
        <v>4</v>
      </c>
      <c r="Z1504" t="s">
        <v>4</v>
      </c>
      <c r="AA1504" t="s">
        <v>4</v>
      </c>
      <c r="AB1504" t="s">
        <v>4</v>
      </c>
    </row>
    <row r="1505" spans="1:28" hidden="1" x14ac:dyDescent="0.2">
      <c r="A1505" t="s">
        <v>1050</v>
      </c>
      <c r="B1505" t="s">
        <v>2</v>
      </c>
      <c r="C1505" t="s">
        <v>3</v>
      </c>
      <c r="D1505" t="s">
        <v>4</v>
      </c>
      <c r="E1505" t="s">
        <v>4</v>
      </c>
      <c r="F1505" t="s">
        <v>16</v>
      </c>
      <c r="G1505" t="s">
        <v>21</v>
      </c>
      <c r="H1505" t="s">
        <v>4565</v>
      </c>
      <c r="I1505" s="2">
        <v>8400</v>
      </c>
      <c r="J1505" s="2">
        <v>0</v>
      </c>
      <c r="K1505" s="2">
        <v>0</v>
      </c>
      <c r="L1505" s="3">
        <v>45843</v>
      </c>
      <c r="M1505" s="3">
        <v>45843</v>
      </c>
      <c r="N1505" s="3"/>
      <c r="O1505" t="s">
        <v>4566</v>
      </c>
      <c r="P1505" t="s">
        <v>20</v>
      </c>
      <c r="Q1505" s="4">
        <v>0.48509259259259002</v>
      </c>
      <c r="R1505" t="s">
        <v>16</v>
      </c>
      <c r="S1505" t="s">
        <v>4</v>
      </c>
      <c r="T1505" t="s">
        <v>2783</v>
      </c>
      <c r="U1505" t="s">
        <v>10</v>
      </c>
      <c r="V1505" s="5">
        <v>0</v>
      </c>
      <c r="W1505" s="5">
        <v>0</v>
      </c>
      <c r="X1505" s="2">
        <v>0</v>
      </c>
      <c r="Y1505" t="s">
        <v>4</v>
      </c>
      <c r="Z1505" t="s">
        <v>4</v>
      </c>
      <c r="AA1505" t="s">
        <v>4</v>
      </c>
      <c r="AB1505" t="s">
        <v>4</v>
      </c>
    </row>
    <row r="1506" spans="1:28" hidden="1" x14ac:dyDescent="0.2">
      <c r="A1506" t="s">
        <v>638</v>
      </c>
      <c r="B1506" t="s">
        <v>2</v>
      </c>
      <c r="C1506" t="s">
        <v>3</v>
      </c>
      <c r="D1506" t="s">
        <v>4</v>
      </c>
      <c r="E1506" t="s">
        <v>4</v>
      </c>
      <c r="F1506" t="s">
        <v>16</v>
      </c>
      <c r="G1506" t="s">
        <v>21</v>
      </c>
      <c r="H1506" t="s">
        <v>4567</v>
      </c>
      <c r="I1506" s="2">
        <v>720</v>
      </c>
      <c r="J1506" s="2">
        <v>0</v>
      </c>
      <c r="K1506" s="2">
        <v>0</v>
      </c>
      <c r="L1506" s="3">
        <v>45748</v>
      </c>
      <c r="M1506" s="3">
        <v>45748</v>
      </c>
      <c r="N1506" s="3"/>
      <c r="O1506" t="s">
        <v>4568</v>
      </c>
      <c r="P1506" t="s">
        <v>20</v>
      </c>
      <c r="Q1506" s="4">
        <v>0.86312500000000003</v>
      </c>
      <c r="R1506" t="s">
        <v>16</v>
      </c>
      <c r="S1506" t="s">
        <v>4</v>
      </c>
      <c r="T1506" t="s">
        <v>3368</v>
      </c>
      <c r="U1506" t="s">
        <v>10</v>
      </c>
      <c r="V1506" s="5">
        <v>0</v>
      </c>
      <c r="W1506" s="5">
        <v>0</v>
      </c>
      <c r="X1506" s="2">
        <v>0</v>
      </c>
      <c r="Y1506" t="s">
        <v>4</v>
      </c>
      <c r="Z1506" t="s">
        <v>4</v>
      </c>
      <c r="AA1506" t="s">
        <v>4</v>
      </c>
      <c r="AB1506" t="s">
        <v>4</v>
      </c>
    </row>
    <row r="1507" spans="1:28" hidden="1" x14ac:dyDescent="0.2">
      <c r="A1507" t="s">
        <v>2092</v>
      </c>
      <c r="B1507" t="s">
        <v>2</v>
      </c>
      <c r="C1507" t="s">
        <v>3</v>
      </c>
      <c r="D1507" t="s">
        <v>4</v>
      </c>
      <c r="E1507" t="s">
        <v>4</v>
      </c>
      <c r="F1507" t="s">
        <v>16</v>
      </c>
      <c r="G1507" t="s">
        <v>21</v>
      </c>
      <c r="H1507" t="s">
        <v>4569</v>
      </c>
      <c r="I1507" s="2">
        <v>6000</v>
      </c>
      <c r="J1507" s="2">
        <v>0</v>
      </c>
      <c r="K1507" s="2">
        <v>0</v>
      </c>
      <c r="L1507" s="3">
        <v>45847</v>
      </c>
      <c r="M1507" s="3">
        <v>45847</v>
      </c>
      <c r="N1507" s="3"/>
      <c r="O1507" t="s">
        <v>4570</v>
      </c>
      <c r="P1507" t="s">
        <v>20</v>
      </c>
      <c r="Q1507" s="4">
        <v>0.48844907407407001</v>
      </c>
      <c r="R1507" t="s">
        <v>16</v>
      </c>
      <c r="S1507" t="s">
        <v>4</v>
      </c>
      <c r="T1507" t="s">
        <v>2341</v>
      </c>
      <c r="U1507" t="s">
        <v>10</v>
      </c>
      <c r="V1507" s="5">
        <v>0</v>
      </c>
      <c r="W1507" s="5">
        <v>0</v>
      </c>
      <c r="X1507" s="2">
        <v>0</v>
      </c>
      <c r="Y1507" t="s">
        <v>4</v>
      </c>
      <c r="Z1507" t="s">
        <v>4</v>
      </c>
      <c r="AA1507" t="s">
        <v>4</v>
      </c>
      <c r="AB1507" t="s">
        <v>4</v>
      </c>
    </row>
    <row r="1508" spans="1:28" hidden="1" x14ac:dyDescent="0.2">
      <c r="A1508" t="s">
        <v>1558</v>
      </c>
      <c r="B1508" t="s">
        <v>2</v>
      </c>
      <c r="C1508" t="s">
        <v>3</v>
      </c>
      <c r="D1508" t="s">
        <v>4</v>
      </c>
      <c r="E1508" t="s">
        <v>4</v>
      </c>
      <c r="F1508" t="s">
        <v>16</v>
      </c>
      <c r="G1508" t="s">
        <v>21</v>
      </c>
      <c r="H1508" t="s">
        <v>4571</v>
      </c>
      <c r="I1508" s="2">
        <v>450</v>
      </c>
      <c r="J1508" s="2">
        <v>0</v>
      </c>
      <c r="K1508" s="2">
        <v>0</v>
      </c>
      <c r="L1508" s="3">
        <v>45848</v>
      </c>
      <c r="M1508" s="3">
        <v>45853</v>
      </c>
      <c r="N1508" s="3"/>
      <c r="O1508" t="s">
        <v>4572</v>
      </c>
      <c r="P1508" t="s">
        <v>20</v>
      </c>
      <c r="Q1508" s="4">
        <v>0.59178240740740995</v>
      </c>
      <c r="R1508" t="s">
        <v>16</v>
      </c>
      <c r="S1508" t="s">
        <v>4</v>
      </c>
      <c r="T1508" t="s">
        <v>2580</v>
      </c>
      <c r="U1508" t="s">
        <v>10</v>
      </c>
      <c r="V1508" s="5">
        <v>0</v>
      </c>
      <c r="W1508" s="5">
        <v>0</v>
      </c>
      <c r="X1508" s="2">
        <v>0</v>
      </c>
      <c r="Y1508" t="s">
        <v>4</v>
      </c>
      <c r="Z1508" t="s">
        <v>4</v>
      </c>
      <c r="AA1508" t="s">
        <v>4</v>
      </c>
      <c r="AB1508" t="s">
        <v>4</v>
      </c>
    </row>
    <row r="1509" spans="1:28" hidden="1" x14ac:dyDescent="0.2">
      <c r="A1509" t="s">
        <v>1217</v>
      </c>
      <c r="B1509" t="s">
        <v>2</v>
      </c>
      <c r="C1509" t="s">
        <v>3</v>
      </c>
      <c r="D1509" t="s">
        <v>4</v>
      </c>
      <c r="E1509" t="s">
        <v>4</v>
      </c>
      <c r="F1509" t="s">
        <v>16</v>
      </c>
      <c r="G1509" t="s">
        <v>21</v>
      </c>
      <c r="H1509" t="s">
        <v>4573</v>
      </c>
      <c r="I1509" s="2">
        <v>1317</v>
      </c>
      <c r="J1509" s="2">
        <v>0</v>
      </c>
      <c r="K1509" s="2">
        <v>0</v>
      </c>
      <c r="L1509" s="3">
        <v>45733</v>
      </c>
      <c r="M1509" s="3">
        <v>45853</v>
      </c>
      <c r="N1509" s="3">
        <v>45853</v>
      </c>
      <c r="O1509" t="s">
        <v>4574</v>
      </c>
      <c r="P1509" t="s">
        <v>20</v>
      </c>
      <c r="Q1509" s="4">
        <v>0.92568287037037</v>
      </c>
      <c r="R1509" t="s">
        <v>16</v>
      </c>
      <c r="S1509" t="s">
        <v>4</v>
      </c>
      <c r="T1509" t="s">
        <v>4290</v>
      </c>
      <c r="U1509" t="s">
        <v>10</v>
      </c>
      <c r="V1509" s="5">
        <v>0</v>
      </c>
      <c r="W1509" s="5">
        <v>0</v>
      </c>
      <c r="X1509" s="2">
        <v>0</v>
      </c>
      <c r="Y1509" t="s">
        <v>4</v>
      </c>
      <c r="Z1509" t="s">
        <v>4</v>
      </c>
      <c r="AA1509" t="s">
        <v>4</v>
      </c>
      <c r="AB1509" t="s">
        <v>4</v>
      </c>
    </row>
    <row r="1510" spans="1:28" hidden="1" x14ac:dyDescent="0.2">
      <c r="A1510" t="s">
        <v>1219</v>
      </c>
      <c r="B1510" t="s">
        <v>2</v>
      </c>
      <c r="C1510" t="s">
        <v>3</v>
      </c>
      <c r="D1510" t="s">
        <v>4</v>
      </c>
      <c r="E1510" t="s">
        <v>4</v>
      </c>
      <c r="F1510" t="s">
        <v>16</v>
      </c>
      <c r="G1510" t="s">
        <v>21</v>
      </c>
      <c r="H1510" t="s">
        <v>4575</v>
      </c>
      <c r="I1510" s="2">
        <v>1800</v>
      </c>
      <c r="J1510" s="2">
        <v>0</v>
      </c>
      <c r="K1510" s="2">
        <v>0</v>
      </c>
      <c r="L1510" s="3">
        <v>45856</v>
      </c>
      <c r="M1510" s="3">
        <v>45856</v>
      </c>
      <c r="N1510" s="3"/>
      <c r="O1510" t="s">
        <v>4576</v>
      </c>
      <c r="P1510" t="s">
        <v>20</v>
      </c>
      <c r="Q1510" s="4">
        <v>0.45118055555556003</v>
      </c>
      <c r="R1510" t="s">
        <v>16</v>
      </c>
      <c r="S1510" t="s">
        <v>4</v>
      </c>
      <c r="T1510" t="s">
        <v>2260</v>
      </c>
      <c r="U1510" t="s">
        <v>10</v>
      </c>
      <c r="V1510" s="5">
        <v>0</v>
      </c>
      <c r="W1510" s="5">
        <v>0</v>
      </c>
      <c r="X1510" s="2">
        <v>0</v>
      </c>
      <c r="Y1510" t="s">
        <v>4</v>
      </c>
      <c r="Z1510" t="s">
        <v>4</v>
      </c>
      <c r="AA1510" t="s">
        <v>4</v>
      </c>
      <c r="AB1510" t="s">
        <v>4</v>
      </c>
    </row>
    <row r="1511" spans="1:28" hidden="1" x14ac:dyDescent="0.2">
      <c r="A1511" t="s">
        <v>1449</v>
      </c>
      <c r="B1511" t="s">
        <v>2</v>
      </c>
      <c r="C1511" t="s">
        <v>3</v>
      </c>
      <c r="D1511" t="s">
        <v>4</v>
      </c>
      <c r="E1511" t="s">
        <v>4</v>
      </c>
      <c r="F1511" t="s">
        <v>16</v>
      </c>
      <c r="G1511" t="s">
        <v>21</v>
      </c>
      <c r="H1511" t="s">
        <v>4577</v>
      </c>
      <c r="I1511" s="2">
        <v>5400</v>
      </c>
      <c r="J1511" s="2">
        <v>0</v>
      </c>
      <c r="K1511" s="2">
        <v>0</v>
      </c>
      <c r="L1511" s="3">
        <v>45847</v>
      </c>
      <c r="M1511" s="3">
        <v>45847</v>
      </c>
      <c r="N1511" s="3"/>
      <c r="O1511" t="s">
        <v>4578</v>
      </c>
      <c r="P1511" t="s">
        <v>20</v>
      </c>
      <c r="Q1511" s="4">
        <v>0.48863425925926002</v>
      </c>
      <c r="R1511" t="s">
        <v>16</v>
      </c>
      <c r="S1511" t="s">
        <v>4</v>
      </c>
      <c r="T1511" t="s">
        <v>2341</v>
      </c>
      <c r="U1511" t="s">
        <v>10</v>
      </c>
      <c r="V1511" s="5">
        <v>0</v>
      </c>
      <c r="W1511" s="5">
        <v>0</v>
      </c>
      <c r="X1511" s="2">
        <v>0</v>
      </c>
      <c r="Y1511" t="s">
        <v>4</v>
      </c>
      <c r="Z1511" t="s">
        <v>4</v>
      </c>
      <c r="AA1511" t="s">
        <v>4</v>
      </c>
      <c r="AB1511" t="s">
        <v>4</v>
      </c>
    </row>
    <row r="1512" spans="1:28" hidden="1" x14ac:dyDescent="0.2">
      <c r="A1512" t="s">
        <v>1196</v>
      </c>
      <c r="B1512" t="s">
        <v>2</v>
      </c>
      <c r="C1512" t="s">
        <v>3</v>
      </c>
      <c r="D1512" t="s">
        <v>4</v>
      </c>
      <c r="E1512" t="s">
        <v>4</v>
      </c>
      <c r="F1512" t="s">
        <v>16</v>
      </c>
      <c r="G1512" t="s">
        <v>21</v>
      </c>
      <c r="H1512" t="s">
        <v>4579</v>
      </c>
      <c r="I1512" s="2">
        <v>40</v>
      </c>
      <c r="J1512" s="2">
        <v>0</v>
      </c>
      <c r="K1512" s="2">
        <v>0</v>
      </c>
      <c r="L1512" s="3">
        <v>45455</v>
      </c>
      <c r="M1512" s="3">
        <v>45799</v>
      </c>
      <c r="N1512" s="3"/>
      <c r="O1512" t="s">
        <v>4580</v>
      </c>
      <c r="P1512" t="s">
        <v>20</v>
      </c>
      <c r="Q1512" s="4">
        <v>0.74206018518519001</v>
      </c>
      <c r="R1512" t="s">
        <v>16</v>
      </c>
      <c r="S1512" t="s">
        <v>4</v>
      </c>
      <c r="T1512" t="s">
        <v>4581</v>
      </c>
      <c r="U1512" t="s">
        <v>10</v>
      </c>
      <c r="V1512" s="5">
        <v>0</v>
      </c>
      <c r="W1512" s="5">
        <v>0</v>
      </c>
      <c r="X1512" s="2">
        <v>0</v>
      </c>
      <c r="Y1512" t="s">
        <v>4</v>
      </c>
      <c r="Z1512" t="s">
        <v>4</v>
      </c>
      <c r="AA1512" t="s">
        <v>4</v>
      </c>
      <c r="AB1512" t="s">
        <v>4</v>
      </c>
    </row>
    <row r="1513" spans="1:28" hidden="1" x14ac:dyDescent="0.2">
      <c r="A1513" t="s">
        <v>1171</v>
      </c>
      <c r="B1513" t="s">
        <v>2</v>
      </c>
      <c r="C1513" t="s">
        <v>3</v>
      </c>
      <c r="D1513" t="s">
        <v>4</v>
      </c>
      <c r="E1513" t="s">
        <v>4</v>
      </c>
      <c r="F1513" t="s">
        <v>16</v>
      </c>
      <c r="G1513" t="s">
        <v>21</v>
      </c>
      <c r="H1513" t="s">
        <v>4582</v>
      </c>
      <c r="I1513" s="2">
        <v>600</v>
      </c>
      <c r="J1513" s="2">
        <v>0</v>
      </c>
      <c r="K1513" s="2">
        <v>0</v>
      </c>
      <c r="L1513" s="3">
        <v>45856</v>
      </c>
      <c r="M1513" s="3">
        <v>45856</v>
      </c>
      <c r="N1513" s="3"/>
      <c r="O1513" t="s">
        <v>4583</v>
      </c>
      <c r="P1513" t="s">
        <v>20</v>
      </c>
      <c r="Q1513" s="4">
        <v>0.92100694444443998</v>
      </c>
      <c r="R1513" t="s">
        <v>16</v>
      </c>
      <c r="S1513" t="s">
        <v>4</v>
      </c>
      <c r="T1513" t="s">
        <v>2260</v>
      </c>
      <c r="U1513" t="s">
        <v>10</v>
      </c>
      <c r="V1513" s="5">
        <v>0</v>
      </c>
      <c r="W1513" s="5">
        <v>0</v>
      </c>
      <c r="X1513" s="2">
        <v>0</v>
      </c>
      <c r="Y1513" t="s">
        <v>4</v>
      </c>
      <c r="Z1513" t="s">
        <v>4</v>
      </c>
      <c r="AA1513" t="s">
        <v>4</v>
      </c>
      <c r="AB1513" t="s">
        <v>4</v>
      </c>
    </row>
    <row r="1514" spans="1:28" hidden="1" x14ac:dyDescent="0.2">
      <c r="A1514" t="s">
        <v>1879</v>
      </c>
      <c r="B1514" t="s">
        <v>2</v>
      </c>
      <c r="C1514" t="s">
        <v>3</v>
      </c>
      <c r="D1514" t="s">
        <v>4</v>
      </c>
      <c r="E1514" t="s">
        <v>4</v>
      </c>
      <c r="F1514" t="s">
        <v>16</v>
      </c>
      <c r="G1514" t="s">
        <v>21</v>
      </c>
      <c r="H1514" t="s">
        <v>4584</v>
      </c>
      <c r="I1514" s="2">
        <v>9600</v>
      </c>
      <c r="J1514" s="2">
        <v>0</v>
      </c>
      <c r="K1514" s="2">
        <v>0</v>
      </c>
      <c r="L1514" s="3">
        <v>45858</v>
      </c>
      <c r="M1514" s="3">
        <v>45858</v>
      </c>
      <c r="N1514" s="3"/>
      <c r="O1514" t="s">
        <v>4585</v>
      </c>
      <c r="P1514" t="s">
        <v>20</v>
      </c>
      <c r="Q1514" s="4">
        <v>0.56928240740740998</v>
      </c>
      <c r="R1514" t="s">
        <v>16</v>
      </c>
      <c r="S1514" t="s">
        <v>4</v>
      </c>
      <c r="T1514" t="s">
        <v>2337</v>
      </c>
      <c r="U1514" t="s">
        <v>10</v>
      </c>
      <c r="V1514" s="5">
        <v>0</v>
      </c>
      <c r="W1514" s="5">
        <v>0</v>
      </c>
      <c r="X1514" s="2">
        <v>0</v>
      </c>
      <c r="Y1514" t="s">
        <v>4</v>
      </c>
      <c r="Z1514" t="s">
        <v>4</v>
      </c>
      <c r="AA1514" t="s">
        <v>4</v>
      </c>
      <c r="AB1514" t="s">
        <v>4</v>
      </c>
    </row>
    <row r="1515" spans="1:28" hidden="1" x14ac:dyDescent="0.2">
      <c r="A1515" t="s">
        <v>334</v>
      </c>
      <c r="B1515" t="s">
        <v>2</v>
      </c>
      <c r="C1515" t="s">
        <v>3</v>
      </c>
      <c r="D1515" t="s">
        <v>4</v>
      </c>
      <c r="E1515" t="s">
        <v>4</v>
      </c>
      <c r="F1515" t="s">
        <v>16</v>
      </c>
      <c r="G1515" t="s">
        <v>21</v>
      </c>
      <c r="H1515" t="s">
        <v>4586</v>
      </c>
      <c r="I1515" s="2">
        <v>11040</v>
      </c>
      <c r="J1515" s="2">
        <v>0</v>
      </c>
      <c r="K1515" s="2">
        <v>0</v>
      </c>
      <c r="L1515" s="3">
        <v>45849</v>
      </c>
      <c r="M1515" s="3">
        <v>45849</v>
      </c>
      <c r="N1515" s="3"/>
      <c r="O1515" t="s">
        <v>4587</v>
      </c>
      <c r="P1515" t="s">
        <v>20</v>
      </c>
      <c r="Q1515" s="4">
        <v>0.65158564814815001</v>
      </c>
      <c r="R1515" t="s">
        <v>16</v>
      </c>
      <c r="S1515" t="s">
        <v>4</v>
      </c>
      <c r="T1515" t="s">
        <v>2321</v>
      </c>
      <c r="U1515" t="s">
        <v>10</v>
      </c>
      <c r="V1515" s="5">
        <v>0</v>
      </c>
      <c r="W1515" s="5">
        <v>0</v>
      </c>
      <c r="X1515" s="2">
        <v>0</v>
      </c>
      <c r="Y1515" t="s">
        <v>4</v>
      </c>
      <c r="Z1515" t="s">
        <v>4</v>
      </c>
      <c r="AA1515" t="s">
        <v>4</v>
      </c>
      <c r="AB1515" t="s">
        <v>4</v>
      </c>
    </row>
    <row r="1516" spans="1:28" hidden="1" x14ac:dyDescent="0.2">
      <c r="A1516" t="s">
        <v>2200</v>
      </c>
      <c r="B1516" t="s">
        <v>2</v>
      </c>
      <c r="C1516" t="s">
        <v>3</v>
      </c>
      <c r="D1516" t="s">
        <v>4</v>
      </c>
      <c r="E1516" t="s">
        <v>4</v>
      </c>
      <c r="F1516" t="s">
        <v>16</v>
      </c>
      <c r="G1516" t="s">
        <v>21</v>
      </c>
      <c r="H1516" t="s">
        <v>4588</v>
      </c>
      <c r="I1516" s="2">
        <v>700</v>
      </c>
      <c r="J1516" s="2">
        <v>0</v>
      </c>
      <c r="K1516" s="2">
        <v>0</v>
      </c>
      <c r="L1516" s="3">
        <v>45819</v>
      </c>
      <c r="M1516" s="3">
        <v>45819</v>
      </c>
      <c r="N1516" s="3"/>
      <c r="O1516" t="s">
        <v>4589</v>
      </c>
      <c r="P1516" t="s">
        <v>20</v>
      </c>
      <c r="Q1516" s="4">
        <v>0.92369212962962999</v>
      </c>
      <c r="R1516" t="s">
        <v>16</v>
      </c>
      <c r="S1516" t="s">
        <v>4</v>
      </c>
      <c r="T1516" t="s">
        <v>2263</v>
      </c>
      <c r="U1516" t="s">
        <v>10</v>
      </c>
      <c r="V1516" s="5">
        <v>0</v>
      </c>
      <c r="W1516" s="5">
        <v>0</v>
      </c>
      <c r="X1516" s="2">
        <v>0</v>
      </c>
      <c r="Y1516" t="s">
        <v>4</v>
      </c>
      <c r="Z1516" t="s">
        <v>4</v>
      </c>
      <c r="AA1516" t="s">
        <v>4</v>
      </c>
      <c r="AB1516" t="s">
        <v>4</v>
      </c>
    </row>
    <row r="1517" spans="1:28" hidden="1" x14ac:dyDescent="0.2">
      <c r="A1517" t="s">
        <v>715</v>
      </c>
      <c r="B1517" t="s">
        <v>2</v>
      </c>
      <c r="C1517" t="s">
        <v>3</v>
      </c>
      <c r="D1517" t="s">
        <v>4</v>
      </c>
      <c r="E1517" t="s">
        <v>4</v>
      </c>
      <c r="F1517" t="s">
        <v>16</v>
      </c>
      <c r="G1517" t="s">
        <v>21</v>
      </c>
      <c r="H1517" t="s">
        <v>4590</v>
      </c>
      <c r="I1517" s="2">
        <v>88</v>
      </c>
      <c r="J1517" s="2">
        <v>0</v>
      </c>
      <c r="K1517" s="2">
        <v>0</v>
      </c>
      <c r="L1517" s="3">
        <v>45855</v>
      </c>
      <c r="M1517" s="3">
        <v>45855</v>
      </c>
      <c r="N1517" s="3"/>
      <c r="O1517" t="s">
        <v>4591</v>
      </c>
      <c r="P1517" t="s">
        <v>20</v>
      </c>
      <c r="Q1517" s="4">
        <v>0.95880787037036996</v>
      </c>
      <c r="R1517" t="s">
        <v>16</v>
      </c>
      <c r="S1517" t="s">
        <v>4</v>
      </c>
      <c r="T1517" t="s">
        <v>2350</v>
      </c>
      <c r="U1517" t="s">
        <v>10</v>
      </c>
      <c r="V1517" s="5">
        <v>0</v>
      </c>
      <c r="W1517" s="5">
        <v>0</v>
      </c>
      <c r="X1517" s="2">
        <v>0</v>
      </c>
      <c r="Y1517" t="s">
        <v>4</v>
      </c>
      <c r="Z1517" t="s">
        <v>4</v>
      </c>
      <c r="AA1517" t="s">
        <v>4</v>
      </c>
      <c r="AB1517" t="s">
        <v>4</v>
      </c>
    </row>
    <row r="1518" spans="1:28" hidden="1" x14ac:dyDescent="0.2">
      <c r="A1518" t="s">
        <v>2152</v>
      </c>
      <c r="B1518" t="s">
        <v>2</v>
      </c>
      <c r="C1518" t="s">
        <v>3</v>
      </c>
      <c r="D1518" t="s">
        <v>4</v>
      </c>
      <c r="E1518" t="s">
        <v>4</v>
      </c>
      <c r="F1518" t="s">
        <v>16</v>
      </c>
      <c r="G1518" t="s">
        <v>21</v>
      </c>
      <c r="H1518" t="s">
        <v>4592</v>
      </c>
      <c r="I1518" s="2">
        <v>80</v>
      </c>
      <c r="J1518" s="2">
        <v>0</v>
      </c>
      <c r="K1518" s="2">
        <v>0</v>
      </c>
      <c r="L1518" s="3">
        <v>45832</v>
      </c>
      <c r="M1518" s="3">
        <v>45843</v>
      </c>
      <c r="N1518" s="3"/>
      <c r="O1518" t="s">
        <v>4593</v>
      </c>
      <c r="P1518" t="s">
        <v>20</v>
      </c>
      <c r="Q1518" s="4">
        <v>0.67136574074073996</v>
      </c>
      <c r="R1518" t="s">
        <v>16</v>
      </c>
      <c r="S1518" t="s">
        <v>4</v>
      </c>
      <c r="T1518" t="s">
        <v>2665</v>
      </c>
      <c r="U1518" t="s">
        <v>10</v>
      </c>
      <c r="V1518" s="5">
        <v>0</v>
      </c>
      <c r="W1518" s="5">
        <v>0</v>
      </c>
      <c r="X1518" s="2">
        <v>0</v>
      </c>
      <c r="Y1518" t="s">
        <v>4</v>
      </c>
      <c r="Z1518" t="s">
        <v>4</v>
      </c>
      <c r="AA1518" t="s">
        <v>4</v>
      </c>
      <c r="AB1518" t="s">
        <v>4</v>
      </c>
    </row>
    <row r="1519" spans="1:28" hidden="1" x14ac:dyDescent="0.2">
      <c r="A1519" t="s">
        <v>2200</v>
      </c>
      <c r="B1519" t="s">
        <v>2</v>
      </c>
      <c r="C1519" t="s">
        <v>3</v>
      </c>
      <c r="D1519" t="s">
        <v>4</v>
      </c>
      <c r="E1519" t="s">
        <v>4</v>
      </c>
      <c r="F1519" t="s">
        <v>16</v>
      </c>
      <c r="G1519" t="s">
        <v>21</v>
      </c>
      <c r="H1519" t="s">
        <v>4594</v>
      </c>
      <c r="I1519" s="2">
        <v>2000</v>
      </c>
      <c r="J1519" s="2">
        <v>0</v>
      </c>
      <c r="K1519" s="2">
        <v>0</v>
      </c>
      <c r="L1519" s="3">
        <v>45853</v>
      </c>
      <c r="M1519" s="3">
        <v>45853</v>
      </c>
      <c r="N1519" s="3"/>
      <c r="O1519" t="s">
        <v>4595</v>
      </c>
      <c r="P1519" t="s">
        <v>20</v>
      </c>
      <c r="Q1519" s="4">
        <v>0.87724537037036998</v>
      </c>
      <c r="R1519" t="s">
        <v>16</v>
      </c>
      <c r="S1519" t="s">
        <v>4</v>
      </c>
      <c r="T1519" t="s">
        <v>2272</v>
      </c>
      <c r="U1519" t="s">
        <v>10</v>
      </c>
      <c r="V1519" s="5">
        <v>0</v>
      </c>
      <c r="W1519" s="5">
        <v>0</v>
      </c>
      <c r="X1519" s="2">
        <v>0</v>
      </c>
      <c r="Y1519" t="s">
        <v>4</v>
      </c>
      <c r="Z1519" t="s">
        <v>4</v>
      </c>
      <c r="AA1519" t="s">
        <v>4</v>
      </c>
      <c r="AB1519" t="s">
        <v>4</v>
      </c>
    </row>
    <row r="1520" spans="1:28" hidden="1" x14ac:dyDescent="0.2">
      <c r="A1520" t="s">
        <v>626</v>
      </c>
      <c r="B1520" t="s">
        <v>2</v>
      </c>
      <c r="C1520" t="s">
        <v>3</v>
      </c>
      <c r="D1520" t="s">
        <v>4</v>
      </c>
      <c r="E1520" t="s">
        <v>4</v>
      </c>
      <c r="F1520" t="s">
        <v>16</v>
      </c>
      <c r="G1520" t="s">
        <v>21</v>
      </c>
      <c r="H1520" t="s">
        <v>4596</v>
      </c>
      <c r="I1520" s="2">
        <v>320</v>
      </c>
      <c r="J1520" s="2">
        <v>0</v>
      </c>
      <c r="K1520" s="2">
        <v>0</v>
      </c>
      <c r="L1520" s="3">
        <v>45812</v>
      </c>
      <c r="M1520" s="3">
        <v>45824</v>
      </c>
      <c r="N1520" s="3">
        <v>45824</v>
      </c>
      <c r="O1520" t="s">
        <v>4597</v>
      </c>
      <c r="P1520" t="s">
        <v>20</v>
      </c>
      <c r="Q1520" s="4">
        <v>0.80236111111110997</v>
      </c>
      <c r="R1520" t="s">
        <v>16</v>
      </c>
      <c r="S1520" t="s">
        <v>4</v>
      </c>
      <c r="T1520" t="s">
        <v>4095</v>
      </c>
      <c r="U1520" t="s">
        <v>10</v>
      </c>
      <c r="V1520" s="5">
        <v>0</v>
      </c>
      <c r="W1520" s="5">
        <v>0</v>
      </c>
      <c r="X1520" s="2">
        <v>0</v>
      </c>
      <c r="Y1520" t="s">
        <v>4</v>
      </c>
      <c r="Z1520" t="s">
        <v>4</v>
      </c>
      <c r="AA1520" t="s">
        <v>4</v>
      </c>
      <c r="AB1520" t="s">
        <v>4</v>
      </c>
    </row>
    <row r="1521" spans="1:28" hidden="1" x14ac:dyDescent="0.2">
      <c r="A1521" t="s">
        <v>285</v>
      </c>
      <c r="B1521" t="s">
        <v>2</v>
      </c>
      <c r="C1521" t="s">
        <v>3</v>
      </c>
      <c r="D1521" t="s">
        <v>4</v>
      </c>
      <c r="E1521" t="s">
        <v>4</v>
      </c>
      <c r="F1521" t="s">
        <v>16</v>
      </c>
      <c r="G1521" t="s">
        <v>21</v>
      </c>
      <c r="H1521" t="s">
        <v>4598</v>
      </c>
      <c r="I1521" s="2">
        <v>30</v>
      </c>
      <c r="J1521" s="2">
        <v>0</v>
      </c>
      <c r="K1521" s="2">
        <v>0</v>
      </c>
      <c r="L1521" s="3">
        <v>45829</v>
      </c>
      <c r="M1521" s="3">
        <v>45829</v>
      </c>
      <c r="N1521" s="3"/>
      <c r="O1521" t="s">
        <v>4599</v>
      </c>
      <c r="P1521" t="s">
        <v>20</v>
      </c>
      <c r="Q1521" s="4">
        <v>0.72657407407407004</v>
      </c>
      <c r="R1521" t="s">
        <v>16</v>
      </c>
      <c r="S1521" t="s">
        <v>4</v>
      </c>
      <c r="T1521" t="s">
        <v>3242</v>
      </c>
      <c r="U1521" t="s">
        <v>10</v>
      </c>
      <c r="V1521" s="5">
        <v>0</v>
      </c>
      <c r="W1521" s="5">
        <v>0</v>
      </c>
      <c r="X1521" s="2">
        <v>0</v>
      </c>
      <c r="Y1521" t="s">
        <v>4</v>
      </c>
      <c r="Z1521" t="s">
        <v>4</v>
      </c>
      <c r="AA1521" t="s">
        <v>4</v>
      </c>
      <c r="AB1521" t="s">
        <v>4</v>
      </c>
    </row>
    <row r="1522" spans="1:28" hidden="1" x14ac:dyDescent="0.2">
      <c r="A1522" t="s">
        <v>1193</v>
      </c>
      <c r="B1522" t="s">
        <v>2</v>
      </c>
      <c r="C1522" t="s">
        <v>3</v>
      </c>
      <c r="D1522" t="s">
        <v>4</v>
      </c>
      <c r="E1522" t="s">
        <v>4</v>
      </c>
      <c r="F1522" t="s">
        <v>16</v>
      </c>
      <c r="G1522" t="s">
        <v>21</v>
      </c>
      <c r="H1522" t="s">
        <v>4600</v>
      </c>
      <c r="I1522" s="2">
        <v>400</v>
      </c>
      <c r="J1522" s="2">
        <v>0</v>
      </c>
      <c r="K1522" s="2">
        <v>0</v>
      </c>
      <c r="L1522" s="3">
        <v>45819</v>
      </c>
      <c r="M1522" s="3">
        <v>45819</v>
      </c>
      <c r="N1522" s="3"/>
      <c r="O1522" t="s">
        <v>4601</v>
      </c>
      <c r="P1522" t="s">
        <v>20</v>
      </c>
      <c r="Q1522" s="4">
        <v>0.92431712962962997</v>
      </c>
      <c r="R1522" t="s">
        <v>16</v>
      </c>
      <c r="S1522" t="s">
        <v>4</v>
      </c>
      <c r="T1522" t="s">
        <v>2263</v>
      </c>
      <c r="U1522" t="s">
        <v>10</v>
      </c>
      <c r="V1522" s="5">
        <v>0</v>
      </c>
      <c r="W1522" s="5">
        <v>0</v>
      </c>
      <c r="X1522" s="2">
        <v>0</v>
      </c>
      <c r="Y1522" t="s">
        <v>4</v>
      </c>
      <c r="Z1522" t="s">
        <v>4</v>
      </c>
      <c r="AA1522" t="s">
        <v>4</v>
      </c>
      <c r="AB1522" t="s">
        <v>4</v>
      </c>
    </row>
    <row r="1523" spans="1:28" hidden="1" x14ac:dyDescent="0.2">
      <c r="A1523" t="s">
        <v>1050</v>
      </c>
      <c r="B1523" t="s">
        <v>2</v>
      </c>
      <c r="C1523" t="s">
        <v>3</v>
      </c>
      <c r="D1523" t="s">
        <v>4</v>
      </c>
      <c r="E1523" t="s">
        <v>4</v>
      </c>
      <c r="F1523" t="s">
        <v>16</v>
      </c>
      <c r="G1523" t="s">
        <v>21</v>
      </c>
      <c r="H1523" t="s">
        <v>4602</v>
      </c>
      <c r="I1523" s="2">
        <v>7800</v>
      </c>
      <c r="J1523" s="2">
        <v>0</v>
      </c>
      <c r="K1523" s="2">
        <v>0</v>
      </c>
      <c r="L1523" s="3">
        <v>45847</v>
      </c>
      <c r="M1523" s="3">
        <v>45847</v>
      </c>
      <c r="N1523" s="3"/>
      <c r="O1523" t="s">
        <v>4603</v>
      </c>
      <c r="P1523" t="s">
        <v>20</v>
      </c>
      <c r="Q1523" s="4">
        <v>0.50615740740741</v>
      </c>
      <c r="R1523" t="s">
        <v>16</v>
      </c>
      <c r="S1523" t="s">
        <v>4</v>
      </c>
      <c r="T1523" t="s">
        <v>2341</v>
      </c>
      <c r="U1523" t="s">
        <v>10</v>
      </c>
      <c r="V1523" s="5">
        <v>0</v>
      </c>
      <c r="W1523" s="5">
        <v>0</v>
      </c>
      <c r="X1523" s="2">
        <v>0</v>
      </c>
      <c r="Y1523" t="s">
        <v>4</v>
      </c>
      <c r="Z1523" t="s">
        <v>4</v>
      </c>
      <c r="AA1523" t="s">
        <v>4</v>
      </c>
      <c r="AB1523" t="s">
        <v>4</v>
      </c>
    </row>
    <row r="1524" spans="1:28" hidden="1" x14ac:dyDescent="0.2">
      <c r="A1524" t="s">
        <v>304</v>
      </c>
      <c r="B1524" t="s">
        <v>2</v>
      </c>
      <c r="C1524" t="s">
        <v>3</v>
      </c>
      <c r="D1524" t="s">
        <v>4</v>
      </c>
      <c r="E1524" t="s">
        <v>4</v>
      </c>
      <c r="F1524" t="s">
        <v>16</v>
      </c>
      <c r="G1524" t="s">
        <v>21</v>
      </c>
      <c r="H1524" t="s">
        <v>4604</v>
      </c>
      <c r="I1524" s="2">
        <v>3250</v>
      </c>
      <c r="J1524" s="2">
        <v>0</v>
      </c>
      <c r="K1524" s="2">
        <v>0</v>
      </c>
      <c r="L1524" s="3">
        <v>45847</v>
      </c>
      <c r="M1524" s="3">
        <v>45847</v>
      </c>
      <c r="N1524" s="3"/>
      <c r="O1524" t="s">
        <v>4605</v>
      </c>
      <c r="P1524" t="s">
        <v>20</v>
      </c>
      <c r="Q1524" s="4">
        <v>0.50884259259259002</v>
      </c>
      <c r="R1524" t="s">
        <v>16</v>
      </c>
      <c r="S1524" t="s">
        <v>4</v>
      </c>
      <c r="T1524" t="s">
        <v>2341</v>
      </c>
      <c r="U1524" t="s">
        <v>10</v>
      </c>
      <c r="V1524" s="5">
        <v>0</v>
      </c>
      <c r="W1524" s="5">
        <v>0</v>
      </c>
      <c r="X1524" s="2">
        <v>0</v>
      </c>
      <c r="Y1524" t="s">
        <v>4</v>
      </c>
      <c r="Z1524" t="s">
        <v>4</v>
      </c>
      <c r="AA1524" t="s">
        <v>4</v>
      </c>
      <c r="AB1524" t="s">
        <v>4</v>
      </c>
    </row>
    <row r="1525" spans="1:28" hidden="1" x14ac:dyDescent="0.2">
      <c r="A1525" t="s">
        <v>2251</v>
      </c>
      <c r="B1525" t="s">
        <v>4</v>
      </c>
      <c r="C1525" t="s">
        <v>4</v>
      </c>
      <c r="D1525" t="s">
        <v>4</v>
      </c>
      <c r="E1525" t="s">
        <v>4</v>
      </c>
      <c r="F1525" t="s">
        <v>16</v>
      </c>
      <c r="G1525" t="s">
        <v>21</v>
      </c>
      <c r="H1525" t="s">
        <v>4606</v>
      </c>
      <c r="I1525" s="5">
        <v>0</v>
      </c>
      <c r="J1525" s="5">
        <v>0</v>
      </c>
      <c r="K1525" s="5">
        <v>0</v>
      </c>
      <c r="L1525" s="3"/>
      <c r="M1525" s="3"/>
      <c r="N1525" s="3"/>
      <c r="O1525" t="s">
        <v>4</v>
      </c>
      <c r="P1525" t="s">
        <v>20</v>
      </c>
      <c r="Q1525" s="4">
        <v>0.91270833333333001</v>
      </c>
      <c r="R1525" t="s">
        <v>4</v>
      </c>
      <c r="S1525" t="s">
        <v>4</v>
      </c>
      <c r="T1525" t="s">
        <v>2256</v>
      </c>
      <c r="U1525" t="s">
        <v>4</v>
      </c>
      <c r="V1525" s="5">
        <v>0</v>
      </c>
      <c r="W1525" s="5">
        <v>0</v>
      </c>
      <c r="X1525" s="2">
        <v>0</v>
      </c>
      <c r="Y1525" t="s">
        <v>4</v>
      </c>
      <c r="Z1525" t="s">
        <v>4</v>
      </c>
      <c r="AA1525" t="s">
        <v>4</v>
      </c>
      <c r="AB1525" t="s">
        <v>4</v>
      </c>
    </row>
    <row r="1526" spans="1:28" hidden="1" x14ac:dyDescent="0.2">
      <c r="A1526" t="s">
        <v>638</v>
      </c>
      <c r="B1526" t="s">
        <v>2</v>
      </c>
      <c r="C1526" t="s">
        <v>3</v>
      </c>
      <c r="D1526" t="s">
        <v>4</v>
      </c>
      <c r="E1526" t="s">
        <v>4</v>
      </c>
      <c r="F1526" t="s">
        <v>16</v>
      </c>
      <c r="G1526" t="s">
        <v>21</v>
      </c>
      <c r="H1526" t="s">
        <v>4607</v>
      </c>
      <c r="I1526" s="2">
        <v>702</v>
      </c>
      <c r="J1526" s="2">
        <v>0</v>
      </c>
      <c r="K1526" s="2">
        <v>0</v>
      </c>
      <c r="L1526" s="3">
        <v>45827</v>
      </c>
      <c r="M1526" s="3">
        <v>45827</v>
      </c>
      <c r="N1526" s="3"/>
      <c r="O1526" t="s">
        <v>4608</v>
      </c>
      <c r="P1526" t="s">
        <v>20</v>
      </c>
      <c r="Q1526" s="4">
        <v>0.43982638888888997</v>
      </c>
      <c r="R1526" t="s">
        <v>16</v>
      </c>
      <c r="S1526" t="s">
        <v>4</v>
      </c>
      <c r="T1526" t="s">
        <v>2327</v>
      </c>
      <c r="U1526" t="s">
        <v>10</v>
      </c>
      <c r="V1526" s="5">
        <v>0</v>
      </c>
      <c r="W1526" s="5">
        <v>0</v>
      </c>
      <c r="X1526" s="2">
        <v>0</v>
      </c>
      <c r="Y1526" t="s">
        <v>4</v>
      </c>
      <c r="Z1526" t="s">
        <v>4</v>
      </c>
      <c r="AA1526" t="s">
        <v>4</v>
      </c>
      <c r="AB1526" t="s">
        <v>4</v>
      </c>
    </row>
    <row r="1527" spans="1:28" hidden="1" x14ac:dyDescent="0.2">
      <c r="A1527" t="s">
        <v>320</v>
      </c>
      <c r="B1527" t="s">
        <v>2</v>
      </c>
      <c r="C1527" t="s">
        <v>3</v>
      </c>
      <c r="D1527" t="s">
        <v>4</v>
      </c>
      <c r="E1527" t="s">
        <v>4</v>
      </c>
      <c r="F1527" t="s">
        <v>16</v>
      </c>
      <c r="G1527" t="s">
        <v>21</v>
      </c>
      <c r="H1527" t="s">
        <v>4609</v>
      </c>
      <c r="I1527" s="2">
        <v>1000</v>
      </c>
      <c r="J1527" s="2">
        <v>0</v>
      </c>
      <c r="K1527" s="2">
        <v>0</v>
      </c>
      <c r="L1527" s="3">
        <v>45854</v>
      </c>
      <c r="M1527" s="3">
        <v>45854</v>
      </c>
      <c r="N1527" s="3"/>
      <c r="O1527" t="s">
        <v>4610</v>
      </c>
      <c r="P1527" t="s">
        <v>20</v>
      </c>
      <c r="Q1527" s="4">
        <v>0.58504629629630001</v>
      </c>
      <c r="R1527" t="s">
        <v>16</v>
      </c>
      <c r="S1527" t="s">
        <v>4</v>
      </c>
      <c r="T1527" t="s">
        <v>2299</v>
      </c>
      <c r="U1527" t="s">
        <v>10</v>
      </c>
      <c r="V1527" s="5">
        <v>0</v>
      </c>
      <c r="W1527" s="5">
        <v>0</v>
      </c>
      <c r="X1527" s="2">
        <v>0</v>
      </c>
      <c r="Y1527" t="s">
        <v>4</v>
      </c>
      <c r="Z1527" t="s">
        <v>4</v>
      </c>
      <c r="AA1527" t="s">
        <v>4</v>
      </c>
      <c r="AB1527" t="s">
        <v>4</v>
      </c>
    </row>
    <row r="1528" spans="1:28" hidden="1" x14ac:dyDescent="0.2">
      <c r="A1528" t="s">
        <v>285</v>
      </c>
      <c r="B1528" t="s">
        <v>2</v>
      </c>
      <c r="C1528" t="s">
        <v>3</v>
      </c>
      <c r="D1528" t="s">
        <v>4</v>
      </c>
      <c r="E1528" t="s">
        <v>4</v>
      </c>
      <c r="F1528" t="s">
        <v>16</v>
      </c>
      <c r="G1528" t="s">
        <v>21</v>
      </c>
      <c r="H1528" t="s">
        <v>4611</v>
      </c>
      <c r="I1528" s="2">
        <v>30</v>
      </c>
      <c r="J1528" s="2">
        <v>0</v>
      </c>
      <c r="K1528" s="2">
        <v>0</v>
      </c>
      <c r="L1528" s="3">
        <v>45829</v>
      </c>
      <c r="M1528" s="3">
        <v>45829</v>
      </c>
      <c r="N1528" s="3"/>
      <c r="O1528" t="s">
        <v>4612</v>
      </c>
      <c r="P1528" t="s">
        <v>20</v>
      </c>
      <c r="Q1528" s="4">
        <v>0.72674768518518995</v>
      </c>
      <c r="R1528" t="s">
        <v>16</v>
      </c>
      <c r="S1528" t="s">
        <v>4</v>
      </c>
      <c r="T1528" t="s">
        <v>3242</v>
      </c>
      <c r="U1528" t="s">
        <v>10</v>
      </c>
      <c r="V1528" s="5">
        <v>0</v>
      </c>
      <c r="W1528" s="5">
        <v>0</v>
      </c>
      <c r="X1528" s="2">
        <v>0</v>
      </c>
      <c r="Y1528" t="s">
        <v>4</v>
      </c>
      <c r="Z1528" t="s">
        <v>4</v>
      </c>
      <c r="AA1528" t="s">
        <v>4</v>
      </c>
      <c r="AB1528" t="s">
        <v>4</v>
      </c>
    </row>
    <row r="1529" spans="1:28" hidden="1" x14ac:dyDescent="0.2">
      <c r="A1529" t="s">
        <v>2251</v>
      </c>
      <c r="B1529" t="s">
        <v>4</v>
      </c>
      <c r="C1529" t="s">
        <v>4</v>
      </c>
      <c r="D1529" t="s">
        <v>4</v>
      </c>
      <c r="E1529" t="s">
        <v>4</v>
      </c>
      <c r="F1529" t="s">
        <v>16</v>
      </c>
      <c r="G1529" t="s">
        <v>21</v>
      </c>
      <c r="H1529" t="s">
        <v>4613</v>
      </c>
      <c r="I1529" s="5">
        <v>0</v>
      </c>
      <c r="J1529" s="5">
        <v>0</v>
      </c>
      <c r="K1529" s="5">
        <v>0</v>
      </c>
      <c r="L1529" s="3"/>
      <c r="M1529" s="3"/>
      <c r="N1529" s="3"/>
      <c r="O1529" t="s">
        <v>4</v>
      </c>
      <c r="P1529" t="s">
        <v>20</v>
      </c>
      <c r="Q1529" s="4">
        <v>0.64954861111110995</v>
      </c>
      <c r="R1529" t="s">
        <v>4</v>
      </c>
      <c r="S1529" t="s">
        <v>4</v>
      </c>
      <c r="T1529" t="s">
        <v>2256</v>
      </c>
      <c r="U1529" t="s">
        <v>4</v>
      </c>
      <c r="V1529" s="5">
        <v>0</v>
      </c>
      <c r="W1529" s="5">
        <v>0</v>
      </c>
      <c r="X1529" s="2">
        <v>0</v>
      </c>
      <c r="Y1529" t="s">
        <v>4</v>
      </c>
      <c r="Z1529" t="s">
        <v>4</v>
      </c>
      <c r="AA1529" t="s">
        <v>4</v>
      </c>
      <c r="AB1529" t="s">
        <v>4</v>
      </c>
    </row>
    <row r="1530" spans="1:28" hidden="1" x14ac:dyDescent="0.2">
      <c r="A1530" t="s">
        <v>2190</v>
      </c>
      <c r="B1530" t="s">
        <v>2</v>
      </c>
      <c r="C1530" t="s">
        <v>3</v>
      </c>
      <c r="D1530" t="s">
        <v>4</v>
      </c>
      <c r="E1530" t="s">
        <v>4</v>
      </c>
      <c r="F1530" t="s">
        <v>16</v>
      </c>
      <c r="G1530" t="s">
        <v>21</v>
      </c>
      <c r="H1530" t="s">
        <v>4614</v>
      </c>
      <c r="I1530" s="2">
        <v>3382</v>
      </c>
      <c r="J1530" s="2">
        <v>0</v>
      </c>
      <c r="K1530" s="2">
        <v>0</v>
      </c>
      <c r="L1530" s="3">
        <v>45853</v>
      </c>
      <c r="M1530" s="3">
        <v>45859</v>
      </c>
      <c r="N1530" s="3">
        <v>45859</v>
      </c>
      <c r="O1530" t="s">
        <v>4615</v>
      </c>
      <c r="P1530" t="s">
        <v>20</v>
      </c>
      <c r="Q1530" s="4">
        <v>0.58252314814814998</v>
      </c>
      <c r="R1530" t="s">
        <v>16</v>
      </c>
      <c r="S1530" t="s">
        <v>4</v>
      </c>
      <c r="T1530" t="s">
        <v>2272</v>
      </c>
      <c r="U1530" t="s">
        <v>10</v>
      </c>
      <c r="V1530" s="5">
        <v>0</v>
      </c>
      <c r="W1530" s="5">
        <v>0</v>
      </c>
      <c r="X1530" s="2">
        <v>0</v>
      </c>
      <c r="Y1530" t="s">
        <v>4</v>
      </c>
      <c r="Z1530" t="s">
        <v>4</v>
      </c>
      <c r="AA1530" t="s">
        <v>4</v>
      </c>
      <c r="AB1530" t="s">
        <v>4</v>
      </c>
    </row>
    <row r="1531" spans="1:28" hidden="1" x14ac:dyDescent="0.2">
      <c r="A1531" t="s">
        <v>1235</v>
      </c>
      <c r="B1531" t="s">
        <v>2</v>
      </c>
      <c r="C1531" t="s">
        <v>3</v>
      </c>
      <c r="D1531" t="s">
        <v>4</v>
      </c>
      <c r="E1531" t="s">
        <v>4</v>
      </c>
      <c r="F1531" t="s">
        <v>16</v>
      </c>
      <c r="G1531" t="s">
        <v>21</v>
      </c>
      <c r="H1531" t="s">
        <v>4616</v>
      </c>
      <c r="I1531" s="2">
        <v>1391</v>
      </c>
      <c r="J1531" s="2">
        <v>0</v>
      </c>
      <c r="K1531" s="2">
        <v>0</v>
      </c>
      <c r="L1531" s="3">
        <v>45819</v>
      </c>
      <c r="M1531" s="3">
        <v>45859</v>
      </c>
      <c r="N1531" s="3">
        <v>45859</v>
      </c>
      <c r="O1531" t="s">
        <v>4617</v>
      </c>
      <c r="P1531" t="s">
        <v>20</v>
      </c>
      <c r="Q1531" s="4">
        <v>0.54459490740741001</v>
      </c>
      <c r="R1531" t="s">
        <v>16</v>
      </c>
      <c r="S1531" t="s">
        <v>4</v>
      </c>
      <c r="T1531" t="s">
        <v>2263</v>
      </c>
      <c r="U1531" t="s">
        <v>10</v>
      </c>
      <c r="V1531" s="5">
        <v>0</v>
      </c>
      <c r="W1531" s="5">
        <v>0</v>
      </c>
      <c r="X1531" s="2">
        <v>0</v>
      </c>
      <c r="Y1531" t="s">
        <v>4</v>
      </c>
      <c r="Z1531" t="s">
        <v>4</v>
      </c>
      <c r="AA1531" t="s">
        <v>4</v>
      </c>
      <c r="AB1531" t="s">
        <v>4</v>
      </c>
    </row>
    <row r="1532" spans="1:28" hidden="1" x14ac:dyDescent="0.2">
      <c r="A1532" t="s">
        <v>327</v>
      </c>
      <c r="B1532" t="s">
        <v>2</v>
      </c>
      <c r="C1532" t="s">
        <v>3</v>
      </c>
      <c r="D1532" t="s">
        <v>4</v>
      </c>
      <c r="E1532" t="s">
        <v>4</v>
      </c>
      <c r="F1532" t="s">
        <v>16</v>
      </c>
      <c r="G1532" t="s">
        <v>21</v>
      </c>
      <c r="H1532" t="s">
        <v>4618</v>
      </c>
      <c r="I1532" s="2">
        <v>1260</v>
      </c>
      <c r="J1532" s="2">
        <v>0</v>
      </c>
      <c r="K1532" s="2">
        <v>0</v>
      </c>
      <c r="L1532" s="3">
        <v>45839</v>
      </c>
      <c r="M1532" s="3">
        <v>45839</v>
      </c>
      <c r="N1532" s="3"/>
      <c r="O1532" t="s">
        <v>4619</v>
      </c>
      <c r="P1532" t="s">
        <v>20</v>
      </c>
      <c r="Q1532" s="4">
        <v>0.64047453703704005</v>
      </c>
      <c r="R1532" t="s">
        <v>16</v>
      </c>
      <c r="S1532" t="s">
        <v>4</v>
      </c>
      <c r="T1532" t="s">
        <v>2312</v>
      </c>
      <c r="U1532" t="s">
        <v>10</v>
      </c>
      <c r="V1532" s="5">
        <v>0</v>
      </c>
      <c r="W1532" s="5">
        <v>0</v>
      </c>
      <c r="X1532" s="2">
        <v>0</v>
      </c>
      <c r="Y1532" t="s">
        <v>4</v>
      </c>
      <c r="Z1532" t="s">
        <v>4</v>
      </c>
      <c r="AA1532" t="s">
        <v>4</v>
      </c>
      <c r="AB1532" t="s">
        <v>4</v>
      </c>
    </row>
    <row r="1533" spans="1:28" hidden="1" x14ac:dyDescent="0.2">
      <c r="A1533" t="s">
        <v>2251</v>
      </c>
      <c r="B1533" t="s">
        <v>4</v>
      </c>
      <c r="C1533" t="s">
        <v>4</v>
      </c>
      <c r="D1533" t="s">
        <v>4</v>
      </c>
      <c r="E1533" t="s">
        <v>4</v>
      </c>
      <c r="F1533" t="s">
        <v>16</v>
      </c>
      <c r="G1533" t="s">
        <v>21</v>
      </c>
      <c r="H1533" t="s">
        <v>4620</v>
      </c>
      <c r="I1533" s="5">
        <v>0</v>
      </c>
      <c r="J1533" s="5">
        <v>0</v>
      </c>
      <c r="K1533" s="5">
        <v>0</v>
      </c>
      <c r="L1533" s="3"/>
      <c r="M1533" s="3"/>
      <c r="N1533" s="3"/>
      <c r="O1533" t="s">
        <v>4</v>
      </c>
      <c r="P1533" t="s">
        <v>20</v>
      </c>
      <c r="Q1533" s="4">
        <v>0.39982638888888999</v>
      </c>
      <c r="R1533" t="s">
        <v>4</v>
      </c>
      <c r="S1533" t="s">
        <v>4</v>
      </c>
      <c r="T1533" t="s">
        <v>2256</v>
      </c>
      <c r="U1533" t="s">
        <v>4</v>
      </c>
      <c r="V1533" s="5">
        <v>0</v>
      </c>
      <c r="W1533" s="5">
        <v>0</v>
      </c>
      <c r="X1533" s="2">
        <v>0</v>
      </c>
      <c r="Y1533" t="s">
        <v>4</v>
      </c>
      <c r="Z1533" t="s">
        <v>4</v>
      </c>
      <c r="AA1533" t="s">
        <v>4</v>
      </c>
      <c r="AB1533" t="s">
        <v>4</v>
      </c>
    </row>
    <row r="1534" spans="1:28" hidden="1" x14ac:dyDescent="0.2">
      <c r="A1534" t="s">
        <v>327</v>
      </c>
      <c r="B1534" t="s">
        <v>2</v>
      </c>
      <c r="C1534" t="s">
        <v>3</v>
      </c>
      <c r="D1534" t="s">
        <v>4</v>
      </c>
      <c r="E1534" t="s">
        <v>4</v>
      </c>
      <c r="F1534" t="s">
        <v>16</v>
      </c>
      <c r="G1534" t="s">
        <v>21</v>
      </c>
      <c r="H1534" t="s">
        <v>4621</v>
      </c>
      <c r="I1534" s="2">
        <v>1260</v>
      </c>
      <c r="J1534" s="2">
        <v>0</v>
      </c>
      <c r="K1534" s="2">
        <v>0</v>
      </c>
      <c r="L1534" s="3">
        <v>45839</v>
      </c>
      <c r="M1534" s="3">
        <v>45839</v>
      </c>
      <c r="N1534" s="3"/>
      <c r="O1534" t="s">
        <v>4622</v>
      </c>
      <c r="P1534" t="s">
        <v>20</v>
      </c>
      <c r="Q1534" s="4">
        <v>0.64491898148147997</v>
      </c>
      <c r="R1534" t="s">
        <v>16</v>
      </c>
      <c r="S1534" t="s">
        <v>4</v>
      </c>
      <c r="T1534" t="s">
        <v>2312</v>
      </c>
      <c r="U1534" t="s">
        <v>10</v>
      </c>
      <c r="V1534" s="5">
        <v>0</v>
      </c>
      <c r="W1534" s="5">
        <v>0</v>
      </c>
      <c r="X1534" s="2">
        <v>0</v>
      </c>
      <c r="Y1534" t="s">
        <v>4</v>
      </c>
      <c r="Z1534" t="s">
        <v>4</v>
      </c>
      <c r="AA1534" t="s">
        <v>4</v>
      </c>
      <c r="AB1534" t="s">
        <v>4</v>
      </c>
    </row>
    <row r="1535" spans="1:28" hidden="1" x14ac:dyDescent="0.2">
      <c r="A1535" t="s">
        <v>304</v>
      </c>
      <c r="B1535" t="s">
        <v>2</v>
      </c>
      <c r="C1535" t="s">
        <v>3</v>
      </c>
      <c r="D1535" t="s">
        <v>4</v>
      </c>
      <c r="E1535" t="s">
        <v>4</v>
      </c>
      <c r="F1535" t="s">
        <v>16</v>
      </c>
      <c r="G1535" t="s">
        <v>21</v>
      </c>
      <c r="H1535" t="s">
        <v>4623</v>
      </c>
      <c r="I1535" s="2">
        <v>5000</v>
      </c>
      <c r="J1535" s="2">
        <v>0</v>
      </c>
      <c r="K1535" s="2">
        <v>0</v>
      </c>
      <c r="L1535" s="3">
        <v>45847</v>
      </c>
      <c r="M1535" s="3">
        <v>45847</v>
      </c>
      <c r="N1535" s="3"/>
      <c r="O1535" t="s">
        <v>4624</v>
      </c>
      <c r="P1535" t="s">
        <v>20</v>
      </c>
      <c r="Q1535" s="4">
        <v>0.50914351851852002</v>
      </c>
      <c r="R1535" t="s">
        <v>16</v>
      </c>
      <c r="S1535" t="s">
        <v>4</v>
      </c>
      <c r="T1535" t="s">
        <v>2341</v>
      </c>
      <c r="U1535" t="s">
        <v>10</v>
      </c>
      <c r="V1535" s="5">
        <v>0</v>
      </c>
      <c r="W1535" s="5">
        <v>0</v>
      </c>
      <c r="X1535" s="2">
        <v>0</v>
      </c>
      <c r="Y1535" t="s">
        <v>4</v>
      </c>
      <c r="Z1535" t="s">
        <v>4</v>
      </c>
      <c r="AA1535" t="s">
        <v>4</v>
      </c>
      <c r="AB1535" t="s">
        <v>4</v>
      </c>
    </row>
    <row r="1536" spans="1:28" hidden="1" x14ac:dyDescent="0.2">
      <c r="A1536" t="s">
        <v>2251</v>
      </c>
      <c r="B1536" t="s">
        <v>4</v>
      </c>
      <c r="C1536" t="s">
        <v>4</v>
      </c>
      <c r="D1536" t="s">
        <v>4</v>
      </c>
      <c r="E1536" t="s">
        <v>4</v>
      </c>
      <c r="F1536" t="s">
        <v>16</v>
      </c>
      <c r="G1536" t="s">
        <v>21</v>
      </c>
      <c r="H1536" t="s">
        <v>4625</v>
      </c>
      <c r="I1536" s="5">
        <v>0</v>
      </c>
      <c r="J1536" s="5">
        <v>0</v>
      </c>
      <c r="K1536" s="5">
        <v>0</v>
      </c>
      <c r="L1536" s="3"/>
      <c r="M1536" s="3"/>
      <c r="N1536" s="3"/>
      <c r="O1536" t="s">
        <v>4</v>
      </c>
      <c r="P1536" t="s">
        <v>20</v>
      </c>
      <c r="Q1536" s="4">
        <v>0.55854166666667004</v>
      </c>
      <c r="R1536" t="s">
        <v>4</v>
      </c>
      <c r="S1536" t="s">
        <v>4</v>
      </c>
      <c r="T1536" t="s">
        <v>2256</v>
      </c>
      <c r="U1536" t="s">
        <v>4</v>
      </c>
      <c r="V1536" s="5">
        <v>0</v>
      </c>
      <c r="W1536" s="5">
        <v>0</v>
      </c>
      <c r="X1536" s="2">
        <v>0</v>
      </c>
      <c r="Y1536" t="s">
        <v>4</v>
      </c>
      <c r="Z1536" t="s">
        <v>4</v>
      </c>
      <c r="AA1536" t="s">
        <v>4</v>
      </c>
      <c r="AB1536" t="s">
        <v>4</v>
      </c>
    </row>
    <row r="1537" spans="1:28" hidden="1" x14ac:dyDescent="0.2">
      <c r="A1537" t="s">
        <v>656</v>
      </c>
      <c r="B1537" t="s">
        <v>2</v>
      </c>
      <c r="C1537" t="s">
        <v>3</v>
      </c>
      <c r="D1537" t="s">
        <v>4</v>
      </c>
      <c r="E1537" t="s">
        <v>4</v>
      </c>
      <c r="F1537" t="s">
        <v>16</v>
      </c>
      <c r="G1537" t="s">
        <v>21</v>
      </c>
      <c r="H1537" t="s">
        <v>4626</v>
      </c>
      <c r="I1537" s="2">
        <v>518</v>
      </c>
      <c r="J1537" s="2">
        <v>0</v>
      </c>
      <c r="K1537" s="2">
        <v>0</v>
      </c>
      <c r="L1537" s="3">
        <v>44655</v>
      </c>
      <c r="M1537" s="3">
        <v>44902</v>
      </c>
      <c r="N1537" s="3">
        <v>44902</v>
      </c>
      <c r="O1537" t="s">
        <v>4627</v>
      </c>
      <c r="P1537" t="s">
        <v>20</v>
      </c>
      <c r="Q1537" s="4">
        <v>0.50675925925926002</v>
      </c>
      <c r="R1537" t="s">
        <v>16</v>
      </c>
      <c r="S1537" t="s">
        <v>4</v>
      </c>
      <c r="T1537" t="s">
        <v>4628</v>
      </c>
      <c r="U1537" t="s">
        <v>10</v>
      </c>
      <c r="V1537" s="5">
        <v>0</v>
      </c>
      <c r="W1537" s="5">
        <v>0</v>
      </c>
      <c r="X1537" s="2">
        <v>0</v>
      </c>
      <c r="Y1537" t="s">
        <v>4</v>
      </c>
      <c r="Z1537" t="s">
        <v>4</v>
      </c>
      <c r="AA1537" t="s">
        <v>4</v>
      </c>
      <c r="AB1537" t="s">
        <v>4</v>
      </c>
    </row>
    <row r="1538" spans="1:28" hidden="1" x14ac:dyDescent="0.2">
      <c r="A1538" t="s">
        <v>1131</v>
      </c>
      <c r="B1538" t="s">
        <v>2</v>
      </c>
      <c r="C1538" t="s">
        <v>3</v>
      </c>
      <c r="D1538" t="s">
        <v>4</v>
      </c>
      <c r="E1538" t="s">
        <v>4</v>
      </c>
      <c r="F1538" t="s">
        <v>16</v>
      </c>
      <c r="G1538" t="s">
        <v>21</v>
      </c>
      <c r="H1538" t="s">
        <v>4629</v>
      </c>
      <c r="I1538" s="5">
        <v>206.8</v>
      </c>
      <c r="J1538" s="2">
        <v>0</v>
      </c>
      <c r="K1538" s="2">
        <v>0</v>
      </c>
      <c r="L1538" s="3">
        <v>45854</v>
      </c>
      <c r="M1538" s="3">
        <v>45854</v>
      </c>
      <c r="N1538" s="3"/>
      <c r="O1538" t="s">
        <v>4630</v>
      </c>
      <c r="P1538" t="s">
        <v>20</v>
      </c>
      <c r="Q1538" s="4">
        <v>0.95623842592593</v>
      </c>
      <c r="R1538" t="s">
        <v>16</v>
      </c>
      <c r="S1538" t="s">
        <v>4</v>
      </c>
      <c r="T1538" t="s">
        <v>2299</v>
      </c>
      <c r="U1538" t="s">
        <v>10</v>
      </c>
      <c r="V1538" s="5">
        <v>0</v>
      </c>
      <c r="W1538" s="5">
        <v>0</v>
      </c>
      <c r="X1538" s="2">
        <v>0</v>
      </c>
      <c r="Y1538" t="s">
        <v>4</v>
      </c>
      <c r="Z1538" t="s">
        <v>4</v>
      </c>
      <c r="AA1538" t="s">
        <v>4</v>
      </c>
      <c r="AB1538" t="s">
        <v>4</v>
      </c>
    </row>
    <row r="1539" spans="1:28" hidden="1" x14ac:dyDescent="0.2">
      <c r="A1539" t="s">
        <v>1943</v>
      </c>
      <c r="B1539" t="s">
        <v>2</v>
      </c>
      <c r="C1539" t="s">
        <v>3</v>
      </c>
      <c r="D1539" t="s">
        <v>4</v>
      </c>
      <c r="E1539" t="s">
        <v>4</v>
      </c>
      <c r="F1539" t="s">
        <v>16</v>
      </c>
      <c r="G1539" t="s">
        <v>21</v>
      </c>
      <c r="H1539" t="s">
        <v>4631</v>
      </c>
      <c r="I1539" s="2">
        <v>10500</v>
      </c>
      <c r="J1539" s="2">
        <v>0</v>
      </c>
      <c r="K1539" s="2">
        <v>0</v>
      </c>
      <c r="L1539" s="3">
        <v>45827</v>
      </c>
      <c r="M1539" s="3">
        <v>45857</v>
      </c>
      <c r="N1539" s="3"/>
      <c r="O1539" t="s">
        <v>4632</v>
      </c>
      <c r="P1539" t="s">
        <v>20</v>
      </c>
      <c r="Q1539" s="4">
        <v>0.64211805555556001</v>
      </c>
      <c r="R1539" t="s">
        <v>16</v>
      </c>
      <c r="S1539" t="s">
        <v>4</v>
      </c>
      <c r="T1539" t="s">
        <v>2327</v>
      </c>
      <c r="U1539" t="s">
        <v>10</v>
      </c>
      <c r="V1539" s="5">
        <v>0</v>
      </c>
      <c r="W1539" s="5">
        <v>0</v>
      </c>
      <c r="X1539" s="2">
        <v>0</v>
      </c>
      <c r="Y1539" t="s">
        <v>4</v>
      </c>
      <c r="Z1539" t="s">
        <v>4</v>
      </c>
      <c r="AA1539" t="s">
        <v>4</v>
      </c>
      <c r="AB1539" t="s">
        <v>4</v>
      </c>
    </row>
    <row r="1540" spans="1:28" hidden="1" x14ac:dyDescent="0.2">
      <c r="A1540" t="s">
        <v>1254</v>
      </c>
      <c r="B1540" t="s">
        <v>2</v>
      </c>
      <c r="C1540" t="s">
        <v>3</v>
      </c>
      <c r="D1540" t="s">
        <v>4</v>
      </c>
      <c r="E1540" t="s">
        <v>4</v>
      </c>
      <c r="F1540" t="s">
        <v>16</v>
      </c>
      <c r="G1540" t="s">
        <v>21</v>
      </c>
      <c r="H1540" t="s">
        <v>4633</v>
      </c>
      <c r="I1540" s="2">
        <v>1332</v>
      </c>
      <c r="J1540" s="2">
        <v>0</v>
      </c>
      <c r="K1540" s="2">
        <v>0</v>
      </c>
      <c r="L1540" s="3">
        <v>45799</v>
      </c>
      <c r="M1540" s="3">
        <v>45854</v>
      </c>
      <c r="N1540" s="3">
        <v>45854</v>
      </c>
      <c r="O1540" t="s">
        <v>4634</v>
      </c>
      <c r="P1540" t="s">
        <v>20</v>
      </c>
      <c r="Q1540" s="4">
        <v>0.44869212962963001</v>
      </c>
      <c r="R1540" t="s">
        <v>16</v>
      </c>
      <c r="S1540" t="s">
        <v>4</v>
      </c>
      <c r="T1540" t="s">
        <v>4635</v>
      </c>
      <c r="U1540" t="s">
        <v>10</v>
      </c>
      <c r="V1540" s="5">
        <v>0</v>
      </c>
      <c r="W1540" s="5">
        <v>0</v>
      </c>
      <c r="X1540" s="2">
        <v>0</v>
      </c>
      <c r="Y1540" t="s">
        <v>4</v>
      </c>
      <c r="Z1540" t="s">
        <v>4</v>
      </c>
      <c r="AA1540" t="s">
        <v>4</v>
      </c>
      <c r="AB1540" t="s">
        <v>4</v>
      </c>
    </row>
    <row r="1541" spans="1:28" hidden="1" x14ac:dyDescent="0.2">
      <c r="A1541" t="s">
        <v>285</v>
      </c>
      <c r="B1541" t="s">
        <v>2</v>
      </c>
      <c r="C1541" t="s">
        <v>3</v>
      </c>
      <c r="D1541" t="s">
        <v>4</v>
      </c>
      <c r="E1541" t="s">
        <v>4</v>
      </c>
      <c r="F1541" t="s">
        <v>16</v>
      </c>
      <c r="G1541" t="s">
        <v>21</v>
      </c>
      <c r="H1541" t="s">
        <v>4636</v>
      </c>
      <c r="I1541" s="2">
        <v>30</v>
      </c>
      <c r="J1541" s="2">
        <v>0</v>
      </c>
      <c r="K1541" s="2">
        <v>0</v>
      </c>
      <c r="L1541" s="3">
        <v>45829</v>
      </c>
      <c r="M1541" s="3">
        <v>45829</v>
      </c>
      <c r="N1541" s="3"/>
      <c r="O1541" t="s">
        <v>4637</v>
      </c>
      <c r="P1541" t="s">
        <v>20</v>
      </c>
      <c r="Q1541" s="4">
        <v>0.72681712962962997</v>
      </c>
      <c r="R1541" t="s">
        <v>16</v>
      </c>
      <c r="S1541" t="s">
        <v>4</v>
      </c>
      <c r="T1541" t="s">
        <v>3242</v>
      </c>
      <c r="U1541" t="s">
        <v>10</v>
      </c>
      <c r="V1541" s="5">
        <v>0</v>
      </c>
      <c r="W1541" s="5">
        <v>0</v>
      </c>
      <c r="X1541" s="2">
        <v>0</v>
      </c>
      <c r="Y1541" t="s">
        <v>4</v>
      </c>
      <c r="Z1541" t="s">
        <v>4</v>
      </c>
      <c r="AA1541" t="s">
        <v>4</v>
      </c>
      <c r="AB1541" t="s">
        <v>4</v>
      </c>
    </row>
    <row r="1542" spans="1:28" hidden="1" x14ac:dyDescent="0.2">
      <c r="A1542" t="s">
        <v>2202</v>
      </c>
      <c r="B1542" t="s">
        <v>2</v>
      </c>
      <c r="C1542" t="s">
        <v>3</v>
      </c>
      <c r="D1542" t="s">
        <v>4</v>
      </c>
      <c r="E1542" t="s">
        <v>4</v>
      </c>
      <c r="F1542" t="s">
        <v>16</v>
      </c>
      <c r="G1542" t="s">
        <v>21</v>
      </c>
      <c r="H1542" t="s">
        <v>4638</v>
      </c>
      <c r="I1542" s="2">
        <v>500</v>
      </c>
      <c r="J1542" s="2">
        <v>0</v>
      </c>
      <c r="K1542" s="2">
        <v>0</v>
      </c>
      <c r="L1542" s="3">
        <v>45819</v>
      </c>
      <c r="M1542" s="3">
        <v>45819</v>
      </c>
      <c r="N1542" s="3"/>
      <c r="O1542" t="s">
        <v>4639</v>
      </c>
      <c r="P1542" t="s">
        <v>20</v>
      </c>
      <c r="Q1542" s="4">
        <v>0.93640046296295998</v>
      </c>
      <c r="R1542" t="s">
        <v>16</v>
      </c>
      <c r="S1542" t="s">
        <v>4</v>
      </c>
      <c r="T1542" t="s">
        <v>2263</v>
      </c>
      <c r="U1542" t="s">
        <v>10</v>
      </c>
      <c r="V1542" s="5">
        <v>0</v>
      </c>
      <c r="W1542" s="5">
        <v>0</v>
      </c>
      <c r="X1542" s="2">
        <v>0</v>
      </c>
      <c r="Y1542" t="s">
        <v>4</v>
      </c>
      <c r="Z1542" t="s">
        <v>4</v>
      </c>
      <c r="AA1542" t="s">
        <v>4</v>
      </c>
      <c r="AB1542" t="s">
        <v>4</v>
      </c>
    </row>
    <row r="1543" spans="1:28" hidden="1" x14ac:dyDescent="0.2">
      <c r="A1543" t="s">
        <v>408</v>
      </c>
      <c r="B1543" t="s">
        <v>2</v>
      </c>
      <c r="C1543" t="s">
        <v>3</v>
      </c>
      <c r="D1543" t="s">
        <v>4</v>
      </c>
      <c r="E1543" t="s">
        <v>4</v>
      </c>
      <c r="F1543" t="s">
        <v>16</v>
      </c>
      <c r="G1543" t="s">
        <v>21</v>
      </c>
      <c r="H1543" t="s">
        <v>4640</v>
      </c>
      <c r="I1543" s="2">
        <v>537</v>
      </c>
      <c r="J1543" s="2">
        <v>0</v>
      </c>
      <c r="K1543" s="2">
        <v>0</v>
      </c>
      <c r="L1543" s="3">
        <v>45819</v>
      </c>
      <c r="M1543" s="3">
        <v>45851</v>
      </c>
      <c r="N1543" s="3">
        <v>45851</v>
      </c>
      <c r="O1543" t="s">
        <v>4641</v>
      </c>
      <c r="P1543" t="s">
        <v>20</v>
      </c>
      <c r="Q1543" s="4">
        <v>0.5644212962963</v>
      </c>
      <c r="R1543" t="s">
        <v>16</v>
      </c>
      <c r="S1543" t="s">
        <v>4</v>
      </c>
      <c r="T1543" t="s">
        <v>2263</v>
      </c>
      <c r="U1543" t="s">
        <v>10</v>
      </c>
      <c r="V1543" s="5">
        <v>0</v>
      </c>
      <c r="W1543" s="5">
        <v>0</v>
      </c>
      <c r="X1543" s="2">
        <v>0</v>
      </c>
      <c r="Y1543" t="s">
        <v>4</v>
      </c>
      <c r="Z1543" t="s">
        <v>4</v>
      </c>
      <c r="AA1543" t="s">
        <v>4</v>
      </c>
      <c r="AB1543" t="s">
        <v>4</v>
      </c>
    </row>
    <row r="1544" spans="1:28" hidden="1" x14ac:dyDescent="0.2">
      <c r="A1544" t="s">
        <v>2251</v>
      </c>
      <c r="B1544" t="s">
        <v>4</v>
      </c>
      <c r="C1544" t="s">
        <v>4</v>
      </c>
      <c r="D1544" t="s">
        <v>4</v>
      </c>
      <c r="E1544" t="s">
        <v>4</v>
      </c>
      <c r="F1544" t="s">
        <v>16</v>
      </c>
      <c r="G1544" t="s">
        <v>21</v>
      </c>
      <c r="H1544" t="s">
        <v>4642</v>
      </c>
      <c r="I1544" s="5">
        <v>0</v>
      </c>
      <c r="J1544" s="5">
        <v>0</v>
      </c>
      <c r="K1544" s="5">
        <v>0</v>
      </c>
      <c r="L1544" s="3"/>
      <c r="M1544" s="3"/>
      <c r="N1544" s="3"/>
      <c r="O1544" t="s">
        <v>4</v>
      </c>
      <c r="P1544" t="s">
        <v>20</v>
      </c>
      <c r="Q1544" s="4">
        <v>0.51140046296296005</v>
      </c>
      <c r="R1544" t="s">
        <v>4</v>
      </c>
      <c r="S1544" t="s">
        <v>4</v>
      </c>
      <c r="T1544" t="s">
        <v>2256</v>
      </c>
      <c r="U1544" t="s">
        <v>4</v>
      </c>
      <c r="V1544" s="5">
        <v>0</v>
      </c>
      <c r="W1544" s="5">
        <v>0</v>
      </c>
      <c r="X1544" s="2">
        <v>0</v>
      </c>
      <c r="Y1544" t="s">
        <v>4</v>
      </c>
      <c r="Z1544" t="s">
        <v>4</v>
      </c>
      <c r="AA1544" t="s">
        <v>4</v>
      </c>
      <c r="AB1544" t="s">
        <v>4</v>
      </c>
    </row>
    <row r="1545" spans="1:28" hidden="1" x14ac:dyDescent="0.2">
      <c r="A1545" t="s">
        <v>2152</v>
      </c>
      <c r="B1545" t="s">
        <v>2</v>
      </c>
      <c r="C1545" t="s">
        <v>3</v>
      </c>
      <c r="D1545" t="s">
        <v>4</v>
      </c>
      <c r="E1545" t="s">
        <v>4</v>
      </c>
      <c r="F1545" t="s">
        <v>16</v>
      </c>
      <c r="G1545" t="s">
        <v>21</v>
      </c>
      <c r="H1545" t="s">
        <v>4643</v>
      </c>
      <c r="I1545" s="2">
        <v>400</v>
      </c>
      <c r="J1545" s="2">
        <v>0</v>
      </c>
      <c r="K1545" s="2">
        <v>0</v>
      </c>
      <c r="L1545" s="3">
        <v>45835</v>
      </c>
      <c r="M1545" s="3">
        <v>45835</v>
      </c>
      <c r="N1545" s="3"/>
      <c r="O1545" t="s">
        <v>4644</v>
      </c>
      <c r="P1545" t="s">
        <v>20</v>
      </c>
      <c r="Q1545" s="4">
        <v>0.91373842592593002</v>
      </c>
      <c r="R1545" t="s">
        <v>16</v>
      </c>
      <c r="S1545" t="s">
        <v>4</v>
      </c>
      <c r="T1545" t="s">
        <v>2928</v>
      </c>
      <c r="U1545" t="s">
        <v>10</v>
      </c>
      <c r="V1545" s="5">
        <v>0</v>
      </c>
      <c r="W1545" s="5">
        <v>0</v>
      </c>
      <c r="X1545" s="2">
        <v>0</v>
      </c>
      <c r="Y1545" t="s">
        <v>4</v>
      </c>
      <c r="Z1545" t="s">
        <v>4</v>
      </c>
      <c r="AA1545" t="s">
        <v>4</v>
      </c>
      <c r="AB1545" t="s">
        <v>4</v>
      </c>
    </row>
    <row r="1546" spans="1:28" hidden="1" x14ac:dyDescent="0.2">
      <c r="A1546" t="s">
        <v>285</v>
      </c>
      <c r="B1546" t="s">
        <v>2</v>
      </c>
      <c r="C1546" t="s">
        <v>3</v>
      </c>
      <c r="D1546" t="s">
        <v>4</v>
      </c>
      <c r="E1546" t="s">
        <v>4</v>
      </c>
      <c r="F1546" t="s">
        <v>16</v>
      </c>
      <c r="G1546" t="s">
        <v>21</v>
      </c>
      <c r="H1546" t="s">
        <v>4645</v>
      </c>
      <c r="I1546" s="2">
        <v>30</v>
      </c>
      <c r="J1546" s="2">
        <v>0</v>
      </c>
      <c r="K1546" s="2">
        <v>0</v>
      </c>
      <c r="L1546" s="3">
        <v>45829</v>
      </c>
      <c r="M1546" s="3">
        <v>45829</v>
      </c>
      <c r="N1546" s="3"/>
      <c r="O1546" t="s">
        <v>4646</v>
      </c>
      <c r="P1546" t="s">
        <v>20</v>
      </c>
      <c r="Q1546" s="4">
        <v>0.72696759259259003</v>
      </c>
      <c r="R1546" t="s">
        <v>16</v>
      </c>
      <c r="S1546" t="s">
        <v>4</v>
      </c>
      <c r="T1546" t="s">
        <v>3242</v>
      </c>
      <c r="U1546" t="s">
        <v>10</v>
      </c>
      <c r="V1546" s="5">
        <v>0</v>
      </c>
      <c r="W1546" s="5">
        <v>0</v>
      </c>
      <c r="X1546" s="2">
        <v>0</v>
      </c>
      <c r="Y1546" t="s">
        <v>4</v>
      </c>
      <c r="Z1546" t="s">
        <v>4</v>
      </c>
      <c r="AA1546" t="s">
        <v>4</v>
      </c>
      <c r="AB1546" t="s">
        <v>4</v>
      </c>
    </row>
    <row r="1547" spans="1:28" hidden="1" x14ac:dyDescent="0.2">
      <c r="A1547" t="s">
        <v>285</v>
      </c>
      <c r="B1547" t="s">
        <v>2</v>
      </c>
      <c r="C1547" t="s">
        <v>3</v>
      </c>
      <c r="D1547" t="s">
        <v>4</v>
      </c>
      <c r="E1547" t="s">
        <v>4</v>
      </c>
      <c r="F1547" t="s">
        <v>16</v>
      </c>
      <c r="G1547" t="s">
        <v>21</v>
      </c>
      <c r="H1547" t="s">
        <v>4647</v>
      </c>
      <c r="I1547" s="2">
        <v>30</v>
      </c>
      <c r="J1547" s="2">
        <v>0</v>
      </c>
      <c r="K1547" s="2">
        <v>0</v>
      </c>
      <c r="L1547" s="3">
        <v>45829</v>
      </c>
      <c r="M1547" s="3">
        <v>45829</v>
      </c>
      <c r="N1547" s="3"/>
      <c r="O1547" t="s">
        <v>4648</v>
      </c>
      <c r="P1547" t="s">
        <v>20</v>
      </c>
      <c r="Q1547" s="4">
        <v>0.72704861111110997</v>
      </c>
      <c r="R1547" t="s">
        <v>16</v>
      </c>
      <c r="S1547" t="s">
        <v>4</v>
      </c>
      <c r="T1547" t="s">
        <v>3242</v>
      </c>
      <c r="U1547" t="s">
        <v>10</v>
      </c>
      <c r="V1547" s="5">
        <v>0</v>
      </c>
      <c r="W1547" s="5">
        <v>0</v>
      </c>
      <c r="X1547" s="2">
        <v>0</v>
      </c>
      <c r="Y1547" t="s">
        <v>4</v>
      </c>
      <c r="Z1547" t="s">
        <v>4</v>
      </c>
      <c r="AA1547" t="s">
        <v>4</v>
      </c>
      <c r="AB1547" t="s">
        <v>4</v>
      </c>
    </row>
    <row r="1548" spans="1:28" hidden="1" x14ac:dyDescent="0.2">
      <c r="A1548" t="s">
        <v>2152</v>
      </c>
      <c r="B1548" t="s">
        <v>2</v>
      </c>
      <c r="C1548" t="s">
        <v>3</v>
      </c>
      <c r="D1548" t="s">
        <v>4</v>
      </c>
      <c r="E1548" t="s">
        <v>4</v>
      </c>
      <c r="F1548" t="s">
        <v>16</v>
      </c>
      <c r="G1548" t="s">
        <v>21</v>
      </c>
      <c r="H1548" t="s">
        <v>4649</v>
      </c>
      <c r="I1548" s="2">
        <v>400</v>
      </c>
      <c r="J1548" s="2">
        <v>0</v>
      </c>
      <c r="K1548" s="2">
        <v>0</v>
      </c>
      <c r="L1548" s="3">
        <v>45832</v>
      </c>
      <c r="M1548" s="3">
        <v>45832</v>
      </c>
      <c r="N1548" s="3"/>
      <c r="O1548" t="s">
        <v>4650</v>
      </c>
      <c r="P1548" t="s">
        <v>20</v>
      </c>
      <c r="Q1548" s="4">
        <v>0.35850694444443998</v>
      </c>
      <c r="R1548" t="s">
        <v>16</v>
      </c>
      <c r="S1548" t="s">
        <v>4</v>
      </c>
      <c r="T1548" t="s">
        <v>2665</v>
      </c>
      <c r="U1548" t="s">
        <v>10</v>
      </c>
      <c r="V1548" s="5">
        <v>0</v>
      </c>
      <c r="W1548" s="5">
        <v>0</v>
      </c>
      <c r="X1548" s="2">
        <v>0</v>
      </c>
      <c r="Y1548" t="s">
        <v>4</v>
      </c>
      <c r="Z1548" t="s">
        <v>4</v>
      </c>
      <c r="AA1548" t="s">
        <v>4</v>
      </c>
      <c r="AB1548" t="s">
        <v>4</v>
      </c>
    </row>
    <row r="1549" spans="1:28" hidden="1" x14ac:dyDescent="0.2">
      <c r="A1549" t="s">
        <v>1532</v>
      </c>
      <c r="B1549" t="s">
        <v>2</v>
      </c>
      <c r="C1549" t="s">
        <v>3</v>
      </c>
      <c r="D1549" t="s">
        <v>4</v>
      </c>
      <c r="E1549" t="s">
        <v>4</v>
      </c>
      <c r="F1549" t="s">
        <v>16</v>
      </c>
      <c r="G1549" t="s">
        <v>21</v>
      </c>
      <c r="H1549" t="s">
        <v>4651</v>
      </c>
      <c r="I1549" s="2">
        <v>160</v>
      </c>
      <c r="J1549" s="2">
        <v>0</v>
      </c>
      <c r="K1549" s="2">
        <v>0</v>
      </c>
      <c r="L1549" s="3">
        <v>45656</v>
      </c>
      <c r="M1549" s="3">
        <v>45656</v>
      </c>
      <c r="N1549" s="3"/>
      <c r="O1549" t="s">
        <v>4652</v>
      </c>
      <c r="P1549" t="s">
        <v>20</v>
      </c>
      <c r="Q1549" s="4">
        <v>0.42025462962963001</v>
      </c>
      <c r="R1549" t="s">
        <v>16</v>
      </c>
      <c r="S1549" t="s">
        <v>4</v>
      </c>
      <c r="T1549" t="s">
        <v>4653</v>
      </c>
      <c r="U1549" t="s">
        <v>10</v>
      </c>
      <c r="V1549" s="5">
        <v>0</v>
      </c>
      <c r="W1549" s="5">
        <v>0</v>
      </c>
      <c r="X1549" s="2">
        <v>0</v>
      </c>
      <c r="Y1549" t="s">
        <v>4</v>
      </c>
      <c r="Z1549" t="s">
        <v>4</v>
      </c>
      <c r="AA1549" t="s">
        <v>4</v>
      </c>
      <c r="AB1549" t="s">
        <v>4</v>
      </c>
    </row>
    <row r="1550" spans="1:28" hidden="1" x14ac:dyDescent="0.2">
      <c r="A1550" t="s">
        <v>2174</v>
      </c>
      <c r="B1550" t="s">
        <v>2</v>
      </c>
      <c r="C1550" t="s">
        <v>3</v>
      </c>
      <c r="D1550" t="s">
        <v>4</v>
      </c>
      <c r="E1550" t="s">
        <v>4</v>
      </c>
      <c r="F1550" t="s">
        <v>16</v>
      </c>
      <c r="G1550" t="s">
        <v>6</v>
      </c>
      <c r="H1550" t="s">
        <v>4654</v>
      </c>
      <c r="I1550" s="2">
        <v>3640</v>
      </c>
      <c r="J1550" s="2">
        <v>0</v>
      </c>
      <c r="K1550" s="2">
        <v>0</v>
      </c>
      <c r="L1550" s="3">
        <v>45859</v>
      </c>
      <c r="M1550" s="3">
        <v>45859</v>
      </c>
      <c r="N1550" s="3"/>
      <c r="O1550" t="s">
        <v>4655</v>
      </c>
      <c r="P1550" t="s">
        <v>20</v>
      </c>
      <c r="Q1550" s="4">
        <v>0.93863425925926003</v>
      </c>
      <c r="R1550" t="s">
        <v>16</v>
      </c>
      <c r="S1550" t="s">
        <v>4</v>
      </c>
      <c r="T1550" t="s">
        <v>2261</v>
      </c>
      <c r="U1550" t="s">
        <v>10</v>
      </c>
      <c r="V1550" s="5">
        <v>0</v>
      </c>
      <c r="W1550" s="5">
        <v>0</v>
      </c>
      <c r="X1550" s="2">
        <v>0</v>
      </c>
      <c r="Y1550" t="s">
        <v>4</v>
      </c>
      <c r="Z1550" t="s">
        <v>4</v>
      </c>
      <c r="AA1550" t="s">
        <v>4</v>
      </c>
      <c r="AB1550" t="s">
        <v>4</v>
      </c>
    </row>
    <row r="1551" spans="1:28" hidden="1" x14ac:dyDescent="0.2">
      <c r="A1551" t="s">
        <v>2043</v>
      </c>
      <c r="B1551" t="s">
        <v>2</v>
      </c>
      <c r="C1551" t="s">
        <v>3</v>
      </c>
      <c r="D1551" t="s">
        <v>4</v>
      </c>
      <c r="E1551" t="s">
        <v>4</v>
      </c>
      <c r="F1551" t="s">
        <v>16</v>
      </c>
      <c r="G1551" t="s">
        <v>6</v>
      </c>
      <c r="H1551" t="s">
        <v>4656</v>
      </c>
      <c r="I1551" s="2">
        <v>65</v>
      </c>
      <c r="J1551" s="2">
        <v>0</v>
      </c>
      <c r="K1551" s="2">
        <v>0</v>
      </c>
      <c r="L1551" s="3">
        <v>45849</v>
      </c>
      <c r="M1551" s="3">
        <v>45849</v>
      </c>
      <c r="N1551" s="3"/>
      <c r="O1551" t="s">
        <v>4657</v>
      </c>
      <c r="P1551" t="s">
        <v>20</v>
      </c>
      <c r="Q1551" s="4">
        <v>0.78459490740741</v>
      </c>
      <c r="R1551" t="s">
        <v>16</v>
      </c>
      <c r="S1551" t="s">
        <v>4</v>
      </c>
      <c r="T1551" t="s">
        <v>2321</v>
      </c>
      <c r="U1551" t="s">
        <v>10</v>
      </c>
      <c r="V1551" s="5">
        <v>0</v>
      </c>
      <c r="W1551" s="5">
        <v>0</v>
      </c>
      <c r="X1551" s="2">
        <v>0</v>
      </c>
      <c r="Y1551" t="s">
        <v>4</v>
      </c>
      <c r="Z1551" t="s">
        <v>4</v>
      </c>
      <c r="AA1551" t="s">
        <v>4</v>
      </c>
      <c r="AB1551" t="s">
        <v>4</v>
      </c>
    </row>
    <row r="1552" spans="1:28" hidden="1" x14ac:dyDescent="0.2">
      <c r="A1552" t="s">
        <v>696</v>
      </c>
      <c r="B1552" t="s">
        <v>2</v>
      </c>
      <c r="C1552" t="s">
        <v>3</v>
      </c>
      <c r="D1552" t="s">
        <v>4</v>
      </c>
      <c r="E1552" t="s">
        <v>4</v>
      </c>
      <c r="F1552" t="s">
        <v>16</v>
      </c>
      <c r="G1552" t="s">
        <v>6</v>
      </c>
      <c r="H1552" t="s">
        <v>4658</v>
      </c>
      <c r="I1552" s="2">
        <v>70</v>
      </c>
      <c r="J1552" s="2">
        <v>0</v>
      </c>
      <c r="K1552" s="2">
        <v>0</v>
      </c>
      <c r="L1552" s="3">
        <v>45737</v>
      </c>
      <c r="M1552" s="3">
        <v>45737</v>
      </c>
      <c r="N1552" s="3"/>
      <c r="O1552" t="s">
        <v>4659</v>
      </c>
      <c r="P1552" t="s">
        <v>20</v>
      </c>
      <c r="Q1552" s="4">
        <v>0.6121875</v>
      </c>
      <c r="R1552" t="s">
        <v>16</v>
      </c>
      <c r="S1552" t="s">
        <v>4</v>
      </c>
      <c r="T1552" t="s">
        <v>4397</v>
      </c>
      <c r="U1552" t="s">
        <v>10</v>
      </c>
      <c r="V1552" s="5">
        <v>0</v>
      </c>
      <c r="W1552" s="5">
        <v>0</v>
      </c>
      <c r="X1552" s="2">
        <v>0</v>
      </c>
      <c r="Y1552" t="s">
        <v>4</v>
      </c>
      <c r="Z1552" t="s">
        <v>4</v>
      </c>
      <c r="AA1552" t="s">
        <v>4</v>
      </c>
      <c r="AB1552" t="s">
        <v>4</v>
      </c>
    </row>
    <row r="1553" spans="1:28" hidden="1" x14ac:dyDescent="0.2">
      <c r="A1553" t="s">
        <v>696</v>
      </c>
      <c r="B1553" t="s">
        <v>2</v>
      </c>
      <c r="C1553" t="s">
        <v>3</v>
      </c>
      <c r="D1553" t="s">
        <v>4</v>
      </c>
      <c r="E1553" t="s">
        <v>4</v>
      </c>
      <c r="F1553" t="s">
        <v>16</v>
      </c>
      <c r="G1553" t="s">
        <v>6</v>
      </c>
      <c r="H1553" t="s">
        <v>4660</v>
      </c>
      <c r="I1553" s="2">
        <v>49</v>
      </c>
      <c r="J1553" s="2">
        <v>0</v>
      </c>
      <c r="K1553" s="2">
        <v>0</v>
      </c>
      <c r="L1553" s="3">
        <v>45737</v>
      </c>
      <c r="M1553" s="3">
        <v>45769</v>
      </c>
      <c r="N1553" s="3"/>
      <c r="O1553" t="s">
        <v>4661</v>
      </c>
      <c r="P1553" t="s">
        <v>20</v>
      </c>
      <c r="Q1553" s="4">
        <v>0.73107638888889004</v>
      </c>
      <c r="R1553" t="s">
        <v>16</v>
      </c>
      <c r="S1553" t="s">
        <v>4</v>
      </c>
      <c r="T1553" t="s">
        <v>4397</v>
      </c>
      <c r="U1553" t="s">
        <v>10</v>
      </c>
      <c r="V1553" s="5">
        <v>0</v>
      </c>
      <c r="W1553" s="5">
        <v>0</v>
      </c>
      <c r="X1553" s="2">
        <v>0</v>
      </c>
      <c r="Y1553" t="s">
        <v>4</v>
      </c>
      <c r="Z1553" t="s">
        <v>4</v>
      </c>
      <c r="AA1553" t="s">
        <v>4</v>
      </c>
      <c r="AB1553" t="s">
        <v>4</v>
      </c>
    </row>
    <row r="1554" spans="1:28" hidden="1" x14ac:dyDescent="0.2">
      <c r="A1554" t="s">
        <v>2202</v>
      </c>
      <c r="B1554" t="s">
        <v>2</v>
      </c>
      <c r="C1554" t="s">
        <v>3</v>
      </c>
      <c r="D1554" t="s">
        <v>4</v>
      </c>
      <c r="E1554" t="s">
        <v>4</v>
      </c>
      <c r="F1554" t="s">
        <v>16</v>
      </c>
      <c r="G1554" t="s">
        <v>21</v>
      </c>
      <c r="H1554" t="s">
        <v>4662</v>
      </c>
      <c r="I1554" s="2">
        <v>700</v>
      </c>
      <c r="J1554" s="2">
        <v>0</v>
      </c>
      <c r="K1554" s="2">
        <v>0</v>
      </c>
      <c r="L1554" s="3">
        <v>45799</v>
      </c>
      <c r="M1554" s="3">
        <v>45799</v>
      </c>
      <c r="N1554" s="3"/>
      <c r="O1554" t="s">
        <v>4663</v>
      </c>
      <c r="P1554" t="s">
        <v>20</v>
      </c>
      <c r="Q1554" s="4">
        <v>0.64666666666667005</v>
      </c>
      <c r="R1554" t="s">
        <v>16</v>
      </c>
      <c r="S1554" t="s">
        <v>4</v>
      </c>
      <c r="T1554" t="s">
        <v>4635</v>
      </c>
      <c r="U1554" t="s">
        <v>10</v>
      </c>
      <c r="V1554" s="5">
        <v>0</v>
      </c>
      <c r="W1554" s="5">
        <v>0</v>
      </c>
      <c r="X1554" s="2">
        <v>0</v>
      </c>
      <c r="Y1554" t="s">
        <v>4</v>
      </c>
      <c r="Z1554" t="s">
        <v>4</v>
      </c>
      <c r="AA1554" t="s">
        <v>4</v>
      </c>
      <c r="AB1554" t="s">
        <v>4</v>
      </c>
    </row>
    <row r="1555" spans="1:28" hidden="1" x14ac:dyDescent="0.2">
      <c r="A1555" t="s">
        <v>285</v>
      </c>
      <c r="B1555" t="s">
        <v>2</v>
      </c>
      <c r="C1555" t="s">
        <v>3</v>
      </c>
      <c r="D1555" t="s">
        <v>4</v>
      </c>
      <c r="E1555" t="s">
        <v>4</v>
      </c>
      <c r="F1555" t="s">
        <v>16</v>
      </c>
      <c r="G1555" t="s">
        <v>21</v>
      </c>
      <c r="H1555" t="s">
        <v>4664</v>
      </c>
      <c r="I1555" s="2">
        <v>30</v>
      </c>
      <c r="J1555" s="2">
        <v>0</v>
      </c>
      <c r="K1555" s="2">
        <v>0</v>
      </c>
      <c r="L1555" s="3">
        <v>45829</v>
      </c>
      <c r="M1555" s="3">
        <v>45829</v>
      </c>
      <c r="N1555" s="3"/>
      <c r="O1555" t="s">
        <v>4665</v>
      </c>
      <c r="P1555" t="s">
        <v>20</v>
      </c>
      <c r="Q1555" s="4">
        <v>0.72903935185184998</v>
      </c>
      <c r="R1555" t="s">
        <v>16</v>
      </c>
      <c r="S1555" t="s">
        <v>4</v>
      </c>
      <c r="T1555" t="s">
        <v>3242</v>
      </c>
      <c r="U1555" t="s">
        <v>10</v>
      </c>
      <c r="V1555" s="5">
        <v>0</v>
      </c>
      <c r="W1555" s="5">
        <v>0</v>
      </c>
      <c r="X1555" s="2">
        <v>0</v>
      </c>
      <c r="Y1555" t="s">
        <v>4</v>
      </c>
      <c r="Z1555" t="s">
        <v>4</v>
      </c>
      <c r="AA1555" t="s">
        <v>4</v>
      </c>
      <c r="AB1555" t="s">
        <v>4</v>
      </c>
    </row>
    <row r="1556" spans="1:28" hidden="1" x14ac:dyDescent="0.2">
      <c r="A1556" t="s">
        <v>393</v>
      </c>
      <c r="B1556" t="s">
        <v>2</v>
      </c>
      <c r="C1556" t="s">
        <v>3</v>
      </c>
      <c r="D1556" t="s">
        <v>4</v>
      </c>
      <c r="E1556" t="s">
        <v>4</v>
      </c>
      <c r="F1556" t="s">
        <v>16</v>
      </c>
      <c r="G1556" t="s">
        <v>21</v>
      </c>
      <c r="H1556" t="s">
        <v>4666</v>
      </c>
      <c r="I1556" s="2">
        <v>390</v>
      </c>
      <c r="J1556" s="2">
        <v>0</v>
      </c>
      <c r="K1556" s="2">
        <v>0</v>
      </c>
      <c r="L1556" s="3">
        <v>45799</v>
      </c>
      <c r="M1556" s="3">
        <v>45857</v>
      </c>
      <c r="N1556" s="3">
        <v>45857</v>
      </c>
      <c r="O1556" t="s">
        <v>4667</v>
      </c>
      <c r="P1556" t="s">
        <v>20</v>
      </c>
      <c r="Q1556" s="4">
        <v>0.69828703703703998</v>
      </c>
      <c r="R1556" t="s">
        <v>16</v>
      </c>
      <c r="S1556" t="s">
        <v>4</v>
      </c>
      <c r="T1556" t="s">
        <v>4635</v>
      </c>
      <c r="U1556" t="s">
        <v>10</v>
      </c>
      <c r="V1556" s="5">
        <v>0</v>
      </c>
      <c r="W1556" s="5">
        <v>0</v>
      </c>
      <c r="X1556" s="2">
        <v>0</v>
      </c>
      <c r="Y1556" t="s">
        <v>4</v>
      </c>
      <c r="Z1556" t="s">
        <v>4</v>
      </c>
      <c r="AA1556" t="s">
        <v>4</v>
      </c>
      <c r="AB1556" t="s">
        <v>4</v>
      </c>
    </row>
    <row r="1557" spans="1:28" hidden="1" x14ac:dyDescent="0.2">
      <c r="A1557" t="s">
        <v>2200</v>
      </c>
      <c r="B1557" t="s">
        <v>2</v>
      </c>
      <c r="C1557" t="s">
        <v>3</v>
      </c>
      <c r="D1557" t="s">
        <v>4</v>
      </c>
      <c r="E1557" t="s">
        <v>4</v>
      </c>
      <c r="F1557" t="s">
        <v>16</v>
      </c>
      <c r="G1557" t="s">
        <v>21</v>
      </c>
      <c r="H1557" t="s">
        <v>4668</v>
      </c>
      <c r="I1557" s="2">
        <v>600</v>
      </c>
      <c r="J1557" s="2">
        <v>0</v>
      </c>
      <c r="K1557" s="2">
        <v>0</v>
      </c>
      <c r="L1557" s="3">
        <v>45799</v>
      </c>
      <c r="M1557" s="3">
        <v>45799</v>
      </c>
      <c r="N1557" s="3"/>
      <c r="O1557" t="s">
        <v>4669</v>
      </c>
      <c r="P1557" t="s">
        <v>20</v>
      </c>
      <c r="Q1557" s="4">
        <v>0.64784722222222002</v>
      </c>
      <c r="R1557" t="s">
        <v>16</v>
      </c>
      <c r="S1557" t="s">
        <v>4</v>
      </c>
      <c r="T1557" t="s">
        <v>4635</v>
      </c>
      <c r="U1557" t="s">
        <v>10</v>
      </c>
      <c r="V1557" s="5">
        <v>0</v>
      </c>
      <c r="W1557" s="5">
        <v>0</v>
      </c>
      <c r="X1557" s="2">
        <v>0</v>
      </c>
      <c r="Y1557" t="s">
        <v>4</v>
      </c>
      <c r="Z1557" t="s">
        <v>4</v>
      </c>
      <c r="AA1557" t="s">
        <v>4</v>
      </c>
      <c r="AB1557" t="s">
        <v>4</v>
      </c>
    </row>
    <row r="1558" spans="1:28" hidden="1" x14ac:dyDescent="0.2">
      <c r="A1558" t="s">
        <v>2039</v>
      </c>
      <c r="B1558" t="s">
        <v>2</v>
      </c>
      <c r="C1558" t="s">
        <v>3</v>
      </c>
      <c r="D1558" t="s">
        <v>4</v>
      </c>
      <c r="E1558" t="s">
        <v>4</v>
      </c>
      <c r="F1558" t="s">
        <v>16</v>
      </c>
      <c r="G1558" t="s">
        <v>6</v>
      </c>
      <c r="H1558" t="s">
        <v>4670</v>
      </c>
      <c r="I1558" s="2">
        <v>108</v>
      </c>
      <c r="J1558" s="2">
        <v>0</v>
      </c>
      <c r="K1558" s="2">
        <v>0</v>
      </c>
      <c r="L1558" s="3">
        <v>45853</v>
      </c>
      <c r="M1558" s="3">
        <v>45853</v>
      </c>
      <c r="N1558" s="3"/>
      <c r="O1558" t="s">
        <v>4671</v>
      </c>
      <c r="P1558" t="s">
        <v>20</v>
      </c>
      <c r="Q1558" s="4">
        <v>0.97715277777777998</v>
      </c>
      <c r="R1558" t="s">
        <v>16</v>
      </c>
      <c r="S1558" t="s">
        <v>4</v>
      </c>
      <c r="T1558" t="s">
        <v>2272</v>
      </c>
      <c r="U1558" t="s">
        <v>10</v>
      </c>
      <c r="V1558" s="5">
        <v>0</v>
      </c>
      <c r="W1558" s="5">
        <v>0</v>
      </c>
      <c r="X1558" s="2">
        <v>0</v>
      </c>
      <c r="Y1558" t="s">
        <v>4</v>
      </c>
      <c r="Z1558" t="s">
        <v>4</v>
      </c>
      <c r="AA1558" t="s">
        <v>4</v>
      </c>
      <c r="AB1558" t="s">
        <v>4</v>
      </c>
    </row>
    <row r="1559" spans="1:28" hidden="1" x14ac:dyDescent="0.2">
      <c r="A1559" t="s">
        <v>632</v>
      </c>
      <c r="B1559" t="s">
        <v>2</v>
      </c>
      <c r="C1559" t="s">
        <v>3</v>
      </c>
      <c r="D1559" t="s">
        <v>4</v>
      </c>
      <c r="E1559" t="s">
        <v>4</v>
      </c>
      <c r="F1559" t="s">
        <v>16</v>
      </c>
      <c r="G1559" t="s">
        <v>6</v>
      </c>
      <c r="H1559" t="s">
        <v>4672</v>
      </c>
      <c r="I1559" s="2">
        <v>2304</v>
      </c>
      <c r="J1559" s="2">
        <v>0</v>
      </c>
      <c r="K1559" s="2">
        <v>0</v>
      </c>
      <c r="L1559" s="3">
        <v>45858</v>
      </c>
      <c r="M1559" s="3">
        <v>45858</v>
      </c>
      <c r="N1559" s="3"/>
      <c r="O1559" t="s">
        <v>4673</v>
      </c>
      <c r="P1559" t="s">
        <v>20</v>
      </c>
      <c r="Q1559" s="4">
        <v>0.54284722222222004</v>
      </c>
      <c r="R1559" t="s">
        <v>16</v>
      </c>
      <c r="S1559" t="s">
        <v>4</v>
      </c>
      <c r="T1559" t="s">
        <v>2337</v>
      </c>
      <c r="U1559" t="s">
        <v>10</v>
      </c>
      <c r="V1559" s="5">
        <v>0</v>
      </c>
      <c r="W1559" s="5">
        <v>0</v>
      </c>
      <c r="X1559" s="2">
        <v>0</v>
      </c>
      <c r="Y1559" t="s">
        <v>4</v>
      </c>
      <c r="Z1559" t="s">
        <v>4</v>
      </c>
      <c r="AA1559" t="s">
        <v>4</v>
      </c>
      <c r="AB1559" t="s">
        <v>4</v>
      </c>
    </row>
    <row r="1560" spans="1:28" hidden="1" x14ac:dyDescent="0.2">
      <c r="A1560" t="s">
        <v>1994</v>
      </c>
      <c r="B1560" t="s">
        <v>2</v>
      </c>
      <c r="C1560" t="s">
        <v>3</v>
      </c>
      <c r="D1560" t="s">
        <v>4</v>
      </c>
      <c r="E1560" t="s">
        <v>4</v>
      </c>
      <c r="F1560" t="s">
        <v>16</v>
      </c>
      <c r="G1560" t="s">
        <v>6</v>
      </c>
      <c r="H1560" t="s">
        <v>4674</v>
      </c>
      <c r="I1560" s="2">
        <v>400</v>
      </c>
      <c r="J1560" s="2">
        <v>0</v>
      </c>
      <c r="K1560" s="2">
        <v>0</v>
      </c>
      <c r="L1560" s="3">
        <v>45794</v>
      </c>
      <c r="M1560" s="3">
        <v>45794</v>
      </c>
      <c r="N1560" s="3"/>
      <c r="O1560" t="s">
        <v>4675</v>
      </c>
      <c r="P1560" t="s">
        <v>20</v>
      </c>
      <c r="Q1560" s="4">
        <v>0.74582175925925998</v>
      </c>
      <c r="R1560" t="s">
        <v>16</v>
      </c>
      <c r="S1560" t="s">
        <v>4</v>
      </c>
      <c r="T1560" t="s">
        <v>3887</v>
      </c>
      <c r="U1560" t="s">
        <v>10</v>
      </c>
      <c r="V1560" s="5">
        <v>0</v>
      </c>
      <c r="W1560" s="5">
        <v>0</v>
      </c>
      <c r="X1560" s="2">
        <v>0</v>
      </c>
      <c r="Y1560" t="s">
        <v>4</v>
      </c>
      <c r="Z1560" t="s">
        <v>4</v>
      </c>
      <c r="AA1560" t="s">
        <v>4</v>
      </c>
      <c r="AB1560" t="s">
        <v>4</v>
      </c>
    </row>
    <row r="1561" spans="1:28" hidden="1" x14ac:dyDescent="0.2">
      <c r="A1561" t="s">
        <v>529</v>
      </c>
      <c r="B1561" t="s">
        <v>2</v>
      </c>
      <c r="C1561" t="s">
        <v>3</v>
      </c>
      <c r="D1561" t="s">
        <v>4</v>
      </c>
      <c r="E1561" t="s">
        <v>4</v>
      </c>
      <c r="F1561" t="s">
        <v>16</v>
      </c>
      <c r="G1561" t="s">
        <v>6</v>
      </c>
      <c r="H1561" t="s">
        <v>4676</v>
      </c>
      <c r="I1561" s="2">
        <v>136</v>
      </c>
      <c r="J1561" s="2">
        <v>0</v>
      </c>
      <c r="K1561" s="2">
        <v>0</v>
      </c>
      <c r="L1561" s="3">
        <v>45854</v>
      </c>
      <c r="M1561" s="3">
        <v>45854</v>
      </c>
      <c r="N1561" s="3"/>
      <c r="O1561" t="s">
        <v>4677</v>
      </c>
      <c r="P1561" t="s">
        <v>20</v>
      </c>
      <c r="Q1561" s="4">
        <v>0.72598379629630005</v>
      </c>
      <c r="R1561" t="s">
        <v>16</v>
      </c>
      <c r="S1561" t="s">
        <v>4</v>
      </c>
      <c r="T1561" t="s">
        <v>2299</v>
      </c>
      <c r="U1561" t="s">
        <v>10</v>
      </c>
      <c r="V1561" s="5">
        <v>0</v>
      </c>
      <c r="W1561" s="5">
        <v>0</v>
      </c>
      <c r="X1561" s="2">
        <v>0</v>
      </c>
      <c r="Y1561" t="s">
        <v>4</v>
      </c>
      <c r="Z1561" t="s">
        <v>4</v>
      </c>
      <c r="AA1561" t="s">
        <v>4</v>
      </c>
      <c r="AB1561" t="s">
        <v>4</v>
      </c>
    </row>
    <row r="1562" spans="1:28" hidden="1" x14ac:dyDescent="0.2">
      <c r="A1562" t="s">
        <v>308</v>
      </c>
      <c r="B1562" t="s">
        <v>2</v>
      </c>
      <c r="C1562" t="s">
        <v>3</v>
      </c>
      <c r="D1562" t="s">
        <v>4</v>
      </c>
      <c r="E1562" t="s">
        <v>4</v>
      </c>
      <c r="F1562" t="s">
        <v>16</v>
      </c>
      <c r="G1562" t="s">
        <v>21</v>
      </c>
      <c r="H1562" t="s">
        <v>4678</v>
      </c>
      <c r="I1562" s="2">
        <v>800</v>
      </c>
      <c r="J1562" s="2">
        <v>0</v>
      </c>
      <c r="K1562" s="2">
        <v>0</v>
      </c>
      <c r="L1562" s="3">
        <v>45799</v>
      </c>
      <c r="M1562" s="3">
        <v>45799</v>
      </c>
      <c r="N1562" s="3"/>
      <c r="O1562" t="s">
        <v>4679</v>
      </c>
      <c r="P1562" t="s">
        <v>20</v>
      </c>
      <c r="Q1562" s="4">
        <v>0.65851851851851995</v>
      </c>
      <c r="R1562" t="s">
        <v>16</v>
      </c>
      <c r="S1562" t="s">
        <v>4</v>
      </c>
      <c r="T1562" t="s">
        <v>4635</v>
      </c>
      <c r="U1562" t="s">
        <v>10</v>
      </c>
      <c r="V1562" s="5">
        <v>0</v>
      </c>
      <c r="W1562" s="5">
        <v>0</v>
      </c>
      <c r="X1562" s="2">
        <v>0</v>
      </c>
      <c r="Y1562" t="s">
        <v>4</v>
      </c>
      <c r="Z1562" t="s">
        <v>4</v>
      </c>
      <c r="AA1562" t="s">
        <v>4</v>
      </c>
      <c r="AB1562" t="s">
        <v>4</v>
      </c>
    </row>
    <row r="1563" spans="1:28" hidden="1" x14ac:dyDescent="0.2">
      <c r="A1563" t="s">
        <v>285</v>
      </c>
      <c r="B1563" t="s">
        <v>2</v>
      </c>
      <c r="C1563" t="s">
        <v>3</v>
      </c>
      <c r="D1563" t="s">
        <v>4</v>
      </c>
      <c r="E1563" t="s">
        <v>4</v>
      </c>
      <c r="F1563" t="s">
        <v>16</v>
      </c>
      <c r="G1563" t="s">
        <v>21</v>
      </c>
      <c r="H1563" t="s">
        <v>4680</v>
      </c>
      <c r="I1563" s="2">
        <v>30</v>
      </c>
      <c r="J1563" s="2">
        <v>0</v>
      </c>
      <c r="K1563" s="2">
        <v>0</v>
      </c>
      <c r="L1563" s="3">
        <v>45829</v>
      </c>
      <c r="M1563" s="3">
        <v>45829</v>
      </c>
      <c r="N1563" s="3"/>
      <c r="O1563" t="s">
        <v>4681</v>
      </c>
      <c r="P1563" t="s">
        <v>20</v>
      </c>
      <c r="Q1563" s="4">
        <v>0.72912037037037003</v>
      </c>
      <c r="R1563" t="s">
        <v>16</v>
      </c>
      <c r="S1563" t="s">
        <v>4</v>
      </c>
      <c r="T1563" t="s">
        <v>3242</v>
      </c>
      <c r="U1563" t="s">
        <v>10</v>
      </c>
      <c r="V1563" s="5">
        <v>0</v>
      </c>
      <c r="W1563" s="5">
        <v>0</v>
      </c>
      <c r="X1563" s="2">
        <v>0</v>
      </c>
      <c r="Y1563" t="s">
        <v>4</v>
      </c>
      <c r="Z1563" t="s">
        <v>4</v>
      </c>
      <c r="AA1563" t="s">
        <v>4</v>
      </c>
      <c r="AB1563" t="s">
        <v>4</v>
      </c>
    </row>
    <row r="1564" spans="1:28" hidden="1" x14ac:dyDescent="0.2">
      <c r="A1564" t="s">
        <v>2251</v>
      </c>
      <c r="B1564" t="s">
        <v>4</v>
      </c>
      <c r="C1564" t="s">
        <v>4</v>
      </c>
      <c r="D1564" t="s">
        <v>4</v>
      </c>
      <c r="E1564" t="s">
        <v>4</v>
      </c>
      <c r="F1564" t="s">
        <v>16</v>
      </c>
      <c r="G1564" t="s">
        <v>21</v>
      </c>
      <c r="H1564" t="s">
        <v>4682</v>
      </c>
      <c r="I1564" s="5">
        <v>0</v>
      </c>
      <c r="J1564" s="5">
        <v>0</v>
      </c>
      <c r="K1564" s="5">
        <v>0</v>
      </c>
      <c r="L1564" s="3"/>
      <c r="M1564" s="3"/>
      <c r="N1564" s="3"/>
      <c r="O1564" t="s">
        <v>4</v>
      </c>
      <c r="P1564" t="s">
        <v>20</v>
      </c>
      <c r="Q1564" s="4">
        <v>0.39068287037036997</v>
      </c>
      <c r="R1564" t="s">
        <v>4</v>
      </c>
      <c r="S1564" t="s">
        <v>4</v>
      </c>
      <c r="T1564" t="s">
        <v>2256</v>
      </c>
      <c r="U1564" t="s">
        <v>4</v>
      </c>
      <c r="V1564" s="5">
        <v>0</v>
      </c>
      <c r="W1564" s="5">
        <v>0</v>
      </c>
      <c r="X1564" s="2">
        <v>0</v>
      </c>
      <c r="Y1564" t="s">
        <v>4</v>
      </c>
      <c r="Z1564" t="s">
        <v>4</v>
      </c>
      <c r="AA1564" t="s">
        <v>4</v>
      </c>
      <c r="AB1564" t="s">
        <v>4</v>
      </c>
    </row>
    <row r="1565" spans="1:28" hidden="1" x14ac:dyDescent="0.2">
      <c r="A1565" t="s">
        <v>285</v>
      </c>
      <c r="B1565" t="s">
        <v>2</v>
      </c>
      <c r="C1565" t="s">
        <v>3</v>
      </c>
      <c r="D1565" t="s">
        <v>4</v>
      </c>
      <c r="E1565" t="s">
        <v>4</v>
      </c>
      <c r="F1565" t="s">
        <v>16</v>
      </c>
      <c r="G1565" t="s">
        <v>21</v>
      </c>
      <c r="H1565" t="s">
        <v>4683</v>
      </c>
      <c r="I1565" s="2">
        <v>30</v>
      </c>
      <c r="J1565" s="2">
        <v>0</v>
      </c>
      <c r="K1565" s="2">
        <v>0</v>
      </c>
      <c r="L1565" s="3">
        <v>45829</v>
      </c>
      <c r="M1565" s="3">
        <v>45829</v>
      </c>
      <c r="N1565" s="3"/>
      <c r="O1565" t="s">
        <v>4684</v>
      </c>
      <c r="P1565" t="s">
        <v>20</v>
      </c>
      <c r="Q1565" s="4">
        <v>0.73103009259259</v>
      </c>
      <c r="R1565" t="s">
        <v>16</v>
      </c>
      <c r="S1565" t="s">
        <v>4</v>
      </c>
      <c r="T1565" t="s">
        <v>3242</v>
      </c>
      <c r="U1565" t="s">
        <v>10</v>
      </c>
      <c r="V1565" s="5">
        <v>0</v>
      </c>
      <c r="W1565" s="5">
        <v>0</v>
      </c>
      <c r="X1565" s="2">
        <v>0</v>
      </c>
      <c r="Y1565" t="s">
        <v>4</v>
      </c>
      <c r="Z1565" t="s">
        <v>4</v>
      </c>
      <c r="AA1565" t="s">
        <v>4</v>
      </c>
      <c r="AB1565" t="s">
        <v>4</v>
      </c>
    </row>
    <row r="1566" spans="1:28" hidden="1" x14ac:dyDescent="0.2">
      <c r="A1566" t="s">
        <v>2196</v>
      </c>
      <c r="B1566" t="s">
        <v>2</v>
      </c>
      <c r="C1566" t="s">
        <v>3</v>
      </c>
      <c r="D1566" t="s">
        <v>4</v>
      </c>
      <c r="E1566" t="s">
        <v>4</v>
      </c>
      <c r="F1566" t="s">
        <v>16</v>
      </c>
      <c r="G1566" t="s">
        <v>17</v>
      </c>
      <c r="H1566" t="s">
        <v>4685</v>
      </c>
      <c r="I1566" s="2">
        <v>768</v>
      </c>
      <c r="J1566" s="2">
        <v>0</v>
      </c>
      <c r="K1566" s="2">
        <v>0</v>
      </c>
      <c r="L1566" s="3">
        <v>45772</v>
      </c>
      <c r="M1566" s="3">
        <v>45800</v>
      </c>
      <c r="N1566" s="3">
        <v>45800</v>
      </c>
      <c r="O1566" t="s">
        <v>4686</v>
      </c>
      <c r="P1566" t="s">
        <v>20</v>
      </c>
      <c r="Q1566" s="4">
        <v>0.74003472222222</v>
      </c>
      <c r="R1566" t="s">
        <v>16</v>
      </c>
      <c r="S1566" t="s">
        <v>4</v>
      </c>
      <c r="T1566" t="s">
        <v>4331</v>
      </c>
      <c r="U1566" t="s">
        <v>10</v>
      </c>
      <c r="V1566" s="5">
        <v>0</v>
      </c>
      <c r="W1566" s="5">
        <v>0</v>
      </c>
      <c r="X1566" s="2">
        <v>0</v>
      </c>
      <c r="Y1566" t="s">
        <v>4</v>
      </c>
      <c r="Z1566" t="s">
        <v>4</v>
      </c>
      <c r="AA1566" t="s">
        <v>4</v>
      </c>
      <c r="AB1566" t="s">
        <v>4</v>
      </c>
    </row>
    <row r="1567" spans="1:28" hidden="1" x14ac:dyDescent="0.2">
      <c r="A1567" t="s">
        <v>2078</v>
      </c>
      <c r="B1567" t="s">
        <v>2</v>
      </c>
      <c r="C1567" t="s">
        <v>3</v>
      </c>
      <c r="D1567" t="s">
        <v>4</v>
      </c>
      <c r="E1567" t="s">
        <v>4</v>
      </c>
      <c r="F1567" t="s">
        <v>16</v>
      </c>
      <c r="G1567" t="s">
        <v>17</v>
      </c>
      <c r="H1567" t="s">
        <v>4687</v>
      </c>
      <c r="I1567" s="2">
        <v>40000</v>
      </c>
      <c r="J1567" s="2">
        <v>0</v>
      </c>
      <c r="K1567" s="2">
        <v>0</v>
      </c>
      <c r="L1567" s="3">
        <v>45859</v>
      </c>
      <c r="M1567" s="3">
        <v>45859</v>
      </c>
      <c r="N1567" s="3"/>
      <c r="O1567" t="s">
        <v>4688</v>
      </c>
      <c r="P1567" t="s">
        <v>20</v>
      </c>
      <c r="Q1567" s="4">
        <v>0.98755787037037002</v>
      </c>
      <c r="R1567" t="s">
        <v>16</v>
      </c>
      <c r="S1567" t="s">
        <v>4</v>
      </c>
      <c r="T1567" t="s">
        <v>2261</v>
      </c>
      <c r="U1567" t="s">
        <v>10</v>
      </c>
      <c r="V1567" s="5">
        <v>0</v>
      </c>
      <c r="W1567" s="5">
        <v>0</v>
      </c>
      <c r="X1567" s="2">
        <v>0</v>
      </c>
      <c r="Y1567" t="s">
        <v>4</v>
      </c>
      <c r="Z1567" t="s">
        <v>4</v>
      </c>
      <c r="AA1567" t="s">
        <v>4</v>
      </c>
      <c r="AB1567" t="s">
        <v>4</v>
      </c>
    </row>
    <row r="1568" spans="1:28" hidden="1" x14ac:dyDescent="0.2">
      <c r="A1568" t="s">
        <v>632</v>
      </c>
      <c r="B1568" t="s">
        <v>2</v>
      </c>
      <c r="C1568" t="s">
        <v>3</v>
      </c>
      <c r="D1568" t="s">
        <v>4</v>
      </c>
      <c r="E1568" t="s">
        <v>4</v>
      </c>
      <c r="F1568" t="s">
        <v>16</v>
      </c>
      <c r="G1568" t="s">
        <v>6</v>
      </c>
      <c r="H1568" t="s">
        <v>4689</v>
      </c>
      <c r="I1568" s="2">
        <v>2304</v>
      </c>
      <c r="J1568" s="2">
        <v>0</v>
      </c>
      <c r="K1568" s="2">
        <v>0</v>
      </c>
      <c r="L1568" s="3">
        <v>45858</v>
      </c>
      <c r="M1568" s="3">
        <v>45858</v>
      </c>
      <c r="N1568" s="3"/>
      <c r="O1568" t="s">
        <v>4690</v>
      </c>
      <c r="P1568" t="s">
        <v>20</v>
      </c>
      <c r="Q1568" s="4">
        <v>0.54298611111110995</v>
      </c>
      <c r="R1568" t="s">
        <v>16</v>
      </c>
      <c r="S1568" t="s">
        <v>4</v>
      </c>
      <c r="T1568" t="s">
        <v>2337</v>
      </c>
      <c r="U1568" t="s">
        <v>10</v>
      </c>
      <c r="V1568" s="5">
        <v>0</v>
      </c>
      <c r="W1568" s="5">
        <v>0</v>
      </c>
      <c r="X1568" s="2">
        <v>0</v>
      </c>
      <c r="Y1568" t="s">
        <v>4</v>
      </c>
      <c r="Z1568" t="s">
        <v>4</v>
      </c>
      <c r="AA1568" t="s">
        <v>4</v>
      </c>
      <c r="AB1568" t="s">
        <v>4</v>
      </c>
    </row>
    <row r="1569" spans="1:28" hidden="1" x14ac:dyDescent="0.2">
      <c r="A1569" t="s">
        <v>834</v>
      </c>
      <c r="B1569" t="s">
        <v>2</v>
      </c>
      <c r="C1569" t="s">
        <v>3</v>
      </c>
      <c r="D1569" t="s">
        <v>4</v>
      </c>
      <c r="E1569" t="s">
        <v>4</v>
      </c>
      <c r="F1569" t="s">
        <v>16</v>
      </c>
      <c r="G1569" t="s">
        <v>6</v>
      </c>
      <c r="H1569" t="s">
        <v>4691</v>
      </c>
      <c r="I1569" s="2">
        <v>2000</v>
      </c>
      <c r="J1569" s="2">
        <v>0</v>
      </c>
      <c r="K1569" s="2">
        <v>0</v>
      </c>
      <c r="L1569" s="3">
        <v>45827</v>
      </c>
      <c r="M1569" s="3">
        <v>45827</v>
      </c>
      <c r="N1569" s="3"/>
      <c r="O1569" t="s">
        <v>4692</v>
      </c>
      <c r="P1569" t="s">
        <v>20</v>
      </c>
      <c r="Q1569" s="4">
        <v>0.44343749999999998</v>
      </c>
      <c r="R1569" t="s">
        <v>16</v>
      </c>
      <c r="S1569" t="s">
        <v>4</v>
      </c>
      <c r="T1569" t="s">
        <v>2327</v>
      </c>
      <c r="U1569" t="s">
        <v>10</v>
      </c>
      <c r="V1569" s="5">
        <v>0</v>
      </c>
      <c r="W1569" s="5">
        <v>0</v>
      </c>
      <c r="X1569" s="2">
        <v>0</v>
      </c>
      <c r="Y1569" t="s">
        <v>4</v>
      </c>
      <c r="Z1569" t="s">
        <v>4</v>
      </c>
      <c r="AA1569" t="s">
        <v>4</v>
      </c>
      <c r="AB1569" t="s">
        <v>4</v>
      </c>
    </row>
    <row r="1570" spans="1:28" hidden="1" x14ac:dyDescent="0.2">
      <c r="A1570" t="s">
        <v>320</v>
      </c>
      <c r="B1570" t="s">
        <v>2</v>
      </c>
      <c r="C1570" t="s">
        <v>3</v>
      </c>
      <c r="D1570" t="s">
        <v>4</v>
      </c>
      <c r="E1570" t="s">
        <v>4</v>
      </c>
      <c r="F1570" t="s">
        <v>16</v>
      </c>
      <c r="G1570" t="s">
        <v>6</v>
      </c>
      <c r="H1570" t="s">
        <v>4693</v>
      </c>
      <c r="I1570" s="2">
        <v>8000</v>
      </c>
      <c r="J1570" s="2">
        <v>0</v>
      </c>
      <c r="K1570" s="2">
        <v>0</v>
      </c>
      <c r="L1570" s="3">
        <v>45843</v>
      </c>
      <c r="M1570" s="3">
        <v>45843</v>
      </c>
      <c r="N1570" s="3"/>
      <c r="O1570" t="s">
        <v>4694</v>
      </c>
      <c r="P1570" t="s">
        <v>20</v>
      </c>
      <c r="Q1570" s="4">
        <v>0.56788194444443996</v>
      </c>
      <c r="R1570" t="s">
        <v>16</v>
      </c>
      <c r="S1570" t="s">
        <v>4</v>
      </c>
      <c r="T1570" t="s">
        <v>2783</v>
      </c>
      <c r="U1570" t="s">
        <v>10</v>
      </c>
      <c r="V1570" s="5">
        <v>0</v>
      </c>
      <c r="W1570" s="5">
        <v>0</v>
      </c>
      <c r="X1570" s="2">
        <v>0</v>
      </c>
      <c r="Y1570" t="s">
        <v>4</v>
      </c>
      <c r="Z1570" t="s">
        <v>4</v>
      </c>
      <c r="AA1570" t="s">
        <v>4</v>
      </c>
      <c r="AB1570" t="s">
        <v>4</v>
      </c>
    </row>
    <row r="1571" spans="1:28" hidden="1" x14ac:dyDescent="0.2">
      <c r="A1571" t="s">
        <v>1959</v>
      </c>
      <c r="B1571" t="s">
        <v>2</v>
      </c>
      <c r="C1571" t="s">
        <v>3</v>
      </c>
      <c r="D1571" t="s">
        <v>4</v>
      </c>
      <c r="E1571" t="s">
        <v>4</v>
      </c>
      <c r="F1571" t="s">
        <v>16</v>
      </c>
      <c r="G1571" t="s">
        <v>6</v>
      </c>
      <c r="H1571" t="s">
        <v>4695</v>
      </c>
      <c r="I1571" s="2">
        <v>19200</v>
      </c>
      <c r="J1571" s="2">
        <v>0</v>
      </c>
      <c r="K1571" s="2">
        <v>0</v>
      </c>
      <c r="L1571" s="3">
        <v>45278</v>
      </c>
      <c r="M1571" s="3">
        <v>45465</v>
      </c>
      <c r="N1571" s="3"/>
      <c r="O1571" t="s">
        <v>4696</v>
      </c>
      <c r="P1571" t="s">
        <v>20</v>
      </c>
      <c r="Q1571" s="4">
        <v>0.88517361111111004</v>
      </c>
      <c r="R1571" t="s">
        <v>16</v>
      </c>
      <c r="S1571" t="s">
        <v>4</v>
      </c>
      <c r="T1571" t="s">
        <v>4697</v>
      </c>
      <c r="U1571" t="s">
        <v>10</v>
      </c>
      <c r="V1571" s="5">
        <v>0</v>
      </c>
      <c r="W1571" s="5">
        <v>0</v>
      </c>
      <c r="X1571" s="2">
        <v>0</v>
      </c>
      <c r="Y1571" t="s">
        <v>4</v>
      </c>
      <c r="Z1571" t="s">
        <v>4</v>
      </c>
      <c r="AA1571" t="s">
        <v>4</v>
      </c>
      <c r="AB1571" t="s">
        <v>4</v>
      </c>
    </row>
    <row r="1572" spans="1:28" hidden="1" x14ac:dyDescent="0.2">
      <c r="A1572" t="s">
        <v>1446</v>
      </c>
      <c r="B1572" t="s">
        <v>2</v>
      </c>
      <c r="C1572" t="s">
        <v>3</v>
      </c>
      <c r="D1572" t="s">
        <v>4</v>
      </c>
      <c r="E1572" t="s">
        <v>4</v>
      </c>
      <c r="F1572" t="s">
        <v>16</v>
      </c>
      <c r="G1572" t="s">
        <v>21</v>
      </c>
      <c r="H1572" t="s">
        <v>4698</v>
      </c>
      <c r="I1572" s="2">
        <v>2385</v>
      </c>
      <c r="J1572" s="2">
        <v>0</v>
      </c>
      <c r="K1572" s="2">
        <v>0</v>
      </c>
      <c r="L1572" s="3">
        <v>45833</v>
      </c>
      <c r="M1572" s="3">
        <v>45859</v>
      </c>
      <c r="N1572" s="3"/>
      <c r="O1572" t="s">
        <v>4699</v>
      </c>
      <c r="P1572" t="s">
        <v>20</v>
      </c>
      <c r="Q1572" s="4">
        <v>0.33887731481480998</v>
      </c>
      <c r="R1572" t="s">
        <v>16</v>
      </c>
      <c r="S1572" t="s">
        <v>4</v>
      </c>
      <c r="T1572" t="s">
        <v>2736</v>
      </c>
      <c r="U1572" t="s">
        <v>10</v>
      </c>
      <c r="V1572" s="5">
        <v>0</v>
      </c>
      <c r="W1572" s="5">
        <v>0</v>
      </c>
      <c r="X1572" s="2">
        <v>0</v>
      </c>
      <c r="Y1572" t="s">
        <v>4</v>
      </c>
      <c r="Z1572" t="s">
        <v>4</v>
      </c>
      <c r="AA1572" t="s">
        <v>4</v>
      </c>
      <c r="AB1572" t="s">
        <v>4</v>
      </c>
    </row>
    <row r="1573" spans="1:28" hidden="1" x14ac:dyDescent="0.2">
      <c r="A1573" t="s">
        <v>272</v>
      </c>
      <c r="B1573" t="s">
        <v>2</v>
      </c>
      <c r="C1573" t="s">
        <v>3</v>
      </c>
      <c r="D1573" t="s">
        <v>4</v>
      </c>
      <c r="E1573" t="s">
        <v>4</v>
      </c>
      <c r="F1573" t="s">
        <v>16</v>
      </c>
      <c r="G1573" t="s">
        <v>21</v>
      </c>
      <c r="H1573" t="s">
        <v>4700</v>
      </c>
      <c r="I1573" s="2">
        <v>8900</v>
      </c>
      <c r="J1573" s="2">
        <v>0</v>
      </c>
      <c r="K1573" s="2">
        <v>0</v>
      </c>
      <c r="L1573" s="3">
        <v>45856</v>
      </c>
      <c r="M1573" s="3">
        <v>45856</v>
      </c>
      <c r="N1573" s="3"/>
      <c r="O1573" t="s">
        <v>4701</v>
      </c>
      <c r="P1573" t="s">
        <v>20</v>
      </c>
      <c r="Q1573" s="4">
        <v>0.95478009259259</v>
      </c>
      <c r="R1573" t="s">
        <v>16</v>
      </c>
      <c r="S1573" t="s">
        <v>4</v>
      </c>
      <c r="T1573" t="s">
        <v>2260</v>
      </c>
      <c r="U1573" t="s">
        <v>10</v>
      </c>
      <c r="V1573" s="5">
        <v>0</v>
      </c>
      <c r="W1573" s="5">
        <v>0</v>
      </c>
      <c r="X1573" s="2">
        <v>0</v>
      </c>
      <c r="Y1573" t="s">
        <v>4</v>
      </c>
      <c r="Z1573" t="s">
        <v>4</v>
      </c>
      <c r="AA1573" t="s">
        <v>4</v>
      </c>
      <c r="AB1573" t="s">
        <v>4</v>
      </c>
    </row>
    <row r="1574" spans="1:28" hidden="1" x14ac:dyDescent="0.2">
      <c r="A1574" t="s">
        <v>1994</v>
      </c>
      <c r="B1574" t="s">
        <v>2</v>
      </c>
      <c r="C1574" t="s">
        <v>3</v>
      </c>
      <c r="D1574" t="s">
        <v>4</v>
      </c>
      <c r="E1574" t="s">
        <v>4</v>
      </c>
      <c r="F1574" t="s">
        <v>16</v>
      </c>
      <c r="G1574" t="s">
        <v>21</v>
      </c>
      <c r="H1574" t="s">
        <v>4702</v>
      </c>
      <c r="I1574" s="2">
        <v>400</v>
      </c>
      <c r="J1574" s="2">
        <v>0</v>
      </c>
      <c r="K1574" s="2">
        <v>0</v>
      </c>
      <c r="L1574" s="3">
        <v>45754</v>
      </c>
      <c r="M1574" s="3">
        <v>45754</v>
      </c>
      <c r="N1574" s="3"/>
      <c r="O1574" t="s">
        <v>4703</v>
      </c>
      <c r="P1574" t="s">
        <v>20</v>
      </c>
      <c r="Q1574" s="4">
        <v>0.95523148148147996</v>
      </c>
      <c r="R1574" t="s">
        <v>16</v>
      </c>
      <c r="S1574" t="s">
        <v>4</v>
      </c>
      <c r="T1574" t="s">
        <v>4704</v>
      </c>
      <c r="U1574" t="s">
        <v>10</v>
      </c>
      <c r="V1574" s="5">
        <v>0</v>
      </c>
      <c r="W1574" s="5">
        <v>0</v>
      </c>
      <c r="X1574" s="2">
        <v>0</v>
      </c>
      <c r="Y1574" t="s">
        <v>4</v>
      </c>
      <c r="Z1574" t="s">
        <v>4</v>
      </c>
      <c r="AA1574" t="s">
        <v>4</v>
      </c>
      <c r="AB1574" t="s">
        <v>4</v>
      </c>
    </row>
    <row r="1575" spans="1:28" hidden="1" x14ac:dyDescent="0.2">
      <c r="A1575" t="s">
        <v>1235</v>
      </c>
      <c r="B1575" t="s">
        <v>2</v>
      </c>
      <c r="C1575" t="s">
        <v>3</v>
      </c>
      <c r="D1575" t="s">
        <v>4</v>
      </c>
      <c r="E1575" t="s">
        <v>4</v>
      </c>
      <c r="F1575" t="s">
        <v>16</v>
      </c>
      <c r="G1575" t="s">
        <v>21</v>
      </c>
      <c r="H1575" t="s">
        <v>4705</v>
      </c>
      <c r="I1575" s="2">
        <v>2600</v>
      </c>
      <c r="J1575" s="2">
        <v>0</v>
      </c>
      <c r="K1575" s="2">
        <v>0</v>
      </c>
      <c r="L1575" s="3">
        <v>45853</v>
      </c>
      <c r="M1575" s="3">
        <v>45853</v>
      </c>
      <c r="N1575" s="3"/>
      <c r="O1575" t="s">
        <v>4706</v>
      </c>
      <c r="P1575" t="s">
        <v>20</v>
      </c>
      <c r="Q1575" s="4">
        <v>0.87924768518519003</v>
      </c>
      <c r="R1575" t="s">
        <v>16</v>
      </c>
      <c r="S1575" t="s">
        <v>4</v>
      </c>
      <c r="T1575" t="s">
        <v>2272</v>
      </c>
      <c r="U1575" t="s">
        <v>10</v>
      </c>
      <c r="V1575" s="5">
        <v>0</v>
      </c>
      <c r="W1575" s="5">
        <v>0</v>
      </c>
      <c r="X1575" s="2">
        <v>0</v>
      </c>
      <c r="Y1575" t="s">
        <v>4</v>
      </c>
      <c r="Z1575" t="s">
        <v>4</v>
      </c>
      <c r="AA1575" t="s">
        <v>4</v>
      </c>
      <c r="AB1575" t="s">
        <v>4</v>
      </c>
    </row>
    <row r="1576" spans="1:28" hidden="1" x14ac:dyDescent="0.2">
      <c r="A1576" t="s">
        <v>2251</v>
      </c>
      <c r="B1576" t="s">
        <v>4</v>
      </c>
      <c r="C1576" t="s">
        <v>4</v>
      </c>
      <c r="D1576" t="s">
        <v>4</v>
      </c>
      <c r="E1576" t="s">
        <v>4</v>
      </c>
      <c r="F1576" t="s">
        <v>16</v>
      </c>
      <c r="G1576" t="s">
        <v>21</v>
      </c>
      <c r="H1576" t="s">
        <v>4707</v>
      </c>
      <c r="I1576" s="5">
        <v>0</v>
      </c>
      <c r="J1576" s="5">
        <v>0</v>
      </c>
      <c r="K1576" s="5">
        <v>0</v>
      </c>
      <c r="L1576" s="3"/>
      <c r="M1576" s="3"/>
      <c r="N1576" s="3"/>
      <c r="O1576" t="s">
        <v>4</v>
      </c>
      <c r="P1576" t="s">
        <v>20</v>
      </c>
      <c r="Q1576" s="4">
        <v>0.68061342592592999</v>
      </c>
      <c r="R1576" t="s">
        <v>4</v>
      </c>
      <c r="S1576" t="s">
        <v>4</v>
      </c>
      <c r="T1576" t="s">
        <v>2256</v>
      </c>
      <c r="U1576" t="s">
        <v>4</v>
      </c>
      <c r="V1576" s="5">
        <v>0</v>
      </c>
      <c r="W1576" s="5">
        <v>0</v>
      </c>
      <c r="X1576" s="2">
        <v>0</v>
      </c>
      <c r="Y1576" t="s">
        <v>4</v>
      </c>
      <c r="Z1576" t="s">
        <v>4</v>
      </c>
      <c r="AA1576" t="s">
        <v>4</v>
      </c>
      <c r="AB1576" t="s">
        <v>4</v>
      </c>
    </row>
    <row r="1577" spans="1:28" hidden="1" x14ac:dyDescent="0.2">
      <c r="A1577" t="s">
        <v>2023</v>
      </c>
      <c r="B1577" t="s">
        <v>2</v>
      </c>
      <c r="C1577" t="s">
        <v>3</v>
      </c>
      <c r="D1577" t="s">
        <v>4</v>
      </c>
      <c r="E1577" t="s">
        <v>4</v>
      </c>
      <c r="F1577" t="s">
        <v>16</v>
      </c>
      <c r="G1577" t="s">
        <v>21</v>
      </c>
      <c r="H1577" t="s">
        <v>4708</v>
      </c>
      <c r="I1577" s="2">
        <v>1300</v>
      </c>
      <c r="J1577" s="2">
        <v>0</v>
      </c>
      <c r="K1577" s="2">
        <v>0</v>
      </c>
      <c r="L1577" s="3">
        <v>45847</v>
      </c>
      <c r="M1577" s="3">
        <v>45847</v>
      </c>
      <c r="N1577" s="3"/>
      <c r="O1577" t="s">
        <v>4709</v>
      </c>
      <c r="P1577" t="s">
        <v>20</v>
      </c>
      <c r="Q1577" s="4">
        <v>0.66702546296295995</v>
      </c>
      <c r="R1577" t="s">
        <v>16</v>
      </c>
      <c r="S1577" t="s">
        <v>4</v>
      </c>
      <c r="T1577" t="s">
        <v>2341</v>
      </c>
      <c r="U1577" t="s">
        <v>10</v>
      </c>
      <c r="V1577" s="5">
        <v>0</v>
      </c>
      <c r="W1577" s="5">
        <v>0</v>
      </c>
      <c r="X1577" s="2">
        <v>0</v>
      </c>
      <c r="Y1577" t="s">
        <v>4</v>
      </c>
      <c r="Z1577" t="s">
        <v>4</v>
      </c>
      <c r="AA1577" t="s">
        <v>4</v>
      </c>
      <c r="AB1577" t="s">
        <v>4</v>
      </c>
    </row>
    <row r="1578" spans="1:28" hidden="1" x14ac:dyDescent="0.2">
      <c r="A1578" t="s">
        <v>1462</v>
      </c>
      <c r="B1578" t="s">
        <v>2</v>
      </c>
      <c r="C1578" t="s">
        <v>3</v>
      </c>
      <c r="D1578" t="s">
        <v>4</v>
      </c>
      <c r="E1578" t="s">
        <v>4</v>
      </c>
      <c r="F1578" t="s">
        <v>16</v>
      </c>
      <c r="G1578" t="s">
        <v>21</v>
      </c>
      <c r="H1578" t="s">
        <v>4710</v>
      </c>
      <c r="I1578" s="2">
        <v>72</v>
      </c>
      <c r="J1578" s="2">
        <v>0</v>
      </c>
      <c r="K1578" s="2">
        <v>0</v>
      </c>
      <c r="L1578" s="3">
        <v>45845</v>
      </c>
      <c r="M1578" s="3">
        <v>45845</v>
      </c>
      <c r="N1578" s="3"/>
      <c r="O1578" t="s">
        <v>4711</v>
      </c>
      <c r="P1578" t="s">
        <v>20</v>
      </c>
      <c r="Q1578" s="4">
        <v>0.88762731481481005</v>
      </c>
      <c r="R1578" t="s">
        <v>16</v>
      </c>
      <c r="S1578" t="s">
        <v>4</v>
      </c>
      <c r="T1578" t="s">
        <v>2701</v>
      </c>
      <c r="U1578" t="s">
        <v>10</v>
      </c>
      <c r="V1578" s="5">
        <v>0</v>
      </c>
      <c r="W1578" s="5">
        <v>0</v>
      </c>
      <c r="X1578" s="2">
        <v>0</v>
      </c>
      <c r="Y1578" t="s">
        <v>4</v>
      </c>
      <c r="Z1578" t="s">
        <v>4</v>
      </c>
      <c r="AA1578" t="s">
        <v>4</v>
      </c>
      <c r="AB1578" t="s">
        <v>4</v>
      </c>
    </row>
    <row r="1579" spans="1:28" hidden="1" x14ac:dyDescent="0.2">
      <c r="A1579" t="s">
        <v>1250</v>
      </c>
      <c r="B1579" t="s">
        <v>2</v>
      </c>
      <c r="C1579" t="s">
        <v>3</v>
      </c>
      <c r="D1579" t="s">
        <v>4</v>
      </c>
      <c r="E1579" t="s">
        <v>4</v>
      </c>
      <c r="F1579" t="s">
        <v>16</v>
      </c>
      <c r="G1579" t="s">
        <v>21</v>
      </c>
      <c r="H1579" t="s">
        <v>4712</v>
      </c>
      <c r="I1579" s="2">
        <v>332</v>
      </c>
      <c r="J1579" s="2">
        <v>0</v>
      </c>
      <c r="K1579" s="2">
        <v>0</v>
      </c>
      <c r="L1579" s="3">
        <v>45799</v>
      </c>
      <c r="M1579" s="3">
        <v>45803</v>
      </c>
      <c r="N1579" s="3">
        <v>45801</v>
      </c>
      <c r="O1579" t="s">
        <v>4713</v>
      </c>
      <c r="P1579" t="s">
        <v>20</v>
      </c>
      <c r="Q1579" s="4">
        <v>0.62944444444444003</v>
      </c>
      <c r="R1579" t="s">
        <v>16</v>
      </c>
      <c r="S1579" t="s">
        <v>4</v>
      </c>
      <c r="T1579" t="s">
        <v>4635</v>
      </c>
      <c r="U1579" t="s">
        <v>10</v>
      </c>
      <c r="V1579" s="5">
        <v>0</v>
      </c>
      <c r="W1579" s="5">
        <v>0</v>
      </c>
      <c r="X1579" s="2">
        <v>0</v>
      </c>
      <c r="Y1579" t="s">
        <v>4</v>
      </c>
      <c r="Z1579" t="s">
        <v>4</v>
      </c>
      <c r="AA1579" t="s">
        <v>4</v>
      </c>
      <c r="AB1579" t="s">
        <v>4</v>
      </c>
    </row>
    <row r="1580" spans="1:28" hidden="1" x14ac:dyDescent="0.2">
      <c r="A1580" t="s">
        <v>1462</v>
      </c>
      <c r="B1580" t="s">
        <v>2</v>
      </c>
      <c r="C1580" t="s">
        <v>3</v>
      </c>
      <c r="D1580" t="s">
        <v>4</v>
      </c>
      <c r="E1580" t="s">
        <v>4</v>
      </c>
      <c r="F1580" t="s">
        <v>16</v>
      </c>
      <c r="G1580" t="s">
        <v>21</v>
      </c>
      <c r="H1580" t="s">
        <v>4714</v>
      </c>
      <c r="I1580" s="2">
        <v>72</v>
      </c>
      <c r="J1580" s="2">
        <v>0</v>
      </c>
      <c r="K1580" s="2">
        <v>0</v>
      </c>
      <c r="L1580" s="3">
        <v>45845</v>
      </c>
      <c r="M1580" s="3">
        <v>45845</v>
      </c>
      <c r="N1580" s="3"/>
      <c r="O1580" t="s">
        <v>4715</v>
      </c>
      <c r="P1580" t="s">
        <v>20</v>
      </c>
      <c r="Q1580" s="4">
        <v>0.88777777777778</v>
      </c>
      <c r="R1580" t="s">
        <v>16</v>
      </c>
      <c r="S1580" t="s">
        <v>4</v>
      </c>
      <c r="T1580" t="s">
        <v>2701</v>
      </c>
      <c r="U1580" t="s">
        <v>10</v>
      </c>
      <c r="V1580" s="5">
        <v>0</v>
      </c>
      <c r="W1580" s="5">
        <v>0</v>
      </c>
      <c r="X1580" s="2">
        <v>0</v>
      </c>
      <c r="Y1580" t="s">
        <v>4</v>
      </c>
      <c r="Z1580" t="s">
        <v>4</v>
      </c>
      <c r="AA1580" t="s">
        <v>4</v>
      </c>
      <c r="AB1580" t="s">
        <v>4</v>
      </c>
    </row>
    <row r="1581" spans="1:28" hidden="1" x14ac:dyDescent="0.2">
      <c r="A1581" t="s">
        <v>1116</v>
      </c>
      <c r="B1581" t="s">
        <v>2</v>
      </c>
      <c r="C1581" t="s">
        <v>3</v>
      </c>
      <c r="D1581" t="s">
        <v>4</v>
      </c>
      <c r="E1581" t="s">
        <v>4</v>
      </c>
      <c r="F1581" t="s">
        <v>16</v>
      </c>
      <c r="G1581" t="s">
        <v>21</v>
      </c>
      <c r="H1581" t="s">
        <v>4716</v>
      </c>
      <c r="I1581" s="2">
        <v>2250</v>
      </c>
      <c r="J1581" s="2">
        <v>0</v>
      </c>
      <c r="K1581" s="2">
        <v>0</v>
      </c>
      <c r="L1581" s="3">
        <v>45834</v>
      </c>
      <c r="M1581" s="3">
        <v>45834</v>
      </c>
      <c r="N1581" s="3"/>
      <c r="O1581" t="s">
        <v>4717</v>
      </c>
      <c r="P1581" t="s">
        <v>20</v>
      </c>
      <c r="Q1581" s="4">
        <v>0.82372685185185002</v>
      </c>
      <c r="R1581" t="s">
        <v>16</v>
      </c>
      <c r="S1581" t="s">
        <v>4</v>
      </c>
      <c r="T1581" t="s">
        <v>2817</v>
      </c>
      <c r="U1581" t="s">
        <v>10</v>
      </c>
      <c r="V1581" s="5">
        <v>0</v>
      </c>
      <c r="W1581" s="5">
        <v>0</v>
      </c>
      <c r="X1581" s="2">
        <v>0</v>
      </c>
      <c r="Y1581" t="s">
        <v>4</v>
      </c>
      <c r="Z1581" t="s">
        <v>4</v>
      </c>
      <c r="AA1581" t="s">
        <v>4</v>
      </c>
      <c r="AB1581" t="s">
        <v>4</v>
      </c>
    </row>
    <row r="1582" spans="1:28" hidden="1" x14ac:dyDescent="0.2">
      <c r="A1582" t="s">
        <v>1449</v>
      </c>
      <c r="B1582" t="s">
        <v>2</v>
      </c>
      <c r="C1582" t="s">
        <v>3</v>
      </c>
      <c r="D1582" t="s">
        <v>4</v>
      </c>
      <c r="E1582" t="s">
        <v>4</v>
      </c>
      <c r="F1582" t="s">
        <v>16</v>
      </c>
      <c r="G1582" t="s">
        <v>6</v>
      </c>
      <c r="H1582" t="s">
        <v>4718</v>
      </c>
      <c r="I1582" s="2">
        <v>2400</v>
      </c>
      <c r="J1582" s="2">
        <v>0</v>
      </c>
      <c r="K1582" s="2">
        <v>0</v>
      </c>
      <c r="L1582" s="3">
        <v>45843</v>
      </c>
      <c r="M1582" s="3">
        <v>45843</v>
      </c>
      <c r="N1582" s="3"/>
      <c r="O1582" t="s">
        <v>4719</v>
      </c>
      <c r="P1582" t="s">
        <v>20</v>
      </c>
      <c r="Q1582" s="4">
        <v>0.61481481481481004</v>
      </c>
      <c r="R1582" t="s">
        <v>16</v>
      </c>
      <c r="S1582" t="s">
        <v>4</v>
      </c>
      <c r="T1582" t="s">
        <v>2783</v>
      </c>
      <c r="U1582" t="s">
        <v>10</v>
      </c>
      <c r="V1582" s="5">
        <v>0</v>
      </c>
      <c r="W1582" s="5">
        <v>0</v>
      </c>
      <c r="X1582" s="2">
        <v>0</v>
      </c>
      <c r="Y1582" t="s">
        <v>4</v>
      </c>
      <c r="Z1582" t="s">
        <v>4</v>
      </c>
      <c r="AA1582" t="s">
        <v>4</v>
      </c>
      <c r="AB1582" t="s">
        <v>4</v>
      </c>
    </row>
    <row r="1583" spans="1:28" hidden="1" x14ac:dyDescent="0.2">
      <c r="A1583" t="s">
        <v>979</v>
      </c>
      <c r="B1583" t="s">
        <v>2</v>
      </c>
      <c r="C1583" t="s">
        <v>3</v>
      </c>
      <c r="D1583" t="s">
        <v>4</v>
      </c>
      <c r="E1583" t="s">
        <v>4</v>
      </c>
      <c r="F1583" t="s">
        <v>16</v>
      </c>
      <c r="G1583" t="s">
        <v>6</v>
      </c>
      <c r="H1583" t="s">
        <v>4720</v>
      </c>
      <c r="I1583" s="2">
        <v>48000</v>
      </c>
      <c r="J1583" s="2">
        <v>0</v>
      </c>
      <c r="K1583" s="2">
        <v>0</v>
      </c>
      <c r="L1583" s="3">
        <v>45858</v>
      </c>
      <c r="M1583" s="3">
        <v>45858</v>
      </c>
      <c r="N1583" s="3"/>
      <c r="O1583" t="s">
        <v>4721</v>
      </c>
      <c r="P1583" t="s">
        <v>20</v>
      </c>
      <c r="Q1583" s="4">
        <v>0.59265046296295998</v>
      </c>
      <c r="R1583" t="s">
        <v>16</v>
      </c>
      <c r="S1583" t="s">
        <v>4</v>
      </c>
      <c r="T1583" t="s">
        <v>2337</v>
      </c>
      <c r="U1583" t="s">
        <v>10</v>
      </c>
      <c r="V1583" s="5">
        <v>0</v>
      </c>
      <c r="W1583" s="5">
        <v>0</v>
      </c>
      <c r="X1583" s="2">
        <v>0</v>
      </c>
      <c r="Y1583" t="s">
        <v>4</v>
      </c>
      <c r="Z1583" t="s">
        <v>4</v>
      </c>
      <c r="AA1583" t="s">
        <v>4</v>
      </c>
      <c r="AB1583" t="s">
        <v>4</v>
      </c>
    </row>
    <row r="1584" spans="1:28" hidden="1" x14ac:dyDescent="0.2">
      <c r="A1584" t="s">
        <v>1505</v>
      </c>
      <c r="B1584" t="s">
        <v>2</v>
      </c>
      <c r="C1584" t="s">
        <v>3</v>
      </c>
      <c r="D1584" t="s">
        <v>4</v>
      </c>
      <c r="E1584" t="s">
        <v>4</v>
      </c>
      <c r="F1584" t="s">
        <v>16</v>
      </c>
      <c r="G1584" t="s">
        <v>6</v>
      </c>
      <c r="H1584" t="s">
        <v>4722</v>
      </c>
      <c r="I1584" s="2">
        <v>16000</v>
      </c>
      <c r="J1584" s="2">
        <v>0</v>
      </c>
      <c r="K1584" s="2">
        <v>0</v>
      </c>
      <c r="L1584" s="3">
        <v>45858</v>
      </c>
      <c r="M1584" s="3">
        <v>45858</v>
      </c>
      <c r="N1584" s="3"/>
      <c r="O1584" t="s">
        <v>4723</v>
      </c>
      <c r="P1584" t="s">
        <v>20</v>
      </c>
      <c r="Q1584" s="4">
        <v>0.60384259259258999</v>
      </c>
      <c r="R1584" t="s">
        <v>16</v>
      </c>
      <c r="S1584" t="s">
        <v>4</v>
      </c>
      <c r="T1584" t="s">
        <v>2337</v>
      </c>
      <c r="U1584" t="s">
        <v>10</v>
      </c>
      <c r="V1584" s="5">
        <v>0</v>
      </c>
      <c r="W1584" s="5">
        <v>0</v>
      </c>
      <c r="X1584" s="2">
        <v>0</v>
      </c>
      <c r="Y1584" t="s">
        <v>4</v>
      </c>
      <c r="Z1584" t="s">
        <v>4</v>
      </c>
      <c r="AA1584" t="s">
        <v>4</v>
      </c>
      <c r="AB1584" t="s">
        <v>4</v>
      </c>
    </row>
    <row r="1585" spans="1:28" hidden="1" x14ac:dyDescent="0.2">
      <c r="A1585" t="s">
        <v>632</v>
      </c>
      <c r="B1585" t="s">
        <v>2</v>
      </c>
      <c r="C1585" t="s">
        <v>3</v>
      </c>
      <c r="D1585" t="s">
        <v>4</v>
      </c>
      <c r="E1585" t="s">
        <v>4</v>
      </c>
      <c r="F1585" t="s">
        <v>16</v>
      </c>
      <c r="G1585" t="s">
        <v>6</v>
      </c>
      <c r="H1585" t="s">
        <v>4724</v>
      </c>
      <c r="I1585" s="2">
        <v>256</v>
      </c>
      <c r="J1585" s="2">
        <v>0</v>
      </c>
      <c r="K1585" s="2">
        <v>0</v>
      </c>
      <c r="L1585" s="3">
        <v>45859</v>
      </c>
      <c r="M1585" s="3">
        <v>45859</v>
      </c>
      <c r="N1585" s="3"/>
      <c r="O1585" t="s">
        <v>4725</v>
      </c>
      <c r="P1585" t="s">
        <v>20</v>
      </c>
      <c r="Q1585" s="4">
        <v>0.33491898148148003</v>
      </c>
      <c r="R1585" t="s">
        <v>16</v>
      </c>
      <c r="S1585" t="s">
        <v>4</v>
      </c>
      <c r="T1585" t="s">
        <v>2261</v>
      </c>
      <c r="U1585" t="s">
        <v>10</v>
      </c>
      <c r="V1585" s="5">
        <v>0</v>
      </c>
      <c r="W1585" s="5">
        <v>0</v>
      </c>
      <c r="X1585" s="2">
        <v>0</v>
      </c>
      <c r="Y1585" t="s">
        <v>4</v>
      </c>
      <c r="Z1585" t="s">
        <v>4</v>
      </c>
      <c r="AA1585" t="s">
        <v>4</v>
      </c>
      <c r="AB1585" t="s">
        <v>4</v>
      </c>
    </row>
    <row r="1586" spans="1:28" hidden="1" x14ac:dyDescent="0.2">
      <c r="A1586" t="s">
        <v>715</v>
      </c>
      <c r="B1586" t="s">
        <v>2</v>
      </c>
      <c r="C1586" t="s">
        <v>3</v>
      </c>
      <c r="D1586" t="s">
        <v>4</v>
      </c>
      <c r="E1586" t="s">
        <v>4</v>
      </c>
      <c r="F1586" t="s">
        <v>16</v>
      </c>
      <c r="G1586" t="s">
        <v>6</v>
      </c>
      <c r="H1586" t="s">
        <v>4726</v>
      </c>
      <c r="I1586" s="2">
        <v>54</v>
      </c>
      <c r="J1586" s="2">
        <v>0</v>
      </c>
      <c r="K1586" s="2">
        <v>0</v>
      </c>
      <c r="L1586" s="3">
        <v>45750</v>
      </c>
      <c r="M1586" s="3">
        <v>45750</v>
      </c>
      <c r="N1586" s="3"/>
      <c r="O1586" t="s">
        <v>4727</v>
      </c>
      <c r="P1586" t="s">
        <v>20</v>
      </c>
      <c r="Q1586" s="4">
        <v>0.44707175925926002</v>
      </c>
      <c r="R1586" t="s">
        <v>16</v>
      </c>
      <c r="S1586" t="s">
        <v>4</v>
      </c>
      <c r="T1586" t="s">
        <v>3303</v>
      </c>
      <c r="U1586" t="s">
        <v>10</v>
      </c>
      <c r="V1586" s="5">
        <v>0</v>
      </c>
      <c r="W1586" s="5">
        <v>0</v>
      </c>
      <c r="X1586" s="2">
        <v>0</v>
      </c>
      <c r="Y1586" t="s">
        <v>4</v>
      </c>
      <c r="Z1586" t="s">
        <v>4</v>
      </c>
      <c r="AA1586" t="s">
        <v>4</v>
      </c>
      <c r="AB1586" t="s">
        <v>2351</v>
      </c>
    </row>
    <row r="1587" spans="1:28" hidden="1" x14ac:dyDescent="0.2">
      <c r="A1587" t="s">
        <v>2251</v>
      </c>
      <c r="B1587" t="s">
        <v>4</v>
      </c>
      <c r="C1587" t="s">
        <v>4</v>
      </c>
      <c r="D1587" t="s">
        <v>4</v>
      </c>
      <c r="E1587" t="s">
        <v>4</v>
      </c>
      <c r="F1587" t="s">
        <v>16</v>
      </c>
      <c r="G1587" t="s">
        <v>6</v>
      </c>
      <c r="H1587" t="s">
        <v>4728</v>
      </c>
      <c r="I1587" s="5">
        <v>0</v>
      </c>
      <c r="J1587" s="5">
        <v>0</v>
      </c>
      <c r="K1587" s="5">
        <v>0</v>
      </c>
      <c r="L1587" s="3"/>
      <c r="M1587" s="3"/>
      <c r="N1587" s="3"/>
      <c r="O1587" t="s">
        <v>4</v>
      </c>
      <c r="P1587" t="s">
        <v>20</v>
      </c>
      <c r="Q1587" s="4">
        <v>0.41476851851851998</v>
      </c>
      <c r="R1587" t="s">
        <v>4</v>
      </c>
      <c r="S1587" t="s">
        <v>4</v>
      </c>
      <c r="T1587" t="s">
        <v>2256</v>
      </c>
      <c r="U1587" t="s">
        <v>4</v>
      </c>
      <c r="V1587" s="5">
        <v>0</v>
      </c>
      <c r="W1587" s="5">
        <v>0</v>
      </c>
      <c r="X1587" s="2">
        <v>0</v>
      </c>
      <c r="Y1587" t="s">
        <v>2351</v>
      </c>
      <c r="Z1587" t="s">
        <v>2351</v>
      </c>
      <c r="AA1587" t="s">
        <v>4</v>
      </c>
      <c r="AB1587" t="s">
        <v>4</v>
      </c>
    </row>
    <row r="1588" spans="1:28" hidden="1" x14ac:dyDescent="0.2">
      <c r="A1588" t="s">
        <v>0</v>
      </c>
      <c r="B1588" t="s">
        <v>2</v>
      </c>
      <c r="C1588" t="s">
        <v>3</v>
      </c>
      <c r="D1588" t="s">
        <v>4</v>
      </c>
      <c r="E1588" t="s">
        <v>4</v>
      </c>
      <c r="F1588" t="s">
        <v>16</v>
      </c>
      <c r="G1588" t="s">
        <v>6</v>
      </c>
      <c r="H1588" t="s">
        <v>67</v>
      </c>
      <c r="I1588" s="2">
        <v>196</v>
      </c>
      <c r="J1588" s="2">
        <v>0</v>
      </c>
      <c r="K1588" s="2">
        <v>0</v>
      </c>
      <c r="L1588" s="3">
        <v>45843</v>
      </c>
      <c r="M1588" s="3">
        <v>45843</v>
      </c>
      <c r="N1588" s="3"/>
      <c r="O1588" t="s">
        <v>68</v>
      </c>
      <c r="P1588" t="s">
        <v>20</v>
      </c>
      <c r="Q1588" s="4">
        <v>0.82114583333333002</v>
      </c>
      <c r="R1588" t="s">
        <v>16</v>
      </c>
      <c r="S1588" t="s">
        <v>4</v>
      </c>
      <c r="T1588" t="s">
        <v>2783</v>
      </c>
      <c r="U1588" t="s">
        <v>10</v>
      </c>
      <c r="V1588" s="5">
        <v>0</v>
      </c>
      <c r="W1588" s="5">
        <v>0</v>
      </c>
      <c r="X1588" s="2">
        <v>0</v>
      </c>
      <c r="Y1588" t="s">
        <v>4</v>
      </c>
      <c r="Z1588" t="s">
        <v>4</v>
      </c>
      <c r="AA1588" t="s">
        <v>4</v>
      </c>
      <c r="AB1588" t="s">
        <v>4</v>
      </c>
    </row>
    <row r="1589" spans="1:28" hidden="1" x14ac:dyDescent="0.2">
      <c r="A1589" t="s">
        <v>1213</v>
      </c>
      <c r="B1589" t="s">
        <v>2</v>
      </c>
      <c r="C1589" t="s">
        <v>3</v>
      </c>
      <c r="D1589" t="s">
        <v>4</v>
      </c>
      <c r="E1589" t="s">
        <v>4</v>
      </c>
      <c r="F1589" t="s">
        <v>16</v>
      </c>
      <c r="G1589" t="s">
        <v>6</v>
      </c>
      <c r="H1589" t="s">
        <v>4729</v>
      </c>
      <c r="I1589" s="2">
        <v>1200</v>
      </c>
      <c r="J1589" s="2">
        <v>0</v>
      </c>
      <c r="K1589" s="2">
        <v>0</v>
      </c>
      <c r="L1589" s="3">
        <v>45853</v>
      </c>
      <c r="M1589" s="3">
        <v>45853</v>
      </c>
      <c r="N1589" s="3"/>
      <c r="O1589" t="s">
        <v>4730</v>
      </c>
      <c r="P1589" t="s">
        <v>20</v>
      </c>
      <c r="Q1589" s="4">
        <v>0.87291666666667</v>
      </c>
      <c r="R1589" t="s">
        <v>16</v>
      </c>
      <c r="S1589" t="s">
        <v>4</v>
      </c>
      <c r="T1589" t="s">
        <v>2272</v>
      </c>
      <c r="U1589" t="s">
        <v>10</v>
      </c>
      <c r="V1589" s="5">
        <v>0</v>
      </c>
      <c r="W1589" s="5">
        <v>0</v>
      </c>
      <c r="X1589" s="2">
        <v>0</v>
      </c>
      <c r="Y1589" t="s">
        <v>4</v>
      </c>
      <c r="Z1589" t="s">
        <v>4</v>
      </c>
      <c r="AA1589" t="s">
        <v>4</v>
      </c>
      <c r="AB1589" t="s">
        <v>4</v>
      </c>
    </row>
    <row r="1590" spans="1:28" hidden="1" x14ac:dyDescent="0.2">
      <c r="A1590" t="s">
        <v>0</v>
      </c>
      <c r="B1590" t="s">
        <v>2</v>
      </c>
      <c r="C1590" t="s">
        <v>3</v>
      </c>
      <c r="D1590" t="s">
        <v>4</v>
      </c>
      <c r="E1590" t="s">
        <v>4</v>
      </c>
      <c r="F1590" t="s">
        <v>16</v>
      </c>
      <c r="G1590" t="s">
        <v>6</v>
      </c>
      <c r="H1590" t="s">
        <v>69</v>
      </c>
      <c r="I1590" s="2">
        <v>196</v>
      </c>
      <c r="J1590" s="2">
        <v>0</v>
      </c>
      <c r="K1590" s="2">
        <v>0</v>
      </c>
      <c r="L1590" s="3">
        <v>45843</v>
      </c>
      <c r="M1590" s="3">
        <v>45843</v>
      </c>
      <c r="N1590" s="3"/>
      <c r="O1590" t="s">
        <v>70</v>
      </c>
      <c r="P1590" t="s">
        <v>20</v>
      </c>
      <c r="Q1590" s="4">
        <v>0.82128472222222004</v>
      </c>
      <c r="R1590" t="s">
        <v>16</v>
      </c>
      <c r="S1590" t="s">
        <v>4</v>
      </c>
      <c r="T1590" t="s">
        <v>2783</v>
      </c>
      <c r="U1590" t="s">
        <v>10</v>
      </c>
      <c r="V1590" s="5">
        <v>0</v>
      </c>
      <c r="W1590" s="5">
        <v>0</v>
      </c>
      <c r="X1590" s="2">
        <v>0</v>
      </c>
      <c r="Y1590" t="s">
        <v>4</v>
      </c>
      <c r="Z1590" t="s">
        <v>4</v>
      </c>
      <c r="AA1590" t="s">
        <v>4</v>
      </c>
      <c r="AB1590" t="s">
        <v>4</v>
      </c>
    </row>
    <row r="1591" spans="1:28" hidden="1" x14ac:dyDescent="0.2">
      <c r="A1591" t="s">
        <v>544</v>
      </c>
      <c r="B1591" t="s">
        <v>2</v>
      </c>
      <c r="C1591" t="s">
        <v>3</v>
      </c>
      <c r="D1591" t="s">
        <v>4</v>
      </c>
      <c r="E1591" t="s">
        <v>4</v>
      </c>
      <c r="F1591" t="s">
        <v>16</v>
      </c>
      <c r="G1591" t="s">
        <v>6</v>
      </c>
      <c r="H1591" t="s">
        <v>4731</v>
      </c>
      <c r="I1591" s="2">
        <v>170</v>
      </c>
      <c r="J1591" s="2">
        <v>0</v>
      </c>
      <c r="K1591" s="2">
        <v>0</v>
      </c>
      <c r="L1591" s="3">
        <v>45854</v>
      </c>
      <c r="M1591" s="3">
        <v>45854</v>
      </c>
      <c r="N1591" s="3"/>
      <c r="O1591" t="s">
        <v>4732</v>
      </c>
      <c r="P1591" t="s">
        <v>20</v>
      </c>
      <c r="Q1591" s="4">
        <v>0.77093750000000005</v>
      </c>
      <c r="R1591" t="s">
        <v>16</v>
      </c>
      <c r="S1591" t="s">
        <v>4</v>
      </c>
      <c r="T1591" t="s">
        <v>2299</v>
      </c>
      <c r="U1591" t="s">
        <v>10</v>
      </c>
      <c r="V1591" s="5">
        <v>0</v>
      </c>
      <c r="W1591" s="5">
        <v>0</v>
      </c>
      <c r="X1591" s="2">
        <v>0</v>
      </c>
      <c r="Y1591" t="s">
        <v>4</v>
      </c>
      <c r="Z1591" t="s">
        <v>4</v>
      </c>
      <c r="AA1591" t="s">
        <v>4</v>
      </c>
      <c r="AB1591" t="s">
        <v>4</v>
      </c>
    </row>
    <row r="1592" spans="1:28" hidden="1" x14ac:dyDescent="0.2">
      <c r="A1592" t="s">
        <v>0</v>
      </c>
      <c r="B1592" t="s">
        <v>2</v>
      </c>
      <c r="C1592" t="s">
        <v>3</v>
      </c>
      <c r="D1592" t="s">
        <v>4</v>
      </c>
      <c r="E1592" t="s">
        <v>4</v>
      </c>
      <c r="F1592" t="s">
        <v>16</v>
      </c>
      <c r="G1592" t="s">
        <v>6</v>
      </c>
      <c r="H1592" t="s">
        <v>71</v>
      </c>
      <c r="I1592" s="2">
        <v>196</v>
      </c>
      <c r="J1592" s="2">
        <v>0</v>
      </c>
      <c r="K1592" s="2">
        <v>0</v>
      </c>
      <c r="L1592" s="3">
        <v>45843</v>
      </c>
      <c r="M1592" s="3">
        <v>45843</v>
      </c>
      <c r="N1592" s="3"/>
      <c r="O1592" t="s">
        <v>72</v>
      </c>
      <c r="P1592" t="s">
        <v>20</v>
      </c>
      <c r="Q1592" s="4">
        <v>0.82886574074074004</v>
      </c>
      <c r="R1592" t="s">
        <v>16</v>
      </c>
      <c r="S1592" t="s">
        <v>4</v>
      </c>
      <c r="T1592" t="s">
        <v>2783</v>
      </c>
      <c r="U1592" t="s">
        <v>10</v>
      </c>
      <c r="V1592" s="5">
        <v>0</v>
      </c>
      <c r="W1592" s="5">
        <v>0</v>
      </c>
      <c r="X1592" s="2">
        <v>0</v>
      </c>
      <c r="Y1592" t="s">
        <v>4</v>
      </c>
      <c r="Z1592" t="s">
        <v>4</v>
      </c>
      <c r="AA1592" t="s">
        <v>4</v>
      </c>
      <c r="AB1592" t="s">
        <v>4</v>
      </c>
    </row>
    <row r="1593" spans="1:28" hidden="1" x14ac:dyDescent="0.2">
      <c r="A1593" t="s">
        <v>834</v>
      </c>
      <c r="B1593" t="s">
        <v>2</v>
      </c>
      <c r="C1593" t="s">
        <v>3</v>
      </c>
      <c r="D1593" t="s">
        <v>4</v>
      </c>
      <c r="E1593" t="s">
        <v>4</v>
      </c>
      <c r="F1593" t="s">
        <v>16</v>
      </c>
      <c r="G1593" t="s">
        <v>21</v>
      </c>
      <c r="H1593" t="s">
        <v>4733</v>
      </c>
      <c r="I1593" s="2">
        <v>3560</v>
      </c>
      <c r="J1593" s="2">
        <v>0</v>
      </c>
      <c r="K1593" s="2">
        <v>0</v>
      </c>
      <c r="L1593" s="3">
        <v>45852</v>
      </c>
      <c r="M1593" s="3">
        <v>45852</v>
      </c>
      <c r="N1593" s="3"/>
      <c r="O1593" t="s">
        <v>4734</v>
      </c>
      <c r="P1593" t="s">
        <v>20</v>
      </c>
      <c r="Q1593" s="4">
        <v>0.97694444444443995</v>
      </c>
      <c r="R1593" t="s">
        <v>16</v>
      </c>
      <c r="S1593" t="s">
        <v>4</v>
      </c>
      <c r="T1593" t="s">
        <v>2669</v>
      </c>
      <c r="U1593" t="s">
        <v>10</v>
      </c>
      <c r="V1593" s="5">
        <v>0</v>
      </c>
      <c r="W1593" s="5">
        <v>0</v>
      </c>
      <c r="X1593" s="2">
        <v>0</v>
      </c>
      <c r="Y1593" t="s">
        <v>4</v>
      </c>
      <c r="Z1593" t="s">
        <v>4</v>
      </c>
      <c r="AA1593" t="s">
        <v>4</v>
      </c>
      <c r="AB1593" t="s">
        <v>4</v>
      </c>
    </row>
    <row r="1594" spans="1:28" hidden="1" x14ac:dyDescent="0.2">
      <c r="A1594" t="s">
        <v>393</v>
      </c>
      <c r="B1594" t="s">
        <v>2</v>
      </c>
      <c r="C1594" t="s">
        <v>3</v>
      </c>
      <c r="D1594" t="s">
        <v>4</v>
      </c>
      <c r="E1594" t="s">
        <v>4</v>
      </c>
      <c r="F1594" t="s">
        <v>16</v>
      </c>
      <c r="G1594" t="s">
        <v>6</v>
      </c>
      <c r="H1594" t="s">
        <v>4735</v>
      </c>
      <c r="I1594" s="2">
        <v>2100</v>
      </c>
      <c r="J1594" s="2">
        <v>0</v>
      </c>
      <c r="K1594" s="2">
        <v>0</v>
      </c>
      <c r="L1594" s="3">
        <v>45853</v>
      </c>
      <c r="M1594" s="3">
        <v>45853</v>
      </c>
      <c r="N1594" s="3"/>
      <c r="O1594" t="s">
        <v>4736</v>
      </c>
      <c r="P1594" t="s">
        <v>20</v>
      </c>
      <c r="Q1594" s="4">
        <v>0.90472222222221998</v>
      </c>
      <c r="R1594" t="s">
        <v>16</v>
      </c>
      <c r="S1594" t="s">
        <v>4</v>
      </c>
      <c r="T1594" t="s">
        <v>2272</v>
      </c>
      <c r="U1594" t="s">
        <v>10</v>
      </c>
      <c r="V1594" s="5">
        <v>0</v>
      </c>
      <c r="W1594" s="5">
        <v>0</v>
      </c>
      <c r="X1594" s="2">
        <v>0</v>
      </c>
      <c r="Y1594" t="s">
        <v>4</v>
      </c>
      <c r="Z1594" t="s">
        <v>4</v>
      </c>
      <c r="AA1594" t="s">
        <v>4</v>
      </c>
      <c r="AB1594" t="s">
        <v>4</v>
      </c>
    </row>
    <row r="1595" spans="1:28" hidden="1" x14ac:dyDescent="0.2">
      <c r="A1595" t="s">
        <v>285</v>
      </c>
      <c r="B1595" t="s">
        <v>2</v>
      </c>
      <c r="C1595" t="s">
        <v>3</v>
      </c>
      <c r="D1595" t="s">
        <v>4</v>
      </c>
      <c r="E1595" t="s">
        <v>4</v>
      </c>
      <c r="F1595" t="s">
        <v>16</v>
      </c>
      <c r="G1595" t="s">
        <v>21</v>
      </c>
      <c r="H1595" t="s">
        <v>4737</v>
      </c>
      <c r="I1595" s="2">
        <v>30</v>
      </c>
      <c r="J1595" s="2">
        <v>0</v>
      </c>
      <c r="K1595" s="2">
        <v>0</v>
      </c>
      <c r="L1595" s="3">
        <v>45829</v>
      </c>
      <c r="M1595" s="3">
        <v>45829</v>
      </c>
      <c r="N1595" s="3"/>
      <c r="O1595" t="s">
        <v>4738</v>
      </c>
      <c r="P1595" t="s">
        <v>20</v>
      </c>
      <c r="Q1595" s="4">
        <v>0.73113425925926001</v>
      </c>
      <c r="R1595" t="s">
        <v>16</v>
      </c>
      <c r="S1595" t="s">
        <v>4</v>
      </c>
      <c r="T1595" t="s">
        <v>3242</v>
      </c>
      <c r="U1595" t="s">
        <v>10</v>
      </c>
      <c r="V1595" s="5">
        <v>0</v>
      </c>
      <c r="W1595" s="5">
        <v>0</v>
      </c>
      <c r="X1595" s="2">
        <v>0</v>
      </c>
      <c r="Y1595" t="s">
        <v>4</v>
      </c>
      <c r="Z1595" t="s">
        <v>4</v>
      </c>
      <c r="AA1595" t="s">
        <v>4</v>
      </c>
      <c r="AB1595" t="s">
        <v>4</v>
      </c>
    </row>
    <row r="1596" spans="1:28" hidden="1" x14ac:dyDescent="0.2">
      <c r="A1596" t="s">
        <v>573</v>
      </c>
      <c r="B1596" t="s">
        <v>2</v>
      </c>
      <c r="C1596" t="s">
        <v>3</v>
      </c>
      <c r="D1596" t="s">
        <v>4</v>
      </c>
      <c r="E1596" t="s">
        <v>4</v>
      </c>
      <c r="F1596" t="s">
        <v>16</v>
      </c>
      <c r="G1596" t="s">
        <v>17</v>
      </c>
      <c r="H1596" t="s">
        <v>4739</v>
      </c>
      <c r="I1596" s="2">
        <v>39000</v>
      </c>
      <c r="J1596" s="2">
        <v>0</v>
      </c>
      <c r="K1596" s="2">
        <v>0</v>
      </c>
      <c r="L1596" s="3">
        <v>45500</v>
      </c>
      <c r="M1596" s="3">
        <v>45852</v>
      </c>
      <c r="N1596" s="3">
        <v>45852</v>
      </c>
      <c r="O1596" t="s">
        <v>4740</v>
      </c>
      <c r="P1596" t="s">
        <v>20</v>
      </c>
      <c r="Q1596" s="4">
        <v>0.68666666666666998</v>
      </c>
      <c r="R1596" t="s">
        <v>16</v>
      </c>
      <c r="S1596" t="s">
        <v>4</v>
      </c>
      <c r="T1596" t="s">
        <v>4741</v>
      </c>
      <c r="U1596" t="s">
        <v>10</v>
      </c>
      <c r="V1596" s="5">
        <v>0</v>
      </c>
      <c r="W1596" s="5">
        <v>0</v>
      </c>
      <c r="X1596" s="2">
        <v>0</v>
      </c>
      <c r="Y1596" t="s">
        <v>4</v>
      </c>
      <c r="Z1596" t="s">
        <v>4</v>
      </c>
      <c r="AA1596" t="s">
        <v>4</v>
      </c>
      <c r="AB1596" t="s">
        <v>4</v>
      </c>
    </row>
    <row r="1597" spans="1:28" hidden="1" x14ac:dyDescent="0.2">
      <c r="A1597" t="s">
        <v>511</v>
      </c>
      <c r="B1597" t="s">
        <v>2</v>
      </c>
      <c r="C1597" t="s">
        <v>3</v>
      </c>
      <c r="D1597" t="s">
        <v>4</v>
      </c>
      <c r="E1597" t="s">
        <v>4</v>
      </c>
      <c r="F1597" t="s">
        <v>16</v>
      </c>
      <c r="G1597" t="s">
        <v>17</v>
      </c>
      <c r="H1597" t="s">
        <v>4742</v>
      </c>
      <c r="I1597" s="2">
        <v>10000</v>
      </c>
      <c r="J1597" s="2">
        <v>0</v>
      </c>
      <c r="K1597" s="2">
        <v>0</v>
      </c>
      <c r="L1597" s="3">
        <v>45801</v>
      </c>
      <c r="M1597" s="3">
        <v>45801</v>
      </c>
      <c r="N1597" s="3"/>
      <c r="O1597" t="s">
        <v>4743</v>
      </c>
      <c r="P1597" t="s">
        <v>20</v>
      </c>
      <c r="Q1597" s="4">
        <v>0.88921296296296004</v>
      </c>
      <c r="R1597" t="s">
        <v>16</v>
      </c>
      <c r="S1597" t="s">
        <v>4</v>
      </c>
      <c r="T1597" t="s">
        <v>4744</v>
      </c>
      <c r="U1597" t="s">
        <v>10</v>
      </c>
      <c r="V1597" s="5">
        <v>0</v>
      </c>
      <c r="W1597" s="5">
        <v>0</v>
      </c>
      <c r="X1597" s="2">
        <v>0</v>
      </c>
      <c r="Y1597" t="s">
        <v>4</v>
      </c>
      <c r="Z1597" t="s">
        <v>4</v>
      </c>
      <c r="AA1597" t="s">
        <v>4</v>
      </c>
      <c r="AB1597" t="s">
        <v>4</v>
      </c>
    </row>
    <row r="1598" spans="1:28" hidden="1" x14ac:dyDescent="0.2">
      <c r="A1598" t="s">
        <v>653</v>
      </c>
      <c r="B1598" t="s">
        <v>2</v>
      </c>
      <c r="C1598" t="s">
        <v>3</v>
      </c>
      <c r="D1598" t="s">
        <v>4</v>
      </c>
      <c r="E1598" t="s">
        <v>4</v>
      </c>
      <c r="F1598" t="s">
        <v>16</v>
      </c>
      <c r="G1598" t="s">
        <v>6</v>
      </c>
      <c r="H1598" t="s">
        <v>4745</v>
      </c>
      <c r="I1598" s="2">
        <v>1500</v>
      </c>
      <c r="J1598" s="2">
        <v>0</v>
      </c>
      <c r="K1598" s="2">
        <v>0</v>
      </c>
      <c r="L1598" s="3">
        <v>45848</v>
      </c>
      <c r="M1598" s="3">
        <v>45848</v>
      </c>
      <c r="N1598" s="3"/>
      <c r="O1598" t="s">
        <v>4746</v>
      </c>
      <c r="P1598" t="s">
        <v>20</v>
      </c>
      <c r="Q1598" s="4">
        <v>0.72481481481481003</v>
      </c>
      <c r="R1598" t="s">
        <v>16</v>
      </c>
      <c r="S1598" t="s">
        <v>4</v>
      </c>
      <c r="T1598" t="s">
        <v>2580</v>
      </c>
      <c r="U1598" t="s">
        <v>4237</v>
      </c>
      <c r="V1598" s="5">
        <v>0</v>
      </c>
      <c r="W1598" s="5">
        <v>0</v>
      </c>
      <c r="X1598" s="2">
        <v>0</v>
      </c>
      <c r="Y1598" t="s">
        <v>4</v>
      </c>
      <c r="Z1598" t="s">
        <v>4</v>
      </c>
      <c r="AA1598" t="s">
        <v>4</v>
      </c>
      <c r="AB1598" t="s">
        <v>4</v>
      </c>
    </row>
    <row r="1599" spans="1:28" hidden="1" x14ac:dyDescent="0.2">
      <c r="A1599" t="s">
        <v>1745</v>
      </c>
      <c r="B1599" t="s">
        <v>2</v>
      </c>
      <c r="C1599" t="s">
        <v>3</v>
      </c>
      <c r="D1599" t="s">
        <v>4</v>
      </c>
      <c r="E1599" t="s">
        <v>4</v>
      </c>
      <c r="F1599" t="s">
        <v>16</v>
      </c>
      <c r="G1599" t="s">
        <v>17</v>
      </c>
      <c r="H1599" t="s">
        <v>4747</v>
      </c>
      <c r="I1599" s="2">
        <v>161700</v>
      </c>
      <c r="J1599" s="2">
        <v>0</v>
      </c>
      <c r="K1599" s="2">
        <v>0</v>
      </c>
      <c r="L1599" s="3">
        <v>44988</v>
      </c>
      <c r="M1599" s="3">
        <v>45002</v>
      </c>
      <c r="N1599" s="3">
        <v>44993</v>
      </c>
      <c r="O1599" t="s">
        <v>4748</v>
      </c>
      <c r="P1599" t="s">
        <v>20</v>
      </c>
      <c r="Q1599" s="4">
        <v>0.35271990740740999</v>
      </c>
      <c r="R1599" t="s">
        <v>16</v>
      </c>
      <c r="S1599" t="s">
        <v>4</v>
      </c>
      <c r="T1599" t="s">
        <v>4749</v>
      </c>
      <c r="U1599" t="s">
        <v>10</v>
      </c>
      <c r="V1599" s="5">
        <v>0</v>
      </c>
      <c r="W1599" s="5">
        <v>0</v>
      </c>
      <c r="X1599" s="2">
        <v>0</v>
      </c>
      <c r="Y1599" t="s">
        <v>4</v>
      </c>
      <c r="Z1599" t="s">
        <v>4</v>
      </c>
      <c r="AA1599" t="s">
        <v>4</v>
      </c>
      <c r="AB1599" t="s">
        <v>4</v>
      </c>
    </row>
    <row r="1600" spans="1:28" hidden="1" x14ac:dyDescent="0.2">
      <c r="A1600" t="s">
        <v>2053</v>
      </c>
      <c r="B1600" t="s">
        <v>2</v>
      </c>
      <c r="C1600" t="s">
        <v>3</v>
      </c>
      <c r="D1600" t="s">
        <v>4</v>
      </c>
      <c r="E1600" t="s">
        <v>4</v>
      </c>
      <c r="F1600" t="s">
        <v>16</v>
      </c>
      <c r="G1600" t="s">
        <v>6</v>
      </c>
      <c r="H1600" t="s">
        <v>4750</v>
      </c>
      <c r="I1600" s="2">
        <v>381</v>
      </c>
      <c r="J1600" s="2">
        <v>0</v>
      </c>
      <c r="K1600" s="2">
        <v>0</v>
      </c>
      <c r="L1600" s="3">
        <v>45755</v>
      </c>
      <c r="M1600" s="3">
        <v>45798</v>
      </c>
      <c r="N1600" s="3">
        <v>45798</v>
      </c>
      <c r="O1600" t="s">
        <v>4751</v>
      </c>
      <c r="P1600" t="s">
        <v>20</v>
      </c>
      <c r="Q1600" s="4">
        <v>0.52853009259258998</v>
      </c>
      <c r="R1600" t="s">
        <v>16</v>
      </c>
      <c r="S1600" t="s">
        <v>4</v>
      </c>
      <c r="T1600" t="s">
        <v>4752</v>
      </c>
      <c r="U1600" t="s">
        <v>10</v>
      </c>
      <c r="V1600" s="5">
        <v>0</v>
      </c>
      <c r="W1600" s="5">
        <v>0</v>
      </c>
      <c r="X1600" s="2">
        <v>0</v>
      </c>
      <c r="Y1600" t="s">
        <v>4</v>
      </c>
      <c r="Z1600" t="s">
        <v>4</v>
      </c>
      <c r="AA1600" t="s">
        <v>4</v>
      </c>
      <c r="AB1600" t="s">
        <v>4</v>
      </c>
    </row>
    <row r="1601" spans="1:28" hidden="1" x14ac:dyDescent="0.2">
      <c r="A1601" t="s">
        <v>2170</v>
      </c>
      <c r="B1601" t="s">
        <v>2</v>
      </c>
      <c r="C1601" t="s">
        <v>3</v>
      </c>
      <c r="D1601" t="s">
        <v>4</v>
      </c>
      <c r="E1601" t="s">
        <v>4</v>
      </c>
      <c r="F1601" t="s">
        <v>16</v>
      </c>
      <c r="G1601" t="s">
        <v>6</v>
      </c>
      <c r="H1601" t="s">
        <v>4753</v>
      </c>
      <c r="I1601" s="2">
        <v>16750</v>
      </c>
      <c r="J1601" s="2">
        <v>0</v>
      </c>
      <c r="K1601" s="2">
        <v>0</v>
      </c>
      <c r="L1601" s="3">
        <v>45801</v>
      </c>
      <c r="M1601" s="3">
        <v>45860</v>
      </c>
      <c r="N1601" s="3">
        <v>45858</v>
      </c>
      <c r="O1601" t="s">
        <v>4754</v>
      </c>
      <c r="P1601" t="s">
        <v>20</v>
      </c>
      <c r="Q1601" s="4">
        <v>0.40011574074074002</v>
      </c>
      <c r="R1601" t="s">
        <v>16</v>
      </c>
      <c r="S1601" t="s">
        <v>4</v>
      </c>
      <c r="T1601" t="s">
        <v>4744</v>
      </c>
      <c r="U1601" t="s">
        <v>10</v>
      </c>
      <c r="V1601" s="5">
        <v>0</v>
      </c>
      <c r="W1601" s="5">
        <v>0</v>
      </c>
      <c r="X1601" s="2">
        <v>0</v>
      </c>
      <c r="Y1601" t="s">
        <v>4</v>
      </c>
      <c r="Z1601" t="s">
        <v>4</v>
      </c>
      <c r="AA1601" t="s">
        <v>4</v>
      </c>
      <c r="AB1601" t="s">
        <v>4</v>
      </c>
    </row>
    <row r="1602" spans="1:28" hidden="1" x14ac:dyDescent="0.2">
      <c r="A1602" t="s">
        <v>2001</v>
      </c>
      <c r="B1602" t="s">
        <v>2</v>
      </c>
      <c r="C1602" t="s">
        <v>3</v>
      </c>
      <c r="D1602" t="s">
        <v>4</v>
      </c>
      <c r="E1602" t="s">
        <v>4</v>
      </c>
      <c r="F1602" t="s">
        <v>16</v>
      </c>
      <c r="G1602" t="s">
        <v>21</v>
      </c>
      <c r="H1602" t="s">
        <v>4755</v>
      </c>
      <c r="I1602" s="2">
        <v>1470</v>
      </c>
      <c r="J1602" s="2">
        <v>0</v>
      </c>
      <c r="K1602" s="2">
        <v>0</v>
      </c>
      <c r="L1602" s="3">
        <v>44942</v>
      </c>
      <c r="M1602" s="3">
        <v>45125</v>
      </c>
      <c r="N1602" s="3">
        <v>45125</v>
      </c>
      <c r="O1602" t="s">
        <v>4756</v>
      </c>
      <c r="P1602" t="s">
        <v>20</v>
      </c>
      <c r="Q1602" s="4">
        <v>0.63430555555556001</v>
      </c>
      <c r="R1602" t="s">
        <v>16</v>
      </c>
      <c r="S1602" t="s">
        <v>4</v>
      </c>
      <c r="T1602" t="s">
        <v>4757</v>
      </c>
      <c r="U1602" t="s">
        <v>10</v>
      </c>
      <c r="V1602" s="5">
        <v>0</v>
      </c>
      <c r="W1602" s="5">
        <v>0</v>
      </c>
      <c r="X1602" s="2">
        <v>0</v>
      </c>
      <c r="Y1602" t="s">
        <v>4</v>
      </c>
      <c r="Z1602" t="s">
        <v>4</v>
      </c>
      <c r="AA1602" t="s">
        <v>4</v>
      </c>
      <c r="AB1602" t="s">
        <v>4</v>
      </c>
    </row>
    <row r="1603" spans="1:28" hidden="1" x14ac:dyDescent="0.2">
      <c r="A1603" t="s">
        <v>2251</v>
      </c>
      <c r="B1603" t="s">
        <v>4</v>
      </c>
      <c r="C1603" t="s">
        <v>4</v>
      </c>
      <c r="D1603" t="s">
        <v>4</v>
      </c>
      <c r="E1603" t="s">
        <v>4</v>
      </c>
      <c r="F1603" t="s">
        <v>16</v>
      </c>
      <c r="G1603" t="s">
        <v>21</v>
      </c>
      <c r="H1603" t="s">
        <v>4758</v>
      </c>
      <c r="I1603" s="5">
        <v>0</v>
      </c>
      <c r="J1603" s="5">
        <v>0</v>
      </c>
      <c r="K1603" s="5">
        <v>0</v>
      </c>
      <c r="L1603" s="3"/>
      <c r="M1603" s="3"/>
      <c r="N1603" s="3"/>
      <c r="O1603" t="s">
        <v>4</v>
      </c>
      <c r="P1603" t="s">
        <v>20</v>
      </c>
      <c r="Q1603" s="4">
        <v>0.60285879629630001</v>
      </c>
      <c r="R1603" t="s">
        <v>4</v>
      </c>
      <c r="S1603" t="s">
        <v>4</v>
      </c>
      <c r="T1603" t="s">
        <v>2256</v>
      </c>
      <c r="U1603" t="s">
        <v>4</v>
      </c>
      <c r="V1603" s="5">
        <v>0</v>
      </c>
      <c r="W1603" s="5">
        <v>0</v>
      </c>
      <c r="X1603" s="2">
        <v>0</v>
      </c>
      <c r="Y1603" t="s">
        <v>4</v>
      </c>
      <c r="Z1603" t="s">
        <v>4</v>
      </c>
      <c r="AA1603" t="s">
        <v>4</v>
      </c>
      <c r="AB1603" t="s">
        <v>4</v>
      </c>
    </row>
    <row r="1604" spans="1:28" hidden="1" x14ac:dyDescent="0.2">
      <c r="A1604" t="s">
        <v>285</v>
      </c>
      <c r="B1604" t="s">
        <v>2</v>
      </c>
      <c r="C1604" t="s">
        <v>3</v>
      </c>
      <c r="D1604" t="s">
        <v>4</v>
      </c>
      <c r="E1604" t="s">
        <v>4</v>
      </c>
      <c r="F1604" t="s">
        <v>16</v>
      </c>
      <c r="G1604" t="s">
        <v>21</v>
      </c>
      <c r="H1604" t="s">
        <v>4759</v>
      </c>
      <c r="I1604" s="2">
        <v>30</v>
      </c>
      <c r="J1604" s="2">
        <v>0</v>
      </c>
      <c r="K1604" s="2">
        <v>0</v>
      </c>
      <c r="L1604" s="3">
        <v>45829</v>
      </c>
      <c r="M1604" s="3">
        <v>45829</v>
      </c>
      <c r="N1604" s="3"/>
      <c r="O1604" t="s">
        <v>4760</v>
      </c>
      <c r="P1604" t="s">
        <v>20</v>
      </c>
      <c r="Q1604" s="4">
        <v>0.73195601851851999</v>
      </c>
      <c r="R1604" t="s">
        <v>16</v>
      </c>
      <c r="S1604" t="s">
        <v>4</v>
      </c>
      <c r="T1604" t="s">
        <v>3242</v>
      </c>
      <c r="U1604" t="s">
        <v>10</v>
      </c>
      <c r="V1604" s="5">
        <v>0</v>
      </c>
      <c r="W1604" s="5">
        <v>0</v>
      </c>
      <c r="X1604" s="2">
        <v>0</v>
      </c>
      <c r="Y1604" t="s">
        <v>4</v>
      </c>
      <c r="Z1604" t="s">
        <v>4</v>
      </c>
      <c r="AA1604" t="s">
        <v>4</v>
      </c>
      <c r="AB1604" t="s">
        <v>4</v>
      </c>
    </row>
    <row r="1605" spans="1:28" hidden="1" x14ac:dyDescent="0.2">
      <c r="A1605" t="s">
        <v>1233</v>
      </c>
      <c r="B1605" t="s">
        <v>2</v>
      </c>
      <c r="C1605" t="s">
        <v>3</v>
      </c>
      <c r="D1605" t="s">
        <v>4</v>
      </c>
      <c r="E1605" t="s">
        <v>4</v>
      </c>
      <c r="F1605" t="s">
        <v>16</v>
      </c>
      <c r="G1605" t="s">
        <v>21</v>
      </c>
      <c r="H1605" t="s">
        <v>4761</v>
      </c>
      <c r="I1605" s="2">
        <v>1828</v>
      </c>
      <c r="J1605" s="2">
        <v>0</v>
      </c>
      <c r="K1605" s="2">
        <v>0</v>
      </c>
      <c r="L1605" s="3">
        <v>45819</v>
      </c>
      <c r="M1605" s="3">
        <v>45843</v>
      </c>
      <c r="N1605" s="3">
        <v>45843</v>
      </c>
      <c r="O1605" t="s">
        <v>4762</v>
      </c>
      <c r="P1605" t="s">
        <v>20</v>
      </c>
      <c r="Q1605" s="4">
        <v>0.90923611111111002</v>
      </c>
      <c r="R1605" t="s">
        <v>16</v>
      </c>
      <c r="S1605" t="s">
        <v>4</v>
      </c>
      <c r="T1605" t="s">
        <v>2263</v>
      </c>
      <c r="U1605" t="s">
        <v>10</v>
      </c>
      <c r="V1605" s="5">
        <v>0</v>
      </c>
      <c r="W1605" s="5">
        <v>0</v>
      </c>
      <c r="X1605" s="2">
        <v>0</v>
      </c>
      <c r="Y1605" t="s">
        <v>4</v>
      </c>
      <c r="Z1605" t="s">
        <v>4</v>
      </c>
      <c r="AA1605" t="s">
        <v>4</v>
      </c>
      <c r="AB1605" t="s">
        <v>4</v>
      </c>
    </row>
    <row r="1606" spans="1:28" hidden="1" x14ac:dyDescent="0.2">
      <c r="A1606" t="s">
        <v>643</v>
      </c>
      <c r="B1606" t="s">
        <v>2</v>
      </c>
      <c r="C1606" t="s">
        <v>3</v>
      </c>
      <c r="D1606" t="s">
        <v>4</v>
      </c>
      <c r="E1606" t="s">
        <v>4</v>
      </c>
      <c r="F1606" t="s">
        <v>16</v>
      </c>
      <c r="G1606" t="s">
        <v>21</v>
      </c>
      <c r="H1606" t="s">
        <v>4763</v>
      </c>
      <c r="I1606" s="2">
        <v>810</v>
      </c>
      <c r="J1606" s="2">
        <v>0</v>
      </c>
      <c r="K1606" s="2">
        <v>0</v>
      </c>
      <c r="L1606" s="3">
        <v>45756</v>
      </c>
      <c r="M1606" s="3">
        <v>45854</v>
      </c>
      <c r="N1606" s="3">
        <v>45854</v>
      </c>
      <c r="O1606" t="s">
        <v>4764</v>
      </c>
      <c r="P1606" t="s">
        <v>20</v>
      </c>
      <c r="Q1606" s="4">
        <v>0.76553240740741002</v>
      </c>
      <c r="R1606" t="s">
        <v>16</v>
      </c>
      <c r="S1606" t="s">
        <v>4</v>
      </c>
      <c r="T1606" t="s">
        <v>4765</v>
      </c>
      <c r="U1606" t="s">
        <v>10</v>
      </c>
      <c r="V1606" s="5">
        <v>0</v>
      </c>
      <c r="W1606" s="5">
        <v>0</v>
      </c>
      <c r="X1606" s="2">
        <v>0</v>
      </c>
      <c r="Y1606" t="s">
        <v>4</v>
      </c>
      <c r="Z1606" t="s">
        <v>4</v>
      </c>
      <c r="AA1606" t="s">
        <v>4</v>
      </c>
      <c r="AB1606" t="s">
        <v>4</v>
      </c>
    </row>
    <row r="1607" spans="1:28" hidden="1" x14ac:dyDescent="0.2">
      <c r="A1607" t="s">
        <v>1502</v>
      </c>
      <c r="B1607" t="s">
        <v>2</v>
      </c>
      <c r="C1607" t="s">
        <v>3</v>
      </c>
      <c r="D1607" t="s">
        <v>4</v>
      </c>
      <c r="E1607" t="s">
        <v>4</v>
      </c>
      <c r="F1607" t="s">
        <v>16</v>
      </c>
      <c r="G1607" t="s">
        <v>21</v>
      </c>
      <c r="H1607" t="s">
        <v>4766</v>
      </c>
      <c r="I1607" s="2">
        <v>8000</v>
      </c>
      <c r="J1607" s="2">
        <v>0</v>
      </c>
      <c r="K1607" s="2">
        <v>0</v>
      </c>
      <c r="L1607" s="3">
        <v>45856</v>
      </c>
      <c r="M1607" s="3">
        <v>45856</v>
      </c>
      <c r="N1607" s="3"/>
      <c r="O1607" t="s">
        <v>4767</v>
      </c>
      <c r="P1607" t="s">
        <v>20</v>
      </c>
      <c r="Q1607" s="4">
        <v>0.95583333333332998</v>
      </c>
      <c r="R1607" t="s">
        <v>16</v>
      </c>
      <c r="S1607" t="s">
        <v>4</v>
      </c>
      <c r="T1607" t="s">
        <v>2260</v>
      </c>
      <c r="U1607" t="s">
        <v>10</v>
      </c>
      <c r="V1607" s="5">
        <v>0</v>
      </c>
      <c r="W1607" s="5">
        <v>0</v>
      </c>
      <c r="X1607" s="2">
        <v>0</v>
      </c>
      <c r="Y1607" t="s">
        <v>4</v>
      </c>
      <c r="Z1607" t="s">
        <v>4</v>
      </c>
      <c r="AA1607" t="s">
        <v>4</v>
      </c>
      <c r="AB1607" t="s">
        <v>4</v>
      </c>
    </row>
    <row r="1608" spans="1:28" hidden="1" x14ac:dyDescent="0.2">
      <c r="A1608" t="s">
        <v>2251</v>
      </c>
      <c r="B1608" t="s">
        <v>4</v>
      </c>
      <c r="C1608" t="s">
        <v>4</v>
      </c>
      <c r="D1608" t="s">
        <v>4</v>
      </c>
      <c r="E1608" t="s">
        <v>4</v>
      </c>
      <c r="F1608" t="s">
        <v>16</v>
      </c>
      <c r="G1608" t="s">
        <v>21</v>
      </c>
      <c r="H1608" t="s">
        <v>4768</v>
      </c>
      <c r="I1608" s="5">
        <v>0</v>
      </c>
      <c r="J1608" s="5">
        <v>0</v>
      </c>
      <c r="K1608" s="5">
        <v>0</v>
      </c>
      <c r="L1608" s="3"/>
      <c r="M1608" s="3"/>
      <c r="N1608" s="3"/>
      <c r="O1608" t="s">
        <v>4</v>
      </c>
      <c r="P1608" t="s">
        <v>20</v>
      </c>
      <c r="Q1608" s="4">
        <v>0.52940972222222005</v>
      </c>
      <c r="R1608" t="s">
        <v>4</v>
      </c>
      <c r="S1608" t="s">
        <v>4</v>
      </c>
      <c r="T1608" t="s">
        <v>2256</v>
      </c>
      <c r="U1608" t="s">
        <v>4</v>
      </c>
      <c r="V1608" s="5">
        <v>0</v>
      </c>
      <c r="W1608" s="5">
        <v>0</v>
      </c>
      <c r="X1608" s="2">
        <v>0</v>
      </c>
      <c r="Y1608" t="s">
        <v>4</v>
      </c>
      <c r="Z1608" t="s">
        <v>4</v>
      </c>
      <c r="AA1608" t="s">
        <v>4</v>
      </c>
      <c r="AB1608" t="s">
        <v>4</v>
      </c>
    </row>
    <row r="1609" spans="1:28" hidden="1" x14ac:dyDescent="0.2">
      <c r="A1609" t="s">
        <v>2251</v>
      </c>
      <c r="B1609" t="s">
        <v>4</v>
      </c>
      <c r="C1609" t="s">
        <v>4</v>
      </c>
      <c r="D1609" t="s">
        <v>4</v>
      </c>
      <c r="E1609" t="s">
        <v>4</v>
      </c>
      <c r="F1609" t="s">
        <v>16</v>
      </c>
      <c r="G1609" t="s">
        <v>21</v>
      </c>
      <c r="H1609" t="s">
        <v>4769</v>
      </c>
      <c r="I1609" s="5">
        <v>0</v>
      </c>
      <c r="J1609" s="5">
        <v>0</v>
      </c>
      <c r="K1609" s="5">
        <v>0</v>
      </c>
      <c r="L1609" s="3"/>
      <c r="M1609" s="3"/>
      <c r="N1609" s="3"/>
      <c r="O1609" t="s">
        <v>4</v>
      </c>
      <c r="P1609" t="s">
        <v>20</v>
      </c>
      <c r="Q1609" s="4">
        <v>0.36689814814815003</v>
      </c>
      <c r="R1609" t="s">
        <v>4</v>
      </c>
      <c r="S1609" t="s">
        <v>4</v>
      </c>
      <c r="T1609" t="s">
        <v>2256</v>
      </c>
      <c r="U1609" t="s">
        <v>4</v>
      </c>
      <c r="V1609" s="5">
        <v>0</v>
      </c>
      <c r="W1609" s="5">
        <v>0</v>
      </c>
      <c r="X1609" s="2">
        <v>0</v>
      </c>
      <c r="Y1609" t="s">
        <v>4</v>
      </c>
      <c r="Z1609" t="s">
        <v>4</v>
      </c>
      <c r="AA1609" t="s">
        <v>4</v>
      </c>
      <c r="AB1609" t="s">
        <v>4</v>
      </c>
    </row>
    <row r="1610" spans="1:28" hidden="1" x14ac:dyDescent="0.2">
      <c r="A1610" t="s">
        <v>285</v>
      </c>
      <c r="B1610" t="s">
        <v>2</v>
      </c>
      <c r="C1610" t="s">
        <v>3</v>
      </c>
      <c r="D1610" t="s">
        <v>4</v>
      </c>
      <c r="E1610" t="s">
        <v>4</v>
      </c>
      <c r="F1610" t="s">
        <v>16</v>
      </c>
      <c r="G1610" t="s">
        <v>21</v>
      </c>
      <c r="H1610" t="s">
        <v>4770</v>
      </c>
      <c r="I1610" s="2">
        <v>30</v>
      </c>
      <c r="J1610" s="2">
        <v>0</v>
      </c>
      <c r="K1610" s="2">
        <v>0</v>
      </c>
      <c r="L1610" s="3">
        <v>45829</v>
      </c>
      <c r="M1610" s="3">
        <v>45829</v>
      </c>
      <c r="N1610" s="3"/>
      <c r="O1610" t="s">
        <v>4771</v>
      </c>
      <c r="P1610" t="s">
        <v>20</v>
      </c>
      <c r="Q1610" s="4">
        <v>0.73203703703704004</v>
      </c>
      <c r="R1610" t="s">
        <v>16</v>
      </c>
      <c r="S1610" t="s">
        <v>4</v>
      </c>
      <c r="T1610" t="s">
        <v>3242</v>
      </c>
      <c r="U1610" t="s">
        <v>10</v>
      </c>
      <c r="V1610" s="5">
        <v>0</v>
      </c>
      <c r="W1610" s="5">
        <v>0</v>
      </c>
      <c r="X1610" s="2">
        <v>0</v>
      </c>
      <c r="Y1610" t="s">
        <v>4</v>
      </c>
      <c r="Z1610" t="s">
        <v>4</v>
      </c>
      <c r="AA1610" t="s">
        <v>4</v>
      </c>
      <c r="AB1610" t="s">
        <v>4</v>
      </c>
    </row>
    <row r="1611" spans="1:28" hidden="1" x14ac:dyDescent="0.2">
      <c r="A1611" t="s">
        <v>320</v>
      </c>
      <c r="B1611" t="s">
        <v>2</v>
      </c>
      <c r="C1611" t="s">
        <v>3</v>
      </c>
      <c r="D1611" t="s">
        <v>4</v>
      </c>
      <c r="E1611" t="s">
        <v>4</v>
      </c>
      <c r="F1611" t="s">
        <v>16</v>
      </c>
      <c r="G1611" t="s">
        <v>21</v>
      </c>
      <c r="H1611" t="s">
        <v>4772</v>
      </c>
      <c r="I1611" s="2">
        <v>8000</v>
      </c>
      <c r="J1611" s="2">
        <v>0</v>
      </c>
      <c r="K1611" s="2">
        <v>0</v>
      </c>
      <c r="L1611" s="3">
        <v>45847</v>
      </c>
      <c r="M1611" s="3">
        <v>45847</v>
      </c>
      <c r="N1611" s="3"/>
      <c r="O1611" t="s">
        <v>4773</v>
      </c>
      <c r="P1611" t="s">
        <v>20</v>
      </c>
      <c r="Q1611" s="4">
        <v>0.50972222222221997</v>
      </c>
      <c r="R1611" t="s">
        <v>16</v>
      </c>
      <c r="S1611" t="s">
        <v>4</v>
      </c>
      <c r="T1611" t="s">
        <v>2341</v>
      </c>
      <c r="U1611" t="s">
        <v>10</v>
      </c>
      <c r="V1611" s="5">
        <v>0</v>
      </c>
      <c r="W1611" s="5">
        <v>0</v>
      </c>
      <c r="X1611" s="2">
        <v>0</v>
      </c>
      <c r="Y1611" t="s">
        <v>4</v>
      </c>
      <c r="Z1611" t="s">
        <v>4</v>
      </c>
      <c r="AA1611" t="s">
        <v>4</v>
      </c>
      <c r="AB1611" t="s">
        <v>4</v>
      </c>
    </row>
    <row r="1612" spans="1:28" hidden="1" x14ac:dyDescent="0.2">
      <c r="A1612" t="s">
        <v>945</v>
      </c>
      <c r="B1612" t="s">
        <v>2</v>
      </c>
      <c r="C1612" t="s">
        <v>3</v>
      </c>
      <c r="D1612" t="s">
        <v>4</v>
      </c>
      <c r="E1612" t="s">
        <v>4</v>
      </c>
      <c r="F1612" t="s">
        <v>16</v>
      </c>
      <c r="G1612" t="s">
        <v>17</v>
      </c>
      <c r="H1612" t="s">
        <v>4774</v>
      </c>
      <c r="I1612" s="2">
        <v>850</v>
      </c>
      <c r="J1612" s="2">
        <v>0</v>
      </c>
      <c r="K1612" s="2">
        <v>0</v>
      </c>
      <c r="L1612" s="3">
        <v>45794</v>
      </c>
      <c r="M1612" s="3">
        <v>45840</v>
      </c>
      <c r="N1612" s="3"/>
      <c r="O1612" t="s">
        <v>4775</v>
      </c>
      <c r="P1612" t="s">
        <v>20</v>
      </c>
      <c r="Q1612" s="4">
        <v>0.47815972222221997</v>
      </c>
      <c r="R1612" t="s">
        <v>16</v>
      </c>
      <c r="S1612" t="s">
        <v>4</v>
      </c>
      <c r="T1612" t="s">
        <v>3887</v>
      </c>
      <c r="U1612" t="s">
        <v>10</v>
      </c>
      <c r="V1612" s="5">
        <v>0</v>
      </c>
      <c r="W1612" s="5">
        <v>0</v>
      </c>
      <c r="X1612" s="2">
        <v>0</v>
      </c>
      <c r="Y1612" t="s">
        <v>4</v>
      </c>
      <c r="Z1612" t="s">
        <v>4</v>
      </c>
      <c r="AA1612" t="s">
        <v>4</v>
      </c>
      <c r="AB1612" t="s">
        <v>4</v>
      </c>
    </row>
    <row r="1613" spans="1:28" hidden="1" x14ac:dyDescent="0.2">
      <c r="A1613" t="s">
        <v>1223</v>
      </c>
      <c r="B1613" t="s">
        <v>2</v>
      </c>
      <c r="C1613" t="s">
        <v>3</v>
      </c>
      <c r="D1613" t="s">
        <v>4</v>
      </c>
      <c r="E1613" t="s">
        <v>4</v>
      </c>
      <c r="F1613" t="s">
        <v>16</v>
      </c>
      <c r="G1613" t="s">
        <v>17</v>
      </c>
      <c r="H1613" t="s">
        <v>4776</v>
      </c>
      <c r="I1613" s="2">
        <v>478</v>
      </c>
      <c r="J1613" s="2">
        <v>0</v>
      </c>
      <c r="K1613" s="2">
        <v>0</v>
      </c>
      <c r="L1613" s="3">
        <v>45590</v>
      </c>
      <c r="M1613" s="3">
        <v>45852</v>
      </c>
      <c r="N1613" s="3">
        <v>45852</v>
      </c>
      <c r="O1613" t="s">
        <v>4777</v>
      </c>
      <c r="P1613" t="s">
        <v>20</v>
      </c>
      <c r="Q1613" s="4">
        <v>0.89380787037037002</v>
      </c>
      <c r="R1613" t="s">
        <v>16</v>
      </c>
      <c r="S1613" t="s">
        <v>4</v>
      </c>
      <c r="T1613" t="s">
        <v>2677</v>
      </c>
      <c r="U1613" t="s">
        <v>10</v>
      </c>
      <c r="V1613" s="5">
        <v>0</v>
      </c>
      <c r="W1613" s="5">
        <v>0</v>
      </c>
      <c r="X1613" s="2">
        <v>0</v>
      </c>
      <c r="Y1613" t="s">
        <v>4</v>
      </c>
      <c r="Z1613" t="s">
        <v>4</v>
      </c>
      <c r="AA1613" t="s">
        <v>4</v>
      </c>
      <c r="AB1613" t="s">
        <v>4</v>
      </c>
    </row>
    <row r="1614" spans="1:28" hidden="1" x14ac:dyDescent="0.2">
      <c r="A1614" t="s">
        <v>599</v>
      </c>
      <c r="B1614" t="s">
        <v>2</v>
      </c>
      <c r="C1614" t="s">
        <v>3</v>
      </c>
      <c r="D1614" t="s">
        <v>4</v>
      </c>
      <c r="E1614" t="s">
        <v>4</v>
      </c>
      <c r="F1614" t="s">
        <v>16</v>
      </c>
      <c r="G1614" t="s">
        <v>17</v>
      </c>
      <c r="H1614" t="s">
        <v>4778</v>
      </c>
      <c r="I1614" s="2">
        <v>122720</v>
      </c>
      <c r="J1614" s="2">
        <v>0</v>
      </c>
      <c r="K1614" s="2">
        <v>0</v>
      </c>
      <c r="L1614" s="3">
        <v>45829</v>
      </c>
      <c r="M1614" s="3">
        <v>45845</v>
      </c>
      <c r="N1614" s="3">
        <v>45845</v>
      </c>
      <c r="O1614" t="s">
        <v>4779</v>
      </c>
      <c r="P1614" t="s">
        <v>20</v>
      </c>
      <c r="Q1614" s="4">
        <v>0.68657407407407001</v>
      </c>
      <c r="R1614" t="s">
        <v>16</v>
      </c>
      <c r="S1614" t="s">
        <v>4</v>
      </c>
      <c r="T1614" t="s">
        <v>3242</v>
      </c>
      <c r="U1614" t="s">
        <v>10</v>
      </c>
      <c r="V1614" s="5">
        <v>0</v>
      </c>
      <c r="W1614" s="5">
        <v>0</v>
      </c>
      <c r="X1614" s="2">
        <v>0</v>
      </c>
      <c r="Y1614" t="s">
        <v>4</v>
      </c>
      <c r="Z1614" t="s">
        <v>4</v>
      </c>
      <c r="AA1614" t="s">
        <v>4</v>
      </c>
      <c r="AB1614" t="s">
        <v>4</v>
      </c>
    </row>
    <row r="1615" spans="1:28" hidden="1" x14ac:dyDescent="0.2">
      <c r="A1615" t="s">
        <v>1555</v>
      </c>
      <c r="B1615" t="s">
        <v>2</v>
      </c>
      <c r="C1615" t="s">
        <v>3</v>
      </c>
      <c r="D1615" t="s">
        <v>4</v>
      </c>
      <c r="E1615" t="s">
        <v>4</v>
      </c>
      <c r="F1615" t="s">
        <v>16</v>
      </c>
      <c r="G1615" t="s">
        <v>6</v>
      </c>
      <c r="H1615" t="s">
        <v>4780</v>
      </c>
      <c r="I1615" s="2">
        <v>300</v>
      </c>
      <c r="J1615" s="2">
        <v>0</v>
      </c>
      <c r="K1615" s="2">
        <v>0</v>
      </c>
      <c r="L1615" s="3">
        <v>45855</v>
      </c>
      <c r="M1615" s="3">
        <v>45855</v>
      </c>
      <c r="N1615" s="3"/>
      <c r="O1615" t="s">
        <v>4781</v>
      </c>
      <c r="P1615" t="s">
        <v>20</v>
      </c>
      <c r="Q1615" s="4">
        <v>0.76104166666666995</v>
      </c>
      <c r="R1615" t="s">
        <v>16</v>
      </c>
      <c r="S1615" t="s">
        <v>4</v>
      </c>
      <c r="T1615" t="s">
        <v>2350</v>
      </c>
      <c r="U1615" t="s">
        <v>10</v>
      </c>
      <c r="V1615" s="5">
        <v>0</v>
      </c>
      <c r="W1615" s="5">
        <v>0</v>
      </c>
      <c r="X1615" s="2">
        <v>0</v>
      </c>
      <c r="Y1615" t="s">
        <v>4</v>
      </c>
      <c r="Z1615" t="s">
        <v>4</v>
      </c>
      <c r="AA1615" t="s">
        <v>4</v>
      </c>
      <c r="AB1615" t="s">
        <v>4</v>
      </c>
    </row>
    <row r="1616" spans="1:28" hidden="1" x14ac:dyDescent="0.2">
      <c r="A1616" t="s">
        <v>1207</v>
      </c>
      <c r="B1616" t="s">
        <v>2</v>
      </c>
      <c r="C1616" t="s">
        <v>3</v>
      </c>
      <c r="D1616" t="s">
        <v>4</v>
      </c>
      <c r="E1616" t="s">
        <v>4</v>
      </c>
      <c r="F1616" t="s">
        <v>16</v>
      </c>
      <c r="G1616" t="s">
        <v>6</v>
      </c>
      <c r="H1616" t="s">
        <v>4782</v>
      </c>
      <c r="I1616" s="2">
        <v>1100</v>
      </c>
      <c r="J1616" s="2">
        <v>0</v>
      </c>
      <c r="K1616" s="2">
        <v>0</v>
      </c>
      <c r="L1616" s="3">
        <v>45496</v>
      </c>
      <c r="M1616" s="3">
        <v>45496</v>
      </c>
      <c r="N1616" s="3"/>
      <c r="O1616" t="s">
        <v>4783</v>
      </c>
      <c r="P1616" t="s">
        <v>20</v>
      </c>
      <c r="Q1616" s="4">
        <v>0.89953703703704002</v>
      </c>
      <c r="R1616" t="s">
        <v>16</v>
      </c>
      <c r="S1616" t="s">
        <v>4</v>
      </c>
      <c r="T1616" t="s">
        <v>4784</v>
      </c>
      <c r="U1616" t="s">
        <v>10</v>
      </c>
      <c r="V1616" s="5">
        <v>0</v>
      </c>
      <c r="W1616" s="5">
        <v>0</v>
      </c>
      <c r="X1616" s="2">
        <v>0</v>
      </c>
      <c r="Y1616" t="s">
        <v>4</v>
      </c>
      <c r="Z1616" t="s">
        <v>4</v>
      </c>
      <c r="AA1616" t="s">
        <v>4</v>
      </c>
      <c r="AB1616" t="s">
        <v>4</v>
      </c>
    </row>
    <row r="1617" spans="1:28" hidden="1" x14ac:dyDescent="0.2">
      <c r="A1617" t="s">
        <v>1873</v>
      </c>
      <c r="B1617" t="s">
        <v>2</v>
      </c>
      <c r="C1617" t="s">
        <v>3</v>
      </c>
      <c r="D1617" t="s">
        <v>4</v>
      </c>
      <c r="E1617" t="s">
        <v>4</v>
      </c>
      <c r="F1617" t="s">
        <v>16</v>
      </c>
      <c r="G1617" t="s">
        <v>6</v>
      </c>
      <c r="H1617" t="s">
        <v>4785</v>
      </c>
      <c r="I1617" s="2">
        <v>5760</v>
      </c>
      <c r="J1617" s="2">
        <v>0</v>
      </c>
      <c r="K1617" s="2">
        <v>0</v>
      </c>
      <c r="L1617" s="3">
        <v>45833</v>
      </c>
      <c r="M1617" s="3">
        <v>45833</v>
      </c>
      <c r="N1617" s="3"/>
      <c r="O1617" t="s">
        <v>4786</v>
      </c>
      <c r="P1617" t="s">
        <v>20</v>
      </c>
      <c r="Q1617" s="4">
        <v>0.42940972222222001</v>
      </c>
      <c r="R1617" t="s">
        <v>16</v>
      </c>
      <c r="S1617" t="s">
        <v>4</v>
      </c>
      <c r="T1617" t="s">
        <v>2736</v>
      </c>
      <c r="U1617" t="s">
        <v>10</v>
      </c>
      <c r="V1617" s="5">
        <v>0</v>
      </c>
      <c r="W1617" s="5">
        <v>0</v>
      </c>
      <c r="X1617" s="2">
        <v>0</v>
      </c>
      <c r="Y1617" t="s">
        <v>4</v>
      </c>
      <c r="Z1617" t="s">
        <v>4</v>
      </c>
      <c r="AA1617" t="s">
        <v>4</v>
      </c>
      <c r="AB1617" t="s">
        <v>4</v>
      </c>
    </row>
    <row r="1618" spans="1:28" hidden="1" x14ac:dyDescent="0.2">
      <c r="A1618" t="s">
        <v>2180</v>
      </c>
      <c r="B1618" t="s">
        <v>2</v>
      </c>
      <c r="C1618" t="s">
        <v>3</v>
      </c>
      <c r="D1618" t="s">
        <v>4</v>
      </c>
      <c r="E1618" t="s">
        <v>4</v>
      </c>
      <c r="F1618" t="s">
        <v>16</v>
      </c>
      <c r="G1618" t="s">
        <v>21</v>
      </c>
      <c r="H1618" t="s">
        <v>4787</v>
      </c>
      <c r="I1618" s="2">
        <v>4000</v>
      </c>
      <c r="J1618" s="2">
        <v>0</v>
      </c>
      <c r="K1618" s="2">
        <v>0</v>
      </c>
      <c r="L1618" s="3">
        <v>45848</v>
      </c>
      <c r="M1618" s="3">
        <v>45848</v>
      </c>
      <c r="N1618" s="3"/>
      <c r="O1618" t="s">
        <v>4788</v>
      </c>
      <c r="P1618" t="s">
        <v>20</v>
      </c>
      <c r="Q1618" s="4">
        <v>0.67017361111110996</v>
      </c>
      <c r="R1618" t="s">
        <v>16</v>
      </c>
      <c r="S1618" t="s">
        <v>4</v>
      </c>
      <c r="T1618" t="s">
        <v>2580</v>
      </c>
      <c r="U1618" t="s">
        <v>10</v>
      </c>
      <c r="V1618" s="5">
        <v>0</v>
      </c>
      <c r="W1618" s="5">
        <v>0</v>
      </c>
      <c r="X1618" s="2">
        <v>0</v>
      </c>
      <c r="Y1618" t="s">
        <v>4</v>
      </c>
      <c r="Z1618" t="s">
        <v>4</v>
      </c>
      <c r="AA1618" t="s">
        <v>4</v>
      </c>
      <c r="AB1618" t="s">
        <v>4</v>
      </c>
    </row>
    <row r="1619" spans="1:28" hidden="1" x14ac:dyDescent="0.2">
      <c r="A1619" t="s">
        <v>285</v>
      </c>
      <c r="B1619" t="s">
        <v>2</v>
      </c>
      <c r="C1619" t="s">
        <v>3</v>
      </c>
      <c r="D1619" t="s">
        <v>4</v>
      </c>
      <c r="E1619" t="s">
        <v>4</v>
      </c>
      <c r="F1619" t="s">
        <v>16</v>
      </c>
      <c r="G1619" t="s">
        <v>21</v>
      </c>
      <c r="H1619" t="s">
        <v>4789</v>
      </c>
      <c r="I1619" s="2">
        <v>30</v>
      </c>
      <c r="J1619" s="2">
        <v>0</v>
      </c>
      <c r="K1619" s="2">
        <v>0</v>
      </c>
      <c r="L1619" s="3">
        <v>45829</v>
      </c>
      <c r="M1619" s="3">
        <v>45829</v>
      </c>
      <c r="N1619" s="3"/>
      <c r="O1619" t="s">
        <v>4790</v>
      </c>
      <c r="P1619" t="s">
        <v>20</v>
      </c>
      <c r="Q1619" s="4">
        <v>0.73513888888889001</v>
      </c>
      <c r="R1619" t="s">
        <v>16</v>
      </c>
      <c r="S1619" t="s">
        <v>4</v>
      </c>
      <c r="T1619" t="s">
        <v>3242</v>
      </c>
      <c r="U1619" t="s">
        <v>10</v>
      </c>
      <c r="V1619" s="5">
        <v>0</v>
      </c>
      <c r="W1619" s="5">
        <v>0</v>
      </c>
      <c r="X1619" s="2">
        <v>0</v>
      </c>
      <c r="Y1619" t="s">
        <v>4</v>
      </c>
      <c r="Z1619" t="s">
        <v>4</v>
      </c>
      <c r="AA1619" t="s">
        <v>4</v>
      </c>
      <c r="AB1619" t="s">
        <v>4</v>
      </c>
    </row>
    <row r="1620" spans="1:28" hidden="1" x14ac:dyDescent="0.2">
      <c r="A1620" t="s">
        <v>2053</v>
      </c>
      <c r="B1620" t="s">
        <v>2</v>
      </c>
      <c r="C1620" t="s">
        <v>3</v>
      </c>
      <c r="D1620" t="s">
        <v>4</v>
      </c>
      <c r="E1620" t="s">
        <v>4</v>
      </c>
      <c r="F1620" t="s">
        <v>16</v>
      </c>
      <c r="G1620" t="s">
        <v>21</v>
      </c>
      <c r="H1620" t="s">
        <v>4791</v>
      </c>
      <c r="I1620" s="2">
        <v>299</v>
      </c>
      <c r="J1620" s="2">
        <v>0</v>
      </c>
      <c r="K1620" s="2">
        <v>0</v>
      </c>
      <c r="L1620" s="3">
        <v>45804</v>
      </c>
      <c r="M1620" s="3">
        <v>45854</v>
      </c>
      <c r="N1620" s="3">
        <v>45854</v>
      </c>
      <c r="O1620" t="s">
        <v>4792</v>
      </c>
      <c r="P1620" t="s">
        <v>20</v>
      </c>
      <c r="Q1620" s="4">
        <v>0.78482638888889</v>
      </c>
      <c r="R1620" t="s">
        <v>16</v>
      </c>
      <c r="S1620" t="s">
        <v>4</v>
      </c>
      <c r="T1620" t="s">
        <v>3530</v>
      </c>
      <c r="U1620" t="s">
        <v>10</v>
      </c>
      <c r="V1620" s="5">
        <v>0</v>
      </c>
      <c r="W1620" s="5">
        <v>0</v>
      </c>
      <c r="X1620" s="2">
        <v>0</v>
      </c>
      <c r="Y1620" t="s">
        <v>4</v>
      </c>
      <c r="Z1620" t="s">
        <v>4</v>
      </c>
      <c r="AA1620" t="s">
        <v>4</v>
      </c>
      <c r="AB1620" t="s">
        <v>4</v>
      </c>
    </row>
    <row r="1621" spans="1:28" hidden="1" x14ac:dyDescent="0.2">
      <c r="A1621" t="s">
        <v>2251</v>
      </c>
      <c r="B1621" t="s">
        <v>4</v>
      </c>
      <c r="C1621" t="s">
        <v>4</v>
      </c>
      <c r="D1621" t="s">
        <v>4</v>
      </c>
      <c r="E1621" t="s">
        <v>4</v>
      </c>
      <c r="F1621" t="s">
        <v>16</v>
      </c>
      <c r="G1621" t="s">
        <v>21</v>
      </c>
      <c r="H1621" t="s">
        <v>4793</v>
      </c>
      <c r="I1621" s="5">
        <v>0</v>
      </c>
      <c r="J1621" s="5">
        <v>0</v>
      </c>
      <c r="K1621" s="5">
        <v>0</v>
      </c>
      <c r="L1621" s="3"/>
      <c r="M1621" s="3"/>
      <c r="N1621" s="3"/>
      <c r="O1621" t="s">
        <v>4</v>
      </c>
      <c r="P1621" t="s">
        <v>20</v>
      </c>
      <c r="Q1621" s="4">
        <v>0.69395833333333001</v>
      </c>
      <c r="R1621" t="s">
        <v>4</v>
      </c>
      <c r="S1621" t="s">
        <v>4</v>
      </c>
      <c r="T1621" t="s">
        <v>2256</v>
      </c>
      <c r="U1621" t="s">
        <v>4</v>
      </c>
      <c r="V1621" s="5">
        <v>0</v>
      </c>
      <c r="W1621" s="5">
        <v>0</v>
      </c>
      <c r="X1621" s="2">
        <v>0</v>
      </c>
      <c r="Y1621" t="s">
        <v>4</v>
      </c>
      <c r="Z1621" t="s">
        <v>4</v>
      </c>
      <c r="AA1621" t="s">
        <v>4</v>
      </c>
      <c r="AB1621" t="s">
        <v>4</v>
      </c>
    </row>
    <row r="1622" spans="1:28" hidden="1" x14ac:dyDescent="0.2">
      <c r="A1622" t="s">
        <v>1225</v>
      </c>
      <c r="B1622" t="s">
        <v>2</v>
      </c>
      <c r="C1622" t="s">
        <v>3</v>
      </c>
      <c r="D1622" t="s">
        <v>4</v>
      </c>
      <c r="E1622" t="s">
        <v>4</v>
      </c>
      <c r="F1622" t="s">
        <v>16</v>
      </c>
      <c r="G1622" t="s">
        <v>21</v>
      </c>
      <c r="H1622" t="s">
        <v>4794</v>
      </c>
      <c r="I1622" s="2">
        <v>100</v>
      </c>
      <c r="J1622" s="2">
        <v>0</v>
      </c>
      <c r="K1622" s="2">
        <v>0</v>
      </c>
      <c r="L1622" s="3">
        <v>45759</v>
      </c>
      <c r="M1622" s="3">
        <v>45759</v>
      </c>
      <c r="N1622" s="3"/>
      <c r="O1622" t="s">
        <v>4795</v>
      </c>
      <c r="P1622" t="s">
        <v>20</v>
      </c>
      <c r="Q1622" s="4">
        <v>0.96271990740740998</v>
      </c>
      <c r="R1622" t="s">
        <v>16</v>
      </c>
      <c r="S1622" t="s">
        <v>4</v>
      </c>
      <c r="T1622" t="s">
        <v>3144</v>
      </c>
      <c r="U1622" t="s">
        <v>10</v>
      </c>
      <c r="V1622" s="5">
        <v>0</v>
      </c>
      <c r="W1622" s="5">
        <v>0</v>
      </c>
      <c r="X1622" s="2">
        <v>0</v>
      </c>
      <c r="Y1622" t="s">
        <v>4</v>
      </c>
      <c r="Z1622" t="s">
        <v>4</v>
      </c>
      <c r="AA1622" t="s">
        <v>4</v>
      </c>
      <c r="AB1622" t="s">
        <v>4</v>
      </c>
    </row>
    <row r="1623" spans="1:28" hidden="1" x14ac:dyDescent="0.2">
      <c r="A1623" t="s">
        <v>712</v>
      </c>
      <c r="B1623" t="s">
        <v>2</v>
      </c>
      <c r="C1623" t="s">
        <v>3</v>
      </c>
      <c r="D1623" t="s">
        <v>4</v>
      </c>
      <c r="E1623" t="s">
        <v>4</v>
      </c>
      <c r="F1623" t="s">
        <v>16</v>
      </c>
      <c r="G1623" t="s">
        <v>21</v>
      </c>
      <c r="H1623" t="s">
        <v>4796</v>
      </c>
      <c r="I1623" s="2">
        <v>12</v>
      </c>
      <c r="J1623" s="2">
        <v>0</v>
      </c>
      <c r="K1623" s="2">
        <v>0</v>
      </c>
      <c r="L1623" s="3">
        <v>45853</v>
      </c>
      <c r="M1623" s="3">
        <v>45853</v>
      </c>
      <c r="N1623" s="3"/>
      <c r="O1623" t="s">
        <v>4797</v>
      </c>
      <c r="P1623" t="s">
        <v>20</v>
      </c>
      <c r="Q1623" s="4">
        <v>0.89143518518519005</v>
      </c>
      <c r="R1623" t="s">
        <v>16</v>
      </c>
      <c r="S1623" t="s">
        <v>4</v>
      </c>
      <c r="T1623" t="s">
        <v>2272</v>
      </c>
      <c r="U1623" t="s">
        <v>10</v>
      </c>
      <c r="V1623" s="5">
        <v>0</v>
      </c>
      <c r="W1623" s="5">
        <v>0</v>
      </c>
      <c r="X1623" s="2">
        <v>0</v>
      </c>
      <c r="Y1623" t="s">
        <v>4</v>
      </c>
      <c r="Z1623" t="s">
        <v>4</v>
      </c>
      <c r="AA1623" t="s">
        <v>4</v>
      </c>
      <c r="AB1623" t="s">
        <v>4</v>
      </c>
    </row>
    <row r="1624" spans="1:28" hidden="1" x14ac:dyDescent="0.2">
      <c r="A1624" t="s">
        <v>1895</v>
      </c>
      <c r="B1624" t="s">
        <v>2</v>
      </c>
      <c r="C1624" t="s">
        <v>3</v>
      </c>
      <c r="D1624" t="s">
        <v>4</v>
      </c>
      <c r="E1624" t="s">
        <v>4</v>
      </c>
      <c r="F1624" t="s">
        <v>16</v>
      </c>
      <c r="G1624" t="s">
        <v>21</v>
      </c>
      <c r="H1624" t="s">
        <v>4798</v>
      </c>
      <c r="I1624" s="2">
        <v>1200</v>
      </c>
      <c r="J1624" s="2">
        <v>0</v>
      </c>
      <c r="K1624" s="2">
        <v>0</v>
      </c>
      <c r="L1624" s="3">
        <v>45858</v>
      </c>
      <c r="M1624" s="3">
        <v>45858</v>
      </c>
      <c r="N1624" s="3"/>
      <c r="O1624" t="s">
        <v>4799</v>
      </c>
      <c r="P1624" t="s">
        <v>20</v>
      </c>
      <c r="Q1624" s="4">
        <v>0.64672453703704003</v>
      </c>
      <c r="R1624" t="s">
        <v>16</v>
      </c>
      <c r="S1624" t="s">
        <v>4</v>
      </c>
      <c r="T1624" t="s">
        <v>2337</v>
      </c>
      <c r="U1624" t="s">
        <v>10</v>
      </c>
      <c r="V1624" s="5">
        <v>0</v>
      </c>
      <c r="W1624" s="5">
        <v>0</v>
      </c>
      <c r="X1624" s="2">
        <v>0</v>
      </c>
      <c r="Y1624" t="s">
        <v>4</v>
      </c>
      <c r="Z1624" t="s">
        <v>4</v>
      </c>
      <c r="AA1624" t="s">
        <v>4</v>
      </c>
      <c r="AB1624" t="s">
        <v>4</v>
      </c>
    </row>
    <row r="1625" spans="1:28" hidden="1" x14ac:dyDescent="0.2">
      <c r="A1625" t="s">
        <v>1131</v>
      </c>
      <c r="B1625" t="s">
        <v>2</v>
      </c>
      <c r="C1625" t="s">
        <v>3</v>
      </c>
      <c r="D1625" t="s">
        <v>4</v>
      </c>
      <c r="E1625" t="s">
        <v>4</v>
      </c>
      <c r="F1625" t="s">
        <v>16</v>
      </c>
      <c r="G1625" t="s">
        <v>21</v>
      </c>
      <c r="H1625" t="s">
        <v>4800</v>
      </c>
      <c r="I1625" s="5">
        <v>204.08</v>
      </c>
      <c r="J1625" s="2">
        <v>0</v>
      </c>
      <c r="K1625" s="2">
        <v>0</v>
      </c>
      <c r="L1625" s="3">
        <v>45851</v>
      </c>
      <c r="M1625" s="3">
        <v>45851</v>
      </c>
      <c r="N1625" s="3"/>
      <c r="O1625" t="s">
        <v>4801</v>
      </c>
      <c r="P1625" t="s">
        <v>20</v>
      </c>
      <c r="Q1625" s="4">
        <v>0.57763888888889003</v>
      </c>
      <c r="R1625" t="s">
        <v>16</v>
      </c>
      <c r="S1625" t="s">
        <v>4</v>
      </c>
      <c r="T1625" t="s">
        <v>2747</v>
      </c>
      <c r="U1625" t="s">
        <v>10</v>
      </c>
      <c r="V1625" s="5">
        <v>0</v>
      </c>
      <c r="W1625" s="5">
        <v>0</v>
      </c>
      <c r="X1625" s="2">
        <v>0</v>
      </c>
      <c r="Y1625" t="s">
        <v>4</v>
      </c>
      <c r="Z1625" t="s">
        <v>4</v>
      </c>
      <c r="AA1625" t="s">
        <v>4</v>
      </c>
      <c r="AB1625" t="s">
        <v>4</v>
      </c>
    </row>
    <row r="1626" spans="1:28" hidden="1" x14ac:dyDescent="0.2">
      <c r="A1626" t="s">
        <v>285</v>
      </c>
      <c r="B1626" t="s">
        <v>2</v>
      </c>
      <c r="C1626" t="s">
        <v>3</v>
      </c>
      <c r="D1626" t="s">
        <v>4</v>
      </c>
      <c r="E1626" t="s">
        <v>4</v>
      </c>
      <c r="F1626" t="s">
        <v>16</v>
      </c>
      <c r="G1626" t="s">
        <v>21</v>
      </c>
      <c r="H1626" t="s">
        <v>4802</v>
      </c>
      <c r="I1626" s="2">
        <v>30</v>
      </c>
      <c r="J1626" s="2">
        <v>0</v>
      </c>
      <c r="K1626" s="2">
        <v>0</v>
      </c>
      <c r="L1626" s="3">
        <v>45829</v>
      </c>
      <c r="M1626" s="3">
        <v>45829</v>
      </c>
      <c r="N1626" s="3"/>
      <c r="O1626" t="s">
        <v>4803</v>
      </c>
      <c r="P1626" t="s">
        <v>20</v>
      </c>
      <c r="Q1626" s="4">
        <v>0.73638888888888998</v>
      </c>
      <c r="R1626" t="s">
        <v>16</v>
      </c>
      <c r="S1626" t="s">
        <v>4</v>
      </c>
      <c r="T1626" t="s">
        <v>3242</v>
      </c>
      <c r="U1626" t="s">
        <v>10</v>
      </c>
      <c r="V1626" s="5">
        <v>0</v>
      </c>
      <c r="W1626" s="5">
        <v>0</v>
      </c>
      <c r="X1626" s="2">
        <v>0</v>
      </c>
      <c r="Y1626" t="s">
        <v>4</v>
      </c>
      <c r="Z1626" t="s">
        <v>4</v>
      </c>
      <c r="AA1626" t="s">
        <v>4</v>
      </c>
      <c r="AB1626" t="s">
        <v>4</v>
      </c>
    </row>
    <row r="1627" spans="1:28" hidden="1" x14ac:dyDescent="0.2">
      <c r="A1627" t="s">
        <v>1219</v>
      </c>
      <c r="B1627" t="s">
        <v>2</v>
      </c>
      <c r="C1627" t="s">
        <v>3</v>
      </c>
      <c r="D1627" t="s">
        <v>4</v>
      </c>
      <c r="E1627" t="s">
        <v>4</v>
      </c>
      <c r="F1627" t="s">
        <v>16</v>
      </c>
      <c r="G1627" t="s">
        <v>21</v>
      </c>
      <c r="H1627" t="s">
        <v>4804</v>
      </c>
      <c r="I1627" s="2">
        <v>1171</v>
      </c>
      <c r="J1627" s="2">
        <v>0</v>
      </c>
      <c r="K1627" s="2">
        <v>0</v>
      </c>
      <c r="L1627" s="3">
        <v>45819</v>
      </c>
      <c r="M1627" s="3">
        <v>45845</v>
      </c>
      <c r="N1627" s="3">
        <v>45845</v>
      </c>
      <c r="O1627" t="s">
        <v>4805</v>
      </c>
      <c r="P1627" t="s">
        <v>20</v>
      </c>
      <c r="Q1627" s="4">
        <v>0.36079861111111</v>
      </c>
      <c r="R1627" t="s">
        <v>16</v>
      </c>
      <c r="S1627" t="s">
        <v>4</v>
      </c>
      <c r="T1627" t="s">
        <v>2263</v>
      </c>
      <c r="U1627" t="s">
        <v>10</v>
      </c>
      <c r="V1627" s="5">
        <v>0</v>
      </c>
      <c r="W1627" s="5">
        <v>0</v>
      </c>
      <c r="X1627" s="2">
        <v>0</v>
      </c>
      <c r="Y1627" t="s">
        <v>4</v>
      </c>
      <c r="Z1627" t="s">
        <v>4</v>
      </c>
      <c r="AA1627" t="s">
        <v>4</v>
      </c>
      <c r="AB1627" t="s">
        <v>4</v>
      </c>
    </row>
    <row r="1628" spans="1:28" hidden="1" x14ac:dyDescent="0.2">
      <c r="A1628" t="s">
        <v>1477</v>
      </c>
      <c r="B1628" t="s">
        <v>2</v>
      </c>
      <c r="C1628" t="s">
        <v>3</v>
      </c>
      <c r="D1628" t="s">
        <v>4</v>
      </c>
      <c r="E1628" t="s">
        <v>4</v>
      </c>
      <c r="F1628" t="s">
        <v>16</v>
      </c>
      <c r="G1628" t="s">
        <v>17</v>
      </c>
      <c r="H1628" t="s">
        <v>4806</v>
      </c>
      <c r="I1628" s="2">
        <v>28080</v>
      </c>
      <c r="J1628" s="2">
        <v>0</v>
      </c>
      <c r="K1628" s="2">
        <v>0</v>
      </c>
      <c r="L1628" s="3">
        <v>45813</v>
      </c>
      <c r="M1628" s="3">
        <v>45859</v>
      </c>
      <c r="N1628" s="3">
        <v>45856</v>
      </c>
      <c r="O1628" t="s">
        <v>4807</v>
      </c>
      <c r="P1628" t="s">
        <v>20</v>
      </c>
      <c r="Q1628" s="4">
        <v>0.34261574074074003</v>
      </c>
      <c r="R1628" t="s">
        <v>16</v>
      </c>
      <c r="S1628" t="s">
        <v>4</v>
      </c>
      <c r="T1628" t="s">
        <v>3649</v>
      </c>
      <c r="U1628" t="s">
        <v>10</v>
      </c>
      <c r="V1628" s="5">
        <v>0</v>
      </c>
      <c r="W1628" s="5">
        <v>0</v>
      </c>
      <c r="X1628" s="2">
        <v>0</v>
      </c>
      <c r="Y1628" t="s">
        <v>4</v>
      </c>
      <c r="Z1628" t="s">
        <v>4</v>
      </c>
      <c r="AA1628" t="s">
        <v>4</v>
      </c>
      <c r="AB1628" t="s">
        <v>4</v>
      </c>
    </row>
    <row r="1629" spans="1:28" hidden="1" x14ac:dyDescent="0.2">
      <c r="A1629" t="s">
        <v>559</v>
      </c>
      <c r="B1629" t="s">
        <v>2</v>
      </c>
      <c r="C1629" t="s">
        <v>3</v>
      </c>
      <c r="D1629" t="s">
        <v>4</v>
      </c>
      <c r="E1629" t="s">
        <v>4</v>
      </c>
      <c r="F1629" t="s">
        <v>16</v>
      </c>
      <c r="G1629" t="s">
        <v>17</v>
      </c>
      <c r="H1629" t="s">
        <v>4808</v>
      </c>
      <c r="I1629" s="2">
        <v>27000</v>
      </c>
      <c r="J1629" s="2">
        <v>0</v>
      </c>
      <c r="K1629" s="2">
        <v>0</v>
      </c>
      <c r="L1629" s="3">
        <v>45828</v>
      </c>
      <c r="M1629" s="3">
        <v>45855</v>
      </c>
      <c r="N1629" s="3">
        <v>45855</v>
      </c>
      <c r="O1629" t="s">
        <v>4809</v>
      </c>
      <c r="P1629" t="s">
        <v>20</v>
      </c>
      <c r="Q1629" s="4">
        <v>0.67942129629629999</v>
      </c>
      <c r="R1629" t="s">
        <v>16</v>
      </c>
      <c r="S1629" t="s">
        <v>4</v>
      </c>
      <c r="T1629" t="s">
        <v>3742</v>
      </c>
      <c r="U1629" t="s">
        <v>10</v>
      </c>
      <c r="V1629" s="5">
        <v>0</v>
      </c>
      <c r="W1629" s="5">
        <v>0</v>
      </c>
      <c r="X1629" s="2">
        <v>0</v>
      </c>
      <c r="Y1629" t="s">
        <v>4</v>
      </c>
      <c r="Z1629" t="s">
        <v>4</v>
      </c>
      <c r="AA1629" t="s">
        <v>4</v>
      </c>
      <c r="AB1629" t="s">
        <v>4</v>
      </c>
    </row>
    <row r="1630" spans="1:28" hidden="1" x14ac:dyDescent="0.2">
      <c r="A1630" t="s">
        <v>1258</v>
      </c>
      <c r="B1630" t="s">
        <v>2</v>
      </c>
      <c r="C1630" t="s">
        <v>3</v>
      </c>
      <c r="D1630" t="s">
        <v>4</v>
      </c>
      <c r="E1630" t="s">
        <v>4</v>
      </c>
      <c r="F1630" t="s">
        <v>16</v>
      </c>
      <c r="G1630" t="s">
        <v>6</v>
      </c>
      <c r="H1630" t="s">
        <v>4810</v>
      </c>
      <c r="I1630" s="2">
        <v>2500</v>
      </c>
      <c r="J1630" s="2">
        <v>0</v>
      </c>
      <c r="K1630" s="2">
        <v>0</v>
      </c>
      <c r="L1630" s="3">
        <v>45755</v>
      </c>
      <c r="M1630" s="3">
        <v>45851</v>
      </c>
      <c r="N1630" s="3">
        <v>45851</v>
      </c>
      <c r="O1630" t="s">
        <v>4811</v>
      </c>
      <c r="P1630" t="s">
        <v>20</v>
      </c>
      <c r="Q1630" s="4">
        <v>0.35528935185185001</v>
      </c>
      <c r="R1630" t="s">
        <v>16</v>
      </c>
      <c r="S1630" t="s">
        <v>4</v>
      </c>
      <c r="T1630" t="s">
        <v>4752</v>
      </c>
      <c r="U1630" t="s">
        <v>10</v>
      </c>
      <c r="V1630" s="5">
        <v>0</v>
      </c>
      <c r="W1630" s="5">
        <v>0</v>
      </c>
      <c r="X1630" s="2">
        <v>0</v>
      </c>
      <c r="Y1630" t="s">
        <v>4</v>
      </c>
      <c r="Z1630" t="s">
        <v>4</v>
      </c>
      <c r="AA1630" t="s">
        <v>4</v>
      </c>
      <c r="AB1630" t="s">
        <v>4</v>
      </c>
    </row>
    <row r="1631" spans="1:28" hidden="1" x14ac:dyDescent="0.2">
      <c r="A1631" t="s">
        <v>1148</v>
      </c>
      <c r="B1631" t="s">
        <v>2</v>
      </c>
      <c r="C1631" t="s">
        <v>3</v>
      </c>
      <c r="D1631" t="s">
        <v>4</v>
      </c>
      <c r="E1631" t="s">
        <v>4</v>
      </c>
      <c r="F1631" t="s">
        <v>16</v>
      </c>
      <c r="G1631" t="s">
        <v>17</v>
      </c>
      <c r="H1631" t="s">
        <v>4812</v>
      </c>
      <c r="I1631" s="2">
        <v>750</v>
      </c>
      <c r="J1631" s="2">
        <v>0</v>
      </c>
      <c r="K1631" s="2">
        <v>0</v>
      </c>
      <c r="L1631" s="3">
        <v>45842</v>
      </c>
      <c r="M1631" s="3">
        <v>45842</v>
      </c>
      <c r="N1631" s="3"/>
      <c r="O1631" t="s">
        <v>4813</v>
      </c>
      <c r="P1631" t="s">
        <v>20</v>
      </c>
      <c r="Q1631" s="4">
        <v>0.61250000000000004</v>
      </c>
      <c r="R1631" t="s">
        <v>16</v>
      </c>
      <c r="S1631" t="s">
        <v>4</v>
      </c>
      <c r="T1631" t="s">
        <v>2610</v>
      </c>
      <c r="U1631" t="s">
        <v>10</v>
      </c>
      <c r="V1631" s="5">
        <v>0</v>
      </c>
      <c r="W1631" s="5">
        <v>0</v>
      </c>
      <c r="X1631" s="2">
        <v>0</v>
      </c>
      <c r="Y1631" t="s">
        <v>4</v>
      </c>
      <c r="Z1631" t="s">
        <v>4</v>
      </c>
      <c r="AA1631" t="s">
        <v>4</v>
      </c>
      <c r="AB1631" t="s">
        <v>4</v>
      </c>
    </row>
    <row r="1632" spans="1:28" hidden="1" x14ac:dyDescent="0.2">
      <c r="A1632" t="s">
        <v>2078</v>
      </c>
      <c r="B1632" t="s">
        <v>2</v>
      </c>
      <c r="C1632" t="s">
        <v>3</v>
      </c>
      <c r="D1632" t="s">
        <v>4</v>
      </c>
      <c r="E1632" t="s">
        <v>4</v>
      </c>
      <c r="F1632" t="s">
        <v>16</v>
      </c>
      <c r="G1632" t="s">
        <v>17</v>
      </c>
      <c r="H1632" t="s">
        <v>4814</v>
      </c>
      <c r="I1632" s="2">
        <v>30000</v>
      </c>
      <c r="J1632" s="2">
        <v>0</v>
      </c>
      <c r="K1632" s="2">
        <v>0</v>
      </c>
      <c r="L1632" s="3">
        <v>45842</v>
      </c>
      <c r="M1632" s="3">
        <v>45855</v>
      </c>
      <c r="N1632" s="3"/>
      <c r="O1632" t="s">
        <v>4815</v>
      </c>
      <c r="P1632" t="s">
        <v>20</v>
      </c>
      <c r="Q1632" s="4">
        <v>0.67942129629629999</v>
      </c>
      <c r="R1632" t="s">
        <v>16</v>
      </c>
      <c r="S1632" t="s">
        <v>4</v>
      </c>
      <c r="T1632" t="s">
        <v>2610</v>
      </c>
      <c r="U1632" t="s">
        <v>10</v>
      </c>
      <c r="V1632" s="5">
        <v>0</v>
      </c>
      <c r="W1632" s="5">
        <v>0</v>
      </c>
      <c r="X1632" s="2">
        <v>0</v>
      </c>
      <c r="Y1632" t="s">
        <v>4</v>
      </c>
      <c r="Z1632" t="s">
        <v>4</v>
      </c>
      <c r="AA1632" t="s">
        <v>4</v>
      </c>
      <c r="AB1632" t="s">
        <v>4</v>
      </c>
    </row>
    <row r="1633" spans="1:28" hidden="1" x14ac:dyDescent="0.2">
      <c r="A1633" t="s">
        <v>0</v>
      </c>
      <c r="B1633" t="s">
        <v>2</v>
      </c>
      <c r="C1633" t="s">
        <v>3</v>
      </c>
      <c r="D1633" t="s">
        <v>4</v>
      </c>
      <c r="E1633" t="s">
        <v>4</v>
      </c>
      <c r="F1633" t="s">
        <v>16</v>
      </c>
      <c r="G1633" t="s">
        <v>6</v>
      </c>
      <c r="H1633" t="s">
        <v>73</v>
      </c>
      <c r="I1633" s="2">
        <v>196</v>
      </c>
      <c r="J1633" s="2">
        <v>0</v>
      </c>
      <c r="K1633" s="2">
        <v>0</v>
      </c>
      <c r="L1633" s="3">
        <v>45843</v>
      </c>
      <c r="M1633" s="3">
        <v>45843</v>
      </c>
      <c r="N1633" s="3"/>
      <c r="O1633" t="s">
        <v>74</v>
      </c>
      <c r="P1633" t="s">
        <v>20</v>
      </c>
      <c r="Q1633" s="4">
        <v>0.92903935185185005</v>
      </c>
      <c r="R1633" t="s">
        <v>16</v>
      </c>
      <c r="S1633" t="s">
        <v>4</v>
      </c>
      <c r="T1633" t="s">
        <v>2783</v>
      </c>
      <c r="U1633" t="s">
        <v>10</v>
      </c>
      <c r="V1633" s="5">
        <v>0</v>
      </c>
      <c r="W1633" s="5">
        <v>0</v>
      </c>
      <c r="X1633" s="2">
        <v>0</v>
      </c>
      <c r="Y1633" t="s">
        <v>4</v>
      </c>
      <c r="Z1633" t="s">
        <v>4</v>
      </c>
      <c r="AA1633" t="s">
        <v>4</v>
      </c>
      <c r="AB1633" t="s">
        <v>4</v>
      </c>
    </row>
    <row r="1634" spans="1:28" hidden="1" x14ac:dyDescent="0.2">
      <c r="A1634" t="s">
        <v>1211</v>
      </c>
      <c r="B1634" t="s">
        <v>2</v>
      </c>
      <c r="C1634" t="s">
        <v>3</v>
      </c>
      <c r="D1634" t="s">
        <v>4</v>
      </c>
      <c r="E1634" t="s">
        <v>4</v>
      </c>
      <c r="F1634" t="s">
        <v>16</v>
      </c>
      <c r="G1634" t="s">
        <v>21</v>
      </c>
      <c r="H1634" t="s">
        <v>4816</v>
      </c>
      <c r="I1634" s="2">
        <v>1000</v>
      </c>
      <c r="J1634" s="2">
        <v>0</v>
      </c>
      <c r="K1634" s="2">
        <v>0</v>
      </c>
      <c r="L1634" s="3">
        <v>45853</v>
      </c>
      <c r="M1634" s="3">
        <v>45853</v>
      </c>
      <c r="N1634" s="3"/>
      <c r="O1634" t="s">
        <v>4817</v>
      </c>
      <c r="P1634" t="s">
        <v>20</v>
      </c>
      <c r="Q1634" s="4">
        <v>0.89152777777778003</v>
      </c>
      <c r="R1634" t="s">
        <v>16</v>
      </c>
      <c r="S1634" t="s">
        <v>4</v>
      </c>
      <c r="T1634" t="s">
        <v>2272</v>
      </c>
      <c r="U1634" t="s">
        <v>10</v>
      </c>
      <c r="V1634" s="5">
        <v>0</v>
      </c>
      <c r="W1634" s="5">
        <v>0</v>
      </c>
      <c r="X1634" s="2">
        <v>0</v>
      </c>
      <c r="Y1634" t="s">
        <v>4</v>
      </c>
      <c r="Z1634" t="s">
        <v>4</v>
      </c>
      <c r="AA1634" t="s">
        <v>4</v>
      </c>
      <c r="AB1634" t="s">
        <v>4</v>
      </c>
    </row>
    <row r="1635" spans="1:28" hidden="1" x14ac:dyDescent="0.2">
      <c r="A1635" t="s">
        <v>1135</v>
      </c>
      <c r="B1635" t="s">
        <v>2</v>
      </c>
      <c r="C1635" t="s">
        <v>3</v>
      </c>
      <c r="D1635" t="s">
        <v>4</v>
      </c>
      <c r="E1635" t="s">
        <v>4</v>
      </c>
      <c r="F1635" t="s">
        <v>16</v>
      </c>
      <c r="G1635" t="s">
        <v>21</v>
      </c>
      <c r="H1635" t="s">
        <v>4818</v>
      </c>
      <c r="I1635" s="2">
        <v>480</v>
      </c>
      <c r="J1635" s="2">
        <v>0</v>
      </c>
      <c r="K1635" s="2">
        <v>0</v>
      </c>
      <c r="L1635" s="3">
        <v>45857</v>
      </c>
      <c r="M1635" s="3">
        <v>45857</v>
      </c>
      <c r="N1635" s="3"/>
      <c r="O1635" t="s">
        <v>4819</v>
      </c>
      <c r="P1635" t="s">
        <v>20</v>
      </c>
      <c r="Q1635" s="4">
        <v>0.80478009259258998</v>
      </c>
      <c r="R1635" t="s">
        <v>16</v>
      </c>
      <c r="S1635" t="s">
        <v>4</v>
      </c>
      <c r="T1635" t="s">
        <v>2262</v>
      </c>
      <c r="U1635" t="s">
        <v>10</v>
      </c>
      <c r="V1635" s="5">
        <v>0</v>
      </c>
      <c r="W1635" s="5">
        <v>0</v>
      </c>
      <c r="X1635" s="2">
        <v>0</v>
      </c>
      <c r="Y1635" t="s">
        <v>4</v>
      </c>
      <c r="Z1635" t="s">
        <v>4</v>
      </c>
      <c r="AA1635" t="s">
        <v>4</v>
      </c>
      <c r="AB1635" t="s">
        <v>4</v>
      </c>
    </row>
    <row r="1636" spans="1:28" hidden="1" x14ac:dyDescent="0.2">
      <c r="A1636" t="s">
        <v>272</v>
      </c>
      <c r="B1636" t="s">
        <v>2</v>
      </c>
      <c r="C1636" t="s">
        <v>3</v>
      </c>
      <c r="D1636" t="s">
        <v>4</v>
      </c>
      <c r="E1636" t="s">
        <v>4</v>
      </c>
      <c r="F1636" t="s">
        <v>16</v>
      </c>
      <c r="G1636" t="s">
        <v>21</v>
      </c>
      <c r="H1636" t="s">
        <v>4820</v>
      </c>
      <c r="I1636" s="2">
        <v>2500</v>
      </c>
      <c r="J1636" s="2">
        <v>0</v>
      </c>
      <c r="K1636" s="2">
        <v>0</v>
      </c>
      <c r="L1636" s="3">
        <v>45830</v>
      </c>
      <c r="M1636" s="3">
        <v>45859</v>
      </c>
      <c r="N1636" s="3">
        <v>45859</v>
      </c>
      <c r="O1636" t="s">
        <v>4821</v>
      </c>
      <c r="P1636" t="s">
        <v>20</v>
      </c>
      <c r="Q1636" s="4">
        <v>0.96469907407406996</v>
      </c>
      <c r="R1636" t="s">
        <v>16</v>
      </c>
      <c r="S1636" t="s">
        <v>4</v>
      </c>
      <c r="T1636" t="s">
        <v>4822</v>
      </c>
      <c r="U1636" t="s">
        <v>10</v>
      </c>
      <c r="V1636" s="5">
        <v>0</v>
      </c>
      <c r="W1636" s="5">
        <v>0</v>
      </c>
      <c r="X1636" s="2">
        <v>0</v>
      </c>
      <c r="Y1636" t="s">
        <v>4</v>
      </c>
      <c r="Z1636" t="s">
        <v>4</v>
      </c>
      <c r="AA1636" t="s">
        <v>4</v>
      </c>
      <c r="AB1636" t="s">
        <v>4</v>
      </c>
    </row>
    <row r="1637" spans="1:28" hidden="1" x14ac:dyDescent="0.2">
      <c r="A1637" t="s">
        <v>1211</v>
      </c>
      <c r="B1637" t="s">
        <v>2</v>
      </c>
      <c r="C1637" t="s">
        <v>3</v>
      </c>
      <c r="D1637" t="s">
        <v>4</v>
      </c>
      <c r="E1637" t="s">
        <v>4</v>
      </c>
      <c r="F1637" t="s">
        <v>16</v>
      </c>
      <c r="G1637" t="s">
        <v>21</v>
      </c>
      <c r="H1637" t="s">
        <v>4823</v>
      </c>
      <c r="I1637" s="2">
        <v>1200</v>
      </c>
      <c r="J1637" s="2">
        <v>0</v>
      </c>
      <c r="K1637" s="2">
        <v>0</v>
      </c>
      <c r="L1637" s="3">
        <v>45853</v>
      </c>
      <c r="M1637" s="3">
        <v>45853</v>
      </c>
      <c r="N1637" s="3"/>
      <c r="O1637" t="s">
        <v>4824</v>
      </c>
      <c r="P1637" t="s">
        <v>20</v>
      </c>
      <c r="Q1637" s="4">
        <v>0.89568287037036998</v>
      </c>
      <c r="R1637" t="s">
        <v>16</v>
      </c>
      <c r="S1637" t="s">
        <v>4</v>
      </c>
      <c r="T1637" t="s">
        <v>2272</v>
      </c>
      <c r="U1637" t="s">
        <v>10</v>
      </c>
      <c r="V1637" s="5">
        <v>0</v>
      </c>
      <c r="W1637" s="5">
        <v>0</v>
      </c>
      <c r="X1637" s="2">
        <v>0</v>
      </c>
      <c r="Y1637" t="s">
        <v>4</v>
      </c>
      <c r="Z1637" t="s">
        <v>4</v>
      </c>
      <c r="AA1637" t="s">
        <v>4</v>
      </c>
      <c r="AB1637" t="s">
        <v>4</v>
      </c>
    </row>
    <row r="1638" spans="1:28" hidden="1" x14ac:dyDescent="0.2">
      <c r="A1638" t="s">
        <v>285</v>
      </c>
      <c r="B1638" t="s">
        <v>2</v>
      </c>
      <c r="C1638" t="s">
        <v>3</v>
      </c>
      <c r="D1638" t="s">
        <v>4</v>
      </c>
      <c r="E1638" t="s">
        <v>4</v>
      </c>
      <c r="F1638" t="s">
        <v>16</v>
      </c>
      <c r="G1638" t="s">
        <v>21</v>
      </c>
      <c r="H1638" t="s">
        <v>4825</v>
      </c>
      <c r="I1638" s="2">
        <v>30</v>
      </c>
      <c r="J1638" s="2">
        <v>0</v>
      </c>
      <c r="K1638" s="2">
        <v>0</v>
      </c>
      <c r="L1638" s="3">
        <v>45829</v>
      </c>
      <c r="M1638" s="3">
        <v>45829</v>
      </c>
      <c r="N1638" s="3"/>
      <c r="O1638" t="s">
        <v>4826</v>
      </c>
      <c r="P1638" t="s">
        <v>20</v>
      </c>
      <c r="Q1638" s="4">
        <v>0.73650462962963004</v>
      </c>
      <c r="R1638" t="s">
        <v>16</v>
      </c>
      <c r="S1638" t="s">
        <v>4</v>
      </c>
      <c r="T1638" t="s">
        <v>3242</v>
      </c>
      <c r="U1638" t="s">
        <v>10</v>
      </c>
      <c r="V1638" s="5">
        <v>0</v>
      </c>
      <c r="W1638" s="5">
        <v>0</v>
      </c>
      <c r="X1638" s="2">
        <v>0</v>
      </c>
      <c r="Y1638" t="s">
        <v>4</v>
      </c>
      <c r="Z1638" t="s">
        <v>4</v>
      </c>
      <c r="AA1638" t="s">
        <v>4</v>
      </c>
      <c r="AB1638" t="s">
        <v>4</v>
      </c>
    </row>
    <row r="1639" spans="1:28" hidden="1" x14ac:dyDescent="0.2">
      <c r="A1639" t="s">
        <v>2146</v>
      </c>
      <c r="B1639" t="s">
        <v>2</v>
      </c>
      <c r="C1639" t="s">
        <v>3</v>
      </c>
      <c r="D1639" t="s">
        <v>4</v>
      </c>
      <c r="E1639" t="s">
        <v>4</v>
      </c>
      <c r="F1639" t="s">
        <v>16</v>
      </c>
      <c r="G1639" t="s">
        <v>21</v>
      </c>
      <c r="H1639" t="s">
        <v>4827</v>
      </c>
      <c r="I1639" s="2">
        <v>7000</v>
      </c>
      <c r="J1639" s="2">
        <v>0</v>
      </c>
      <c r="K1639" s="2">
        <v>0</v>
      </c>
      <c r="L1639" s="3">
        <v>45855</v>
      </c>
      <c r="M1639" s="3">
        <v>45855</v>
      </c>
      <c r="N1639" s="3"/>
      <c r="O1639" t="s">
        <v>4828</v>
      </c>
      <c r="P1639" t="s">
        <v>20</v>
      </c>
      <c r="Q1639" s="4">
        <v>0.35190972222222</v>
      </c>
      <c r="R1639" t="s">
        <v>16</v>
      </c>
      <c r="S1639" t="s">
        <v>4</v>
      </c>
      <c r="T1639" t="s">
        <v>2350</v>
      </c>
      <c r="U1639" t="s">
        <v>10</v>
      </c>
      <c r="V1639" s="5">
        <v>0</v>
      </c>
      <c r="W1639" s="5">
        <v>0</v>
      </c>
      <c r="X1639" s="2">
        <v>0</v>
      </c>
      <c r="Y1639" t="s">
        <v>4</v>
      </c>
      <c r="Z1639" t="s">
        <v>4</v>
      </c>
      <c r="AA1639" t="s">
        <v>4</v>
      </c>
      <c r="AB1639" t="s">
        <v>4</v>
      </c>
    </row>
    <row r="1640" spans="1:28" hidden="1" x14ac:dyDescent="0.2">
      <c r="A1640" t="s">
        <v>285</v>
      </c>
      <c r="B1640" t="s">
        <v>2</v>
      </c>
      <c r="C1640" t="s">
        <v>3</v>
      </c>
      <c r="D1640" t="s">
        <v>4</v>
      </c>
      <c r="E1640" t="s">
        <v>4</v>
      </c>
      <c r="F1640" t="s">
        <v>16</v>
      </c>
      <c r="G1640" t="s">
        <v>21</v>
      </c>
      <c r="H1640" t="s">
        <v>4829</v>
      </c>
      <c r="I1640" s="2">
        <v>30</v>
      </c>
      <c r="J1640" s="2">
        <v>0</v>
      </c>
      <c r="K1640" s="2">
        <v>0</v>
      </c>
      <c r="L1640" s="3">
        <v>45829</v>
      </c>
      <c r="M1640" s="3">
        <v>45829</v>
      </c>
      <c r="N1640" s="3"/>
      <c r="O1640" t="s">
        <v>4830</v>
      </c>
      <c r="P1640" t="s">
        <v>20</v>
      </c>
      <c r="Q1640" s="4">
        <v>0.73818287037037</v>
      </c>
      <c r="R1640" t="s">
        <v>16</v>
      </c>
      <c r="S1640" t="s">
        <v>4</v>
      </c>
      <c r="T1640" t="s">
        <v>3242</v>
      </c>
      <c r="U1640" t="s">
        <v>10</v>
      </c>
      <c r="V1640" s="5">
        <v>0</v>
      </c>
      <c r="W1640" s="5">
        <v>0</v>
      </c>
      <c r="X1640" s="2">
        <v>0</v>
      </c>
      <c r="Y1640" t="s">
        <v>4</v>
      </c>
      <c r="Z1640" t="s">
        <v>4</v>
      </c>
      <c r="AA1640" t="s">
        <v>4</v>
      </c>
      <c r="AB1640" t="s">
        <v>4</v>
      </c>
    </row>
    <row r="1641" spans="1:28" hidden="1" x14ac:dyDescent="0.2">
      <c r="A1641" t="s">
        <v>285</v>
      </c>
      <c r="B1641" t="s">
        <v>2</v>
      </c>
      <c r="C1641" t="s">
        <v>3</v>
      </c>
      <c r="D1641" t="s">
        <v>4</v>
      </c>
      <c r="E1641" t="s">
        <v>4</v>
      </c>
      <c r="F1641" t="s">
        <v>16</v>
      </c>
      <c r="G1641" t="s">
        <v>21</v>
      </c>
      <c r="H1641" t="s">
        <v>4831</v>
      </c>
      <c r="I1641" s="2">
        <v>30</v>
      </c>
      <c r="J1641" s="2">
        <v>0</v>
      </c>
      <c r="K1641" s="2">
        <v>0</v>
      </c>
      <c r="L1641" s="3">
        <v>45829</v>
      </c>
      <c r="M1641" s="3">
        <v>45829</v>
      </c>
      <c r="N1641" s="3"/>
      <c r="O1641" t="s">
        <v>4832</v>
      </c>
      <c r="P1641" t="s">
        <v>20</v>
      </c>
      <c r="Q1641" s="4">
        <v>0.73826388888889005</v>
      </c>
      <c r="R1641" t="s">
        <v>16</v>
      </c>
      <c r="S1641" t="s">
        <v>4</v>
      </c>
      <c r="T1641" t="s">
        <v>3242</v>
      </c>
      <c r="U1641" t="s">
        <v>10</v>
      </c>
      <c r="V1641" s="5">
        <v>0</v>
      </c>
      <c r="W1641" s="5">
        <v>0</v>
      </c>
      <c r="X1641" s="2">
        <v>0</v>
      </c>
      <c r="Y1641" t="s">
        <v>4</v>
      </c>
      <c r="Z1641" t="s">
        <v>4</v>
      </c>
      <c r="AA1641" t="s">
        <v>4</v>
      </c>
      <c r="AB1641" t="s">
        <v>4</v>
      </c>
    </row>
    <row r="1642" spans="1:28" hidden="1" x14ac:dyDescent="0.2">
      <c r="A1642" t="s">
        <v>1462</v>
      </c>
      <c r="B1642" t="s">
        <v>2</v>
      </c>
      <c r="C1642" t="s">
        <v>3</v>
      </c>
      <c r="D1642" t="s">
        <v>4</v>
      </c>
      <c r="E1642" t="s">
        <v>4</v>
      </c>
      <c r="F1642" t="s">
        <v>16</v>
      </c>
      <c r="G1642" t="s">
        <v>21</v>
      </c>
      <c r="H1642" t="s">
        <v>4833</v>
      </c>
      <c r="I1642" s="2">
        <v>72</v>
      </c>
      <c r="J1642" s="2">
        <v>0</v>
      </c>
      <c r="K1642" s="2">
        <v>0</v>
      </c>
      <c r="L1642" s="3">
        <v>45845</v>
      </c>
      <c r="M1642" s="3">
        <v>45845</v>
      </c>
      <c r="N1642" s="3"/>
      <c r="O1642" t="s">
        <v>4834</v>
      </c>
      <c r="P1642" t="s">
        <v>20</v>
      </c>
      <c r="Q1642" s="4">
        <v>0.88791666666667002</v>
      </c>
      <c r="R1642" t="s">
        <v>16</v>
      </c>
      <c r="S1642" t="s">
        <v>4</v>
      </c>
      <c r="T1642" t="s">
        <v>2701</v>
      </c>
      <c r="U1642" t="s">
        <v>10</v>
      </c>
      <c r="V1642" s="5">
        <v>0</v>
      </c>
      <c r="W1642" s="5">
        <v>0</v>
      </c>
      <c r="X1642" s="2">
        <v>0</v>
      </c>
      <c r="Y1642" t="s">
        <v>4</v>
      </c>
      <c r="Z1642" t="s">
        <v>4</v>
      </c>
      <c r="AA1642" t="s">
        <v>4</v>
      </c>
      <c r="AB1642" t="s">
        <v>4</v>
      </c>
    </row>
    <row r="1643" spans="1:28" hidden="1" x14ac:dyDescent="0.2">
      <c r="A1643" t="s">
        <v>1924</v>
      </c>
      <c r="B1643" t="s">
        <v>2</v>
      </c>
      <c r="C1643" t="s">
        <v>3</v>
      </c>
      <c r="D1643" t="s">
        <v>4</v>
      </c>
      <c r="E1643" t="s">
        <v>4</v>
      </c>
      <c r="F1643" t="s">
        <v>16</v>
      </c>
      <c r="G1643" t="s">
        <v>21</v>
      </c>
      <c r="H1643" t="s">
        <v>4835</v>
      </c>
      <c r="I1643" s="2">
        <v>330</v>
      </c>
      <c r="J1643" s="2">
        <v>0</v>
      </c>
      <c r="K1643" s="2">
        <v>0</v>
      </c>
      <c r="L1643" s="3">
        <v>45850</v>
      </c>
      <c r="M1643" s="3">
        <v>45850</v>
      </c>
      <c r="N1643" s="3"/>
      <c r="O1643" t="s">
        <v>4836</v>
      </c>
      <c r="P1643" t="s">
        <v>20</v>
      </c>
      <c r="Q1643" s="4">
        <v>0.60434027777777999</v>
      </c>
      <c r="R1643" t="s">
        <v>16</v>
      </c>
      <c r="S1643" t="s">
        <v>4</v>
      </c>
      <c r="T1643" t="s">
        <v>2680</v>
      </c>
      <c r="U1643" t="s">
        <v>10</v>
      </c>
      <c r="V1643" s="5">
        <v>0</v>
      </c>
      <c r="W1643" s="5">
        <v>0</v>
      </c>
      <c r="X1643" s="2">
        <v>0</v>
      </c>
      <c r="Y1643" t="s">
        <v>4</v>
      </c>
      <c r="Z1643" t="s">
        <v>4</v>
      </c>
      <c r="AA1643" t="s">
        <v>4</v>
      </c>
      <c r="AB1643" t="s">
        <v>4</v>
      </c>
    </row>
    <row r="1644" spans="1:28" hidden="1" x14ac:dyDescent="0.2">
      <c r="A1644" t="s">
        <v>605</v>
      </c>
      <c r="B1644" t="s">
        <v>2</v>
      </c>
      <c r="C1644" t="s">
        <v>3</v>
      </c>
      <c r="D1644" t="s">
        <v>4</v>
      </c>
      <c r="E1644" t="s">
        <v>4</v>
      </c>
      <c r="F1644" t="s">
        <v>16</v>
      </c>
      <c r="G1644" t="s">
        <v>17</v>
      </c>
      <c r="H1644" t="s">
        <v>4837</v>
      </c>
      <c r="I1644" s="2">
        <v>19000</v>
      </c>
      <c r="J1644" s="2">
        <v>0</v>
      </c>
      <c r="K1644" s="2">
        <v>0</v>
      </c>
      <c r="L1644" s="3">
        <v>45803</v>
      </c>
      <c r="M1644" s="3">
        <v>45859</v>
      </c>
      <c r="N1644" s="3"/>
      <c r="O1644" t="s">
        <v>4838</v>
      </c>
      <c r="P1644" t="s">
        <v>20</v>
      </c>
      <c r="Q1644" s="4">
        <v>0.68146990740740998</v>
      </c>
      <c r="R1644" t="s">
        <v>16</v>
      </c>
      <c r="S1644" t="s">
        <v>4</v>
      </c>
      <c r="T1644" t="s">
        <v>2965</v>
      </c>
      <c r="U1644" t="s">
        <v>10</v>
      </c>
      <c r="V1644" s="5">
        <v>0</v>
      </c>
      <c r="W1644" s="5">
        <v>0</v>
      </c>
      <c r="X1644" s="2">
        <v>0</v>
      </c>
      <c r="Y1644" t="s">
        <v>4</v>
      </c>
      <c r="Z1644" t="s">
        <v>4</v>
      </c>
      <c r="AA1644" t="s">
        <v>4</v>
      </c>
      <c r="AB1644" t="s">
        <v>4</v>
      </c>
    </row>
    <row r="1645" spans="1:28" hidden="1" x14ac:dyDescent="0.2">
      <c r="A1645" t="s">
        <v>576</v>
      </c>
      <c r="B1645" t="s">
        <v>2</v>
      </c>
      <c r="C1645" t="s">
        <v>3</v>
      </c>
      <c r="D1645" t="s">
        <v>4</v>
      </c>
      <c r="E1645" t="s">
        <v>4</v>
      </c>
      <c r="F1645" t="s">
        <v>16</v>
      </c>
      <c r="G1645" t="s">
        <v>17</v>
      </c>
      <c r="H1645" t="s">
        <v>4839</v>
      </c>
      <c r="I1645" s="2">
        <v>8000</v>
      </c>
      <c r="J1645" s="2">
        <v>0</v>
      </c>
      <c r="K1645" s="2">
        <v>0</v>
      </c>
      <c r="L1645" s="3">
        <v>45830</v>
      </c>
      <c r="M1645" s="3">
        <v>45830</v>
      </c>
      <c r="N1645" s="3"/>
      <c r="O1645" t="s">
        <v>4840</v>
      </c>
      <c r="P1645" t="s">
        <v>20</v>
      </c>
      <c r="Q1645" s="4">
        <v>0.49349537037037</v>
      </c>
      <c r="R1645" t="s">
        <v>16</v>
      </c>
      <c r="S1645" t="s">
        <v>4</v>
      </c>
      <c r="T1645" t="s">
        <v>4822</v>
      </c>
      <c r="U1645" t="s">
        <v>10</v>
      </c>
      <c r="V1645" s="5">
        <v>0</v>
      </c>
      <c r="W1645" s="5">
        <v>0</v>
      </c>
      <c r="X1645" s="2">
        <v>0</v>
      </c>
      <c r="Y1645" t="s">
        <v>4</v>
      </c>
      <c r="Z1645" t="s">
        <v>4</v>
      </c>
      <c r="AA1645" t="s">
        <v>4</v>
      </c>
      <c r="AB1645" t="s">
        <v>4</v>
      </c>
    </row>
    <row r="1646" spans="1:28" hidden="1" x14ac:dyDescent="0.2">
      <c r="A1646" t="s">
        <v>0</v>
      </c>
      <c r="B1646" t="s">
        <v>2</v>
      </c>
      <c r="C1646" t="s">
        <v>3</v>
      </c>
      <c r="D1646" t="s">
        <v>4</v>
      </c>
      <c r="E1646" t="s">
        <v>4</v>
      </c>
      <c r="F1646" t="s">
        <v>16</v>
      </c>
      <c r="G1646" t="s">
        <v>6</v>
      </c>
      <c r="H1646" t="s">
        <v>75</v>
      </c>
      <c r="I1646" s="2">
        <v>196</v>
      </c>
      <c r="J1646" s="2">
        <v>0</v>
      </c>
      <c r="K1646" s="2">
        <v>0</v>
      </c>
      <c r="L1646" s="3">
        <v>45843</v>
      </c>
      <c r="M1646" s="3">
        <v>45843</v>
      </c>
      <c r="N1646" s="3"/>
      <c r="O1646" t="s">
        <v>76</v>
      </c>
      <c r="P1646" t="s">
        <v>20</v>
      </c>
      <c r="Q1646" s="4">
        <v>0.82899305555556002</v>
      </c>
      <c r="R1646" t="s">
        <v>16</v>
      </c>
      <c r="S1646" t="s">
        <v>4</v>
      </c>
      <c r="T1646" t="s">
        <v>2783</v>
      </c>
      <c r="U1646" t="s">
        <v>10</v>
      </c>
      <c r="V1646" s="5">
        <v>0</v>
      </c>
      <c r="W1646" s="5">
        <v>0</v>
      </c>
      <c r="X1646" s="2">
        <v>0</v>
      </c>
      <c r="Y1646" t="s">
        <v>4</v>
      </c>
      <c r="Z1646" t="s">
        <v>4</v>
      </c>
      <c r="AA1646" t="s">
        <v>4</v>
      </c>
      <c r="AB1646" t="s">
        <v>4</v>
      </c>
    </row>
    <row r="1647" spans="1:28" hidden="1" x14ac:dyDescent="0.2">
      <c r="A1647" t="s">
        <v>2251</v>
      </c>
      <c r="B1647" t="s">
        <v>4</v>
      </c>
      <c r="C1647" t="s">
        <v>4</v>
      </c>
      <c r="D1647" t="s">
        <v>4</v>
      </c>
      <c r="E1647" t="s">
        <v>4</v>
      </c>
      <c r="F1647" t="s">
        <v>16</v>
      </c>
      <c r="G1647" t="s">
        <v>6</v>
      </c>
      <c r="H1647" t="s">
        <v>4841</v>
      </c>
      <c r="I1647" s="5">
        <v>0</v>
      </c>
      <c r="J1647" s="5">
        <v>0</v>
      </c>
      <c r="K1647" s="5">
        <v>0</v>
      </c>
      <c r="L1647" s="3"/>
      <c r="M1647" s="3"/>
      <c r="N1647" s="3"/>
      <c r="O1647" t="s">
        <v>4</v>
      </c>
      <c r="P1647" t="s">
        <v>20</v>
      </c>
      <c r="Q1647" s="4">
        <v>0.42726851851851999</v>
      </c>
      <c r="R1647" t="s">
        <v>4</v>
      </c>
      <c r="S1647" t="s">
        <v>4</v>
      </c>
      <c r="T1647" t="s">
        <v>2256</v>
      </c>
      <c r="U1647" t="s">
        <v>4</v>
      </c>
      <c r="V1647" s="5">
        <v>0</v>
      </c>
      <c r="W1647" s="5">
        <v>0</v>
      </c>
      <c r="X1647" s="2">
        <v>0</v>
      </c>
      <c r="Y1647" t="s">
        <v>4</v>
      </c>
      <c r="Z1647" t="s">
        <v>4</v>
      </c>
      <c r="AA1647" t="s">
        <v>4</v>
      </c>
      <c r="AB1647" t="s">
        <v>4</v>
      </c>
    </row>
    <row r="1648" spans="1:28" hidden="1" x14ac:dyDescent="0.2">
      <c r="A1648" t="s">
        <v>1493</v>
      </c>
      <c r="B1648" t="s">
        <v>2</v>
      </c>
      <c r="C1648" t="s">
        <v>3</v>
      </c>
      <c r="D1648" t="s">
        <v>4</v>
      </c>
      <c r="E1648" t="s">
        <v>4</v>
      </c>
      <c r="F1648" t="s">
        <v>16</v>
      </c>
      <c r="G1648" t="s">
        <v>17</v>
      </c>
      <c r="H1648" t="s">
        <v>4842</v>
      </c>
      <c r="I1648" s="2">
        <v>3000</v>
      </c>
      <c r="J1648" s="2">
        <v>0</v>
      </c>
      <c r="K1648" s="2">
        <v>0</v>
      </c>
      <c r="L1648" s="3">
        <v>45854</v>
      </c>
      <c r="M1648" s="3">
        <v>45854</v>
      </c>
      <c r="N1648" s="3"/>
      <c r="O1648" t="s">
        <v>4843</v>
      </c>
      <c r="P1648" t="s">
        <v>20</v>
      </c>
      <c r="Q1648" s="4">
        <v>0.62543981481481004</v>
      </c>
      <c r="R1648" t="s">
        <v>16</v>
      </c>
      <c r="S1648" t="s">
        <v>4</v>
      </c>
      <c r="T1648" t="s">
        <v>2299</v>
      </c>
      <c r="U1648" t="s">
        <v>10</v>
      </c>
      <c r="V1648" s="5">
        <v>0</v>
      </c>
      <c r="W1648" s="5">
        <v>0</v>
      </c>
      <c r="X1648" s="2">
        <v>0</v>
      </c>
      <c r="Y1648" t="s">
        <v>4</v>
      </c>
      <c r="Z1648" t="s">
        <v>4</v>
      </c>
      <c r="AA1648" t="s">
        <v>4</v>
      </c>
      <c r="AB1648" t="s">
        <v>4</v>
      </c>
    </row>
    <row r="1649" spans="1:28" hidden="1" x14ac:dyDescent="0.2">
      <c r="A1649" t="s">
        <v>470</v>
      </c>
      <c r="B1649" t="s">
        <v>2</v>
      </c>
      <c r="C1649" t="s">
        <v>3</v>
      </c>
      <c r="D1649" t="s">
        <v>4</v>
      </c>
      <c r="E1649" t="s">
        <v>4</v>
      </c>
      <c r="F1649" t="s">
        <v>16</v>
      </c>
      <c r="G1649" t="s">
        <v>6</v>
      </c>
      <c r="H1649" t="s">
        <v>4844</v>
      </c>
      <c r="I1649" s="2">
        <v>1600</v>
      </c>
      <c r="J1649" s="2">
        <v>0</v>
      </c>
      <c r="K1649" s="2">
        <v>0</v>
      </c>
      <c r="L1649" s="3">
        <v>45850</v>
      </c>
      <c r="M1649" s="3">
        <v>45850</v>
      </c>
      <c r="N1649" s="3"/>
      <c r="O1649" t="s">
        <v>4845</v>
      </c>
      <c r="P1649" t="s">
        <v>20</v>
      </c>
      <c r="Q1649" s="4">
        <v>0.38493055555555999</v>
      </c>
      <c r="R1649" t="s">
        <v>16</v>
      </c>
      <c r="S1649" t="s">
        <v>4</v>
      </c>
      <c r="T1649" t="s">
        <v>2680</v>
      </c>
      <c r="U1649" t="s">
        <v>10</v>
      </c>
      <c r="V1649" s="5">
        <v>0</v>
      </c>
      <c r="W1649" s="5">
        <v>0</v>
      </c>
      <c r="X1649" s="2">
        <v>0</v>
      </c>
      <c r="Y1649" t="s">
        <v>4</v>
      </c>
      <c r="Z1649" t="s">
        <v>4</v>
      </c>
      <c r="AA1649" t="s">
        <v>4</v>
      </c>
      <c r="AB1649" t="s">
        <v>4</v>
      </c>
    </row>
    <row r="1650" spans="1:28" hidden="1" x14ac:dyDescent="0.2">
      <c r="A1650" t="s">
        <v>1502</v>
      </c>
      <c r="B1650" t="s">
        <v>2</v>
      </c>
      <c r="C1650" t="s">
        <v>3</v>
      </c>
      <c r="D1650" t="s">
        <v>4</v>
      </c>
      <c r="E1650" t="s">
        <v>4</v>
      </c>
      <c r="F1650" t="s">
        <v>16</v>
      </c>
      <c r="G1650" t="s">
        <v>21</v>
      </c>
      <c r="H1650" t="s">
        <v>4846</v>
      </c>
      <c r="I1650" s="2">
        <v>4500</v>
      </c>
      <c r="J1650" s="2">
        <v>0</v>
      </c>
      <c r="K1650" s="2">
        <v>0</v>
      </c>
      <c r="L1650" s="3">
        <v>45830</v>
      </c>
      <c r="M1650" s="3">
        <v>45852</v>
      </c>
      <c r="N1650" s="3">
        <v>45852</v>
      </c>
      <c r="O1650" t="s">
        <v>4847</v>
      </c>
      <c r="P1650" t="s">
        <v>20</v>
      </c>
      <c r="Q1650" s="4">
        <v>0.67733796296296001</v>
      </c>
      <c r="R1650" t="s">
        <v>16</v>
      </c>
      <c r="S1650" t="s">
        <v>4</v>
      </c>
      <c r="T1650" t="s">
        <v>4822</v>
      </c>
      <c r="U1650" t="s">
        <v>10</v>
      </c>
      <c r="V1650" s="5">
        <v>0</v>
      </c>
      <c r="W1650" s="5">
        <v>0</v>
      </c>
      <c r="X1650" s="2">
        <v>0</v>
      </c>
      <c r="Y1650" t="s">
        <v>4</v>
      </c>
      <c r="Z1650" t="s">
        <v>4</v>
      </c>
      <c r="AA1650" t="s">
        <v>4</v>
      </c>
      <c r="AB1650" t="s">
        <v>4</v>
      </c>
    </row>
    <row r="1651" spans="1:28" hidden="1" x14ac:dyDescent="0.2">
      <c r="A1651" t="s">
        <v>2001</v>
      </c>
      <c r="B1651" t="s">
        <v>2</v>
      </c>
      <c r="C1651" t="s">
        <v>3</v>
      </c>
      <c r="D1651" t="s">
        <v>4</v>
      </c>
      <c r="E1651" t="s">
        <v>4</v>
      </c>
      <c r="F1651" t="s">
        <v>16</v>
      </c>
      <c r="G1651" t="s">
        <v>21</v>
      </c>
      <c r="H1651" t="s">
        <v>4848</v>
      </c>
      <c r="I1651" s="2">
        <v>1712</v>
      </c>
      <c r="J1651" s="2">
        <v>0</v>
      </c>
      <c r="K1651" s="2">
        <v>0</v>
      </c>
      <c r="L1651" s="3">
        <v>45035</v>
      </c>
      <c r="M1651" s="3">
        <v>45082</v>
      </c>
      <c r="N1651" s="3">
        <v>45082</v>
      </c>
      <c r="O1651" t="s">
        <v>4849</v>
      </c>
      <c r="P1651" t="s">
        <v>20</v>
      </c>
      <c r="Q1651" s="4">
        <v>0.79488425925925998</v>
      </c>
      <c r="R1651" t="s">
        <v>16</v>
      </c>
      <c r="S1651" t="s">
        <v>4</v>
      </c>
      <c r="T1651" t="s">
        <v>4850</v>
      </c>
      <c r="U1651" t="s">
        <v>10</v>
      </c>
      <c r="V1651" s="5">
        <v>0</v>
      </c>
      <c r="W1651" s="5">
        <v>0</v>
      </c>
      <c r="X1651" s="2">
        <v>0</v>
      </c>
      <c r="Y1651" t="s">
        <v>4</v>
      </c>
      <c r="Z1651" t="s">
        <v>4</v>
      </c>
      <c r="AA1651" t="s">
        <v>4</v>
      </c>
      <c r="AB1651" t="s">
        <v>4</v>
      </c>
    </row>
    <row r="1652" spans="1:28" hidden="1" x14ac:dyDescent="0.2">
      <c r="A1652" t="s">
        <v>1521</v>
      </c>
      <c r="B1652" t="s">
        <v>2</v>
      </c>
      <c r="C1652" t="s">
        <v>3</v>
      </c>
      <c r="D1652" t="s">
        <v>4</v>
      </c>
      <c r="E1652" t="s">
        <v>4</v>
      </c>
      <c r="F1652" t="s">
        <v>16</v>
      </c>
      <c r="G1652" t="s">
        <v>21</v>
      </c>
      <c r="H1652" t="s">
        <v>4851</v>
      </c>
      <c r="I1652" s="2">
        <v>6749</v>
      </c>
      <c r="J1652" s="2">
        <v>0</v>
      </c>
      <c r="K1652" s="2">
        <v>0</v>
      </c>
      <c r="L1652" s="3">
        <v>45738</v>
      </c>
      <c r="M1652" s="3">
        <v>45738</v>
      </c>
      <c r="N1652" s="3"/>
      <c r="O1652" t="s">
        <v>4852</v>
      </c>
      <c r="P1652" t="s">
        <v>20</v>
      </c>
      <c r="Q1652" s="4">
        <v>0.34930555555555998</v>
      </c>
      <c r="R1652" t="s">
        <v>16</v>
      </c>
      <c r="S1652" t="s">
        <v>4</v>
      </c>
      <c r="T1652" t="s">
        <v>4853</v>
      </c>
      <c r="U1652" t="s">
        <v>10</v>
      </c>
      <c r="V1652" s="5">
        <v>0</v>
      </c>
      <c r="W1652" s="5">
        <v>0</v>
      </c>
      <c r="X1652" s="2">
        <v>0</v>
      </c>
      <c r="Y1652" t="s">
        <v>4</v>
      </c>
      <c r="Z1652" t="s">
        <v>4</v>
      </c>
      <c r="AA1652" t="s">
        <v>4</v>
      </c>
      <c r="AB1652" t="s">
        <v>4</v>
      </c>
    </row>
    <row r="1653" spans="1:28" hidden="1" x14ac:dyDescent="0.2">
      <c r="A1653" t="s">
        <v>2251</v>
      </c>
      <c r="B1653" t="s">
        <v>4</v>
      </c>
      <c r="C1653" t="s">
        <v>4</v>
      </c>
      <c r="D1653" t="s">
        <v>4</v>
      </c>
      <c r="E1653" t="s">
        <v>4</v>
      </c>
      <c r="F1653" t="s">
        <v>16</v>
      </c>
      <c r="G1653" t="s">
        <v>21</v>
      </c>
      <c r="H1653" t="s">
        <v>4854</v>
      </c>
      <c r="I1653" s="5">
        <v>0</v>
      </c>
      <c r="J1653" s="5">
        <v>0</v>
      </c>
      <c r="K1653" s="5">
        <v>0</v>
      </c>
      <c r="L1653" s="3"/>
      <c r="M1653" s="3"/>
      <c r="N1653" s="3"/>
      <c r="O1653" t="s">
        <v>4</v>
      </c>
      <c r="P1653" t="s">
        <v>20</v>
      </c>
      <c r="Q1653" s="4">
        <v>0.58021990740741003</v>
      </c>
      <c r="R1653" t="s">
        <v>4</v>
      </c>
      <c r="S1653" t="s">
        <v>4</v>
      </c>
      <c r="T1653" t="s">
        <v>2256</v>
      </c>
      <c r="U1653" t="s">
        <v>4</v>
      </c>
      <c r="V1653" s="5">
        <v>0</v>
      </c>
      <c r="W1653" s="5">
        <v>0</v>
      </c>
      <c r="X1653" s="2">
        <v>0</v>
      </c>
      <c r="Y1653" t="s">
        <v>4</v>
      </c>
      <c r="Z1653" t="s">
        <v>4</v>
      </c>
      <c r="AA1653" t="s">
        <v>4</v>
      </c>
      <c r="AB1653" t="s">
        <v>4</v>
      </c>
    </row>
    <row r="1654" spans="1:28" hidden="1" x14ac:dyDescent="0.2">
      <c r="A1654" t="s">
        <v>285</v>
      </c>
      <c r="B1654" t="s">
        <v>2</v>
      </c>
      <c r="C1654" t="s">
        <v>3</v>
      </c>
      <c r="D1654" t="s">
        <v>4</v>
      </c>
      <c r="E1654" t="s">
        <v>4</v>
      </c>
      <c r="F1654" t="s">
        <v>16</v>
      </c>
      <c r="G1654" t="s">
        <v>21</v>
      </c>
      <c r="H1654" t="s">
        <v>4855</v>
      </c>
      <c r="I1654" s="2">
        <v>30</v>
      </c>
      <c r="J1654" s="2">
        <v>0</v>
      </c>
      <c r="K1654" s="2">
        <v>0</v>
      </c>
      <c r="L1654" s="3">
        <v>45829</v>
      </c>
      <c r="M1654" s="3">
        <v>45829</v>
      </c>
      <c r="N1654" s="3"/>
      <c r="O1654" t="s">
        <v>4856</v>
      </c>
      <c r="P1654" t="s">
        <v>20</v>
      </c>
      <c r="Q1654" s="4">
        <v>0.73899305555556005</v>
      </c>
      <c r="R1654" t="s">
        <v>16</v>
      </c>
      <c r="S1654" t="s">
        <v>4</v>
      </c>
      <c r="T1654" t="s">
        <v>3242</v>
      </c>
      <c r="U1654" t="s">
        <v>10</v>
      </c>
      <c r="V1654" s="5">
        <v>0</v>
      </c>
      <c r="W1654" s="5">
        <v>0</v>
      </c>
      <c r="X1654" s="2">
        <v>0</v>
      </c>
      <c r="Y1654" t="s">
        <v>4</v>
      </c>
      <c r="Z1654" t="s">
        <v>4</v>
      </c>
      <c r="AA1654" t="s">
        <v>4</v>
      </c>
      <c r="AB1654" t="s">
        <v>4</v>
      </c>
    </row>
    <row r="1655" spans="1:28" hidden="1" x14ac:dyDescent="0.2">
      <c r="A1655" t="s">
        <v>1183</v>
      </c>
      <c r="B1655" t="s">
        <v>2</v>
      </c>
      <c r="C1655" t="s">
        <v>3</v>
      </c>
      <c r="D1655" t="s">
        <v>4</v>
      </c>
      <c r="E1655" t="s">
        <v>4</v>
      </c>
      <c r="F1655" t="s">
        <v>16</v>
      </c>
      <c r="G1655" t="s">
        <v>21</v>
      </c>
      <c r="H1655" t="s">
        <v>4857</v>
      </c>
      <c r="I1655" s="2">
        <v>1092</v>
      </c>
      <c r="J1655" s="2">
        <v>0</v>
      </c>
      <c r="K1655" s="2">
        <v>0</v>
      </c>
      <c r="L1655" s="3">
        <v>45850</v>
      </c>
      <c r="M1655" s="3">
        <v>45850</v>
      </c>
      <c r="N1655" s="3"/>
      <c r="O1655" t="s">
        <v>4858</v>
      </c>
      <c r="P1655" t="s">
        <v>20</v>
      </c>
      <c r="Q1655" s="4">
        <v>0.41327546296296003</v>
      </c>
      <c r="R1655" t="s">
        <v>16</v>
      </c>
      <c r="S1655" t="s">
        <v>4</v>
      </c>
      <c r="T1655" t="s">
        <v>2680</v>
      </c>
      <c r="U1655" t="s">
        <v>10</v>
      </c>
      <c r="V1655" s="5">
        <v>0</v>
      </c>
      <c r="W1655" s="5">
        <v>0</v>
      </c>
      <c r="X1655" s="2">
        <v>0</v>
      </c>
      <c r="Y1655" t="s">
        <v>4</v>
      </c>
      <c r="Z1655" t="s">
        <v>4</v>
      </c>
      <c r="AA1655" t="s">
        <v>4</v>
      </c>
      <c r="AB1655" t="s">
        <v>4</v>
      </c>
    </row>
    <row r="1656" spans="1:28" hidden="1" x14ac:dyDescent="0.2">
      <c r="A1656" t="s">
        <v>285</v>
      </c>
      <c r="B1656" t="s">
        <v>2</v>
      </c>
      <c r="C1656" t="s">
        <v>3</v>
      </c>
      <c r="D1656" t="s">
        <v>4</v>
      </c>
      <c r="E1656" t="s">
        <v>4</v>
      </c>
      <c r="F1656" t="s">
        <v>16</v>
      </c>
      <c r="G1656" t="s">
        <v>21</v>
      </c>
      <c r="H1656" t="s">
        <v>4859</v>
      </c>
      <c r="I1656" s="2">
        <v>30</v>
      </c>
      <c r="J1656" s="2">
        <v>0</v>
      </c>
      <c r="K1656" s="2">
        <v>0</v>
      </c>
      <c r="L1656" s="3">
        <v>45829</v>
      </c>
      <c r="M1656" s="3">
        <v>45829</v>
      </c>
      <c r="N1656" s="3"/>
      <c r="O1656" t="s">
        <v>4860</v>
      </c>
      <c r="P1656" t="s">
        <v>20</v>
      </c>
      <c r="Q1656" s="4">
        <v>0.73906249999999996</v>
      </c>
      <c r="R1656" t="s">
        <v>16</v>
      </c>
      <c r="S1656" t="s">
        <v>4</v>
      </c>
      <c r="T1656" t="s">
        <v>3242</v>
      </c>
      <c r="U1656" t="s">
        <v>10</v>
      </c>
      <c r="V1656" s="5">
        <v>0</v>
      </c>
      <c r="W1656" s="5">
        <v>0</v>
      </c>
      <c r="X1656" s="2">
        <v>0</v>
      </c>
      <c r="Y1656" t="s">
        <v>4</v>
      </c>
      <c r="Z1656" t="s">
        <v>4</v>
      </c>
      <c r="AA1656" t="s">
        <v>4</v>
      </c>
      <c r="AB1656" t="s">
        <v>4</v>
      </c>
    </row>
    <row r="1657" spans="1:28" hidden="1" x14ac:dyDescent="0.2">
      <c r="A1657" t="s">
        <v>2184</v>
      </c>
      <c r="B1657" t="s">
        <v>2</v>
      </c>
      <c r="C1657" t="s">
        <v>3</v>
      </c>
      <c r="D1657" t="s">
        <v>4</v>
      </c>
      <c r="E1657" t="s">
        <v>4</v>
      </c>
      <c r="F1657" t="s">
        <v>16</v>
      </c>
      <c r="G1657" t="s">
        <v>21</v>
      </c>
      <c r="H1657" t="s">
        <v>4861</v>
      </c>
      <c r="I1657" s="2">
        <v>4000</v>
      </c>
      <c r="J1657" s="2">
        <v>0</v>
      </c>
      <c r="K1657" s="2">
        <v>0</v>
      </c>
      <c r="L1657" s="3">
        <v>45848</v>
      </c>
      <c r="M1657" s="3">
        <v>45848</v>
      </c>
      <c r="N1657" s="3"/>
      <c r="O1657" t="s">
        <v>4862</v>
      </c>
      <c r="P1657" t="s">
        <v>20</v>
      </c>
      <c r="Q1657" s="4">
        <v>0.67206018518518995</v>
      </c>
      <c r="R1657" t="s">
        <v>16</v>
      </c>
      <c r="S1657" t="s">
        <v>4</v>
      </c>
      <c r="T1657" t="s">
        <v>2580</v>
      </c>
      <c r="U1657" t="s">
        <v>10</v>
      </c>
      <c r="V1657" s="5">
        <v>0</v>
      </c>
      <c r="W1657" s="5">
        <v>0</v>
      </c>
      <c r="X1657" s="2">
        <v>0</v>
      </c>
      <c r="Y1657" t="s">
        <v>4</v>
      </c>
      <c r="Z1657" t="s">
        <v>4</v>
      </c>
      <c r="AA1657" t="s">
        <v>4</v>
      </c>
      <c r="AB1657" t="s">
        <v>4</v>
      </c>
    </row>
    <row r="1658" spans="1:28" hidden="1" x14ac:dyDescent="0.2">
      <c r="A1658" t="s">
        <v>285</v>
      </c>
      <c r="B1658" t="s">
        <v>2</v>
      </c>
      <c r="C1658" t="s">
        <v>3</v>
      </c>
      <c r="D1658" t="s">
        <v>4</v>
      </c>
      <c r="E1658" t="s">
        <v>4</v>
      </c>
      <c r="F1658" t="s">
        <v>16</v>
      </c>
      <c r="G1658" t="s">
        <v>21</v>
      </c>
      <c r="H1658" t="s">
        <v>4863</v>
      </c>
      <c r="I1658" s="2">
        <v>30</v>
      </c>
      <c r="J1658" s="2">
        <v>0</v>
      </c>
      <c r="K1658" s="2">
        <v>0</v>
      </c>
      <c r="L1658" s="3">
        <v>45829</v>
      </c>
      <c r="M1658" s="3">
        <v>45829</v>
      </c>
      <c r="N1658" s="3"/>
      <c r="O1658" t="s">
        <v>4864</v>
      </c>
      <c r="P1658" t="s">
        <v>20</v>
      </c>
      <c r="Q1658" s="4">
        <v>0.73978009259259003</v>
      </c>
      <c r="R1658" t="s">
        <v>16</v>
      </c>
      <c r="S1658" t="s">
        <v>4</v>
      </c>
      <c r="T1658" t="s">
        <v>3242</v>
      </c>
      <c r="U1658" t="s">
        <v>10</v>
      </c>
      <c r="V1658" s="5">
        <v>0</v>
      </c>
      <c r="W1658" s="5">
        <v>0</v>
      </c>
      <c r="X1658" s="2">
        <v>0</v>
      </c>
      <c r="Y1658" t="s">
        <v>4</v>
      </c>
      <c r="Z1658" t="s">
        <v>4</v>
      </c>
      <c r="AA1658" t="s">
        <v>4</v>
      </c>
      <c r="AB1658" t="s">
        <v>4</v>
      </c>
    </row>
    <row r="1659" spans="1:28" hidden="1" x14ac:dyDescent="0.2">
      <c r="A1659" t="s">
        <v>1745</v>
      </c>
      <c r="B1659" t="s">
        <v>2</v>
      </c>
      <c r="C1659" t="s">
        <v>3</v>
      </c>
      <c r="D1659" t="s">
        <v>4</v>
      </c>
      <c r="E1659" t="s">
        <v>4</v>
      </c>
      <c r="F1659" t="s">
        <v>16</v>
      </c>
      <c r="G1659" t="s">
        <v>21</v>
      </c>
      <c r="H1659" t="s">
        <v>4865</v>
      </c>
      <c r="I1659" s="2">
        <v>44100</v>
      </c>
      <c r="J1659" s="2">
        <v>0</v>
      </c>
      <c r="K1659" s="2">
        <v>0</v>
      </c>
      <c r="L1659" s="3">
        <v>45163</v>
      </c>
      <c r="M1659" s="3">
        <v>45163</v>
      </c>
      <c r="N1659" s="3"/>
      <c r="O1659" t="s">
        <v>4866</v>
      </c>
      <c r="P1659" t="s">
        <v>20</v>
      </c>
      <c r="Q1659" s="4">
        <v>0.76797453703703999</v>
      </c>
      <c r="R1659" t="s">
        <v>16</v>
      </c>
      <c r="S1659" t="s">
        <v>4</v>
      </c>
      <c r="T1659" t="s">
        <v>4867</v>
      </c>
      <c r="U1659" t="s">
        <v>10</v>
      </c>
      <c r="V1659" s="5">
        <v>0</v>
      </c>
      <c r="W1659" s="5">
        <v>0</v>
      </c>
      <c r="X1659" s="2">
        <v>0</v>
      </c>
      <c r="Y1659" t="s">
        <v>4</v>
      </c>
      <c r="Z1659" t="s">
        <v>4</v>
      </c>
      <c r="AA1659" t="s">
        <v>4</v>
      </c>
      <c r="AB1659" t="s">
        <v>4</v>
      </c>
    </row>
    <row r="1660" spans="1:28" hidden="1" x14ac:dyDescent="0.2">
      <c r="A1660" t="s">
        <v>581</v>
      </c>
      <c r="B1660" t="s">
        <v>2</v>
      </c>
      <c r="C1660" t="s">
        <v>3</v>
      </c>
      <c r="D1660" t="s">
        <v>4</v>
      </c>
      <c r="E1660" t="s">
        <v>4</v>
      </c>
      <c r="F1660" t="s">
        <v>16</v>
      </c>
      <c r="G1660" t="s">
        <v>17</v>
      </c>
      <c r="H1660" t="s">
        <v>4868</v>
      </c>
      <c r="I1660" s="2">
        <v>12000</v>
      </c>
      <c r="J1660" s="2">
        <v>0</v>
      </c>
      <c r="K1660" s="2">
        <v>0</v>
      </c>
      <c r="L1660" s="3">
        <v>45833</v>
      </c>
      <c r="M1660" s="3">
        <v>45833</v>
      </c>
      <c r="N1660" s="3"/>
      <c r="O1660" t="s">
        <v>4869</v>
      </c>
      <c r="P1660" t="s">
        <v>20</v>
      </c>
      <c r="Q1660" s="4">
        <v>0.86659722222222002</v>
      </c>
      <c r="R1660" t="s">
        <v>16</v>
      </c>
      <c r="S1660" t="s">
        <v>4</v>
      </c>
      <c r="T1660" t="s">
        <v>2736</v>
      </c>
      <c r="U1660" t="s">
        <v>10</v>
      </c>
      <c r="V1660" s="5">
        <v>0</v>
      </c>
      <c r="W1660" s="5">
        <v>0</v>
      </c>
      <c r="X1660" s="2">
        <v>0</v>
      </c>
      <c r="Y1660" t="s">
        <v>4</v>
      </c>
      <c r="Z1660" t="s">
        <v>4</v>
      </c>
      <c r="AA1660" t="s">
        <v>4</v>
      </c>
      <c r="AB1660" t="s">
        <v>4</v>
      </c>
    </row>
    <row r="1661" spans="1:28" hidden="1" x14ac:dyDescent="0.2">
      <c r="A1661" t="s">
        <v>863</v>
      </c>
      <c r="B1661" t="s">
        <v>2</v>
      </c>
      <c r="C1661" t="s">
        <v>3</v>
      </c>
      <c r="D1661" t="s">
        <v>4</v>
      </c>
      <c r="E1661" t="s">
        <v>4</v>
      </c>
      <c r="F1661" t="s">
        <v>16</v>
      </c>
      <c r="G1661" t="s">
        <v>17</v>
      </c>
      <c r="H1661" t="s">
        <v>4870</v>
      </c>
      <c r="I1661" s="2">
        <v>700</v>
      </c>
      <c r="J1661" s="2">
        <v>0</v>
      </c>
      <c r="K1661" s="2">
        <v>0</v>
      </c>
      <c r="L1661" s="3">
        <v>45855</v>
      </c>
      <c r="M1661" s="3">
        <v>45855</v>
      </c>
      <c r="N1661" s="3"/>
      <c r="O1661" t="s">
        <v>4871</v>
      </c>
      <c r="P1661" t="s">
        <v>20</v>
      </c>
      <c r="Q1661" s="4">
        <v>0.71844907407406999</v>
      </c>
      <c r="R1661" t="s">
        <v>16</v>
      </c>
      <c r="S1661" t="s">
        <v>4</v>
      </c>
      <c r="T1661" t="s">
        <v>2350</v>
      </c>
      <c r="U1661" t="s">
        <v>10</v>
      </c>
      <c r="V1661" s="5">
        <v>0</v>
      </c>
      <c r="W1661" s="5">
        <v>0</v>
      </c>
      <c r="X1661" s="2">
        <v>0</v>
      </c>
      <c r="Y1661" t="s">
        <v>4</v>
      </c>
      <c r="Z1661" t="s">
        <v>4</v>
      </c>
      <c r="AA1661" t="s">
        <v>4</v>
      </c>
      <c r="AB1661" t="s">
        <v>4</v>
      </c>
    </row>
    <row r="1662" spans="1:28" hidden="1" x14ac:dyDescent="0.2">
      <c r="A1662" t="s">
        <v>0</v>
      </c>
      <c r="B1662" t="s">
        <v>2</v>
      </c>
      <c r="C1662" t="s">
        <v>3</v>
      </c>
      <c r="D1662" t="s">
        <v>4</v>
      </c>
      <c r="E1662" t="s">
        <v>4</v>
      </c>
      <c r="F1662" t="s">
        <v>16</v>
      </c>
      <c r="G1662" t="s">
        <v>6</v>
      </c>
      <c r="H1662" t="s">
        <v>77</v>
      </c>
      <c r="I1662" s="2">
        <v>196</v>
      </c>
      <c r="J1662" s="2">
        <v>0</v>
      </c>
      <c r="K1662" s="2">
        <v>0</v>
      </c>
      <c r="L1662" s="3">
        <v>45843</v>
      </c>
      <c r="M1662" s="3">
        <v>45843</v>
      </c>
      <c r="N1662" s="3"/>
      <c r="O1662" t="s">
        <v>78</v>
      </c>
      <c r="P1662" t="s">
        <v>20</v>
      </c>
      <c r="Q1662" s="4">
        <v>0.82144675925926003</v>
      </c>
      <c r="R1662" t="s">
        <v>16</v>
      </c>
      <c r="S1662" t="s">
        <v>4</v>
      </c>
      <c r="T1662" t="s">
        <v>2783</v>
      </c>
      <c r="U1662" t="s">
        <v>10</v>
      </c>
      <c r="V1662" s="5">
        <v>0</v>
      </c>
      <c r="W1662" s="5">
        <v>0</v>
      </c>
      <c r="X1662" s="2">
        <v>0</v>
      </c>
      <c r="Y1662" t="s">
        <v>4</v>
      </c>
      <c r="Z1662" t="s">
        <v>4</v>
      </c>
      <c r="AA1662" t="s">
        <v>4</v>
      </c>
      <c r="AB1662" t="s">
        <v>4</v>
      </c>
    </row>
    <row r="1663" spans="1:28" hidden="1" x14ac:dyDescent="0.2">
      <c r="A1663" t="s">
        <v>1924</v>
      </c>
      <c r="B1663" t="s">
        <v>2</v>
      </c>
      <c r="C1663" t="s">
        <v>3</v>
      </c>
      <c r="D1663" t="s">
        <v>4</v>
      </c>
      <c r="E1663" t="s">
        <v>4</v>
      </c>
      <c r="F1663" t="s">
        <v>16</v>
      </c>
      <c r="G1663" t="s">
        <v>6</v>
      </c>
      <c r="H1663" t="s">
        <v>4872</v>
      </c>
      <c r="I1663" s="2">
        <v>176</v>
      </c>
      <c r="J1663" s="2">
        <v>0</v>
      </c>
      <c r="K1663" s="2">
        <v>0</v>
      </c>
      <c r="L1663" s="3">
        <v>45857</v>
      </c>
      <c r="M1663" s="3">
        <v>45857</v>
      </c>
      <c r="N1663" s="3"/>
      <c r="O1663" t="s">
        <v>4873</v>
      </c>
      <c r="P1663" t="s">
        <v>20</v>
      </c>
      <c r="Q1663" s="4">
        <v>0.77488425925925997</v>
      </c>
      <c r="R1663" t="s">
        <v>16</v>
      </c>
      <c r="S1663" t="s">
        <v>4</v>
      </c>
      <c r="T1663" t="s">
        <v>2262</v>
      </c>
      <c r="U1663" t="s">
        <v>10</v>
      </c>
      <c r="V1663" s="5">
        <v>0</v>
      </c>
      <c r="W1663" s="5">
        <v>0</v>
      </c>
      <c r="X1663" s="2">
        <v>0</v>
      </c>
      <c r="Y1663" t="s">
        <v>4</v>
      </c>
      <c r="Z1663" t="s">
        <v>4</v>
      </c>
      <c r="AA1663" t="s">
        <v>4</v>
      </c>
      <c r="AB1663" t="s">
        <v>4</v>
      </c>
    </row>
    <row r="1664" spans="1:28" hidden="1" x14ac:dyDescent="0.2">
      <c r="A1664" t="s">
        <v>972</v>
      </c>
      <c r="B1664" t="s">
        <v>2</v>
      </c>
      <c r="C1664" t="s">
        <v>3</v>
      </c>
      <c r="D1664" t="s">
        <v>4</v>
      </c>
      <c r="E1664" t="s">
        <v>4</v>
      </c>
      <c r="F1664" t="s">
        <v>16</v>
      </c>
      <c r="G1664" t="s">
        <v>17</v>
      </c>
      <c r="H1664" t="s">
        <v>4874</v>
      </c>
      <c r="I1664" s="2">
        <v>10000</v>
      </c>
      <c r="J1664" s="2">
        <v>0</v>
      </c>
      <c r="K1664" s="2">
        <v>0</v>
      </c>
      <c r="L1664" s="3">
        <v>45832</v>
      </c>
      <c r="M1664" s="3">
        <v>45832</v>
      </c>
      <c r="N1664" s="3"/>
      <c r="O1664" t="s">
        <v>4875</v>
      </c>
      <c r="P1664" t="s">
        <v>20</v>
      </c>
      <c r="Q1664" s="4">
        <v>0.37189814814814998</v>
      </c>
      <c r="R1664" t="s">
        <v>16</v>
      </c>
      <c r="S1664" t="s">
        <v>4</v>
      </c>
      <c r="T1664" t="s">
        <v>2665</v>
      </c>
      <c r="U1664" t="s">
        <v>10</v>
      </c>
      <c r="V1664" s="5">
        <v>0</v>
      </c>
      <c r="W1664" s="5">
        <v>0</v>
      </c>
      <c r="X1664" s="2">
        <v>0</v>
      </c>
      <c r="Y1664" t="s">
        <v>4</v>
      </c>
      <c r="Z1664" t="s">
        <v>4</v>
      </c>
      <c r="AA1664" t="s">
        <v>4</v>
      </c>
      <c r="AB1664" t="s">
        <v>4</v>
      </c>
    </row>
    <row r="1665" spans="1:28" hidden="1" x14ac:dyDescent="0.2">
      <c r="A1665" t="s">
        <v>632</v>
      </c>
      <c r="B1665" t="s">
        <v>2</v>
      </c>
      <c r="C1665" t="s">
        <v>3</v>
      </c>
      <c r="D1665" t="s">
        <v>4</v>
      </c>
      <c r="E1665" t="s">
        <v>4</v>
      </c>
      <c r="F1665" t="s">
        <v>16</v>
      </c>
      <c r="G1665" t="s">
        <v>6</v>
      </c>
      <c r="H1665" t="s">
        <v>4876</v>
      </c>
      <c r="I1665" s="2">
        <v>2304</v>
      </c>
      <c r="J1665" s="2">
        <v>0</v>
      </c>
      <c r="K1665" s="2">
        <v>0</v>
      </c>
      <c r="L1665" s="3">
        <v>45859</v>
      </c>
      <c r="M1665" s="3">
        <v>45859</v>
      </c>
      <c r="N1665" s="3"/>
      <c r="O1665" t="s">
        <v>4877</v>
      </c>
      <c r="P1665" t="s">
        <v>20</v>
      </c>
      <c r="Q1665" s="4">
        <v>0.34189814814815001</v>
      </c>
      <c r="R1665" t="s">
        <v>16</v>
      </c>
      <c r="S1665" t="s">
        <v>4</v>
      </c>
      <c r="T1665" t="s">
        <v>2261</v>
      </c>
      <c r="U1665" t="s">
        <v>10</v>
      </c>
      <c r="V1665" s="5">
        <v>0</v>
      </c>
      <c r="W1665" s="5">
        <v>0</v>
      </c>
      <c r="X1665" s="2">
        <v>0</v>
      </c>
      <c r="Y1665" t="s">
        <v>4</v>
      </c>
      <c r="Z1665" t="s">
        <v>4</v>
      </c>
      <c r="AA1665" t="s">
        <v>4</v>
      </c>
      <c r="AB1665" t="s">
        <v>4</v>
      </c>
    </row>
    <row r="1666" spans="1:28" hidden="1" x14ac:dyDescent="0.2">
      <c r="A1666" t="s">
        <v>1496</v>
      </c>
      <c r="B1666" t="s">
        <v>2</v>
      </c>
      <c r="C1666" t="s">
        <v>3</v>
      </c>
      <c r="D1666" t="s">
        <v>4</v>
      </c>
      <c r="E1666" t="s">
        <v>4</v>
      </c>
      <c r="F1666" t="s">
        <v>16</v>
      </c>
      <c r="G1666" t="s">
        <v>21</v>
      </c>
      <c r="H1666" t="s">
        <v>4878</v>
      </c>
      <c r="I1666" s="2">
        <v>2000</v>
      </c>
      <c r="J1666" s="2">
        <v>0</v>
      </c>
      <c r="K1666" s="2">
        <v>0</v>
      </c>
      <c r="L1666" s="3">
        <v>45856</v>
      </c>
      <c r="M1666" s="3">
        <v>45856</v>
      </c>
      <c r="N1666" s="3"/>
      <c r="O1666" t="s">
        <v>4879</v>
      </c>
      <c r="P1666" t="s">
        <v>20</v>
      </c>
      <c r="Q1666" s="4">
        <v>0.95741898148147997</v>
      </c>
      <c r="R1666" t="s">
        <v>16</v>
      </c>
      <c r="S1666" t="s">
        <v>4</v>
      </c>
      <c r="T1666" t="s">
        <v>2260</v>
      </c>
      <c r="U1666" t="s">
        <v>10</v>
      </c>
      <c r="V1666" s="5">
        <v>0</v>
      </c>
      <c r="W1666" s="5">
        <v>0</v>
      </c>
      <c r="X1666" s="2">
        <v>0</v>
      </c>
      <c r="Y1666" t="s">
        <v>4</v>
      </c>
      <c r="Z1666" t="s">
        <v>4</v>
      </c>
      <c r="AA1666" t="s">
        <v>4</v>
      </c>
      <c r="AB1666" t="s">
        <v>4</v>
      </c>
    </row>
    <row r="1667" spans="1:28" hidden="1" x14ac:dyDescent="0.2">
      <c r="A1667" t="s">
        <v>1300</v>
      </c>
      <c r="B1667" t="s">
        <v>2</v>
      </c>
      <c r="C1667" t="s">
        <v>3</v>
      </c>
      <c r="D1667" t="s">
        <v>4</v>
      </c>
      <c r="E1667" t="s">
        <v>4</v>
      </c>
      <c r="F1667" t="s">
        <v>16</v>
      </c>
      <c r="G1667" t="s">
        <v>21</v>
      </c>
      <c r="H1667" t="s">
        <v>4880</v>
      </c>
      <c r="I1667" s="2">
        <v>2000</v>
      </c>
      <c r="J1667" s="2">
        <v>0</v>
      </c>
      <c r="K1667" s="2">
        <v>0</v>
      </c>
      <c r="L1667" s="3">
        <v>45856</v>
      </c>
      <c r="M1667" s="3">
        <v>45856</v>
      </c>
      <c r="N1667" s="3"/>
      <c r="O1667" t="s">
        <v>4881</v>
      </c>
      <c r="P1667" t="s">
        <v>20</v>
      </c>
      <c r="Q1667" s="4">
        <v>0.96905092592593001</v>
      </c>
      <c r="R1667" t="s">
        <v>16</v>
      </c>
      <c r="S1667" t="s">
        <v>4</v>
      </c>
      <c r="T1667" t="s">
        <v>2260</v>
      </c>
      <c r="U1667" t="s">
        <v>10</v>
      </c>
      <c r="V1667" s="5">
        <v>0</v>
      </c>
      <c r="W1667" s="5">
        <v>0</v>
      </c>
      <c r="X1667" s="2">
        <v>0</v>
      </c>
      <c r="Y1667" t="s">
        <v>4</v>
      </c>
      <c r="Z1667" t="s">
        <v>4</v>
      </c>
      <c r="AA1667" t="s">
        <v>4</v>
      </c>
      <c r="AB1667" t="s">
        <v>4</v>
      </c>
    </row>
    <row r="1668" spans="1:28" hidden="1" x14ac:dyDescent="0.2">
      <c r="A1668" t="s">
        <v>1449</v>
      </c>
      <c r="B1668" t="s">
        <v>2</v>
      </c>
      <c r="C1668" t="s">
        <v>3</v>
      </c>
      <c r="D1668" t="s">
        <v>4</v>
      </c>
      <c r="E1668" t="s">
        <v>4</v>
      </c>
      <c r="F1668" t="s">
        <v>16</v>
      </c>
      <c r="G1668" t="s">
        <v>21</v>
      </c>
      <c r="H1668" t="s">
        <v>4882</v>
      </c>
      <c r="I1668" s="2">
        <v>3600</v>
      </c>
      <c r="J1668" s="2">
        <v>0</v>
      </c>
      <c r="K1668" s="2">
        <v>0</v>
      </c>
      <c r="L1668" s="3">
        <v>45836</v>
      </c>
      <c r="M1668" s="3">
        <v>45859</v>
      </c>
      <c r="N1668" s="3"/>
      <c r="O1668" t="s">
        <v>4883</v>
      </c>
      <c r="P1668" t="s">
        <v>20</v>
      </c>
      <c r="Q1668" s="4">
        <v>0.80399305555556</v>
      </c>
      <c r="R1668" t="s">
        <v>16</v>
      </c>
      <c r="S1668" t="s">
        <v>4</v>
      </c>
      <c r="T1668" t="s">
        <v>2316</v>
      </c>
      <c r="U1668" t="s">
        <v>10</v>
      </c>
      <c r="V1668" s="5">
        <v>0</v>
      </c>
      <c r="W1668" s="5">
        <v>0</v>
      </c>
      <c r="X1668" s="2">
        <v>0</v>
      </c>
      <c r="Y1668" t="s">
        <v>4</v>
      </c>
      <c r="Z1668" t="s">
        <v>4</v>
      </c>
      <c r="AA1668" t="s">
        <v>4</v>
      </c>
      <c r="AB1668" t="s">
        <v>4</v>
      </c>
    </row>
    <row r="1669" spans="1:28" hidden="1" x14ac:dyDescent="0.2">
      <c r="A1669" t="s">
        <v>285</v>
      </c>
      <c r="B1669" t="s">
        <v>2</v>
      </c>
      <c r="C1669" t="s">
        <v>3</v>
      </c>
      <c r="D1669" t="s">
        <v>4</v>
      </c>
      <c r="E1669" t="s">
        <v>4</v>
      </c>
      <c r="F1669" t="s">
        <v>16</v>
      </c>
      <c r="G1669" t="s">
        <v>21</v>
      </c>
      <c r="H1669" t="s">
        <v>4884</v>
      </c>
      <c r="I1669" s="2">
        <v>30</v>
      </c>
      <c r="J1669" s="2">
        <v>0</v>
      </c>
      <c r="K1669" s="2">
        <v>0</v>
      </c>
      <c r="L1669" s="3">
        <v>45829</v>
      </c>
      <c r="M1669" s="3">
        <v>45829</v>
      </c>
      <c r="N1669" s="3"/>
      <c r="O1669" t="s">
        <v>4885</v>
      </c>
      <c r="P1669" t="s">
        <v>20</v>
      </c>
      <c r="Q1669" s="4">
        <v>0.74086805555556001</v>
      </c>
      <c r="R1669" t="s">
        <v>16</v>
      </c>
      <c r="S1669" t="s">
        <v>4</v>
      </c>
      <c r="T1669" t="s">
        <v>3242</v>
      </c>
      <c r="U1669" t="s">
        <v>10</v>
      </c>
      <c r="V1669" s="5">
        <v>0</v>
      </c>
      <c r="W1669" s="5">
        <v>0</v>
      </c>
      <c r="X1669" s="2">
        <v>0</v>
      </c>
      <c r="Y1669" t="s">
        <v>4</v>
      </c>
      <c r="Z1669" t="s">
        <v>4</v>
      </c>
      <c r="AA1669" t="s">
        <v>4</v>
      </c>
      <c r="AB1669" t="s">
        <v>4</v>
      </c>
    </row>
    <row r="1670" spans="1:28" hidden="1" x14ac:dyDescent="0.2">
      <c r="A1670" t="s">
        <v>285</v>
      </c>
      <c r="B1670" t="s">
        <v>2</v>
      </c>
      <c r="C1670" t="s">
        <v>3</v>
      </c>
      <c r="D1670" t="s">
        <v>4</v>
      </c>
      <c r="E1670" t="s">
        <v>4</v>
      </c>
      <c r="F1670" t="s">
        <v>16</v>
      </c>
      <c r="G1670" t="s">
        <v>21</v>
      </c>
      <c r="H1670" t="s">
        <v>4886</v>
      </c>
      <c r="I1670" s="2">
        <v>30</v>
      </c>
      <c r="J1670" s="2">
        <v>0</v>
      </c>
      <c r="K1670" s="2">
        <v>0</v>
      </c>
      <c r="L1670" s="3">
        <v>45829</v>
      </c>
      <c r="M1670" s="3">
        <v>45829</v>
      </c>
      <c r="N1670" s="3"/>
      <c r="O1670" t="s">
        <v>4887</v>
      </c>
      <c r="P1670" t="s">
        <v>20</v>
      </c>
      <c r="Q1670" s="4">
        <v>0.74094907407406996</v>
      </c>
      <c r="R1670" t="s">
        <v>16</v>
      </c>
      <c r="S1670" t="s">
        <v>4</v>
      </c>
      <c r="T1670" t="s">
        <v>3242</v>
      </c>
      <c r="U1670" t="s">
        <v>10</v>
      </c>
      <c r="V1670" s="5">
        <v>0</v>
      </c>
      <c r="W1670" s="5">
        <v>0</v>
      </c>
      <c r="X1670" s="2">
        <v>0</v>
      </c>
      <c r="Y1670" t="s">
        <v>4</v>
      </c>
      <c r="Z1670" t="s">
        <v>4</v>
      </c>
      <c r="AA1670" t="s">
        <v>4</v>
      </c>
      <c r="AB1670" t="s">
        <v>4</v>
      </c>
    </row>
    <row r="1671" spans="1:28" hidden="1" x14ac:dyDescent="0.2">
      <c r="A1671" t="s">
        <v>1481</v>
      </c>
      <c r="B1671" t="s">
        <v>2</v>
      </c>
      <c r="C1671" t="s">
        <v>3</v>
      </c>
      <c r="D1671" t="s">
        <v>4</v>
      </c>
      <c r="E1671" t="s">
        <v>4</v>
      </c>
      <c r="F1671" t="s">
        <v>16</v>
      </c>
      <c r="G1671" t="s">
        <v>21</v>
      </c>
      <c r="H1671" t="s">
        <v>4888</v>
      </c>
      <c r="I1671" s="2">
        <v>5000</v>
      </c>
      <c r="J1671" s="2">
        <v>0</v>
      </c>
      <c r="K1671" s="2">
        <v>0</v>
      </c>
      <c r="L1671" s="3">
        <v>45856</v>
      </c>
      <c r="M1671" s="3">
        <v>45856</v>
      </c>
      <c r="N1671" s="3"/>
      <c r="O1671" t="s">
        <v>4889</v>
      </c>
      <c r="P1671" t="s">
        <v>20</v>
      </c>
      <c r="Q1671" s="4">
        <v>0.96927083333332997</v>
      </c>
      <c r="R1671" t="s">
        <v>16</v>
      </c>
      <c r="S1671" t="s">
        <v>4</v>
      </c>
      <c r="T1671" t="s">
        <v>2260</v>
      </c>
      <c r="U1671" t="s">
        <v>10</v>
      </c>
      <c r="V1671" s="5">
        <v>0</v>
      </c>
      <c r="W1671" s="5">
        <v>0</v>
      </c>
      <c r="X1671" s="2">
        <v>0</v>
      </c>
      <c r="Y1671" t="s">
        <v>4</v>
      </c>
      <c r="Z1671" t="s">
        <v>4</v>
      </c>
      <c r="AA1671" t="s">
        <v>4</v>
      </c>
      <c r="AB1671" t="s">
        <v>4</v>
      </c>
    </row>
    <row r="1672" spans="1:28" hidden="1" x14ac:dyDescent="0.2">
      <c r="A1672" t="s">
        <v>1135</v>
      </c>
      <c r="B1672" t="s">
        <v>2</v>
      </c>
      <c r="C1672" t="s">
        <v>3</v>
      </c>
      <c r="D1672" t="s">
        <v>4</v>
      </c>
      <c r="E1672" t="s">
        <v>4</v>
      </c>
      <c r="F1672" t="s">
        <v>16</v>
      </c>
      <c r="G1672" t="s">
        <v>21</v>
      </c>
      <c r="H1672" t="s">
        <v>4890</v>
      </c>
      <c r="I1672" s="2">
        <v>480</v>
      </c>
      <c r="J1672" s="2">
        <v>0</v>
      </c>
      <c r="K1672" s="2">
        <v>0</v>
      </c>
      <c r="L1672" s="3">
        <v>45857</v>
      </c>
      <c r="M1672" s="3">
        <v>45857</v>
      </c>
      <c r="N1672" s="3"/>
      <c r="O1672" t="s">
        <v>4891</v>
      </c>
      <c r="P1672" t="s">
        <v>20</v>
      </c>
      <c r="Q1672" s="4">
        <v>0.80513888888888996</v>
      </c>
      <c r="R1672" t="s">
        <v>16</v>
      </c>
      <c r="S1672" t="s">
        <v>4</v>
      </c>
      <c r="T1672" t="s">
        <v>2262</v>
      </c>
      <c r="U1672" t="s">
        <v>10</v>
      </c>
      <c r="V1672" s="5">
        <v>0</v>
      </c>
      <c r="W1672" s="5">
        <v>0</v>
      </c>
      <c r="X1672" s="2">
        <v>0</v>
      </c>
      <c r="Y1672" t="s">
        <v>4</v>
      </c>
      <c r="Z1672" t="s">
        <v>4</v>
      </c>
      <c r="AA1672" t="s">
        <v>4</v>
      </c>
      <c r="AB1672" t="s">
        <v>4</v>
      </c>
    </row>
    <row r="1673" spans="1:28" hidden="1" x14ac:dyDescent="0.2">
      <c r="A1673" t="s">
        <v>327</v>
      </c>
      <c r="B1673" t="s">
        <v>2</v>
      </c>
      <c r="C1673" t="s">
        <v>3</v>
      </c>
      <c r="D1673" t="s">
        <v>4</v>
      </c>
      <c r="E1673" t="s">
        <v>4</v>
      </c>
      <c r="F1673" t="s">
        <v>16</v>
      </c>
      <c r="G1673" t="s">
        <v>21</v>
      </c>
      <c r="H1673" t="s">
        <v>4892</v>
      </c>
      <c r="I1673" s="2">
        <v>1260</v>
      </c>
      <c r="J1673" s="2">
        <v>0</v>
      </c>
      <c r="K1673" s="2">
        <v>0</v>
      </c>
      <c r="L1673" s="3">
        <v>45839</v>
      </c>
      <c r="M1673" s="3">
        <v>45839</v>
      </c>
      <c r="N1673" s="3"/>
      <c r="O1673" t="s">
        <v>4893</v>
      </c>
      <c r="P1673" t="s">
        <v>20</v>
      </c>
      <c r="Q1673" s="4">
        <v>0.64584490740740996</v>
      </c>
      <c r="R1673" t="s">
        <v>16</v>
      </c>
      <c r="S1673" t="s">
        <v>4</v>
      </c>
      <c r="T1673" t="s">
        <v>2312</v>
      </c>
      <c r="U1673" t="s">
        <v>10</v>
      </c>
      <c r="V1673" s="5">
        <v>0</v>
      </c>
      <c r="W1673" s="5">
        <v>0</v>
      </c>
      <c r="X1673" s="2">
        <v>0</v>
      </c>
      <c r="Y1673" t="s">
        <v>4</v>
      </c>
      <c r="Z1673" t="s">
        <v>4</v>
      </c>
      <c r="AA1673" t="s">
        <v>4</v>
      </c>
      <c r="AB1673" t="s">
        <v>4</v>
      </c>
    </row>
    <row r="1674" spans="1:28" hidden="1" x14ac:dyDescent="0.2">
      <c r="A1674" t="s">
        <v>285</v>
      </c>
      <c r="B1674" t="s">
        <v>2</v>
      </c>
      <c r="C1674" t="s">
        <v>3</v>
      </c>
      <c r="D1674" t="s">
        <v>4</v>
      </c>
      <c r="E1674" t="s">
        <v>4</v>
      </c>
      <c r="F1674" t="s">
        <v>16</v>
      </c>
      <c r="G1674" t="s">
        <v>21</v>
      </c>
      <c r="H1674" t="s">
        <v>4894</v>
      </c>
      <c r="I1674" s="2">
        <v>30</v>
      </c>
      <c r="J1674" s="2">
        <v>0</v>
      </c>
      <c r="K1674" s="2">
        <v>0</v>
      </c>
      <c r="L1674" s="3">
        <v>45829</v>
      </c>
      <c r="M1674" s="3">
        <v>45829</v>
      </c>
      <c r="N1674" s="3"/>
      <c r="O1674" t="s">
        <v>4895</v>
      </c>
      <c r="P1674" t="s">
        <v>20</v>
      </c>
      <c r="Q1674" s="4">
        <v>0.74178240740740997</v>
      </c>
      <c r="R1674" t="s">
        <v>16</v>
      </c>
      <c r="S1674" t="s">
        <v>4</v>
      </c>
      <c r="T1674" t="s">
        <v>3242</v>
      </c>
      <c r="U1674" t="s">
        <v>10</v>
      </c>
      <c r="V1674" s="5">
        <v>0</v>
      </c>
      <c r="W1674" s="5">
        <v>0</v>
      </c>
      <c r="X1674" s="2">
        <v>0</v>
      </c>
      <c r="Y1674" t="s">
        <v>4</v>
      </c>
      <c r="Z1674" t="s">
        <v>4</v>
      </c>
      <c r="AA1674" t="s">
        <v>4</v>
      </c>
      <c r="AB1674" t="s">
        <v>4</v>
      </c>
    </row>
    <row r="1675" spans="1:28" hidden="1" x14ac:dyDescent="0.2">
      <c r="A1675" t="s">
        <v>635</v>
      </c>
      <c r="B1675" t="s">
        <v>2</v>
      </c>
      <c r="C1675" t="s">
        <v>3</v>
      </c>
      <c r="D1675" t="s">
        <v>4</v>
      </c>
      <c r="E1675" t="s">
        <v>4</v>
      </c>
      <c r="F1675" t="s">
        <v>16</v>
      </c>
      <c r="G1675" t="s">
        <v>21</v>
      </c>
      <c r="H1675" t="s">
        <v>4896</v>
      </c>
      <c r="I1675" s="2">
        <v>800</v>
      </c>
      <c r="J1675" s="2">
        <v>0</v>
      </c>
      <c r="K1675" s="2">
        <v>0</v>
      </c>
      <c r="L1675" s="3">
        <v>45768</v>
      </c>
      <c r="M1675" s="3">
        <v>45768</v>
      </c>
      <c r="N1675" s="3"/>
      <c r="O1675" t="s">
        <v>4897</v>
      </c>
      <c r="P1675" t="s">
        <v>20</v>
      </c>
      <c r="Q1675" s="4">
        <v>0.44148148148147998</v>
      </c>
      <c r="R1675" t="s">
        <v>16</v>
      </c>
      <c r="S1675" t="s">
        <v>4</v>
      </c>
      <c r="T1675" t="s">
        <v>2777</v>
      </c>
      <c r="U1675" t="s">
        <v>10</v>
      </c>
      <c r="V1675" s="5">
        <v>0</v>
      </c>
      <c r="W1675" s="5">
        <v>0</v>
      </c>
      <c r="X1675" s="2">
        <v>0</v>
      </c>
      <c r="Y1675" t="s">
        <v>4</v>
      </c>
      <c r="Z1675" t="s">
        <v>4</v>
      </c>
      <c r="AA1675" t="s">
        <v>4</v>
      </c>
      <c r="AB1675" t="s">
        <v>4</v>
      </c>
    </row>
    <row r="1676" spans="1:28" hidden="1" x14ac:dyDescent="0.2">
      <c r="A1676" t="s">
        <v>31</v>
      </c>
      <c r="B1676" t="s">
        <v>2</v>
      </c>
      <c r="C1676" t="s">
        <v>3</v>
      </c>
      <c r="D1676" t="s">
        <v>4</v>
      </c>
      <c r="E1676" t="s">
        <v>4</v>
      </c>
      <c r="F1676" t="s">
        <v>16</v>
      </c>
      <c r="G1676" t="s">
        <v>17</v>
      </c>
      <c r="H1676" t="s">
        <v>79</v>
      </c>
      <c r="I1676" s="2">
        <v>147</v>
      </c>
      <c r="J1676" s="2">
        <v>0</v>
      </c>
      <c r="K1676" s="2">
        <v>0</v>
      </c>
      <c r="L1676" s="3">
        <v>45851</v>
      </c>
      <c r="M1676" s="3">
        <v>45851</v>
      </c>
      <c r="N1676" s="3"/>
      <c r="O1676" t="s">
        <v>80</v>
      </c>
      <c r="P1676" t="s">
        <v>20</v>
      </c>
      <c r="Q1676" s="4">
        <v>0.56376157407407002</v>
      </c>
      <c r="R1676" t="s">
        <v>16</v>
      </c>
      <c r="S1676" t="s">
        <v>4</v>
      </c>
      <c r="T1676" t="s">
        <v>2747</v>
      </c>
      <c r="U1676" t="s">
        <v>35</v>
      </c>
      <c r="V1676" s="5">
        <v>0</v>
      </c>
      <c r="W1676" s="5">
        <v>0</v>
      </c>
      <c r="X1676" s="2">
        <v>0</v>
      </c>
      <c r="Y1676" t="s">
        <v>4</v>
      </c>
      <c r="Z1676" t="s">
        <v>4</v>
      </c>
      <c r="AA1676" t="s">
        <v>4</v>
      </c>
      <c r="AB1676" t="s">
        <v>4</v>
      </c>
    </row>
    <row r="1677" spans="1:28" hidden="1" x14ac:dyDescent="0.2">
      <c r="A1677" t="s">
        <v>1148</v>
      </c>
      <c r="B1677" t="s">
        <v>2</v>
      </c>
      <c r="C1677" t="s">
        <v>3</v>
      </c>
      <c r="D1677" t="s">
        <v>4</v>
      </c>
      <c r="E1677" t="s">
        <v>4</v>
      </c>
      <c r="F1677" t="s">
        <v>16</v>
      </c>
      <c r="G1677" t="s">
        <v>17</v>
      </c>
      <c r="H1677" t="s">
        <v>4898</v>
      </c>
      <c r="I1677" s="2">
        <v>750</v>
      </c>
      <c r="J1677" s="2">
        <v>0</v>
      </c>
      <c r="K1677" s="2">
        <v>0</v>
      </c>
      <c r="L1677" s="3">
        <v>45856</v>
      </c>
      <c r="M1677" s="3">
        <v>45856</v>
      </c>
      <c r="N1677" s="3"/>
      <c r="O1677" t="s">
        <v>4899</v>
      </c>
      <c r="P1677" t="s">
        <v>20</v>
      </c>
      <c r="Q1677" s="4">
        <v>0.58494212962962999</v>
      </c>
      <c r="R1677" t="s">
        <v>16</v>
      </c>
      <c r="S1677" t="s">
        <v>4</v>
      </c>
      <c r="T1677" t="s">
        <v>2260</v>
      </c>
      <c r="U1677" t="s">
        <v>10</v>
      </c>
      <c r="V1677" s="5">
        <v>0</v>
      </c>
      <c r="W1677" s="5">
        <v>0</v>
      </c>
      <c r="X1677" s="2">
        <v>0</v>
      </c>
      <c r="Y1677" t="s">
        <v>4</v>
      </c>
      <c r="Z1677" t="s">
        <v>4</v>
      </c>
      <c r="AA1677" t="s">
        <v>4</v>
      </c>
      <c r="AB1677" t="s">
        <v>4</v>
      </c>
    </row>
    <row r="1678" spans="1:28" hidden="1" x14ac:dyDescent="0.2">
      <c r="A1678" t="s">
        <v>605</v>
      </c>
      <c r="B1678" t="s">
        <v>2</v>
      </c>
      <c r="C1678" t="s">
        <v>3</v>
      </c>
      <c r="D1678" t="s">
        <v>4</v>
      </c>
      <c r="E1678" t="s">
        <v>4</v>
      </c>
      <c r="F1678" t="s">
        <v>16</v>
      </c>
      <c r="G1678" t="s">
        <v>17</v>
      </c>
      <c r="H1678" t="s">
        <v>4900</v>
      </c>
      <c r="I1678" s="2">
        <v>28000</v>
      </c>
      <c r="J1678" s="2">
        <v>0</v>
      </c>
      <c r="K1678" s="2">
        <v>0</v>
      </c>
      <c r="L1678" s="3">
        <v>45817</v>
      </c>
      <c r="M1678" s="3">
        <v>45817</v>
      </c>
      <c r="N1678" s="3"/>
      <c r="O1678" t="s">
        <v>4901</v>
      </c>
      <c r="P1678" t="s">
        <v>20</v>
      </c>
      <c r="Q1678" s="4">
        <v>0.70371527777777998</v>
      </c>
      <c r="R1678" t="s">
        <v>16</v>
      </c>
      <c r="S1678" t="s">
        <v>4</v>
      </c>
      <c r="T1678" t="s">
        <v>2894</v>
      </c>
      <c r="U1678" t="s">
        <v>10</v>
      </c>
      <c r="V1678" s="5">
        <v>0</v>
      </c>
      <c r="W1678" s="5">
        <v>0</v>
      </c>
      <c r="X1678" s="2">
        <v>0</v>
      </c>
      <c r="Y1678" t="s">
        <v>4</v>
      </c>
      <c r="Z1678" t="s">
        <v>4</v>
      </c>
      <c r="AA1678" t="s">
        <v>4</v>
      </c>
      <c r="AB1678" t="s">
        <v>4</v>
      </c>
    </row>
    <row r="1679" spans="1:28" hidden="1" x14ac:dyDescent="0.2">
      <c r="A1679" t="s">
        <v>972</v>
      </c>
      <c r="B1679" t="s">
        <v>2</v>
      </c>
      <c r="C1679" t="s">
        <v>3</v>
      </c>
      <c r="D1679" t="s">
        <v>4</v>
      </c>
      <c r="E1679" t="s">
        <v>4</v>
      </c>
      <c r="F1679" t="s">
        <v>16</v>
      </c>
      <c r="G1679" t="s">
        <v>17</v>
      </c>
      <c r="H1679" t="s">
        <v>4902</v>
      </c>
      <c r="I1679" s="2">
        <v>30000</v>
      </c>
      <c r="J1679" s="2">
        <v>0</v>
      </c>
      <c r="K1679" s="2">
        <v>0</v>
      </c>
      <c r="L1679" s="3">
        <v>45854</v>
      </c>
      <c r="M1679" s="3">
        <v>45854</v>
      </c>
      <c r="N1679" s="3"/>
      <c r="O1679" t="s">
        <v>4903</v>
      </c>
      <c r="P1679" t="s">
        <v>20</v>
      </c>
      <c r="Q1679" s="4">
        <v>0.49332175925925997</v>
      </c>
      <c r="R1679" t="s">
        <v>16</v>
      </c>
      <c r="S1679" t="s">
        <v>4</v>
      </c>
      <c r="T1679" t="s">
        <v>2299</v>
      </c>
      <c r="U1679" t="s">
        <v>10</v>
      </c>
      <c r="V1679" s="5">
        <v>0</v>
      </c>
      <c r="W1679" s="5">
        <v>0</v>
      </c>
      <c r="X1679" s="2">
        <v>0</v>
      </c>
      <c r="Y1679" t="s">
        <v>4</v>
      </c>
      <c r="Z1679" t="s">
        <v>4</v>
      </c>
      <c r="AA1679" t="s">
        <v>4</v>
      </c>
      <c r="AB1679" t="s">
        <v>4</v>
      </c>
    </row>
    <row r="1680" spans="1:28" hidden="1" x14ac:dyDescent="0.2">
      <c r="A1680" t="s">
        <v>331</v>
      </c>
      <c r="B1680" t="s">
        <v>2</v>
      </c>
      <c r="C1680" t="s">
        <v>3</v>
      </c>
      <c r="D1680" t="s">
        <v>4</v>
      </c>
      <c r="E1680" t="s">
        <v>4</v>
      </c>
      <c r="F1680" t="s">
        <v>16</v>
      </c>
      <c r="G1680" t="s">
        <v>6</v>
      </c>
      <c r="H1680" t="s">
        <v>4904</v>
      </c>
      <c r="I1680" s="2">
        <v>1020</v>
      </c>
      <c r="J1680" s="2">
        <v>0</v>
      </c>
      <c r="K1680" s="2">
        <v>0</v>
      </c>
      <c r="L1680" s="3">
        <v>45849</v>
      </c>
      <c r="M1680" s="3">
        <v>45849</v>
      </c>
      <c r="N1680" s="3"/>
      <c r="O1680" t="s">
        <v>4905</v>
      </c>
      <c r="P1680" t="s">
        <v>20</v>
      </c>
      <c r="Q1680" s="4">
        <v>0.55443287037037003</v>
      </c>
      <c r="R1680" t="s">
        <v>16</v>
      </c>
      <c r="S1680" t="s">
        <v>4</v>
      </c>
      <c r="T1680" t="s">
        <v>2321</v>
      </c>
      <c r="U1680" t="s">
        <v>10</v>
      </c>
      <c r="V1680" s="5">
        <v>0</v>
      </c>
      <c r="W1680" s="5">
        <v>0</v>
      </c>
      <c r="X1680" s="2">
        <v>0</v>
      </c>
      <c r="Y1680" t="s">
        <v>4</v>
      </c>
      <c r="Z1680" t="s">
        <v>4</v>
      </c>
      <c r="AA1680" t="s">
        <v>4</v>
      </c>
      <c r="AB1680" t="s">
        <v>4</v>
      </c>
    </row>
    <row r="1681" spans="1:28" hidden="1" x14ac:dyDescent="0.2">
      <c r="A1681" t="s">
        <v>1131</v>
      </c>
      <c r="B1681" t="s">
        <v>2</v>
      </c>
      <c r="C1681" t="s">
        <v>3</v>
      </c>
      <c r="D1681" t="s">
        <v>4</v>
      </c>
      <c r="E1681" t="s">
        <v>4</v>
      </c>
      <c r="F1681" t="s">
        <v>16</v>
      </c>
      <c r="G1681" t="s">
        <v>6</v>
      </c>
      <c r="H1681" t="s">
        <v>4906</v>
      </c>
      <c r="I1681" s="5">
        <v>207.3</v>
      </c>
      <c r="J1681" s="2">
        <v>0</v>
      </c>
      <c r="K1681" s="2">
        <v>0</v>
      </c>
      <c r="L1681" s="3">
        <v>45851</v>
      </c>
      <c r="M1681" s="3">
        <v>45851</v>
      </c>
      <c r="N1681" s="3"/>
      <c r="O1681" t="s">
        <v>4907</v>
      </c>
      <c r="P1681" t="s">
        <v>20</v>
      </c>
      <c r="Q1681" s="4">
        <v>0.57721064814815004</v>
      </c>
      <c r="R1681" t="s">
        <v>16</v>
      </c>
      <c r="S1681" t="s">
        <v>4</v>
      </c>
      <c r="T1681" t="s">
        <v>2747</v>
      </c>
      <c r="U1681" t="s">
        <v>10</v>
      </c>
      <c r="V1681" s="5">
        <v>0</v>
      </c>
      <c r="W1681" s="5">
        <v>0</v>
      </c>
      <c r="X1681" s="2">
        <v>0</v>
      </c>
      <c r="Y1681" t="s">
        <v>4</v>
      </c>
      <c r="Z1681" t="s">
        <v>4</v>
      </c>
      <c r="AA1681" t="s">
        <v>4</v>
      </c>
      <c r="AB1681" t="s">
        <v>4</v>
      </c>
    </row>
    <row r="1682" spans="1:28" hidden="1" x14ac:dyDescent="0.2">
      <c r="A1682" t="s">
        <v>1131</v>
      </c>
      <c r="B1682" t="s">
        <v>2</v>
      </c>
      <c r="C1682" t="s">
        <v>3</v>
      </c>
      <c r="D1682" t="s">
        <v>4</v>
      </c>
      <c r="E1682" t="s">
        <v>4</v>
      </c>
      <c r="F1682" t="s">
        <v>16</v>
      </c>
      <c r="G1682" t="s">
        <v>21</v>
      </c>
      <c r="H1682" t="s">
        <v>4908</v>
      </c>
      <c r="I1682" s="5">
        <v>204.08</v>
      </c>
      <c r="J1682" s="2">
        <v>0</v>
      </c>
      <c r="K1682" s="2">
        <v>0</v>
      </c>
      <c r="L1682" s="3">
        <v>45851</v>
      </c>
      <c r="M1682" s="3">
        <v>45851</v>
      </c>
      <c r="N1682" s="3"/>
      <c r="O1682" t="s">
        <v>4909</v>
      </c>
      <c r="P1682" t="s">
        <v>20</v>
      </c>
      <c r="Q1682" s="4">
        <v>0.57771990740740997</v>
      </c>
      <c r="R1682" t="s">
        <v>16</v>
      </c>
      <c r="S1682" t="s">
        <v>4</v>
      </c>
      <c r="T1682" t="s">
        <v>2747</v>
      </c>
      <c r="U1682" t="s">
        <v>10</v>
      </c>
      <c r="V1682" s="5">
        <v>0</v>
      </c>
      <c r="W1682" s="5">
        <v>0</v>
      </c>
      <c r="X1682" s="2">
        <v>0</v>
      </c>
      <c r="Y1682" t="s">
        <v>4</v>
      </c>
      <c r="Z1682" t="s">
        <v>4</v>
      </c>
      <c r="AA1682" t="s">
        <v>4</v>
      </c>
      <c r="AB1682" t="s">
        <v>4</v>
      </c>
    </row>
    <row r="1683" spans="1:28" hidden="1" x14ac:dyDescent="0.2">
      <c r="A1683" t="s">
        <v>327</v>
      </c>
      <c r="B1683" t="s">
        <v>2</v>
      </c>
      <c r="C1683" t="s">
        <v>3</v>
      </c>
      <c r="D1683" t="s">
        <v>4</v>
      </c>
      <c r="E1683" t="s">
        <v>4</v>
      </c>
      <c r="F1683" t="s">
        <v>16</v>
      </c>
      <c r="G1683" t="s">
        <v>21</v>
      </c>
      <c r="H1683" t="s">
        <v>4910</v>
      </c>
      <c r="I1683" s="2">
        <v>1260</v>
      </c>
      <c r="J1683" s="2">
        <v>0</v>
      </c>
      <c r="K1683" s="2">
        <v>0</v>
      </c>
      <c r="L1683" s="3">
        <v>45839</v>
      </c>
      <c r="M1683" s="3">
        <v>45839</v>
      </c>
      <c r="N1683" s="3"/>
      <c r="O1683" t="s">
        <v>4911</v>
      </c>
      <c r="P1683" t="s">
        <v>20</v>
      </c>
      <c r="Q1683" s="4">
        <v>0.64809027777778005</v>
      </c>
      <c r="R1683" t="s">
        <v>16</v>
      </c>
      <c r="S1683" t="s">
        <v>4</v>
      </c>
      <c r="T1683" t="s">
        <v>2312</v>
      </c>
      <c r="U1683" t="s">
        <v>10</v>
      </c>
      <c r="V1683" s="5">
        <v>0</v>
      </c>
      <c r="W1683" s="5">
        <v>0</v>
      </c>
      <c r="X1683" s="2">
        <v>0</v>
      </c>
      <c r="Y1683" t="s">
        <v>4</v>
      </c>
      <c r="Z1683" t="s">
        <v>4</v>
      </c>
      <c r="AA1683" t="s">
        <v>4</v>
      </c>
      <c r="AB1683" t="s">
        <v>4</v>
      </c>
    </row>
    <row r="1684" spans="1:28" hidden="1" x14ac:dyDescent="0.2">
      <c r="A1684" t="s">
        <v>285</v>
      </c>
      <c r="B1684" t="s">
        <v>2</v>
      </c>
      <c r="C1684" t="s">
        <v>3</v>
      </c>
      <c r="D1684" t="s">
        <v>4</v>
      </c>
      <c r="E1684" t="s">
        <v>4</v>
      </c>
      <c r="F1684" t="s">
        <v>16</v>
      </c>
      <c r="G1684" t="s">
        <v>21</v>
      </c>
      <c r="H1684" t="s">
        <v>4912</v>
      </c>
      <c r="I1684" s="2">
        <v>30</v>
      </c>
      <c r="J1684" s="2">
        <v>0</v>
      </c>
      <c r="K1684" s="2">
        <v>0</v>
      </c>
      <c r="L1684" s="3">
        <v>45829</v>
      </c>
      <c r="M1684" s="3">
        <v>45829</v>
      </c>
      <c r="N1684" s="3"/>
      <c r="O1684" t="s">
        <v>4913</v>
      </c>
      <c r="P1684" t="s">
        <v>20</v>
      </c>
      <c r="Q1684" s="4">
        <v>0.74263888888888996</v>
      </c>
      <c r="R1684" t="s">
        <v>16</v>
      </c>
      <c r="S1684" t="s">
        <v>4</v>
      </c>
      <c r="T1684" t="s">
        <v>3242</v>
      </c>
      <c r="U1684" t="s">
        <v>10</v>
      </c>
      <c r="V1684" s="5">
        <v>0</v>
      </c>
      <c r="W1684" s="5">
        <v>0</v>
      </c>
      <c r="X1684" s="2">
        <v>0</v>
      </c>
      <c r="Y1684" t="s">
        <v>4</v>
      </c>
      <c r="Z1684" t="s">
        <v>4</v>
      </c>
      <c r="AA1684" t="s">
        <v>4</v>
      </c>
      <c r="AB1684" t="s">
        <v>4</v>
      </c>
    </row>
    <row r="1685" spans="1:28" hidden="1" x14ac:dyDescent="0.2">
      <c r="A1685" t="s">
        <v>1462</v>
      </c>
      <c r="B1685" t="s">
        <v>2</v>
      </c>
      <c r="C1685" t="s">
        <v>3</v>
      </c>
      <c r="D1685" t="s">
        <v>4</v>
      </c>
      <c r="E1685" t="s">
        <v>4</v>
      </c>
      <c r="F1685" t="s">
        <v>16</v>
      </c>
      <c r="G1685" t="s">
        <v>21</v>
      </c>
      <c r="H1685" t="s">
        <v>4914</v>
      </c>
      <c r="I1685" s="2">
        <v>40</v>
      </c>
      <c r="J1685" s="2">
        <v>0</v>
      </c>
      <c r="K1685" s="2">
        <v>0</v>
      </c>
      <c r="L1685" s="3">
        <v>45850</v>
      </c>
      <c r="M1685" s="3">
        <v>45850</v>
      </c>
      <c r="N1685" s="3"/>
      <c r="O1685" t="s">
        <v>4915</v>
      </c>
      <c r="P1685" t="s">
        <v>20</v>
      </c>
      <c r="Q1685" s="4">
        <v>0.42803240740741</v>
      </c>
      <c r="R1685" t="s">
        <v>16</v>
      </c>
      <c r="S1685" t="s">
        <v>4</v>
      </c>
      <c r="T1685" t="s">
        <v>2680</v>
      </c>
      <c r="U1685" t="s">
        <v>10</v>
      </c>
      <c r="V1685" s="5">
        <v>0</v>
      </c>
      <c r="W1685" s="5">
        <v>0</v>
      </c>
      <c r="X1685" s="2">
        <v>0</v>
      </c>
      <c r="Y1685" t="s">
        <v>4</v>
      </c>
      <c r="Z1685" t="s">
        <v>4</v>
      </c>
      <c r="AA1685" t="s">
        <v>4</v>
      </c>
      <c r="AB1685" t="s">
        <v>4</v>
      </c>
    </row>
    <row r="1686" spans="1:28" hidden="1" x14ac:dyDescent="0.2">
      <c r="A1686" t="s">
        <v>1831</v>
      </c>
      <c r="B1686" t="s">
        <v>2</v>
      </c>
      <c r="C1686" t="s">
        <v>3</v>
      </c>
      <c r="D1686" t="s">
        <v>4</v>
      </c>
      <c r="E1686" t="s">
        <v>4</v>
      </c>
      <c r="F1686" t="s">
        <v>16</v>
      </c>
      <c r="G1686" t="s">
        <v>21</v>
      </c>
      <c r="H1686" t="s">
        <v>4916</v>
      </c>
      <c r="I1686" s="2">
        <v>11683</v>
      </c>
      <c r="J1686" s="2">
        <v>0</v>
      </c>
      <c r="K1686" s="2">
        <v>0</v>
      </c>
      <c r="L1686" s="3">
        <v>45848</v>
      </c>
      <c r="M1686" s="3">
        <v>45848</v>
      </c>
      <c r="N1686" s="3"/>
      <c r="O1686" t="s">
        <v>4917</v>
      </c>
      <c r="P1686" t="s">
        <v>20</v>
      </c>
      <c r="Q1686" s="4">
        <v>0.93760416666667001</v>
      </c>
      <c r="R1686" t="s">
        <v>16</v>
      </c>
      <c r="S1686" t="s">
        <v>4</v>
      </c>
      <c r="T1686" t="s">
        <v>2580</v>
      </c>
      <c r="U1686" t="s">
        <v>10</v>
      </c>
      <c r="V1686" s="5">
        <v>0</v>
      </c>
      <c r="W1686" s="5">
        <v>0</v>
      </c>
      <c r="X1686" s="2">
        <v>0</v>
      </c>
      <c r="Y1686" t="s">
        <v>4</v>
      </c>
      <c r="Z1686" t="s">
        <v>4</v>
      </c>
      <c r="AA1686" t="s">
        <v>4</v>
      </c>
      <c r="AB1686" t="s">
        <v>4</v>
      </c>
    </row>
    <row r="1687" spans="1:28" hidden="1" x14ac:dyDescent="0.2">
      <c r="A1687" t="s">
        <v>285</v>
      </c>
      <c r="B1687" t="s">
        <v>2</v>
      </c>
      <c r="C1687" t="s">
        <v>3</v>
      </c>
      <c r="D1687" t="s">
        <v>4</v>
      </c>
      <c r="E1687" t="s">
        <v>4</v>
      </c>
      <c r="F1687" t="s">
        <v>16</v>
      </c>
      <c r="G1687" t="s">
        <v>21</v>
      </c>
      <c r="H1687" t="s">
        <v>4918</v>
      </c>
      <c r="I1687" s="2">
        <v>30</v>
      </c>
      <c r="J1687" s="2">
        <v>0</v>
      </c>
      <c r="K1687" s="2">
        <v>0</v>
      </c>
      <c r="L1687" s="3">
        <v>45829</v>
      </c>
      <c r="M1687" s="3">
        <v>45829</v>
      </c>
      <c r="N1687" s="3"/>
      <c r="O1687" t="s">
        <v>4919</v>
      </c>
      <c r="P1687" t="s">
        <v>20</v>
      </c>
      <c r="Q1687" s="4">
        <v>0.74270833333332997</v>
      </c>
      <c r="R1687" t="s">
        <v>16</v>
      </c>
      <c r="S1687" t="s">
        <v>4</v>
      </c>
      <c r="T1687" t="s">
        <v>3242</v>
      </c>
      <c r="U1687" t="s">
        <v>10</v>
      </c>
      <c r="V1687" s="5">
        <v>0</v>
      </c>
      <c r="W1687" s="5">
        <v>0</v>
      </c>
      <c r="X1687" s="2">
        <v>0</v>
      </c>
      <c r="Y1687" t="s">
        <v>4</v>
      </c>
      <c r="Z1687" t="s">
        <v>4</v>
      </c>
      <c r="AA1687" t="s">
        <v>4</v>
      </c>
      <c r="AB1687" t="s">
        <v>4</v>
      </c>
    </row>
    <row r="1688" spans="1:28" hidden="1" x14ac:dyDescent="0.2">
      <c r="A1688" t="s">
        <v>285</v>
      </c>
      <c r="B1688" t="s">
        <v>2</v>
      </c>
      <c r="C1688" t="s">
        <v>3</v>
      </c>
      <c r="D1688" t="s">
        <v>4</v>
      </c>
      <c r="E1688" t="s">
        <v>4</v>
      </c>
      <c r="F1688" t="s">
        <v>16</v>
      </c>
      <c r="G1688" t="s">
        <v>21</v>
      </c>
      <c r="H1688" t="s">
        <v>4920</v>
      </c>
      <c r="I1688" s="2">
        <v>30</v>
      </c>
      <c r="J1688" s="2">
        <v>0</v>
      </c>
      <c r="K1688" s="2">
        <v>0</v>
      </c>
      <c r="L1688" s="3">
        <v>45829</v>
      </c>
      <c r="M1688" s="3">
        <v>45829</v>
      </c>
      <c r="N1688" s="3"/>
      <c r="O1688" t="s">
        <v>4921</v>
      </c>
      <c r="P1688" t="s">
        <v>20</v>
      </c>
      <c r="Q1688" s="4">
        <v>0.74340277777777997</v>
      </c>
      <c r="R1688" t="s">
        <v>16</v>
      </c>
      <c r="S1688" t="s">
        <v>4</v>
      </c>
      <c r="T1688" t="s">
        <v>3242</v>
      </c>
      <c r="U1688" t="s">
        <v>10</v>
      </c>
      <c r="V1688" s="5">
        <v>0</v>
      </c>
      <c r="W1688" s="5">
        <v>0</v>
      </c>
      <c r="X1688" s="2">
        <v>0</v>
      </c>
      <c r="Y1688" t="s">
        <v>4</v>
      </c>
      <c r="Z1688" t="s">
        <v>4</v>
      </c>
      <c r="AA1688" t="s">
        <v>4</v>
      </c>
      <c r="AB1688" t="s">
        <v>4</v>
      </c>
    </row>
    <row r="1689" spans="1:28" hidden="1" x14ac:dyDescent="0.2">
      <c r="A1689" t="s">
        <v>1924</v>
      </c>
      <c r="B1689" t="s">
        <v>2</v>
      </c>
      <c r="C1689" t="s">
        <v>3</v>
      </c>
      <c r="D1689" t="s">
        <v>4</v>
      </c>
      <c r="E1689" t="s">
        <v>4</v>
      </c>
      <c r="F1689" t="s">
        <v>16</v>
      </c>
      <c r="G1689" t="s">
        <v>21</v>
      </c>
      <c r="H1689" t="s">
        <v>4922</v>
      </c>
      <c r="I1689" s="2">
        <v>330</v>
      </c>
      <c r="J1689" s="2">
        <v>0</v>
      </c>
      <c r="K1689" s="2">
        <v>0</v>
      </c>
      <c r="L1689" s="3">
        <v>45850</v>
      </c>
      <c r="M1689" s="3">
        <v>45850</v>
      </c>
      <c r="N1689" s="3"/>
      <c r="O1689" t="s">
        <v>4923</v>
      </c>
      <c r="P1689" t="s">
        <v>20</v>
      </c>
      <c r="Q1689" s="4">
        <v>0.60468750000000004</v>
      </c>
      <c r="R1689" t="s">
        <v>16</v>
      </c>
      <c r="S1689" t="s">
        <v>4</v>
      </c>
      <c r="T1689" t="s">
        <v>2680</v>
      </c>
      <c r="U1689" t="s">
        <v>10</v>
      </c>
      <c r="V1689" s="5">
        <v>0</v>
      </c>
      <c r="W1689" s="5">
        <v>0</v>
      </c>
      <c r="X1689" s="2">
        <v>0</v>
      </c>
      <c r="Y1689" t="s">
        <v>4</v>
      </c>
      <c r="Z1689" t="s">
        <v>4</v>
      </c>
      <c r="AA1689" t="s">
        <v>4</v>
      </c>
      <c r="AB1689" t="s">
        <v>4</v>
      </c>
    </row>
    <row r="1690" spans="1:28" hidden="1" x14ac:dyDescent="0.2">
      <c r="A1690" t="s">
        <v>285</v>
      </c>
      <c r="B1690" t="s">
        <v>2</v>
      </c>
      <c r="C1690" t="s">
        <v>3</v>
      </c>
      <c r="D1690" t="s">
        <v>4</v>
      </c>
      <c r="E1690" t="s">
        <v>4</v>
      </c>
      <c r="F1690" t="s">
        <v>16</v>
      </c>
      <c r="G1690" t="s">
        <v>21</v>
      </c>
      <c r="H1690" t="s">
        <v>4924</v>
      </c>
      <c r="I1690" s="2">
        <v>30</v>
      </c>
      <c r="J1690" s="2">
        <v>0</v>
      </c>
      <c r="K1690" s="2">
        <v>0</v>
      </c>
      <c r="L1690" s="3">
        <v>45829</v>
      </c>
      <c r="M1690" s="3">
        <v>45829</v>
      </c>
      <c r="N1690" s="3"/>
      <c r="O1690" t="s">
        <v>4925</v>
      </c>
      <c r="P1690" t="s">
        <v>20</v>
      </c>
      <c r="Q1690" s="4">
        <v>0.74348379629630001</v>
      </c>
      <c r="R1690" t="s">
        <v>16</v>
      </c>
      <c r="S1690" t="s">
        <v>4</v>
      </c>
      <c r="T1690" t="s">
        <v>3242</v>
      </c>
      <c r="U1690" t="s">
        <v>10</v>
      </c>
      <c r="V1690" s="5">
        <v>0</v>
      </c>
      <c r="W1690" s="5">
        <v>0</v>
      </c>
      <c r="X1690" s="2">
        <v>0</v>
      </c>
      <c r="Y1690" t="s">
        <v>4</v>
      </c>
      <c r="Z1690" t="s">
        <v>4</v>
      </c>
      <c r="AA1690" t="s">
        <v>4</v>
      </c>
      <c r="AB1690" t="s">
        <v>4</v>
      </c>
    </row>
    <row r="1691" spans="1:28" hidden="1" x14ac:dyDescent="0.2">
      <c r="A1691" t="s">
        <v>396</v>
      </c>
      <c r="B1691" t="s">
        <v>2</v>
      </c>
      <c r="C1691" t="s">
        <v>3</v>
      </c>
      <c r="D1691" t="s">
        <v>4</v>
      </c>
      <c r="E1691" t="s">
        <v>4</v>
      </c>
      <c r="F1691" t="s">
        <v>16</v>
      </c>
      <c r="G1691" t="s">
        <v>21</v>
      </c>
      <c r="H1691" t="s">
        <v>4926</v>
      </c>
      <c r="I1691" s="2">
        <v>900</v>
      </c>
      <c r="J1691" s="2">
        <v>0</v>
      </c>
      <c r="K1691" s="2">
        <v>0</v>
      </c>
      <c r="L1691" s="3">
        <v>45850</v>
      </c>
      <c r="M1691" s="3">
        <v>45859</v>
      </c>
      <c r="N1691" s="3"/>
      <c r="O1691" t="s">
        <v>4927</v>
      </c>
      <c r="P1691" t="s">
        <v>20</v>
      </c>
      <c r="Q1691" s="4">
        <v>0.69069444444443995</v>
      </c>
      <c r="R1691" t="s">
        <v>16</v>
      </c>
      <c r="S1691" t="s">
        <v>4</v>
      </c>
      <c r="T1691" t="s">
        <v>2680</v>
      </c>
      <c r="U1691" t="s">
        <v>10</v>
      </c>
      <c r="V1691" s="5">
        <v>0</v>
      </c>
      <c r="W1691" s="5">
        <v>0</v>
      </c>
      <c r="X1691" s="2">
        <v>0</v>
      </c>
      <c r="Y1691" t="s">
        <v>4</v>
      </c>
      <c r="Z1691" t="s">
        <v>4</v>
      </c>
      <c r="AA1691" t="s">
        <v>4</v>
      </c>
      <c r="AB1691" t="s">
        <v>4</v>
      </c>
    </row>
    <row r="1692" spans="1:28" hidden="1" x14ac:dyDescent="0.2">
      <c r="A1692" t="s">
        <v>863</v>
      </c>
      <c r="B1692" t="s">
        <v>2</v>
      </c>
      <c r="C1692" t="s">
        <v>3</v>
      </c>
      <c r="D1692" t="s">
        <v>4</v>
      </c>
      <c r="E1692" t="s">
        <v>4</v>
      </c>
      <c r="F1692" t="s">
        <v>16</v>
      </c>
      <c r="G1692" t="s">
        <v>17</v>
      </c>
      <c r="H1692" t="s">
        <v>4928</v>
      </c>
      <c r="I1692" s="2">
        <v>700</v>
      </c>
      <c r="J1692" s="2">
        <v>0</v>
      </c>
      <c r="K1692" s="2">
        <v>0</v>
      </c>
      <c r="L1692" s="3">
        <v>45694</v>
      </c>
      <c r="M1692" s="3">
        <v>45694</v>
      </c>
      <c r="N1692" s="3"/>
      <c r="O1692" t="s">
        <v>4929</v>
      </c>
      <c r="P1692" t="s">
        <v>20</v>
      </c>
      <c r="Q1692" s="4">
        <v>0.73184027777778005</v>
      </c>
      <c r="R1692" t="s">
        <v>16</v>
      </c>
      <c r="S1692" t="s">
        <v>4</v>
      </c>
      <c r="T1692" t="s">
        <v>4930</v>
      </c>
      <c r="U1692" t="s">
        <v>10</v>
      </c>
      <c r="V1692" s="5">
        <v>0</v>
      </c>
      <c r="W1692" s="5">
        <v>0</v>
      </c>
      <c r="X1692" s="2">
        <v>0</v>
      </c>
      <c r="Y1692" t="s">
        <v>4</v>
      </c>
      <c r="Z1692" t="s">
        <v>4</v>
      </c>
      <c r="AA1692" t="s">
        <v>4</v>
      </c>
      <c r="AB1692" t="s">
        <v>4</v>
      </c>
    </row>
    <row r="1693" spans="1:28" hidden="1" x14ac:dyDescent="0.2">
      <c r="A1693" t="s">
        <v>863</v>
      </c>
      <c r="B1693" t="s">
        <v>2</v>
      </c>
      <c r="C1693" t="s">
        <v>3</v>
      </c>
      <c r="D1693" t="s">
        <v>4</v>
      </c>
      <c r="E1693" t="s">
        <v>4</v>
      </c>
      <c r="F1693" t="s">
        <v>16</v>
      </c>
      <c r="G1693" t="s">
        <v>17</v>
      </c>
      <c r="H1693" t="s">
        <v>4931</v>
      </c>
      <c r="I1693" s="2">
        <v>125</v>
      </c>
      <c r="J1693" s="2">
        <v>0</v>
      </c>
      <c r="K1693" s="2">
        <v>0</v>
      </c>
      <c r="L1693" s="3">
        <v>45708</v>
      </c>
      <c r="M1693" s="3">
        <v>45708</v>
      </c>
      <c r="N1693" s="3"/>
      <c r="O1693" t="s">
        <v>4932</v>
      </c>
      <c r="P1693" t="s">
        <v>20</v>
      </c>
      <c r="Q1693" s="4">
        <v>0.48226851851851998</v>
      </c>
      <c r="R1693" t="s">
        <v>16</v>
      </c>
      <c r="S1693" t="s">
        <v>4</v>
      </c>
      <c r="T1693" t="s">
        <v>4933</v>
      </c>
      <c r="U1693" t="s">
        <v>10</v>
      </c>
      <c r="V1693" s="5">
        <v>0</v>
      </c>
      <c r="W1693" s="5">
        <v>0</v>
      </c>
      <c r="X1693" s="2">
        <v>0</v>
      </c>
      <c r="Y1693" t="s">
        <v>4</v>
      </c>
      <c r="Z1693" t="s">
        <v>4</v>
      </c>
      <c r="AA1693" t="s">
        <v>4</v>
      </c>
      <c r="AB1693" t="s">
        <v>4</v>
      </c>
    </row>
    <row r="1694" spans="1:28" hidden="1" x14ac:dyDescent="0.2">
      <c r="A1694" t="s">
        <v>573</v>
      </c>
      <c r="B1694" t="s">
        <v>2</v>
      </c>
      <c r="C1694" t="s">
        <v>3</v>
      </c>
      <c r="D1694" t="s">
        <v>4</v>
      </c>
      <c r="E1694" t="s">
        <v>4</v>
      </c>
      <c r="F1694" t="s">
        <v>16</v>
      </c>
      <c r="G1694" t="s">
        <v>17</v>
      </c>
      <c r="H1694" t="s">
        <v>4934</v>
      </c>
      <c r="I1694" s="2">
        <v>156000</v>
      </c>
      <c r="J1694" s="2">
        <v>0</v>
      </c>
      <c r="K1694" s="2">
        <v>0</v>
      </c>
      <c r="L1694" s="3">
        <v>45803</v>
      </c>
      <c r="M1694" s="3">
        <v>45803</v>
      </c>
      <c r="N1694" s="3"/>
      <c r="O1694" t="s">
        <v>4935</v>
      </c>
      <c r="P1694" t="s">
        <v>20</v>
      </c>
      <c r="Q1694" s="4">
        <v>0.64572916666667002</v>
      </c>
      <c r="R1694" t="s">
        <v>16</v>
      </c>
      <c r="S1694" t="s">
        <v>4</v>
      </c>
      <c r="T1694" t="s">
        <v>2965</v>
      </c>
      <c r="U1694" t="s">
        <v>10</v>
      </c>
      <c r="V1694" s="5">
        <v>0</v>
      </c>
      <c r="W1694" s="5">
        <v>0</v>
      </c>
      <c r="X1694" s="2">
        <v>0</v>
      </c>
      <c r="Y1694" t="s">
        <v>4</v>
      </c>
      <c r="Z1694" t="s">
        <v>4</v>
      </c>
      <c r="AA1694" t="s">
        <v>4</v>
      </c>
      <c r="AB1694" t="s">
        <v>4</v>
      </c>
    </row>
    <row r="1695" spans="1:28" hidden="1" x14ac:dyDescent="0.2">
      <c r="A1695" t="s">
        <v>909</v>
      </c>
      <c r="B1695" t="s">
        <v>2</v>
      </c>
      <c r="C1695" t="s">
        <v>3</v>
      </c>
      <c r="D1695" t="s">
        <v>4</v>
      </c>
      <c r="E1695" t="s">
        <v>4</v>
      </c>
      <c r="F1695" t="s">
        <v>16</v>
      </c>
      <c r="G1695" t="s">
        <v>6</v>
      </c>
      <c r="H1695" t="s">
        <v>4936</v>
      </c>
      <c r="I1695" s="5">
        <v>226.8</v>
      </c>
      <c r="J1695" s="2">
        <v>0</v>
      </c>
      <c r="K1695" s="2">
        <v>0</v>
      </c>
      <c r="L1695" s="3">
        <v>44950</v>
      </c>
      <c r="M1695" s="3">
        <v>44950</v>
      </c>
      <c r="N1695" s="3"/>
      <c r="O1695" t="s">
        <v>4937</v>
      </c>
      <c r="P1695" t="s">
        <v>20</v>
      </c>
      <c r="Q1695" s="4">
        <v>0.60134259259259004</v>
      </c>
      <c r="R1695" t="s">
        <v>16</v>
      </c>
      <c r="S1695" t="s">
        <v>4</v>
      </c>
      <c r="T1695" t="s">
        <v>2266</v>
      </c>
      <c r="U1695" t="s">
        <v>10</v>
      </c>
      <c r="V1695" s="5">
        <v>0</v>
      </c>
      <c r="W1695" s="5">
        <v>0</v>
      </c>
      <c r="X1695" s="2">
        <v>0</v>
      </c>
      <c r="Y1695" t="s">
        <v>4</v>
      </c>
      <c r="Z1695" t="s">
        <v>4</v>
      </c>
      <c r="AA1695" t="s">
        <v>4</v>
      </c>
      <c r="AB1695" t="s">
        <v>4</v>
      </c>
    </row>
    <row r="1696" spans="1:28" hidden="1" x14ac:dyDescent="0.2">
      <c r="A1696" t="s">
        <v>2251</v>
      </c>
      <c r="B1696" t="s">
        <v>4</v>
      </c>
      <c r="C1696" t="s">
        <v>4</v>
      </c>
      <c r="D1696" t="s">
        <v>4</v>
      </c>
      <c r="E1696" t="s">
        <v>4</v>
      </c>
      <c r="F1696" t="s">
        <v>16</v>
      </c>
      <c r="G1696" t="s">
        <v>6</v>
      </c>
      <c r="H1696" t="s">
        <v>4938</v>
      </c>
      <c r="I1696" s="5">
        <v>0</v>
      </c>
      <c r="J1696" s="5">
        <v>0</v>
      </c>
      <c r="K1696" s="5">
        <v>0</v>
      </c>
      <c r="L1696" s="3"/>
      <c r="M1696" s="3"/>
      <c r="N1696" s="3"/>
      <c r="O1696" t="s">
        <v>4</v>
      </c>
      <c r="P1696" t="s">
        <v>20</v>
      </c>
      <c r="Q1696" s="4">
        <v>0.54254629629630002</v>
      </c>
      <c r="R1696" t="s">
        <v>4</v>
      </c>
      <c r="S1696" t="s">
        <v>4</v>
      </c>
      <c r="T1696" t="s">
        <v>2256</v>
      </c>
      <c r="U1696" t="s">
        <v>4</v>
      </c>
      <c r="V1696" s="5">
        <v>0</v>
      </c>
      <c r="W1696" s="5">
        <v>0</v>
      </c>
      <c r="X1696" s="2">
        <v>0</v>
      </c>
      <c r="Y1696" t="s">
        <v>4</v>
      </c>
      <c r="Z1696" t="s">
        <v>4</v>
      </c>
      <c r="AA1696" t="s">
        <v>4</v>
      </c>
      <c r="AB1696" t="s">
        <v>4</v>
      </c>
    </row>
    <row r="1697" spans="1:28" hidden="1" x14ac:dyDescent="0.2">
      <c r="A1697" t="s">
        <v>2046</v>
      </c>
      <c r="B1697" t="s">
        <v>2</v>
      </c>
      <c r="C1697" t="s">
        <v>3</v>
      </c>
      <c r="D1697" t="s">
        <v>4</v>
      </c>
      <c r="E1697" t="s">
        <v>4</v>
      </c>
      <c r="F1697" t="s">
        <v>16</v>
      </c>
      <c r="G1697" t="s">
        <v>6</v>
      </c>
      <c r="H1697" t="s">
        <v>4939</v>
      </c>
      <c r="I1697" s="2">
        <v>2700</v>
      </c>
      <c r="J1697" s="2">
        <v>0</v>
      </c>
      <c r="K1697" s="2">
        <v>0</v>
      </c>
      <c r="L1697" s="3">
        <v>45842</v>
      </c>
      <c r="M1697" s="3">
        <v>45842</v>
      </c>
      <c r="N1697" s="3"/>
      <c r="O1697" t="s">
        <v>4940</v>
      </c>
      <c r="P1697" t="s">
        <v>20</v>
      </c>
      <c r="Q1697" s="4">
        <v>0.49575231481481002</v>
      </c>
      <c r="R1697" t="s">
        <v>16</v>
      </c>
      <c r="S1697" t="s">
        <v>4</v>
      </c>
      <c r="T1697" t="s">
        <v>2610</v>
      </c>
      <c r="U1697" t="s">
        <v>10</v>
      </c>
      <c r="V1697" s="5">
        <v>0</v>
      </c>
      <c r="W1697" s="5">
        <v>0</v>
      </c>
      <c r="X1697" s="2">
        <v>0</v>
      </c>
      <c r="Y1697" t="s">
        <v>4</v>
      </c>
      <c r="Z1697" t="s">
        <v>4</v>
      </c>
      <c r="AA1697" t="s">
        <v>4</v>
      </c>
      <c r="AB1697" t="s">
        <v>4</v>
      </c>
    </row>
    <row r="1698" spans="1:28" hidden="1" x14ac:dyDescent="0.2">
      <c r="A1698" t="s">
        <v>2046</v>
      </c>
      <c r="B1698" t="s">
        <v>2</v>
      </c>
      <c r="C1698" t="s">
        <v>3</v>
      </c>
      <c r="D1698" t="s">
        <v>4</v>
      </c>
      <c r="E1698" t="s">
        <v>4</v>
      </c>
      <c r="F1698" t="s">
        <v>16</v>
      </c>
      <c r="G1698" t="s">
        <v>6</v>
      </c>
      <c r="H1698" t="s">
        <v>4941</v>
      </c>
      <c r="I1698" s="2">
        <v>2700</v>
      </c>
      <c r="J1698" s="2">
        <v>0</v>
      </c>
      <c r="K1698" s="2">
        <v>0</v>
      </c>
      <c r="L1698" s="3">
        <v>45842</v>
      </c>
      <c r="M1698" s="3">
        <v>45842</v>
      </c>
      <c r="N1698" s="3"/>
      <c r="O1698" t="s">
        <v>4942</v>
      </c>
      <c r="P1698" t="s">
        <v>20</v>
      </c>
      <c r="Q1698" s="4">
        <v>0.49644675925926002</v>
      </c>
      <c r="R1698" t="s">
        <v>16</v>
      </c>
      <c r="S1698" t="s">
        <v>4</v>
      </c>
      <c r="T1698" t="s">
        <v>2610</v>
      </c>
      <c r="U1698" t="s">
        <v>10</v>
      </c>
      <c r="V1698" s="5">
        <v>0</v>
      </c>
      <c r="W1698" s="5">
        <v>0</v>
      </c>
      <c r="X1698" s="2">
        <v>0</v>
      </c>
      <c r="Y1698" t="s">
        <v>4</v>
      </c>
      <c r="Z1698" t="s">
        <v>4</v>
      </c>
      <c r="AA1698" t="s">
        <v>4</v>
      </c>
      <c r="AB1698" t="s">
        <v>4</v>
      </c>
    </row>
    <row r="1699" spans="1:28" hidden="1" x14ac:dyDescent="0.2">
      <c r="A1699" t="s">
        <v>2046</v>
      </c>
      <c r="B1699" t="s">
        <v>2</v>
      </c>
      <c r="C1699" t="s">
        <v>3</v>
      </c>
      <c r="D1699" t="s">
        <v>4</v>
      </c>
      <c r="E1699" t="s">
        <v>4</v>
      </c>
      <c r="F1699" t="s">
        <v>16</v>
      </c>
      <c r="G1699" t="s">
        <v>6</v>
      </c>
      <c r="H1699" t="s">
        <v>4943</v>
      </c>
      <c r="I1699" s="2">
        <v>2700</v>
      </c>
      <c r="J1699" s="2">
        <v>0</v>
      </c>
      <c r="K1699" s="2">
        <v>0</v>
      </c>
      <c r="L1699" s="3">
        <v>45842</v>
      </c>
      <c r="M1699" s="3">
        <v>45842</v>
      </c>
      <c r="N1699" s="3"/>
      <c r="O1699" t="s">
        <v>4944</v>
      </c>
      <c r="P1699" t="s">
        <v>20</v>
      </c>
      <c r="Q1699" s="4">
        <v>0.49659722222222002</v>
      </c>
      <c r="R1699" t="s">
        <v>16</v>
      </c>
      <c r="S1699" t="s">
        <v>4</v>
      </c>
      <c r="T1699" t="s">
        <v>2610</v>
      </c>
      <c r="U1699" t="s">
        <v>10</v>
      </c>
      <c r="V1699" s="5">
        <v>0</v>
      </c>
      <c r="W1699" s="5">
        <v>0</v>
      </c>
      <c r="X1699" s="2">
        <v>0</v>
      </c>
      <c r="Y1699" t="s">
        <v>4</v>
      </c>
      <c r="Z1699" t="s">
        <v>4</v>
      </c>
      <c r="AA1699" t="s">
        <v>4</v>
      </c>
      <c r="AB1699" t="s">
        <v>4</v>
      </c>
    </row>
    <row r="1700" spans="1:28" hidden="1" x14ac:dyDescent="0.2">
      <c r="A1700" t="s">
        <v>2046</v>
      </c>
      <c r="B1700" t="s">
        <v>2</v>
      </c>
      <c r="C1700" t="s">
        <v>3</v>
      </c>
      <c r="D1700" t="s">
        <v>4</v>
      </c>
      <c r="E1700" t="s">
        <v>4</v>
      </c>
      <c r="F1700" t="s">
        <v>16</v>
      </c>
      <c r="G1700" t="s">
        <v>6</v>
      </c>
      <c r="H1700" t="s">
        <v>4945</v>
      </c>
      <c r="I1700" s="2">
        <v>2700</v>
      </c>
      <c r="J1700" s="2">
        <v>0</v>
      </c>
      <c r="K1700" s="2">
        <v>0</v>
      </c>
      <c r="L1700" s="3">
        <v>45842</v>
      </c>
      <c r="M1700" s="3">
        <v>45842</v>
      </c>
      <c r="N1700" s="3"/>
      <c r="O1700" t="s">
        <v>4946</v>
      </c>
      <c r="P1700" t="s">
        <v>20</v>
      </c>
      <c r="Q1700" s="4">
        <v>0.49717592592593002</v>
      </c>
      <c r="R1700" t="s">
        <v>16</v>
      </c>
      <c r="S1700" t="s">
        <v>4</v>
      </c>
      <c r="T1700" t="s">
        <v>2610</v>
      </c>
      <c r="U1700" t="s">
        <v>10</v>
      </c>
      <c r="V1700" s="5">
        <v>0</v>
      </c>
      <c r="W1700" s="5">
        <v>0</v>
      </c>
      <c r="X1700" s="2">
        <v>0</v>
      </c>
      <c r="Y1700" t="s">
        <v>4</v>
      </c>
      <c r="Z1700" t="s">
        <v>4</v>
      </c>
      <c r="AA1700" t="s">
        <v>4</v>
      </c>
      <c r="AB1700" t="s">
        <v>4</v>
      </c>
    </row>
    <row r="1701" spans="1:28" hidden="1" x14ac:dyDescent="0.2">
      <c r="A1701" t="s">
        <v>1994</v>
      </c>
      <c r="B1701" t="s">
        <v>2</v>
      </c>
      <c r="C1701" t="s">
        <v>3</v>
      </c>
      <c r="D1701" t="s">
        <v>4</v>
      </c>
      <c r="E1701" t="s">
        <v>4</v>
      </c>
      <c r="F1701" t="s">
        <v>16</v>
      </c>
      <c r="G1701" t="s">
        <v>6</v>
      </c>
      <c r="H1701" t="s">
        <v>4947</v>
      </c>
      <c r="I1701" s="2">
        <v>400</v>
      </c>
      <c r="J1701" s="2">
        <v>0</v>
      </c>
      <c r="K1701" s="2">
        <v>0</v>
      </c>
      <c r="L1701" s="3">
        <v>45692</v>
      </c>
      <c r="M1701" s="3">
        <v>45692</v>
      </c>
      <c r="N1701" s="3"/>
      <c r="O1701" t="s">
        <v>4948</v>
      </c>
      <c r="P1701" t="s">
        <v>20</v>
      </c>
      <c r="Q1701" s="4">
        <v>0.49459490740741002</v>
      </c>
      <c r="R1701" t="s">
        <v>16</v>
      </c>
      <c r="S1701" t="s">
        <v>4</v>
      </c>
      <c r="T1701" t="s">
        <v>3661</v>
      </c>
      <c r="U1701" t="s">
        <v>10</v>
      </c>
      <c r="V1701" s="5">
        <v>0</v>
      </c>
      <c r="W1701" s="5">
        <v>0</v>
      </c>
      <c r="X1701" s="2">
        <v>0</v>
      </c>
      <c r="Y1701" t="s">
        <v>4</v>
      </c>
      <c r="Z1701" t="s">
        <v>4</v>
      </c>
      <c r="AA1701" t="s">
        <v>4</v>
      </c>
      <c r="AB1701" t="s">
        <v>4</v>
      </c>
    </row>
    <row r="1702" spans="1:28" hidden="1" x14ac:dyDescent="0.2">
      <c r="A1702" t="s">
        <v>979</v>
      </c>
      <c r="B1702" t="s">
        <v>2</v>
      </c>
      <c r="C1702" t="s">
        <v>3</v>
      </c>
      <c r="D1702" t="s">
        <v>4</v>
      </c>
      <c r="E1702" t="s">
        <v>4</v>
      </c>
      <c r="F1702" t="s">
        <v>16</v>
      </c>
      <c r="G1702" t="s">
        <v>6</v>
      </c>
      <c r="H1702" t="s">
        <v>4949</v>
      </c>
      <c r="I1702" s="2">
        <v>27000</v>
      </c>
      <c r="J1702" s="2">
        <v>0</v>
      </c>
      <c r="K1702" s="2">
        <v>0</v>
      </c>
      <c r="L1702" s="3">
        <v>45582</v>
      </c>
      <c r="M1702" s="3">
        <v>45858</v>
      </c>
      <c r="N1702" s="3">
        <v>45854</v>
      </c>
      <c r="O1702" t="s">
        <v>4950</v>
      </c>
      <c r="P1702" t="s">
        <v>20</v>
      </c>
      <c r="Q1702" s="4">
        <v>0.56543981481480998</v>
      </c>
      <c r="R1702" t="s">
        <v>16</v>
      </c>
      <c r="S1702" t="s">
        <v>4</v>
      </c>
      <c r="T1702" t="s">
        <v>4951</v>
      </c>
      <c r="U1702" t="s">
        <v>10</v>
      </c>
      <c r="V1702" s="5">
        <v>0</v>
      </c>
      <c r="W1702" s="5">
        <v>0</v>
      </c>
      <c r="X1702" s="2">
        <v>0</v>
      </c>
      <c r="Y1702" t="s">
        <v>4</v>
      </c>
      <c r="Z1702" t="s">
        <v>4</v>
      </c>
      <c r="AA1702" t="s">
        <v>4</v>
      </c>
      <c r="AB1702" t="s">
        <v>4</v>
      </c>
    </row>
    <row r="1703" spans="1:28" hidden="1" x14ac:dyDescent="0.2">
      <c r="A1703" t="s">
        <v>2251</v>
      </c>
      <c r="B1703" t="s">
        <v>4</v>
      </c>
      <c r="C1703" t="s">
        <v>4</v>
      </c>
      <c r="D1703" t="s">
        <v>4</v>
      </c>
      <c r="E1703" t="s">
        <v>4</v>
      </c>
      <c r="F1703" t="s">
        <v>16</v>
      </c>
      <c r="G1703" t="s">
        <v>6</v>
      </c>
      <c r="H1703" t="s">
        <v>4952</v>
      </c>
      <c r="I1703" s="5">
        <v>0</v>
      </c>
      <c r="J1703" s="5">
        <v>0</v>
      </c>
      <c r="K1703" s="5">
        <v>0</v>
      </c>
      <c r="L1703" s="3"/>
      <c r="M1703" s="3"/>
      <c r="N1703" s="3"/>
      <c r="O1703" t="s">
        <v>4</v>
      </c>
      <c r="P1703" t="s">
        <v>20</v>
      </c>
      <c r="Q1703" s="4">
        <v>0.39319444444444002</v>
      </c>
      <c r="R1703" t="s">
        <v>4</v>
      </c>
      <c r="S1703" t="s">
        <v>4</v>
      </c>
      <c r="T1703" t="s">
        <v>2256</v>
      </c>
      <c r="U1703" t="s">
        <v>4</v>
      </c>
      <c r="V1703" s="5">
        <v>0</v>
      </c>
      <c r="W1703" s="5">
        <v>0</v>
      </c>
      <c r="X1703" s="2">
        <v>0</v>
      </c>
      <c r="Y1703" t="s">
        <v>4</v>
      </c>
      <c r="Z1703" t="s">
        <v>4</v>
      </c>
      <c r="AA1703" t="s">
        <v>4</v>
      </c>
      <c r="AB1703" t="s">
        <v>4</v>
      </c>
    </row>
    <row r="1704" spans="1:28" hidden="1" x14ac:dyDescent="0.2">
      <c r="A1704" t="s">
        <v>799</v>
      </c>
      <c r="B1704" t="s">
        <v>2</v>
      </c>
      <c r="C1704" t="s">
        <v>3</v>
      </c>
      <c r="D1704" t="s">
        <v>4</v>
      </c>
      <c r="E1704" t="s">
        <v>4</v>
      </c>
      <c r="F1704" t="s">
        <v>16</v>
      </c>
      <c r="G1704" t="s">
        <v>21</v>
      </c>
      <c r="H1704" t="s">
        <v>4953</v>
      </c>
      <c r="I1704" s="2">
        <v>960</v>
      </c>
      <c r="J1704" s="2">
        <v>0</v>
      </c>
      <c r="K1704" s="2">
        <v>0</v>
      </c>
      <c r="L1704" s="3">
        <v>45848</v>
      </c>
      <c r="M1704" s="3">
        <v>45848</v>
      </c>
      <c r="N1704" s="3"/>
      <c r="O1704" t="s">
        <v>4954</v>
      </c>
      <c r="P1704" t="s">
        <v>20</v>
      </c>
      <c r="Q1704" s="4">
        <v>0.75574074074074005</v>
      </c>
      <c r="R1704" t="s">
        <v>16</v>
      </c>
      <c r="S1704" t="s">
        <v>4</v>
      </c>
      <c r="T1704" t="s">
        <v>2580</v>
      </c>
      <c r="U1704" t="s">
        <v>10</v>
      </c>
      <c r="V1704" s="5">
        <v>0</v>
      </c>
      <c r="W1704" s="5">
        <v>0</v>
      </c>
      <c r="X1704" s="2">
        <v>0</v>
      </c>
      <c r="Y1704" t="s">
        <v>4</v>
      </c>
      <c r="Z1704" t="s">
        <v>4</v>
      </c>
      <c r="AA1704" t="s">
        <v>4</v>
      </c>
      <c r="AB1704" t="s">
        <v>4</v>
      </c>
    </row>
    <row r="1705" spans="1:28" hidden="1" x14ac:dyDescent="0.2">
      <c r="A1705" t="s">
        <v>285</v>
      </c>
      <c r="B1705" t="s">
        <v>2</v>
      </c>
      <c r="C1705" t="s">
        <v>3</v>
      </c>
      <c r="D1705" t="s">
        <v>4</v>
      </c>
      <c r="E1705" t="s">
        <v>4</v>
      </c>
      <c r="F1705" t="s">
        <v>16</v>
      </c>
      <c r="G1705" t="s">
        <v>21</v>
      </c>
      <c r="H1705" t="s">
        <v>4955</v>
      </c>
      <c r="I1705" s="2">
        <v>30</v>
      </c>
      <c r="J1705" s="2">
        <v>0</v>
      </c>
      <c r="K1705" s="2">
        <v>0</v>
      </c>
      <c r="L1705" s="3">
        <v>45829</v>
      </c>
      <c r="M1705" s="3">
        <v>45829</v>
      </c>
      <c r="N1705" s="3"/>
      <c r="O1705" t="s">
        <v>4956</v>
      </c>
      <c r="P1705" t="s">
        <v>20</v>
      </c>
      <c r="Q1705" s="4">
        <v>0.74452546296295996</v>
      </c>
      <c r="R1705" t="s">
        <v>16</v>
      </c>
      <c r="S1705" t="s">
        <v>4</v>
      </c>
      <c r="T1705" t="s">
        <v>3242</v>
      </c>
      <c r="U1705" t="s">
        <v>10</v>
      </c>
      <c r="V1705" s="5">
        <v>0</v>
      </c>
      <c r="W1705" s="5">
        <v>0</v>
      </c>
      <c r="X1705" s="2">
        <v>0</v>
      </c>
      <c r="Y1705" t="s">
        <v>4</v>
      </c>
      <c r="Z1705" t="s">
        <v>4</v>
      </c>
      <c r="AA1705" t="s">
        <v>4</v>
      </c>
      <c r="AB1705" t="s">
        <v>4</v>
      </c>
    </row>
    <row r="1706" spans="1:28" hidden="1" x14ac:dyDescent="0.2">
      <c r="A1706" t="s">
        <v>285</v>
      </c>
      <c r="B1706" t="s">
        <v>2</v>
      </c>
      <c r="C1706" t="s">
        <v>3</v>
      </c>
      <c r="D1706" t="s">
        <v>4</v>
      </c>
      <c r="E1706" t="s">
        <v>4</v>
      </c>
      <c r="F1706" t="s">
        <v>16</v>
      </c>
      <c r="G1706" t="s">
        <v>21</v>
      </c>
      <c r="H1706" t="s">
        <v>4957</v>
      </c>
      <c r="I1706" s="2">
        <v>30</v>
      </c>
      <c r="J1706" s="2">
        <v>0</v>
      </c>
      <c r="K1706" s="2">
        <v>0</v>
      </c>
      <c r="L1706" s="3">
        <v>45829</v>
      </c>
      <c r="M1706" s="3">
        <v>45829</v>
      </c>
      <c r="N1706" s="3"/>
      <c r="O1706" t="s">
        <v>4958</v>
      </c>
      <c r="P1706" t="s">
        <v>20</v>
      </c>
      <c r="Q1706" s="4">
        <v>0.74459490740740997</v>
      </c>
      <c r="R1706" t="s">
        <v>16</v>
      </c>
      <c r="S1706" t="s">
        <v>4</v>
      </c>
      <c r="T1706" t="s">
        <v>3242</v>
      </c>
      <c r="U1706" t="s">
        <v>10</v>
      </c>
      <c r="V1706" s="5">
        <v>0</v>
      </c>
      <c r="W1706" s="5">
        <v>0</v>
      </c>
      <c r="X1706" s="2">
        <v>0</v>
      </c>
      <c r="Y1706" t="s">
        <v>4</v>
      </c>
      <c r="Z1706" t="s">
        <v>4</v>
      </c>
      <c r="AA1706" t="s">
        <v>4</v>
      </c>
      <c r="AB1706" t="s">
        <v>4</v>
      </c>
    </row>
    <row r="1707" spans="1:28" hidden="1" x14ac:dyDescent="0.2">
      <c r="A1707" t="s">
        <v>1558</v>
      </c>
      <c r="B1707" t="s">
        <v>2</v>
      </c>
      <c r="C1707" t="s">
        <v>3</v>
      </c>
      <c r="D1707" t="s">
        <v>4</v>
      </c>
      <c r="E1707" t="s">
        <v>4</v>
      </c>
      <c r="F1707" t="s">
        <v>16</v>
      </c>
      <c r="G1707" t="s">
        <v>21</v>
      </c>
      <c r="H1707" t="s">
        <v>4959</v>
      </c>
      <c r="I1707" s="2">
        <v>278</v>
      </c>
      <c r="J1707" s="2">
        <v>0</v>
      </c>
      <c r="K1707" s="2">
        <v>0</v>
      </c>
      <c r="L1707" s="3">
        <v>45848</v>
      </c>
      <c r="M1707" s="3">
        <v>45854</v>
      </c>
      <c r="N1707" s="3">
        <v>45854</v>
      </c>
      <c r="O1707" t="s">
        <v>4960</v>
      </c>
      <c r="P1707" t="s">
        <v>20</v>
      </c>
      <c r="Q1707" s="4">
        <v>0.4321875</v>
      </c>
      <c r="R1707" t="s">
        <v>16</v>
      </c>
      <c r="S1707" t="s">
        <v>4</v>
      </c>
      <c r="T1707" t="s">
        <v>2580</v>
      </c>
      <c r="U1707" t="s">
        <v>10</v>
      </c>
      <c r="V1707" s="5">
        <v>0</v>
      </c>
      <c r="W1707" s="5">
        <v>0</v>
      </c>
      <c r="X1707" s="2">
        <v>0</v>
      </c>
      <c r="Y1707" t="s">
        <v>4</v>
      </c>
      <c r="Z1707" t="s">
        <v>4</v>
      </c>
      <c r="AA1707" t="s">
        <v>4</v>
      </c>
      <c r="AB1707" t="s">
        <v>4</v>
      </c>
    </row>
    <row r="1708" spans="1:28" hidden="1" x14ac:dyDescent="0.2">
      <c r="A1708" t="s">
        <v>2196</v>
      </c>
      <c r="B1708" t="s">
        <v>2</v>
      </c>
      <c r="C1708" t="s">
        <v>3</v>
      </c>
      <c r="D1708" t="s">
        <v>4</v>
      </c>
      <c r="E1708" t="s">
        <v>4</v>
      </c>
      <c r="F1708" t="s">
        <v>16</v>
      </c>
      <c r="G1708" t="s">
        <v>17</v>
      </c>
      <c r="H1708" t="s">
        <v>4961</v>
      </c>
      <c r="I1708" s="2">
        <v>768</v>
      </c>
      <c r="J1708" s="2">
        <v>0</v>
      </c>
      <c r="K1708" s="2">
        <v>0</v>
      </c>
      <c r="L1708" s="3">
        <v>45773</v>
      </c>
      <c r="M1708" s="3">
        <v>45773</v>
      </c>
      <c r="N1708" s="3"/>
      <c r="O1708" t="s">
        <v>4962</v>
      </c>
      <c r="P1708" t="s">
        <v>20</v>
      </c>
      <c r="Q1708" s="4">
        <v>0.40399305555555998</v>
      </c>
      <c r="R1708" t="s">
        <v>16</v>
      </c>
      <c r="S1708" t="s">
        <v>4</v>
      </c>
      <c r="T1708" t="s">
        <v>2513</v>
      </c>
      <c r="U1708" t="s">
        <v>10</v>
      </c>
      <c r="V1708" s="5">
        <v>0</v>
      </c>
      <c r="W1708" s="5">
        <v>0</v>
      </c>
      <c r="X1708" s="2">
        <v>0</v>
      </c>
      <c r="Y1708" t="s">
        <v>4</v>
      </c>
      <c r="Z1708" t="s">
        <v>4</v>
      </c>
      <c r="AA1708" t="s">
        <v>4</v>
      </c>
      <c r="AB1708" t="s">
        <v>4</v>
      </c>
    </row>
    <row r="1709" spans="1:28" hidden="1" x14ac:dyDescent="0.2">
      <c r="A1709" t="s">
        <v>2251</v>
      </c>
      <c r="B1709" t="s">
        <v>4</v>
      </c>
      <c r="C1709" t="s">
        <v>4</v>
      </c>
      <c r="D1709" t="s">
        <v>4</v>
      </c>
      <c r="E1709" t="s">
        <v>4</v>
      </c>
      <c r="F1709" t="s">
        <v>16</v>
      </c>
      <c r="G1709" t="s">
        <v>6</v>
      </c>
      <c r="H1709" t="s">
        <v>4963</v>
      </c>
      <c r="I1709" s="5">
        <v>0</v>
      </c>
      <c r="J1709" s="5">
        <v>0</v>
      </c>
      <c r="K1709" s="5">
        <v>0</v>
      </c>
      <c r="L1709" s="3"/>
      <c r="M1709" s="3"/>
      <c r="N1709" s="3"/>
      <c r="O1709" t="s">
        <v>4</v>
      </c>
      <c r="P1709" t="s">
        <v>20</v>
      </c>
      <c r="Q1709" s="4">
        <v>0.75269675925926005</v>
      </c>
      <c r="R1709" t="s">
        <v>4</v>
      </c>
      <c r="S1709" t="s">
        <v>4</v>
      </c>
      <c r="T1709" t="s">
        <v>2256</v>
      </c>
      <c r="U1709" t="s">
        <v>4</v>
      </c>
      <c r="V1709" s="5">
        <v>0</v>
      </c>
      <c r="W1709" s="5">
        <v>0</v>
      </c>
      <c r="X1709" s="2">
        <v>0</v>
      </c>
      <c r="Y1709" t="s">
        <v>4</v>
      </c>
      <c r="Z1709" t="s">
        <v>4</v>
      </c>
      <c r="AA1709" t="s">
        <v>4</v>
      </c>
      <c r="AB1709" t="s">
        <v>4</v>
      </c>
    </row>
    <row r="1710" spans="1:28" hidden="1" x14ac:dyDescent="0.2">
      <c r="A1710" t="s">
        <v>2196</v>
      </c>
      <c r="B1710" t="s">
        <v>2</v>
      </c>
      <c r="C1710" t="s">
        <v>3</v>
      </c>
      <c r="D1710" t="s">
        <v>4</v>
      </c>
      <c r="E1710" t="s">
        <v>4</v>
      </c>
      <c r="F1710" t="s">
        <v>16</v>
      </c>
      <c r="G1710" t="s">
        <v>17</v>
      </c>
      <c r="H1710" t="s">
        <v>4964</v>
      </c>
      <c r="I1710" s="2">
        <v>768</v>
      </c>
      <c r="J1710" s="2">
        <v>0</v>
      </c>
      <c r="K1710" s="2">
        <v>0</v>
      </c>
      <c r="L1710" s="3">
        <v>45773</v>
      </c>
      <c r="M1710" s="3">
        <v>45773</v>
      </c>
      <c r="N1710" s="3"/>
      <c r="O1710" t="s">
        <v>4965</v>
      </c>
      <c r="P1710" t="s">
        <v>20</v>
      </c>
      <c r="Q1710" s="4">
        <v>0.40475694444443999</v>
      </c>
      <c r="R1710" t="s">
        <v>16</v>
      </c>
      <c r="S1710" t="s">
        <v>4</v>
      </c>
      <c r="T1710" t="s">
        <v>2513</v>
      </c>
      <c r="U1710" t="s">
        <v>10</v>
      </c>
      <c r="V1710" s="5">
        <v>0</v>
      </c>
      <c r="W1710" s="5">
        <v>0</v>
      </c>
      <c r="X1710" s="2">
        <v>0</v>
      </c>
      <c r="Y1710" t="s">
        <v>4</v>
      </c>
      <c r="Z1710" t="s">
        <v>4</v>
      </c>
      <c r="AA1710" t="s">
        <v>4</v>
      </c>
      <c r="AB1710" t="s">
        <v>4</v>
      </c>
    </row>
    <row r="1711" spans="1:28" hidden="1" x14ac:dyDescent="0.2">
      <c r="A1711" t="s">
        <v>863</v>
      </c>
      <c r="B1711" t="s">
        <v>2</v>
      </c>
      <c r="C1711" t="s">
        <v>3</v>
      </c>
      <c r="D1711" t="s">
        <v>4</v>
      </c>
      <c r="E1711" t="s">
        <v>4</v>
      </c>
      <c r="F1711" t="s">
        <v>16</v>
      </c>
      <c r="G1711" t="s">
        <v>17</v>
      </c>
      <c r="H1711" t="s">
        <v>4966</v>
      </c>
      <c r="I1711" s="2">
        <v>250</v>
      </c>
      <c r="J1711" s="2">
        <v>0</v>
      </c>
      <c r="K1711" s="2">
        <v>0</v>
      </c>
      <c r="L1711" s="3">
        <v>45821</v>
      </c>
      <c r="M1711" s="3">
        <v>45821</v>
      </c>
      <c r="N1711" s="3"/>
      <c r="O1711" t="s">
        <v>4967</v>
      </c>
      <c r="P1711" t="s">
        <v>20</v>
      </c>
      <c r="Q1711" s="4">
        <v>0.48531249999999998</v>
      </c>
      <c r="R1711" t="s">
        <v>16</v>
      </c>
      <c r="S1711" t="s">
        <v>4</v>
      </c>
      <c r="T1711" t="s">
        <v>4228</v>
      </c>
      <c r="U1711" t="s">
        <v>10</v>
      </c>
      <c r="V1711" s="5">
        <v>0</v>
      </c>
      <c r="W1711" s="5">
        <v>0</v>
      </c>
      <c r="X1711" s="2">
        <v>0</v>
      </c>
      <c r="Y1711" t="s">
        <v>4</v>
      </c>
      <c r="Z1711" t="s">
        <v>4</v>
      </c>
      <c r="AA1711" t="s">
        <v>4</v>
      </c>
      <c r="AB1711" t="s">
        <v>4</v>
      </c>
    </row>
    <row r="1712" spans="1:28" hidden="1" x14ac:dyDescent="0.2">
      <c r="A1712" t="s">
        <v>0</v>
      </c>
      <c r="B1712" t="s">
        <v>2</v>
      </c>
      <c r="C1712" t="s">
        <v>3</v>
      </c>
      <c r="D1712" t="s">
        <v>4</v>
      </c>
      <c r="E1712" t="s">
        <v>4</v>
      </c>
      <c r="F1712" t="s">
        <v>16</v>
      </c>
      <c r="G1712" t="s">
        <v>6</v>
      </c>
      <c r="H1712" t="s">
        <v>81</v>
      </c>
      <c r="I1712" s="2">
        <v>196</v>
      </c>
      <c r="J1712" s="2">
        <v>0</v>
      </c>
      <c r="K1712" s="2">
        <v>0</v>
      </c>
      <c r="L1712" s="3">
        <v>45843</v>
      </c>
      <c r="M1712" s="3">
        <v>45843</v>
      </c>
      <c r="N1712" s="3"/>
      <c r="O1712" t="s">
        <v>82</v>
      </c>
      <c r="P1712" t="s">
        <v>20</v>
      </c>
      <c r="Q1712" s="4">
        <v>0.82947916666666999</v>
      </c>
      <c r="R1712" t="s">
        <v>16</v>
      </c>
      <c r="S1712" t="s">
        <v>4</v>
      </c>
      <c r="T1712" t="s">
        <v>2783</v>
      </c>
      <c r="U1712" t="s">
        <v>10</v>
      </c>
      <c r="V1712" s="5">
        <v>0</v>
      </c>
      <c r="W1712" s="5">
        <v>0</v>
      </c>
      <c r="X1712" s="2">
        <v>0</v>
      </c>
      <c r="Y1712" t="s">
        <v>4</v>
      </c>
      <c r="Z1712" t="s">
        <v>4</v>
      </c>
      <c r="AA1712" t="s">
        <v>4</v>
      </c>
      <c r="AB1712" t="s">
        <v>4</v>
      </c>
    </row>
    <row r="1713" spans="1:28" hidden="1" x14ac:dyDescent="0.2">
      <c r="A1713" t="s">
        <v>1025</v>
      </c>
      <c r="B1713" t="s">
        <v>2</v>
      </c>
      <c r="C1713" t="s">
        <v>3</v>
      </c>
      <c r="D1713" t="s">
        <v>4</v>
      </c>
      <c r="E1713" t="s">
        <v>4</v>
      </c>
      <c r="F1713" t="s">
        <v>16</v>
      </c>
      <c r="G1713" t="s">
        <v>6</v>
      </c>
      <c r="H1713" t="s">
        <v>4968</v>
      </c>
      <c r="I1713" s="2">
        <v>1050</v>
      </c>
      <c r="J1713" s="2">
        <v>0</v>
      </c>
      <c r="K1713" s="2">
        <v>0</v>
      </c>
      <c r="L1713" s="3">
        <v>45813</v>
      </c>
      <c r="M1713" s="3">
        <v>45854</v>
      </c>
      <c r="N1713" s="3"/>
      <c r="O1713" t="s">
        <v>4969</v>
      </c>
      <c r="P1713" t="s">
        <v>20</v>
      </c>
      <c r="Q1713" s="4">
        <v>0.67172453703704005</v>
      </c>
      <c r="R1713" t="s">
        <v>16</v>
      </c>
      <c r="S1713" t="s">
        <v>4</v>
      </c>
      <c r="T1713" t="s">
        <v>3649</v>
      </c>
      <c r="U1713" t="s">
        <v>10</v>
      </c>
      <c r="V1713" s="5">
        <v>0</v>
      </c>
      <c r="W1713" s="5">
        <v>0</v>
      </c>
      <c r="X1713" s="2">
        <v>0</v>
      </c>
      <c r="Y1713" t="s">
        <v>4</v>
      </c>
      <c r="Z1713" t="s">
        <v>4</v>
      </c>
      <c r="AA1713" t="s">
        <v>4</v>
      </c>
      <c r="AB1713" t="s">
        <v>4</v>
      </c>
    </row>
    <row r="1714" spans="1:28" hidden="1" x14ac:dyDescent="0.2">
      <c r="A1714" t="s">
        <v>2251</v>
      </c>
      <c r="B1714" t="s">
        <v>4</v>
      </c>
      <c r="C1714" t="s">
        <v>4</v>
      </c>
      <c r="D1714" t="s">
        <v>4</v>
      </c>
      <c r="E1714" t="s">
        <v>4</v>
      </c>
      <c r="F1714" t="s">
        <v>16</v>
      </c>
      <c r="G1714" t="s">
        <v>6</v>
      </c>
      <c r="H1714" t="s">
        <v>4970</v>
      </c>
      <c r="I1714" s="5">
        <v>0</v>
      </c>
      <c r="J1714" s="5">
        <v>0</v>
      </c>
      <c r="K1714" s="5">
        <v>0</v>
      </c>
      <c r="L1714" s="3"/>
      <c r="M1714" s="3"/>
      <c r="N1714" s="3"/>
      <c r="O1714" t="s">
        <v>4</v>
      </c>
      <c r="P1714" t="s">
        <v>20</v>
      </c>
      <c r="Q1714" s="4">
        <v>0.54120370370369997</v>
      </c>
      <c r="R1714" t="s">
        <v>4</v>
      </c>
      <c r="S1714" t="s">
        <v>4</v>
      </c>
      <c r="T1714" t="s">
        <v>2256</v>
      </c>
      <c r="U1714" t="s">
        <v>4</v>
      </c>
      <c r="V1714" s="5">
        <v>0</v>
      </c>
      <c r="W1714" s="5">
        <v>0</v>
      </c>
      <c r="X1714" s="2">
        <v>0</v>
      </c>
      <c r="Y1714" t="s">
        <v>4</v>
      </c>
      <c r="Z1714" t="s">
        <v>4</v>
      </c>
      <c r="AA1714" t="s">
        <v>4</v>
      </c>
      <c r="AB1714" t="s">
        <v>4</v>
      </c>
    </row>
    <row r="1715" spans="1:28" hidden="1" x14ac:dyDescent="0.2">
      <c r="A1715" t="s">
        <v>2251</v>
      </c>
      <c r="B1715" t="s">
        <v>4</v>
      </c>
      <c r="C1715" t="s">
        <v>4</v>
      </c>
      <c r="D1715" t="s">
        <v>4</v>
      </c>
      <c r="E1715" t="s">
        <v>4</v>
      </c>
      <c r="F1715" t="s">
        <v>16</v>
      </c>
      <c r="G1715" t="s">
        <v>6</v>
      </c>
      <c r="H1715" t="s">
        <v>4971</v>
      </c>
      <c r="I1715" s="5">
        <v>0</v>
      </c>
      <c r="J1715" s="5">
        <v>0</v>
      </c>
      <c r="K1715" s="5">
        <v>0</v>
      </c>
      <c r="L1715" s="3"/>
      <c r="M1715" s="3"/>
      <c r="N1715" s="3"/>
      <c r="O1715" t="s">
        <v>4</v>
      </c>
      <c r="P1715" t="s">
        <v>20</v>
      </c>
      <c r="Q1715" s="4">
        <v>0.44898148148147998</v>
      </c>
      <c r="R1715" t="s">
        <v>4</v>
      </c>
      <c r="S1715" t="s">
        <v>4</v>
      </c>
      <c r="T1715" t="s">
        <v>2256</v>
      </c>
      <c r="U1715" t="s">
        <v>4</v>
      </c>
      <c r="V1715" s="5">
        <v>0</v>
      </c>
      <c r="W1715" s="5">
        <v>0</v>
      </c>
      <c r="X1715" s="2">
        <v>0</v>
      </c>
      <c r="Y1715" t="s">
        <v>4</v>
      </c>
      <c r="Z1715" t="s">
        <v>4</v>
      </c>
      <c r="AA1715" t="s">
        <v>4</v>
      </c>
      <c r="AB1715" t="s">
        <v>4</v>
      </c>
    </row>
    <row r="1716" spans="1:28" hidden="1" x14ac:dyDescent="0.2">
      <c r="A1716" t="s">
        <v>1924</v>
      </c>
      <c r="B1716" t="s">
        <v>2</v>
      </c>
      <c r="C1716" t="s">
        <v>3</v>
      </c>
      <c r="D1716" t="s">
        <v>4</v>
      </c>
      <c r="E1716" t="s">
        <v>4</v>
      </c>
      <c r="F1716" t="s">
        <v>16</v>
      </c>
      <c r="G1716" t="s">
        <v>6</v>
      </c>
      <c r="H1716" t="s">
        <v>4972</v>
      </c>
      <c r="I1716" s="2">
        <v>167</v>
      </c>
      <c r="J1716" s="2">
        <v>0</v>
      </c>
      <c r="K1716" s="2">
        <v>0</v>
      </c>
      <c r="L1716" s="3">
        <v>45833</v>
      </c>
      <c r="M1716" s="3">
        <v>45850</v>
      </c>
      <c r="N1716" s="3">
        <v>45850</v>
      </c>
      <c r="O1716" t="s">
        <v>4973</v>
      </c>
      <c r="P1716" t="s">
        <v>20</v>
      </c>
      <c r="Q1716" s="4">
        <v>0.39341435185184997</v>
      </c>
      <c r="R1716" t="s">
        <v>16</v>
      </c>
      <c r="S1716" t="s">
        <v>4</v>
      </c>
      <c r="T1716" t="s">
        <v>2736</v>
      </c>
      <c r="U1716" t="s">
        <v>10</v>
      </c>
      <c r="V1716" s="5">
        <v>0</v>
      </c>
      <c r="W1716" s="5">
        <v>0</v>
      </c>
      <c r="X1716" s="2">
        <v>0</v>
      </c>
      <c r="Y1716" t="s">
        <v>4</v>
      </c>
      <c r="Z1716" t="s">
        <v>4</v>
      </c>
      <c r="AA1716" t="s">
        <v>4</v>
      </c>
      <c r="AB1716" t="s">
        <v>4</v>
      </c>
    </row>
    <row r="1717" spans="1:28" hidden="1" x14ac:dyDescent="0.2">
      <c r="A1717" t="s">
        <v>1142</v>
      </c>
      <c r="B1717" t="s">
        <v>2</v>
      </c>
      <c r="C1717" t="s">
        <v>3</v>
      </c>
      <c r="D1717" t="s">
        <v>4</v>
      </c>
      <c r="E1717" t="s">
        <v>4</v>
      </c>
      <c r="F1717" t="s">
        <v>16</v>
      </c>
      <c r="G1717" t="s">
        <v>6</v>
      </c>
      <c r="H1717" t="s">
        <v>4974</v>
      </c>
      <c r="I1717" s="2">
        <v>450</v>
      </c>
      <c r="J1717" s="2">
        <v>0</v>
      </c>
      <c r="K1717" s="2">
        <v>0</v>
      </c>
      <c r="L1717" s="3">
        <v>45844</v>
      </c>
      <c r="M1717" s="3">
        <v>45844</v>
      </c>
      <c r="N1717" s="3"/>
      <c r="O1717" t="s">
        <v>4975</v>
      </c>
      <c r="P1717" t="s">
        <v>20</v>
      </c>
      <c r="Q1717" s="4">
        <v>0.48258101851851998</v>
      </c>
      <c r="R1717" t="s">
        <v>16</v>
      </c>
      <c r="S1717" t="s">
        <v>4</v>
      </c>
      <c r="T1717" t="s">
        <v>2792</v>
      </c>
      <c r="U1717" t="s">
        <v>10</v>
      </c>
      <c r="V1717" s="5">
        <v>0</v>
      </c>
      <c r="W1717" s="5">
        <v>0</v>
      </c>
      <c r="X1717" s="2">
        <v>0</v>
      </c>
      <c r="Y1717" t="s">
        <v>4</v>
      </c>
      <c r="Z1717" t="s">
        <v>4</v>
      </c>
      <c r="AA1717" t="s">
        <v>4</v>
      </c>
      <c r="AB1717" t="s">
        <v>4</v>
      </c>
    </row>
    <row r="1718" spans="1:28" hidden="1" x14ac:dyDescent="0.2">
      <c r="A1718" t="s">
        <v>396</v>
      </c>
      <c r="B1718" t="s">
        <v>2</v>
      </c>
      <c r="C1718" t="s">
        <v>3</v>
      </c>
      <c r="D1718" t="s">
        <v>4</v>
      </c>
      <c r="E1718" t="s">
        <v>4</v>
      </c>
      <c r="F1718" t="s">
        <v>16</v>
      </c>
      <c r="G1718" t="s">
        <v>21</v>
      </c>
      <c r="H1718" t="s">
        <v>4976</v>
      </c>
      <c r="I1718" s="2">
        <v>1800</v>
      </c>
      <c r="J1718" s="2">
        <v>0</v>
      </c>
      <c r="K1718" s="2">
        <v>0</v>
      </c>
      <c r="L1718" s="3">
        <v>45850</v>
      </c>
      <c r="M1718" s="3">
        <v>45850</v>
      </c>
      <c r="N1718" s="3"/>
      <c r="O1718" t="s">
        <v>4977</v>
      </c>
      <c r="P1718" t="s">
        <v>20</v>
      </c>
      <c r="Q1718" s="4">
        <v>0.94381944444443999</v>
      </c>
      <c r="R1718" t="s">
        <v>16</v>
      </c>
      <c r="S1718" t="s">
        <v>4</v>
      </c>
      <c r="T1718" t="s">
        <v>2680</v>
      </c>
      <c r="U1718" t="s">
        <v>10</v>
      </c>
      <c r="V1718" s="5">
        <v>0</v>
      </c>
      <c r="W1718" s="5">
        <v>0</v>
      </c>
      <c r="X1718" s="2">
        <v>0</v>
      </c>
      <c r="Y1718" t="s">
        <v>4</v>
      </c>
      <c r="Z1718" t="s">
        <v>4</v>
      </c>
      <c r="AA1718" t="s">
        <v>4</v>
      </c>
      <c r="AB1718" t="s">
        <v>4</v>
      </c>
    </row>
    <row r="1719" spans="1:28" hidden="1" x14ac:dyDescent="0.2">
      <c r="A1719" t="s">
        <v>635</v>
      </c>
      <c r="B1719" t="s">
        <v>2</v>
      </c>
      <c r="C1719" t="s">
        <v>3</v>
      </c>
      <c r="D1719" t="s">
        <v>4</v>
      </c>
      <c r="E1719" t="s">
        <v>4</v>
      </c>
      <c r="F1719" t="s">
        <v>16</v>
      </c>
      <c r="G1719" t="s">
        <v>21</v>
      </c>
      <c r="H1719" t="s">
        <v>4978</v>
      </c>
      <c r="I1719" s="2">
        <v>800</v>
      </c>
      <c r="J1719" s="2">
        <v>0</v>
      </c>
      <c r="K1719" s="2">
        <v>0</v>
      </c>
      <c r="L1719" s="3">
        <v>45768</v>
      </c>
      <c r="M1719" s="3">
        <v>45768</v>
      </c>
      <c r="N1719" s="3"/>
      <c r="O1719" t="s">
        <v>4979</v>
      </c>
      <c r="P1719" t="s">
        <v>20</v>
      </c>
      <c r="Q1719" s="4">
        <v>0.44233796296296002</v>
      </c>
      <c r="R1719" t="s">
        <v>16</v>
      </c>
      <c r="S1719" t="s">
        <v>4</v>
      </c>
      <c r="T1719" t="s">
        <v>2777</v>
      </c>
      <c r="U1719" t="s">
        <v>10</v>
      </c>
      <c r="V1719" s="5">
        <v>0</v>
      </c>
      <c r="W1719" s="5">
        <v>0</v>
      </c>
      <c r="X1719" s="2">
        <v>0</v>
      </c>
      <c r="Y1719" t="s">
        <v>4</v>
      </c>
      <c r="Z1719" t="s">
        <v>4</v>
      </c>
      <c r="AA1719" t="s">
        <v>4</v>
      </c>
      <c r="AB1719" t="s">
        <v>4</v>
      </c>
    </row>
    <row r="1720" spans="1:28" hidden="1" x14ac:dyDescent="0.2">
      <c r="A1720" t="s">
        <v>2251</v>
      </c>
      <c r="B1720" t="s">
        <v>4</v>
      </c>
      <c r="C1720" t="s">
        <v>4</v>
      </c>
      <c r="D1720" t="s">
        <v>4</v>
      </c>
      <c r="E1720" t="s">
        <v>4</v>
      </c>
      <c r="F1720" t="s">
        <v>16</v>
      </c>
      <c r="G1720" t="s">
        <v>21</v>
      </c>
      <c r="H1720" t="s">
        <v>4980</v>
      </c>
      <c r="I1720" s="5">
        <v>0</v>
      </c>
      <c r="J1720" s="5">
        <v>0</v>
      </c>
      <c r="K1720" s="5">
        <v>0</v>
      </c>
      <c r="L1720" s="3"/>
      <c r="M1720" s="3"/>
      <c r="N1720" s="3"/>
      <c r="O1720" t="s">
        <v>4</v>
      </c>
      <c r="P1720" t="s">
        <v>20</v>
      </c>
      <c r="Q1720" s="4">
        <v>0.51040509259259004</v>
      </c>
      <c r="R1720" t="s">
        <v>4</v>
      </c>
      <c r="S1720" t="s">
        <v>4</v>
      </c>
      <c r="T1720" t="s">
        <v>2256</v>
      </c>
      <c r="U1720" t="s">
        <v>4</v>
      </c>
      <c r="V1720" s="5">
        <v>0</v>
      </c>
      <c r="W1720" s="5">
        <v>0</v>
      </c>
      <c r="X1720" s="2">
        <v>0</v>
      </c>
      <c r="Y1720" t="s">
        <v>2351</v>
      </c>
      <c r="Z1720" t="s">
        <v>2351</v>
      </c>
      <c r="AA1720" t="s">
        <v>4</v>
      </c>
      <c r="AB1720" t="s">
        <v>4</v>
      </c>
    </row>
    <row r="1721" spans="1:28" hidden="1" x14ac:dyDescent="0.2">
      <c r="A1721" t="s">
        <v>1131</v>
      </c>
      <c r="B1721" t="s">
        <v>2</v>
      </c>
      <c r="C1721" t="s">
        <v>3</v>
      </c>
      <c r="D1721" t="s">
        <v>4</v>
      </c>
      <c r="E1721" t="s">
        <v>4</v>
      </c>
      <c r="F1721" t="s">
        <v>16</v>
      </c>
      <c r="G1721" t="s">
        <v>21</v>
      </c>
      <c r="H1721" t="s">
        <v>4981</v>
      </c>
      <c r="I1721" s="5">
        <v>205.3</v>
      </c>
      <c r="J1721" s="2">
        <v>0</v>
      </c>
      <c r="K1721" s="2">
        <v>0</v>
      </c>
      <c r="L1721" s="3">
        <v>45851</v>
      </c>
      <c r="M1721" s="3">
        <v>45851</v>
      </c>
      <c r="N1721" s="3"/>
      <c r="O1721" t="s">
        <v>4982</v>
      </c>
      <c r="P1721" t="s">
        <v>20</v>
      </c>
      <c r="Q1721" s="4">
        <v>0.57795138888888997</v>
      </c>
      <c r="R1721" t="s">
        <v>16</v>
      </c>
      <c r="S1721" t="s">
        <v>4</v>
      </c>
      <c r="T1721" t="s">
        <v>2747</v>
      </c>
      <c r="U1721" t="s">
        <v>10</v>
      </c>
      <c r="V1721" s="5">
        <v>0</v>
      </c>
      <c r="W1721" s="5">
        <v>0</v>
      </c>
      <c r="X1721" s="2">
        <v>0</v>
      </c>
      <c r="Y1721" t="s">
        <v>4</v>
      </c>
      <c r="Z1721" t="s">
        <v>4</v>
      </c>
      <c r="AA1721" t="s">
        <v>4</v>
      </c>
      <c r="AB1721" t="s">
        <v>4</v>
      </c>
    </row>
    <row r="1722" spans="1:28" hidden="1" x14ac:dyDescent="0.2">
      <c r="A1722" t="s">
        <v>845</v>
      </c>
      <c r="B1722" t="s">
        <v>2</v>
      </c>
      <c r="C1722" t="s">
        <v>3</v>
      </c>
      <c r="D1722" t="s">
        <v>4</v>
      </c>
      <c r="E1722" t="s">
        <v>4</v>
      </c>
      <c r="F1722" t="s">
        <v>16</v>
      </c>
      <c r="G1722" t="s">
        <v>17</v>
      </c>
      <c r="H1722" t="s">
        <v>4983</v>
      </c>
      <c r="I1722" s="2">
        <v>7750</v>
      </c>
      <c r="J1722" s="2">
        <v>0</v>
      </c>
      <c r="K1722" s="2">
        <v>0</v>
      </c>
      <c r="L1722" s="3">
        <v>45856</v>
      </c>
      <c r="M1722" s="3">
        <v>45856</v>
      </c>
      <c r="N1722" s="3"/>
      <c r="O1722" t="s">
        <v>4984</v>
      </c>
      <c r="P1722" t="s">
        <v>20</v>
      </c>
      <c r="Q1722" s="4">
        <v>0.38454861111110999</v>
      </c>
      <c r="R1722" t="s">
        <v>16</v>
      </c>
      <c r="S1722" t="s">
        <v>4</v>
      </c>
      <c r="T1722" t="s">
        <v>2260</v>
      </c>
      <c r="U1722" t="s">
        <v>10</v>
      </c>
      <c r="V1722" s="5">
        <v>0</v>
      </c>
      <c r="W1722" s="5">
        <v>0</v>
      </c>
      <c r="X1722" s="2">
        <v>0</v>
      </c>
      <c r="Y1722" t="s">
        <v>4</v>
      </c>
      <c r="Z1722" t="s">
        <v>4</v>
      </c>
      <c r="AA1722" t="s">
        <v>4</v>
      </c>
      <c r="AB1722" t="s">
        <v>4</v>
      </c>
    </row>
    <row r="1723" spans="1:28" hidden="1" x14ac:dyDescent="0.2">
      <c r="A1723" t="s">
        <v>863</v>
      </c>
      <c r="B1723" t="s">
        <v>2</v>
      </c>
      <c r="C1723" t="s">
        <v>3</v>
      </c>
      <c r="D1723" t="s">
        <v>4</v>
      </c>
      <c r="E1723" t="s">
        <v>4</v>
      </c>
      <c r="F1723" t="s">
        <v>16</v>
      </c>
      <c r="G1723" t="s">
        <v>17</v>
      </c>
      <c r="H1723" t="s">
        <v>4985</v>
      </c>
      <c r="I1723" s="2">
        <v>700</v>
      </c>
      <c r="J1723" s="2">
        <v>0</v>
      </c>
      <c r="K1723" s="2">
        <v>0</v>
      </c>
      <c r="L1723" s="3">
        <v>45779</v>
      </c>
      <c r="M1723" s="3">
        <v>45779</v>
      </c>
      <c r="N1723" s="3"/>
      <c r="O1723" t="s">
        <v>4986</v>
      </c>
      <c r="P1723" t="s">
        <v>20</v>
      </c>
      <c r="Q1723" s="4">
        <v>0.76105324074073999</v>
      </c>
      <c r="R1723" t="s">
        <v>16</v>
      </c>
      <c r="S1723" t="s">
        <v>4</v>
      </c>
      <c r="T1723" t="s">
        <v>2775</v>
      </c>
      <c r="U1723" t="s">
        <v>10</v>
      </c>
      <c r="V1723" s="5">
        <v>0</v>
      </c>
      <c r="W1723" s="5">
        <v>0</v>
      </c>
      <c r="X1723" s="2">
        <v>0</v>
      </c>
      <c r="Y1723" t="s">
        <v>4</v>
      </c>
      <c r="Z1723" t="s">
        <v>4</v>
      </c>
      <c r="AA1723" t="s">
        <v>4</v>
      </c>
      <c r="AB1723" t="s">
        <v>4</v>
      </c>
    </row>
    <row r="1724" spans="1:28" hidden="1" x14ac:dyDescent="0.2">
      <c r="A1724" t="s">
        <v>715</v>
      </c>
      <c r="B1724" t="s">
        <v>2</v>
      </c>
      <c r="C1724" t="s">
        <v>3</v>
      </c>
      <c r="D1724" t="s">
        <v>4</v>
      </c>
      <c r="E1724" t="s">
        <v>4</v>
      </c>
      <c r="F1724" t="s">
        <v>16</v>
      </c>
      <c r="G1724" t="s">
        <v>6</v>
      </c>
      <c r="H1724" t="s">
        <v>4987</v>
      </c>
      <c r="I1724" s="2">
        <v>88</v>
      </c>
      <c r="J1724" s="2">
        <v>0</v>
      </c>
      <c r="K1724" s="2">
        <v>0</v>
      </c>
      <c r="L1724" s="3">
        <v>45855</v>
      </c>
      <c r="M1724" s="3">
        <v>45855</v>
      </c>
      <c r="N1724" s="3"/>
      <c r="O1724" t="s">
        <v>4988</v>
      </c>
      <c r="P1724" t="s">
        <v>20</v>
      </c>
      <c r="Q1724" s="4">
        <v>0.37518518518519001</v>
      </c>
      <c r="R1724" t="s">
        <v>16</v>
      </c>
      <c r="S1724" t="s">
        <v>4</v>
      </c>
      <c r="T1724" t="s">
        <v>2350</v>
      </c>
      <c r="U1724" t="s">
        <v>10</v>
      </c>
      <c r="V1724" s="5">
        <v>0</v>
      </c>
      <c r="W1724" s="5">
        <v>0</v>
      </c>
      <c r="X1724" s="2">
        <v>0</v>
      </c>
      <c r="Y1724" t="s">
        <v>4</v>
      </c>
      <c r="Z1724" t="s">
        <v>4</v>
      </c>
      <c r="AA1724" t="s">
        <v>4</v>
      </c>
      <c r="AB1724" t="s">
        <v>4</v>
      </c>
    </row>
    <row r="1725" spans="1:28" hidden="1" x14ac:dyDescent="0.2">
      <c r="A1725" t="s">
        <v>1294</v>
      </c>
      <c r="B1725" t="s">
        <v>2</v>
      </c>
      <c r="C1725" t="s">
        <v>3</v>
      </c>
      <c r="D1725" t="s">
        <v>4</v>
      </c>
      <c r="E1725" t="s">
        <v>4</v>
      </c>
      <c r="F1725" t="s">
        <v>16</v>
      </c>
      <c r="G1725" t="s">
        <v>17</v>
      </c>
      <c r="H1725" t="s">
        <v>4989</v>
      </c>
      <c r="I1725" s="2">
        <v>1270</v>
      </c>
      <c r="J1725" s="2">
        <v>0</v>
      </c>
      <c r="K1725" s="2">
        <v>0</v>
      </c>
      <c r="L1725" s="3">
        <v>45707</v>
      </c>
      <c r="M1725" s="3">
        <v>45707</v>
      </c>
      <c r="N1725" s="3"/>
      <c r="O1725" t="s">
        <v>4990</v>
      </c>
      <c r="P1725" t="s">
        <v>20</v>
      </c>
      <c r="Q1725" s="4">
        <v>0.89237268518518997</v>
      </c>
      <c r="R1725" t="s">
        <v>16</v>
      </c>
      <c r="S1725" t="s">
        <v>4</v>
      </c>
      <c r="T1725" t="s">
        <v>4991</v>
      </c>
      <c r="U1725" t="s">
        <v>10</v>
      </c>
      <c r="V1725" s="5">
        <v>0</v>
      </c>
      <c r="W1725" s="5">
        <v>0</v>
      </c>
      <c r="X1725" s="2">
        <v>0</v>
      </c>
      <c r="Y1725" t="s">
        <v>4</v>
      </c>
      <c r="Z1725" t="s">
        <v>4</v>
      </c>
      <c r="AA1725" t="s">
        <v>4</v>
      </c>
      <c r="AB1725" t="s">
        <v>4</v>
      </c>
    </row>
    <row r="1726" spans="1:28" hidden="1" x14ac:dyDescent="0.2">
      <c r="A1726" t="s">
        <v>1555</v>
      </c>
      <c r="B1726" t="s">
        <v>2</v>
      </c>
      <c r="C1726" t="s">
        <v>3</v>
      </c>
      <c r="D1726" t="s">
        <v>4</v>
      </c>
      <c r="E1726" t="s">
        <v>4</v>
      </c>
      <c r="F1726" t="s">
        <v>16</v>
      </c>
      <c r="G1726" t="s">
        <v>6</v>
      </c>
      <c r="H1726" t="s">
        <v>4992</v>
      </c>
      <c r="I1726" s="2">
        <v>200</v>
      </c>
      <c r="J1726" s="2">
        <v>0</v>
      </c>
      <c r="K1726" s="2">
        <v>0</v>
      </c>
      <c r="L1726" s="3">
        <v>45855</v>
      </c>
      <c r="M1726" s="3">
        <v>45855</v>
      </c>
      <c r="N1726" s="3"/>
      <c r="O1726" t="s">
        <v>4993</v>
      </c>
      <c r="P1726" t="s">
        <v>20</v>
      </c>
      <c r="Q1726" s="4">
        <v>0.76134259259258996</v>
      </c>
      <c r="R1726" t="s">
        <v>16</v>
      </c>
      <c r="S1726" t="s">
        <v>4</v>
      </c>
      <c r="T1726" t="s">
        <v>2350</v>
      </c>
      <c r="U1726" t="s">
        <v>10</v>
      </c>
      <c r="V1726" s="5">
        <v>0</v>
      </c>
      <c r="W1726" s="5">
        <v>0</v>
      </c>
      <c r="X1726" s="2">
        <v>0</v>
      </c>
      <c r="Y1726" t="s">
        <v>4</v>
      </c>
      <c r="Z1726" t="s">
        <v>4</v>
      </c>
      <c r="AA1726" t="s">
        <v>4</v>
      </c>
      <c r="AB1726" t="s">
        <v>4</v>
      </c>
    </row>
    <row r="1727" spans="1:28" hidden="1" x14ac:dyDescent="0.2">
      <c r="A1727" t="s">
        <v>837</v>
      </c>
      <c r="B1727" t="s">
        <v>2</v>
      </c>
      <c r="C1727" t="s">
        <v>3</v>
      </c>
      <c r="D1727" t="s">
        <v>4</v>
      </c>
      <c r="E1727" t="s">
        <v>4</v>
      </c>
      <c r="F1727" t="s">
        <v>16</v>
      </c>
      <c r="G1727" t="s">
        <v>6</v>
      </c>
      <c r="H1727" t="s">
        <v>4994</v>
      </c>
      <c r="I1727" s="2">
        <v>30000</v>
      </c>
      <c r="J1727" s="2">
        <v>0</v>
      </c>
      <c r="K1727" s="2">
        <v>0</v>
      </c>
      <c r="L1727" s="3">
        <v>45860</v>
      </c>
      <c r="M1727" s="3">
        <v>45860</v>
      </c>
      <c r="N1727" s="3"/>
      <c r="O1727" t="s">
        <v>4995</v>
      </c>
      <c r="P1727" t="s">
        <v>20</v>
      </c>
      <c r="Q1727" s="4">
        <v>0.33355324074074</v>
      </c>
      <c r="R1727" t="s">
        <v>16</v>
      </c>
      <c r="S1727" t="s">
        <v>4</v>
      </c>
      <c r="T1727" t="s">
        <v>2256</v>
      </c>
      <c r="U1727" t="s">
        <v>10</v>
      </c>
      <c r="V1727" s="5">
        <v>0</v>
      </c>
      <c r="W1727" s="5">
        <v>0</v>
      </c>
      <c r="X1727" s="2">
        <v>0</v>
      </c>
      <c r="Y1727" t="s">
        <v>4</v>
      </c>
      <c r="Z1727" t="s">
        <v>4</v>
      </c>
      <c r="AA1727" t="s">
        <v>4</v>
      </c>
      <c r="AB1727" t="s">
        <v>4</v>
      </c>
    </row>
    <row r="1728" spans="1:28" hidden="1" x14ac:dyDescent="0.2">
      <c r="A1728" t="s">
        <v>2251</v>
      </c>
      <c r="B1728" t="s">
        <v>4</v>
      </c>
      <c r="C1728" t="s">
        <v>4</v>
      </c>
      <c r="D1728" t="s">
        <v>4</v>
      </c>
      <c r="E1728" t="s">
        <v>4</v>
      </c>
      <c r="F1728" t="s">
        <v>16</v>
      </c>
      <c r="G1728" t="s">
        <v>21</v>
      </c>
      <c r="H1728" t="s">
        <v>4996</v>
      </c>
      <c r="I1728" s="5">
        <v>0</v>
      </c>
      <c r="J1728" s="5">
        <v>0</v>
      </c>
      <c r="K1728" s="5">
        <v>0</v>
      </c>
      <c r="L1728" s="3"/>
      <c r="M1728" s="3"/>
      <c r="N1728" s="3"/>
      <c r="O1728" t="s">
        <v>4</v>
      </c>
      <c r="P1728" t="s">
        <v>20</v>
      </c>
      <c r="Q1728" s="4">
        <v>0.36059027777778002</v>
      </c>
      <c r="R1728" t="s">
        <v>4</v>
      </c>
      <c r="S1728" t="s">
        <v>4</v>
      </c>
      <c r="T1728" t="s">
        <v>2256</v>
      </c>
      <c r="U1728" t="s">
        <v>4</v>
      </c>
      <c r="V1728" s="5">
        <v>0</v>
      </c>
      <c r="W1728" s="5">
        <v>0</v>
      </c>
      <c r="X1728" s="2">
        <v>0</v>
      </c>
      <c r="Y1728" t="s">
        <v>4</v>
      </c>
      <c r="Z1728" t="s">
        <v>4</v>
      </c>
      <c r="AA1728" t="s">
        <v>4</v>
      </c>
      <c r="AB1728" t="s">
        <v>4</v>
      </c>
    </row>
    <row r="1729" spans="1:28" hidden="1" x14ac:dyDescent="0.2">
      <c r="A1729" t="s">
        <v>1873</v>
      </c>
      <c r="B1729" t="s">
        <v>2</v>
      </c>
      <c r="C1729" t="s">
        <v>3</v>
      </c>
      <c r="D1729" t="s">
        <v>4</v>
      </c>
      <c r="E1729" t="s">
        <v>4</v>
      </c>
      <c r="F1729" t="s">
        <v>16</v>
      </c>
      <c r="G1729" t="s">
        <v>21</v>
      </c>
      <c r="H1729" t="s">
        <v>4997</v>
      </c>
      <c r="I1729" s="2">
        <v>5760</v>
      </c>
      <c r="J1729" s="2">
        <v>0</v>
      </c>
      <c r="K1729" s="2">
        <v>0</v>
      </c>
      <c r="L1729" s="3">
        <v>45833</v>
      </c>
      <c r="M1729" s="3">
        <v>45833</v>
      </c>
      <c r="N1729" s="3"/>
      <c r="O1729" t="s">
        <v>4998</v>
      </c>
      <c r="P1729" t="s">
        <v>20</v>
      </c>
      <c r="Q1729" s="4">
        <v>0.42785879629630003</v>
      </c>
      <c r="R1729" t="s">
        <v>16</v>
      </c>
      <c r="S1729" t="s">
        <v>4</v>
      </c>
      <c r="T1729" t="s">
        <v>2736</v>
      </c>
      <c r="U1729" t="s">
        <v>10</v>
      </c>
      <c r="V1729" s="5">
        <v>0</v>
      </c>
      <c r="W1729" s="5">
        <v>0</v>
      </c>
      <c r="X1729" s="2">
        <v>0</v>
      </c>
      <c r="Y1729" t="s">
        <v>4</v>
      </c>
      <c r="Z1729" t="s">
        <v>4</v>
      </c>
      <c r="AA1729" t="s">
        <v>4</v>
      </c>
      <c r="AB1729" t="s">
        <v>4</v>
      </c>
    </row>
    <row r="1730" spans="1:28" hidden="1" x14ac:dyDescent="0.2">
      <c r="A1730" t="s">
        <v>635</v>
      </c>
      <c r="B1730" t="s">
        <v>2</v>
      </c>
      <c r="C1730" t="s">
        <v>3</v>
      </c>
      <c r="D1730" t="s">
        <v>4</v>
      </c>
      <c r="E1730" t="s">
        <v>4</v>
      </c>
      <c r="F1730" t="s">
        <v>16</v>
      </c>
      <c r="G1730" t="s">
        <v>21</v>
      </c>
      <c r="H1730" t="s">
        <v>4999</v>
      </c>
      <c r="I1730" s="2">
        <v>800</v>
      </c>
      <c r="J1730" s="2">
        <v>0</v>
      </c>
      <c r="K1730" s="2">
        <v>0</v>
      </c>
      <c r="L1730" s="3">
        <v>45768</v>
      </c>
      <c r="M1730" s="3">
        <v>45768</v>
      </c>
      <c r="N1730" s="3"/>
      <c r="O1730" t="s">
        <v>5000</v>
      </c>
      <c r="P1730" t="s">
        <v>20</v>
      </c>
      <c r="Q1730" s="4">
        <v>0.44258101851852</v>
      </c>
      <c r="R1730" t="s">
        <v>16</v>
      </c>
      <c r="S1730" t="s">
        <v>4</v>
      </c>
      <c r="T1730" t="s">
        <v>2777</v>
      </c>
      <c r="U1730" t="s">
        <v>10</v>
      </c>
      <c r="V1730" s="5">
        <v>0</v>
      </c>
      <c r="W1730" s="5">
        <v>0</v>
      </c>
      <c r="X1730" s="2">
        <v>0</v>
      </c>
      <c r="Y1730" t="s">
        <v>4</v>
      </c>
      <c r="Z1730" t="s">
        <v>4</v>
      </c>
      <c r="AA1730" t="s">
        <v>4</v>
      </c>
      <c r="AB1730" t="s">
        <v>4</v>
      </c>
    </row>
    <row r="1731" spans="1:28" hidden="1" x14ac:dyDescent="0.2">
      <c r="A1731" t="s">
        <v>796</v>
      </c>
      <c r="B1731" t="s">
        <v>2</v>
      </c>
      <c r="C1731" t="s">
        <v>3</v>
      </c>
      <c r="D1731" t="s">
        <v>4</v>
      </c>
      <c r="E1731" t="s">
        <v>4</v>
      </c>
      <c r="F1731" t="s">
        <v>16</v>
      </c>
      <c r="G1731" t="s">
        <v>21</v>
      </c>
      <c r="H1731" t="s">
        <v>5001</v>
      </c>
      <c r="I1731" s="2">
        <v>800</v>
      </c>
      <c r="J1731" s="2">
        <v>0</v>
      </c>
      <c r="K1731" s="2">
        <v>0</v>
      </c>
      <c r="L1731" s="3">
        <v>45850</v>
      </c>
      <c r="M1731" s="3">
        <v>45850</v>
      </c>
      <c r="N1731" s="3"/>
      <c r="O1731" t="s">
        <v>5002</v>
      </c>
      <c r="P1731" t="s">
        <v>20</v>
      </c>
      <c r="Q1731" s="4">
        <v>0.46361111111110997</v>
      </c>
      <c r="R1731" t="s">
        <v>16</v>
      </c>
      <c r="S1731" t="s">
        <v>4</v>
      </c>
      <c r="T1731" t="s">
        <v>2680</v>
      </c>
      <c r="U1731" t="s">
        <v>10</v>
      </c>
      <c r="V1731" s="5">
        <v>0</v>
      </c>
      <c r="W1731" s="5">
        <v>0</v>
      </c>
      <c r="X1731" s="2">
        <v>0</v>
      </c>
      <c r="Y1731" t="s">
        <v>4</v>
      </c>
      <c r="Z1731" t="s">
        <v>4</v>
      </c>
      <c r="AA1731" t="s">
        <v>4</v>
      </c>
      <c r="AB1731" t="s">
        <v>4</v>
      </c>
    </row>
    <row r="1732" spans="1:28" hidden="1" x14ac:dyDescent="0.2">
      <c r="A1732" t="s">
        <v>1022</v>
      </c>
      <c r="B1732" t="s">
        <v>2</v>
      </c>
      <c r="C1732" t="s">
        <v>3</v>
      </c>
      <c r="D1732" t="s">
        <v>4</v>
      </c>
      <c r="E1732" t="s">
        <v>4</v>
      </c>
      <c r="F1732" t="s">
        <v>16</v>
      </c>
      <c r="G1732" t="s">
        <v>21</v>
      </c>
      <c r="H1732" t="s">
        <v>5003</v>
      </c>
      <c r="I1732" s="2">
        <v>150</v>
      </c>
      <c r="J1732" s="2">
        <v>0</v>
      </c>
      <c r="K1732" s="2">
        <v>0</v>
      </c>
      <c r="L1732" s="3">
        <v>45855</v>
      </c>
      <c r="M1732" s="3">
        <v>45855</v>
      </c>
      <c r="N1732" s="3"/>
      <c r="O1732" t="s">
        <v>5004</v>
      </c>
      <c r="P1732" t="s">
        <v>20</v>
      </c>
      <c r="Q1732" s="4">
        <v>0.98512731481480997</v>
      </c>
      <c r="R1732" t="s">
        <v>16</v>
      </c>
      <c r="S1732" t="s">
        <v>4</v>
      </c>
      <c r="T1732" t="s">
        <v>2350</v>
      </c>
      <c r="U1732" t="s">
        <v>10</v>
      </c>
      <c r="V1732" s="5">
        <v>0</v>
      </c>
      <c r="W1732" s="5">
        <v>0</v>
      </c>
      <c r="X1732" s="2">
        <v>0</v>
      </c>
      <c r="Y1732" t="s">
        <v>4</v>
      </c>
      <c r="Z1732" t="s">
        <v>4</v>
      </c>
      <c r="AA1732" t="s">
        <v>4</v>
      </c>
      <c r="AB1732" t="s">
        <v>4</v>
      </c>
    </row>
    <row r="1733" spans="1:28" hidden="1" x14ac:dyDescent="0.2">
      <c r="A1733" t="s">
        <v>796</v>
      </c>
      <c r="B1733" t="s">
        <v>2</v>
      </c>
      <c r="C1733" t="s">
        <v>3</v>
      </c>
      <c r="D1733" t="s">
        <v>4</v>
      </c>
      <c r="E1733" t="s">
        <v>4</v>
      </c>
      <c r="F1733" t="s">
        <v>16</v>
      </c>
      <c r="G1733" t="s">
        <v>21</v>
      </c>
      <c r="H1733" t="s">
        <v>5005</v>
      </c>
      <c r="I1733" s="2">
        <v>560</v>
      </c>
      <c r="J1733" s="2">
        <v>0</v>
      </c>
      <c r="K1733" s="2">
        <v>0</v>
      </c>
      <c r="L1733" s="3">
        <v>45852</v>
      </c>
      <c r="M1733" s="3">
        <v>45852</v>
      </c>
      <c r="N1733" s="3"/>
      <c r="O1733" t="s">
        <v>5006</v>
      </c>
      <c r="P1733" t="s">
        <v>20</v>
      </c>
      <c r="Q1733" s="4">
        <v>0.74584490740741005</v>
      </c>
      <c r="R1733" t="s">
        <v>16</v>
      </c>
      <c r="S1733" t="s">
        <v>4</v>
      </c>
      <c r="T1733" t="s">
        <v>2669</v>
      </c>
      <c r="U1733" t="s">
        <v>10</v>
      </c>
      <c r="V1733" s="5">
        <v>0</v>
      </c>
      <c r="W1733" s="5">
        <v>0</v>
      </c>
      <c r="X1733" s="2">
        <v>0</v>
      </c>
      <c r="Y1733" t="s">
        <v>4</v>
      </c>
      <c r="Z1733" t="s">
        <v>4</v>
      </c>
      <c r="AA1733" t="s">
        <v>4</v>
      </c>
      <c r="AB1733" t="s">
        <v>4</v>
      </c>
    </row>
    <row r="1734" spans="1:28" hidden="1" x14ac:dyDescent="0.2">
      <c r="A1734" t="s">
        <v>1135</v>
      </c>
      <c r="B1734" t="s">
        <v>2</v>
      </c>
      <c r="C1734" t="s">
        <v>3</v>
      </c>
      <c r="D1734" t="s">
        <v>4</v>
      </c>
      <c r="E1734" t="s">
        <v>4</v>
      </c>
      <c r="F1734" t="s">
        <v>16</v>
      </c>
      <c r="G1734" t="s">
        <v>21</v>
      </c>
      <c r="H1734" t="s">
        <v>5007</v>
      </c>
      <c r="I1734" s="2">
        <v>480</v>
      </c>
      <c r="J1734" s="2">
        <v>0</v>
      </c>
      <c r="K1734" s="2">
        <v>0</v>
      </c>
      <c r="L1734" s="3">
        <v>45857</v>
      </c>
      <c r="M1734" s="3">
        <v>45857</v>
      </c>
      <c r="N1734" s="3"/>
      <c r="O1734" t="s">
        <v>5008</v>
      </c>
      <c r="P1734" t="s">
        <v>20</v>
      </c>
      <c r="Q1734" s="4">
        <v>0.80532407407407003</v>
      </c>
      <c r="R1734" t="s">
        <v>16</v>
      </c>
      <c r="S1734" t="s">
        <v>4</v>
      </c>
      <c r="T1734" t="s">
        <v>2262</v>
      </c>
      <c r="U1734" t="s">
        <v>10</v>
      </c>
      <c r="V1734" s="5">
        <v>0</v>
      </c>
      <c r="W1734" s="5">
        <v>0</v>
      </c>
      <c r="X1734" s="2">
        <v>0</v>
      </c>
      <c r="Y1734" t="s">
        <v>4</v>
      </c>
      <c r="Z1734" t="s">
        <v>4</v>
      </c>
      <c r="AA1734" t="s">
        <v>4</v>
      </c>
      <c r="AB1734" t="s">
        <v>4</v>
      </c>
    </row>
    <row r="1735" spans="1:28" hidden="1" x14ac:dyDescent="0.2">
      <c r="A1735" t="s">
        <v>0</v>
      </c>
      <c r="B1735" t="s">
        <v>2</v>
      </c>
      <c r="C1735" t="s">
        <v>3</v>
      </c>
      <c r="D1735" t="s">
        <v>4</v>
      </c>
      <c r="E1735" t="s">
        <v>4</v>
      </c>
      <c r="F1735" t="s">
        <v>16</v>
      </c>
      <c r="G1735" t="s">
        <v>21</v>
      </c>
      <c r="H1735" t="s">
        <v>125</v>
      </c>
      <c r="I1735" s="2">
        <v>196</v>
      </c>
      <c r="J1735" s="2">
        <v>0</v>
      </c>
      <c r="K1735" s="2">
        <v>0</v>
      </c>
      <c r="L1735" s="3">
        <v>45843</v>
      </c>
      <c r="M1735" s="3">
        <v>45843</v>
      </c>
      <c r="N1735" s="3"/>
      <c r="O1735" t="s">
        <v>126</v>
      </c>
      <c r="P1735" t="s">
        <v>20</v>
      </c>
      <c r="Q1735" s="4">
        <v>0.88603009259259002</v>
      </c>
      <c r="R1735" t="s">
        <v>16</v>
      </c>
      <c r="S1735" t="s">
        <v>4</v>
      </c>
      <c r="T1735" t="s">
        <v>2783</v>
      </c>
      <c r="U1735" t="s">
        <v>10</v>
      </c>
      <c r="V1735" s="5">
        <v>0</v>
      </c>
      <c r="W1735" s="5">
        <v>0</v>
      </c>
      <c r="X1735" s="2">
        <v>0</v>
      </c>
      <c r="Y1735" t="s">
        <v>4</v>
      </c>
      <c r="Z1735" t="s">
        <v>4</v>
      </c>
      <c r="AA1735" t="s">
        <v>4</v>
      </c>
      <c r="AB1735" t="s">
        <v>4</v>
      </c>
    </row>
    <row r="1736" spans="1:28" hidden="1" x14ac:dyDescent="0.2">
      <c r="A1736" t="s">
        <v>263</v>
      </c>
      <c r="B1736" t="s">
        <v>2</v>
      </c>
      <c r="C1736" t="s">
        <v>3</v>
      </c>
      <c r="D1736" t="s">
        <v>4</v>
      </c>
      <c r="E1736" t="s">
        <v>4</v>
      </c>
      <c r="F1736" t="s">
        <v>16</v>
      </c>
      <c r="G1736" t="s">
        <v>21</v>
      </c>
      <c r="H1736" t="s">
        <v>5009</v>
      </c>
      <c r="I1736" s="2">
        <v>10000</v>
      </c>
      <c r="J1736" s="2">
        <v>0</v>
      </c>
      <c r="K1736" s="2">
        <v>0</v>
      </c>
      <c r="L1736" s="3">
        <v>45848</v>
      </c>
      <c r="M1736" s="3">
        <v>45848</v>
      </c>
      <c r="N1736" s="3"/>
      <c r="O1736" t="s">
        <v>5010</v>
      </c>
      <c r="P1736" t="s">
        <v>20</v>
      </c>
      <c r="Q1736" s="4">
        <v>0.80936342592593002</v>
      </c>
      <c r="R1736" t="s">
        <v>16</v>
      </c>
      <c r="S1736" t="s">
        <v>4</v>
      </c>
      <c r="T1736" t="s">
        <v>2580</v>
      </c>
      <c r="U1736" t="s">
        <v>10</v>
      </c>
      <c r="V1736" s="5">
        <v>0</v>
      </c>
      <c r="W1736" s="5">
        <v>0</v>
      </c>
      <c r="X1736" s="2">
        <v>0</v>
      </c>
      <c r="Y1736" t="s">
        <v>4</v>
      </c>
      <c r="Z1736" t="s">
        <v>4</v>
      </c>
      <c r="AA1736" t="s">
        <v>4</v>
      </c>
      <c r="AB1736" t="s">
        <v>4</v>
      </c>
    </row>
    <row r="1737" spans="1:28" hidden="1" x14ac:dyDescent="0.2">
      <c r="A1737" t="s">
        <v>1135</v>
      </c>
      <c r="B1737" t="s">
        <v>2</v>
      </c>
      <c r="C1737" t="s">
        <v>3</v>
      </c>
      <c r="D1737" t="s">
        <v>4</v>
      </c>
      <c r="E1737" t="s">
        <v>4</v>
      </c>
      <c r="F1737" t="s">
        <v>16</v>
      </c>
      <c r="G1737" t="s">
        <v>21</v>
      </c>
      <c r="H1737" t="s">
        <v>5011</v>
      </c>
      <c r="I1737" s="2">
        <v>480</v>
      </c>
      <c r="J1737" s="2">
        <v>0</v>
      </c>
      <c r="K1737" s="2">
        <v>0</v>
      </c>
      <c r="L1737" s="3">
        <v>45857</v>
      </c>
      <c r="M1737" s="3">
        <v>45857</v>
      </c>
      <c r="N1737" s="3"/>
      <c r="O1737" t="s">
        <v>5012</v>
      </c>
      <c r="P1737" t="s">
        <v>20</v>
      </c>
      <c r="Q1737" s="4">
        <v>0.80547453703703997</v>
      </c>
      <c r="R1737" t="s">
        <v>16</v>
      </c>
      <c r="S1737" t="s">
        <v>4</v>
      </c>
      <c r="T1737" t="s">
        <v>2262</v>
      </c>
      <c r="U1737" t="s">
        <v>10</v>
      </c>
      <c r="V1737" s="5">
        <v>0</v>
      </c>
      <c r="W1737" s="5">
        <v>0</v>
      </c>
      <c r="X1737" s="2">
        <v>0</v>
      </c>
      <c r="Y1737" t="s">
        <v>4</v>
      </c>
      <c r="Z1737" t="s">
        <v>4</v>
      </c>
      <c r="AA1737" t="s">
        <v>4</v>
      </c>
      <c r="AB1737" t="s">
        <v>4</v>
      </c>
    </row>
    <row r="1738" spans="1:28" hidden="1" x14ac:dyDescent="0.2">
      <c r="A1738" t="s">
        <v>1963</v>
      </c>
      <c r="B1738" t="s">
        <v>2</v>
      </c>
      <c r="C1738" t="s">
        <v>3</v>
      </c>
      <c r="D1738" t="s">
        <v>4</v>
      </c>
      <c r="E1738" t="s">
        <v>4</v>
      </c>
      <c r="F1738" t="s">
        <v>16</v>
      </c>
      <c r="G1738" t="s">
        <v>17</v>
      </c>
      <c r="H1738" t="s">
        <v>5013</v>
      </c>
      <c r="I1738" s="2">
        <v>6336</v>
      </c>
      <c r="J1738" s="2">
        <v>0</v>
      </c>
      <c r="K1738" s="2">
        <v>0</v>
      </c>
      <c r="L1738" s="3">
        <v>45729</v>
      </c>
      <c r="M1738" s="3">
        <v>45729</v>
      </c>
      <c r="N1738" s="3"/>
      <c r="O1738" t="s">
        <v>5014</v>
      </c>
      <c r="P1738" t="s">
        <v>20</v>
      </c>
      <c r="Q1738" s="4">
        <v>0.48092592592592998</v>
      </c>
      <c r="R1738" t="s">
        <v>16</v>
      </c>
      <c r="S1738" t="s">
        <v>4</v>
      </c>
      <c r="T1738" t="s">
        <v>5015</v>
      </c>
      <c r="U1738" t="s">
        <v>10</v>
      </c>
      <c r="V1738" s="5">
        <v>0</v>
      </c>
      <c r="W1738" s="5">
        <v>0</v>
      </c>
      <c r="X1738" s="2">
        <v>0</v>
      </c>
      <c r="Y1738" t="s">
        <v>4</v>
      </c>
      <c r="Z1738" t="s">
        <v>4</v>
      </c>
      <c r="AA1738" t="s">
        <v>4</v>
      </c>
      <c r="AB1738" t="s">
        <v>4</v>
      </c>
    </row>
    <row r="1739" spans="1:28" hidden="1" x14ac:dyDescent="0.2">
      <c r="A1739" t="s">
        <v>317</v>
      </c>
      <c r="B1739" t="s">
        <v>2</v>
      </c>
      <c r="C1739" t="s">
        <v>3</v>
      </c>
      <c r="D1739" t="s">
        <v>4</v>
      </c>
      <c r="E1739" t="s">
        <v>4</v>
      </c>
      <c r="F1739" t="s">
        <v>16</v>
      </c>
      <c r="G1739" t="s">
        <v>6</v>
      </c>
      <c r="H1739" t="s">
        <v>5016</v>
      </c>
      <c r="I1739" s="2">
        <v>317</v>
      </c>
      <c r="J1739" s="2">
        <v>0</v>
      </c>
      <c r="K1739" s="2">
        <v>0</v>
      </c>
      <c r="L1739" s="3">
        <v>45804</v>
      </c>
      <c r="M1739" s="3">
        <v>45857</v>
      </c>
      <c r="N1739" s="3">
        <v>45857</v>
      </c>
      <c r="O1739" t="s">
        <v>5017</v>
      </c>
      <c r="P1739" t="s">
        <v>20</v>
      </c>
      <c r="Q1739" s="4">
        <v>0.60523148148147998</v>
      </c>
      <c r="R1739" t="s">
        <v>16</v>
      </c>
      <c r="S1739" t="s">
        <v>4</v>
      </c>
      <c r="T1739" t="s">
        <v>3530</v>
      </c>
      <c r="U1739" t="s">
        <v>10</v>
      </c>
      <c r="V1739" s="5">
        <v>0</v>
      </c>
      <c r="W1739" s="5">
        <v>0</v>
      </c>
      <c r="X1739" s="2">
        <v>0</v>
      </c>
      <c r="Y1739" t="s">
        <v>4</v>
      </c>
      <c r="Z1739" t="s">
        <v>4</v>
      </c>
      <c r="AA1739" t="s">
        <v>4</v>
      </c>
      <c r="AB1739" t="s">
        <v>4</v>
      </c>
    </row>
    <row r="1740" spans="1:28" hidden="1" x14ac:dyDescent="0.2">
      <c r="A1740" t="s">
        <v>2046</v>
      </c>
      <c r="B1740" t="s">
        <v>2</v>
      </c>
      <c r="C1740" t="s">
        <v>3</v>
      </c>
      <c r="D1740" t="s">
        <v>4</v>
      </c>
      <c r="E1740" t="s">
        <v>4</v>
      </c>
      <c r="F1740" t="s">
        <v>16</v>
      </c>
      <c r="G1740" t="s">
        <v>6</v>
      </c>
      <c r="H1740" t="s">
        <v>5018</v>
      </c>
      <c r="I1740" s="2">
        <v>2700</v>
      </c>
      <c r="J1740" s="2">
        <v>0</v>
      </c>
      <c r="K1740" s="2">
        <v>0</v>
      </c>
      <c r="L1740" s="3">
        <v>45842</v>
      </c>
      <c r="M1740" s="3">
        <v>45842</v>
      </c>
      <c r="N1740" s="3"/>
      <c r="O1740" t="s">
        <v>5019</v>
      </c>
      <c r="P1740" t="s">
        <v>20</v>
      </c>
      <c r="Q1740" s="4">
        <v>0.49754629629629998</v>
      </c>
      <c r="R1740" t="s">
        <v>16</v>
      </c>
      <c r="S1740" t="s">
        <v>4</v>
      </c>
      <c r="T1740" t="s">
        <v>2610</v>
      </c>
      <c r="U1740" t="s">
        <v>10</v>
      </c>
      <c r="V1740" s="5">
        <v>0</v>
      </c>
      <c r="W1740" s="5">
        <v>0</v>
      </c>
      <c r="X1740" s="2">
        <v>0</v>
      </c>
      <c r="Y1740" t="s">
        <v>4</v>
      </c>
      <c r="Z1740" t="s">
        <v>4</v>
      </c>
      <c r="AA1740" t="s">
        <v>4</v>
      </c>
      <c r="AB1740" t="s">
        <v>4</v>
      </c>
    </row>
    <row r="1741" spans="1:28" hidden="1" x14ac:dyDescent="0.2">
      <c r="A1741" t="s">
        <v>2251</v>
      </c>
      <c r="B1741" t="s">
        <v>4</v>
      </c>
      <c r="C1741" t="s">
        <v>4</v>
      </c>
      <c r="D1741" t="s">
        <v>4</v>
      </c>
      <c r="E1741" t="s">
        <v>4</v>
      </c>
      <c r="F1741" t="s">
        <v>16</v>
      </c>
      <c r="G1741" t="s">
        <v>6</v>
      </c>
      <c r="H1741" t="s">
        <v>5020</v>
      </c>
      <c r="I1741" s="5">
        <v>0</v>
      </c>
      <c r="J1741" s="5">
        <v>0</v>
      </c>
      <c r="K1741" s="5">
        <v>0</v>
      </c>
      <c r="L1741" s="3"/>
      <c r="M1741" s="3"/>
      <c r="N1741" s="3"/>
      <c r="O1741" t="s">
        <v>4</v>
      </c>
      <c r="P1741" t="s">
        <v>20</v>
      </c>
      <c r="Q1741" s="4">
        <v>0.44918981481481002</v>
      </c>
      <c r="R1741" t="s">
        <v>4</v>
      </c>
      <c r="S1741" t="s">
        <v>4</v>
      </c>
      <c r="T1741" t="s">
        <v>2256</v>
      </c>
      <c r="U1741" t="s">
        <v>4</v>
      </c>
      <c r="V1741" s="5">
        <v>0</v>
      </c>
      <c r="W1741" s="5">
        <v>0</v>
      </c>
      <c r="X1741" s="2">
        <v>0</v>
      </c>
      <c r="Y1741" t="s">
        <v>4</v>
      </c>
      <c r="Z1741" t="s">
        <v>4</v>
      </c>
      <c r="AA1741" t="s">
        <v>4</v>
      </c>
      <c r="AB1741" t="s">
        <v>4</v>
      </c>
    </row>
    <row r="1742" spans="1:28" hidden="1" x14ac:dyDescent="0.2">
      <c r="A1742" t="s">
        <v>2001</v>
      </c>
      <c r="B1742" t="s">
        <v>2</v>
      </c>
      <c r="C1742" t="s">
        <v>3</v>
      </c>
      <c r="D1742" t="s">
        <v>4</v>
      </c>
      <c r="E1742" t="s">
        <v>4</v>
      </c>
      <c r="F1742" t="s">
        <v>16</v>
      </c>
      <c r="G1742" t="s">
        <v>6</v>
      </c>
      <c r="H1742" t="s">
        <v>5021</v>
      </c>
      <c r="I1742" s="2">
        <v>943</v>
      </c>
      <c r="J1742" s="2">
        <v>0</v>
      </c>
      <c r="K1742" s="2">
        <v>0</v>
      </c>
      <c r="L1742" s="3">
        <v>44908</v>
      </c>
      <c r="M1742" s="3">
        <v>45619</v>
      </c>
      <c r="N1742" s="3">
        <v>45574</v>
      </c>
      <c r="O1742" t="s">
        <v>5022</v>
      </c>
      <c r="P1742" t="s">
        <v>20</v>
      </c>
      <c r="Q1742" s="4">
        <v>0.47040509259259</v>
      </c>
      <c r="R1742" t="s">
        <v>16</v>
      </c>
      <c r="S1742" t="s">
        <v>4</v>
      </c>
      <c r="T1742" t="s">
        <v>5023</v>
      </c>
      <c r="U1742" t="s">
        <v>10</v>
      </c>
      <c r="V1742" s="5">
        <v>0</v>
      </c>
      <c r="W1742" s="5">
        <v>0</v>
      </c>
      <c r="X1742" s="2">
        <v>0</v>
      </c>
      <c r="Y1742" t="s">
        <v>4</v>
      </c>
      <c r="Z1742" t="s">
        <v>4</v>
      </c>
      <c r="AA1742" t="s">
        <v>4</v>
      </c>
      <c r="AB1742" t="s">
        <v>4</v>
      </c>
    </row>
    <row r="1743" spans="1:28" hidden="1" x14ac:dyDescent="0.2">
      <c r="A1743" t="s">
        <v>709</v>
      </c>
      <c r="B1743" t="s">
        <v>2</v>
      </c>
      <c r="C1743" t="s">
        <v>3</v>
      </c>
      <c r="D1743" t="s">
        <v>4</v>
      </c>
      <c r="E1743" t="s">
        <v>4</v>
      </c>
      <c r="F1743" t="s">
        <v>16</v>
      </c>
      <c r="G1743" t="s">
        <v>6</v>
      </c>
      <c r="H1743" t="s">
        <v>5024</v>
      </c>
      <c r="I1743" s="2">
        <v>50</v>
      </c>
      <c r="J1743" s="2">
        <v>0</v>
      </c>
      <c r="K1743" s="2">
        <v>0</v>
      </c>
      <c r="L1743" s="3">
        <v>45849</v>
      </c>
      <c r="M1743" s="3">
        <v>45849</v>
      </c>
      <c r="N1743" s="3"/>
      <c r="O1743" t="s">
        <v>5025</v>
      </c>
      <c r="P1743" t="s">
        <v>20</v>
      </c>
      <c r="Q1743" s="4">
        <v>0.99011574074074005</v>
      </c>
      <c r="R1743" t="s">
        <v>16</v>
      </c>
      <c r="S1743" t="s">
        <v>4</v>
      </c>
      <c r="T1743" t="s">
        <v>2321</v>
      </c>
      <c r="U1743" t="s">
        <v>10</v>
      </c>
      <c r="V1743" s="5">
        <v>0</v>
      </c>
      <c r="W1743" s="5">
        <v>0</v>
      </c>
      <c r="X1743" s="2">
        <v>0</v>
      </c>
      <c r="Y1743" t="s">
        <v>4</v>
      </c>
      <c r="Z1743" t="s">
        <v>4</v>
      </c>
      <c r="AA1743" t="s">
        <v>4</v>
      </c>
      <c r="AB1743" t="s">
        <v>4</v>
      </c>
    </row>
    <row r="1744" spans="1:28" hidden="1" x14ac:dyDescent="0.2">
      <c r="A1744" t="s">
        <v>623</v>
      </c>
      <c r="B1744" t="s">
        <v>2</v>
      </c>
      <c r="C1744" t="s">
        <v>3</v>
      </c>
      <c r="D1744" t="s">
        <v>4</v>
      </c>
      <c r="E1744" t="s">
        <v>4</v>
      </c>
      <c r="F1744" t="s">
        <v>16</v>
      </c>
      <c r="G1744" t="s">
        <v>6</v>
      </c>
      <c r="H1744" t="s">
        <v>5026</v>
      </c>
      <c r="I1744" s="2">
        <v>1181</v>
      </c>
      <c r="J1744" s="2">
        <v>0</v>
      </c>
      <c r="K1744" s="2">
        <v>0</v>
      </c>
      <c r="L1744" s="3">
        <v>45850</v>
      </c>
      <c r="M1744" s="3">
        <v>45850</v>
      </c>
      <c r="N1744" s="3"/>
      <c r="O1744" t="s">
        <v>5027</v>
      </c>
      <c r="P1744" t="s">
        <v>20</v>
      </c>
      <c r="Q1744" s="4">
        <v>0.97621527777778005</v>
      </c>
      <c r="R1744" t="s">
        <v>16</v>
      </c>
      <c r="S1744" t="s">
        <v>4</v>
      </c>
      <c r="T1744" t="s">
        <v>2680</v>
      </c>
      <c r="U1744" t="s">
        <v>10</v>
      </c>
      <c r="V1744" s="5">
        <v>0</v>
      </c>
      <c r="W1744" s="5">
        <v>0</v>
      </c>
      <c r="X1744" s="2">
        <v>0</v>
      </c>
      <c r="Y1744" t="s">
        <v>4</v>
      </c>
      <c r="Z1744" t="s">
        <v>4</v>
      </c>
      <c r="AA1744" t="s">
        <v>4</v>
      </c>
      <c r="AB1744" t="s">
        <v>4</v>
      </c>
    </row>
    <row r="1745" spans="1:28" hidden="1" x14ac:dyDescent="0.2">
      <c r="A1745" t="s">
        <v>709</v>
      </c>
      <c r="B1745" t="s">
        <v>2</v>
      </c>
      <c r="C1745" t="s">
        <v>3</v>
      </c>
      <c r="D1745" t="s">
        <v>4</v>
      </c>
      <c r="E1745" t="s">
        <v>4</v>
      </c>
      <c r="F1745" t="s">
        <v>16</v>
      </c>
      <c r="G1745" t="s">
        <v>6</v>
      </c>
      <c r="H1745" t="s">
        <v>5028</v>
      </c>
      <c r="I1745" s="2">
        <v>50</v>
      </c>
      <c r="J1745" s="2">
        <v>0</v>
      </c>
      <c r="K1745" s="2">
        <v>0</v>
      </c>
      <c r="L1745" s="3">
        <v>45849</v>
      </c>
      <c r="M1745" s="3">
        <v>45849</v>
      </c>
      <c r="N1745" s="3"/>
      <c r="O1745" t="s">
        <v>5029</v>
      </c>
      <c r="P1745" t="s">
        <v>20</v>
      </c>
      <c r="Q1745" s="4">
        <v>0.98993055555555998</v>
      </c>
      <c r="R1745" t="s">
        <v>16</v>
      </c>
      <c r="S1745" t="s">
        <v>4</v>
      </c>
      <c r="T1745" t="s">
        <v>2321</v>
      </c>
      <c r="U1745" t="s">
        <v>10</v>
      </c>
      <c r="V1745" s="5">
        <v>0</v>
      </c>
      <c r="W1745" s="5">
        <v>0</v>
      </c>
      <c r="X1745" s="2">
        <v>0</v>
      </c>
      <c r="Y1745" t="s">
        <v>4</v>
      </c>
      <c r="Z1745" t="s">
        <v>4</v>
      </c>
      <c r="AA1745" t="s">
        <v>4</v>
      </c>
      <c r="AB1745" t="s">
        <v>4</v>
      </c>
    </row>
    <row r="1746" spans="1:28" hidden="1" x14ac:dyDescent="0.2">
      <c r="A1746" t="s">
        <v>2251</v>
      </c>
      <c r="B1746" t="s">
        <v>4</v>
      </c>
      <c r="C1746" t="s">
        <v>4</v>
      </c>
      <c r="D1746" t="s">
        <v>4</v>
      </c>
      <c r="E1746" t="s">
        <v>4</v>
      </c>
      <c r="F1746" t="s">
        <v>16</v>
      </c>
      <c r="G1746" t="s">
        <v>6</v>
      </c>
      <c r="H1746" t="s">
        <v>5030</v>
      </c>
      <c r="I1746" s="5">
        <v>0</v>
      </c>
      <c r="J1746" s="5">
        <v>0</v>
      </c>
      <c r="K1746" s="5">
        <v>0</v>
      </c>
      <c r="L1746" s="3"/>
      <c r="M1746" s="3"/>
      <c r="N1746" s="3"/>
      <c r="O1746" t="s">
        <v>4</v>
      </c>
      <c r="P1746" t="s">
        <v>20</v>
      </c>
      <c r="Q1746" s="4">
        <v>0.51658564814815</v>
      </c>
      <c r="R1746" t="s">
        <v>4</v>
      </c>
      <c r="S1746" t="s">
        <v>4</v>
      </c>
      <c r="T1746" t="s">
        <v>2256</v>
      </c>
      <c r="U1746" t="s">
        <v>4</v>
      </c>
      <c r="V1746" s="5">
        <v>0</v>
      </c>
      <c r="W1746" s="5">
        <v>0</v>
      </c>
      <c r="X1746" s="2">
        <v>0</v>
      </c>
      <c r="Y1746" t="s">
        <v>4</v>
      </c>
      <c r="Z1746" t="s">
        <v>4</v>
      </c>
      <c r="AA1746" t="s">
        <v>4</v>
      </c>
      <c r="AB1746" t="s">
        <v>4</v>
      </c>
    </row>
    <row r="1747" spans="1:28" hidden="1" x14ac:dyDescent="0.2">
      <c r="A1747" t="s">
        <v>909</v>
      </c>
      <c r="B1747" t="s">
        <v>2</v>
      </c>
      <c r="C1747" t="s">
        <v>3</v>
      </c>
      <c r="D1747" t="s">
        <v>4</v>
      </c>
      <c r="E1747" t="s">
        <v>4</v>
      </c>
      <c r="F1747" t="s">
        <v>16</v>
      </c>
      <c r="G1747" t="s">
        <v>6</v>
      </c>
      <c r="H1747" t="s">
        <v>5031</v>
      </c>
      <c r="I1747" s="5">
        <v>175.4</v>
      </c>
      <c r="J1747" s="2">
        <v>0</v>
      </c>
      <c r="K1747" s="2">
        <v>0</v>
      </c>
      <c r="L1747" s="3">
        <v>45070</v>
      </c>
      <c r="M1747" s="3">
        <v>45070</v>
      </c>
      <c r="N1747" s="3"/>
      <c r="O1747" t="s">
        <v>5032</v>
      </c>
      <c r="P1747" t="s">
        <v>20</v>
      </c>
      <c r="Q1747" s="4">
        <v>0.64581018518518996</v>
      </c>
      <c r="R1747" t="s">
        <v>16</v>
      </c>
      <c r="S1747" t="s">
        <v>4</v>
      </c>
      <c r="T1747" t="s">
        <v>5033</v>
      </c>
      <c r="U1747" t="s">
        <v>10</v>
      </c>
      <c r="V1747" s="5">
        <v>0</v>
      </c>
      <c r="W1747" s="5">
        <v>0</v>
      </c>
      <c r="X1747" s="2">
        <v>0</v>
      </c>
      <c r="Y1747" t="s">
        <v>4</v>
      </c>
      <c r="Z1747" t="s">
        <v>4</v>
      </c>
      <c r="AA1747" t="s">
        <v>4</v>
      </c>
      <c r="AB1747" t="s">
        <v>4</v>
      </c>
    </row>
    <row r="1748" spans="1:28" hidden="1" x14ac:dyDescent="0.2">
      <c r="A1748" t="s">
        <v>1248</v>
      </c>
      <c r="B1748" t="s">
        <v>2</v>
      </c>
      <c r="C1748" t="s">
        <v>3</v>
      </c>
      <c r="D1748" t="s">
        <v>4</v>
      </c>
      <c r="E1748" t="s">
        <v>4</v>
      </c>
      <c r="F1748" t="s">
        <v>16</v>
      </c>
      <c r="G1748" t="s">
        <v>21</v>
      </c>
      <c r="H1748" t="s">
        <v>5034</v>
      </c>
      <c r="I1748" s="2">
        <v>350</v>
      </c>
      <c r="J1748" s="2">
        <v>0</v>
      </c>
      <c r="K1748" s="2">
        <v>0</v>
      </c>
      <c r="L1748" s="3">
        <v>45842</v>
      </c>
      <c r="M1748" s="3">
        <v>45842</v>
      </c>
      <c r="N1748" s="3"/>
      <c r="O1748" t="s">
        <v>5035</v>
      </c>
      <c r="P1748" t="s">
        <v>20</v>
      </c>
      <c r="Q1748" s="4">
        <v>0.91565972222222003</v>
      </c>
      <c r="R1748" t="s">
        <v>16</v>
      </c>
      <c r="S1748" t="s">
        <v>4</v>
      </c>
      <c r="T1748" t="s">
        <v>2610</v>
      </c>
      <c r="U1748" t="s">
        <v>10</v>
      </c>
      <c r="V1748" s="5">
        <v>0</v>
      </c>
      <c r="W1748" s="5">
        <v>0</v>
      </c>
      <c r="X1748" s="2">
        <v>0</v>
      </c>
      <c r="Y1748" t="s">
        <v>4</v>
      </c>
      <c r="Z1748" t="s">
        <v>4</v>
      </c>
      <c r="AA1748" t="s">
        <v>4</v>
      </c>
      <c r="AB1748" t="s">
        <v>4</v>
      </c>
    </row>
    <row r="1749" spans="1:28" hidden="1" x14ac:dyDescent="0.2">
      <c r="A1749" t="s">
        <v>1884</v>
      </c>
      <c r="B1749" t="s">
        <v>2</v>
      </c>
      <c r="C1749" t="s">
        <v>3</v>
      </c>
      <c r="D1749" t="s">
        <v>4</v>
      </c>
      <c r="E1749" t="s">
        <v>4</v>
      </c>
      <c r="F1749" t="s">
        <v>16</v>
      </c>
      <c r="G1749" t="s">
        <v>17</v>
      </c>
      <c r="H1749" t="s">
        <v>5036</v>
      </c>
      <c r="I1749" s="2">
        <v>10944</v>
      </c>
      <c r="J1749" s="2">
        <v>0</v>
      </c>
      <c r="K1749" s="2">
        <v>0</v>
      </c>
      <c r="L1749" s="3">
        <v>45858</v>
      </c>
      <c r="M1749" s="3">
        <v>45858</v>
      </c>
      <c r="N1749" s="3"/>
      <c r="O1749" t="s">
        <v>5037</v>
      </c>
      <c r="P1749" t="s">
        <v>20</v>
      </c>
      <c r="Q1749" s="4">
        <v>0.35025462962963</v>
      </c>
      <c r="R1749" t="s">
        <v>16</v>
      </c>
      <c r="S1749" t="s">
        <v>4</v>
      </c>
      <c r="T1749" t="s">
        <v>2337</v>
      </c>
      <c r="U1749" t="s">
        <v>10</v>
      </c>
      <c r="V1749" s="5">
        <v>0</v>
      </c>
      <c r="W1749" s="5">
        <v>0</v>
      </c>
      <c r="X1749" s="2">
        <v>0</v>
      </c>
      <c r="Y1749" t="s">
        <v>4</v>
      </c>
      <c r="Z1749" t="s">
        <v>4</v>
      </c>
      <c r="AA1749" t="s">
        <v>4</v>
      </c>
      <c r="AB1749" t="s">
        <v>4</v>
      </c>
    </row>
    <row r="1750" spans="1:28" hidden="1" x14ac:dyDescent="0.2">
      <c r="A1750" t="s">
        <v>1135</v>
      </c>
      <c r="B1750" t="s">
        <v>2</v>
      </c>
      <c r="C1750" t="s">
        <v>3</v>
      </c>
      <c r="D1750" t="s">
        <v>4</v>
      </c>
      <c r="E1750" t="s">
        <v>4</v>
      </c>
      <c r="F1750" t="s">
        <v>16</v>
      </c>
      <c r="G1750" t="s">
        <v>21</v>
      </c>
      <c r="H1750" t="s">
        <v>5038</v>
      </c>
      <c r="I1750" s="2">
        <v>37</v>
      </c>
      <c r="J1750" s="2">
        <v>0</v>
      </c>
      <c r="K1750" s="2">
        <v>0</v>
      </c>
      <c r="L1750" s="3">
        <v>45857</v>
      </c>
      <c r="M1750" s="3">
        <v>45857</v>
      </c>
      <c r="N1750" s="3"/>
      <c r="O1750" t="s">
        <v>5039</v>
      </c>
      <c r="P1750" t="s">
        <v>20</v>
      </c>
      <c r="Q1750" s="4">
        <v>0.80682870370369997</v>
      </c>
      <c r="R1750" t="s">
        <v>16</v>
      </c>
      <c r="S1750" t="s">
        <v>4</v>
      </c>
      <c r="T1750" t="s">
        <v>2262</v>
      </c>
      <c r="U1750" t="s">
        <v>10</v>
      </c>
      <c r="V1750" s="5">
        <v>0</v>
      </c>
      <c r="W1750" s="5">
        <v>0</v>
      </c>
      <c r="X1750" s="2">
        <v>0</v>
      </c>
      <c r="Y1750" t="s">
        <v>4</v>
      </c>
      <c r="Z1750" t="s">
        <v>4</v>
      </c>
      <c r="AA1750" t="s">
        <v>4</v>
      </c>
      <c r="AB1750" t="s">
        <v>4</v>
      </c>
    </row>
    <row r="1751" spans="1:28" hidden="1" x14ac:dyDescent="0.2">
      <c r="A1751" t="s">
        <v>1854</v>
      </c>
      <c r="B1751" t="s">
        <v>2</v>
      </c>
      <c r="C1751" t="s">
        <v>3</v>
      </c>
      <c r="D1751" t="s">
        <v>4</v>
      </c>
      <c r="E1751" t="s">
        <v>4</v>
      </c>
      <c r="F1751" t="s">
        <v>16</v>
      </c>
      <c r="G1751" t="s">
        <v>17</v>
      </c>
      <c r="H1751" t="s">
        <v>5040</v>
      </c>
      <c r="I1751" s="2">
        <v>432</v>
      </c>
      <c r="J1751" s="2">
        <v>0</v>
      </c>
      <c r="K1751" s="2">
        <v>0</v>
      </c>
      <c r="L1751" s="3">
        <v>44848</v>
      </c>
      <c r="M1751" s="3">
        <v>45759</v>
      </c>
      <c r="N1751" s="3"/>
      <c r="O1751" t="s">
        <v>5041</v>
      </c>
      <c r="P1751" t="s">
        <v>20</v>
      </c>
      <c r="Q1751" s="4">
        <v>0.45024305555555999</v>
      </c>
      <c r="R1751" t="s">
        <v>16</v>
      </c>
      <c r="S1751" t="s">
        <v>4</v>
      </c>
      <c r="T1751" t="s">
        <v>5042</v>
      </c>
      <c r="U1751" t="s">
        <v>10</v>
      </c>
      <c r="V1751" s="5">
        <v>0</v>
      </c>
      <c r="W1751" s="5">
        <v>0</v>
      </c>
      <c r="X1751" s="2">
        <v>0</v>
      </c>
      <c r="Y1751" t="s">
        <v>4</v>
      </c>
      <c r="Z1751" t="s">
        <v>4</v>
      </c>
      <c r="AA1751" t="s">
        <v>4</v>
      </c>
      <c r="AB1751" t="s">
        <v>4</v>
      </c>
    </row>
    <row r="1752" spans="1:28" hidden="1" x14ac:dyDescent="0.2">
      <c r="A1752" t="s">
        <v>2142</v>
      </c>
      <c r="B1752" t="s">
        <v>2</v>
      </c>
      <c r="C1752" t="s">
        <v>3</v>
      </c>
      <c r="D1752" t="s">
        <v>4</v>
      </c>
      <c r="E1752" t="s">
        <v>4</v>
      </c>
      <c r="F1752" t="s">
        <v>16</v>
      </c>
      <c r="G1752" t="s">
        <v>17</v>
      </c>
      <c r="H1752" t="s">
        <v>5043</v>
      </c>
      <c r="I1752" s="2">
        <v>10489</v>
      </c>
      <c r="J1752" s="2">
        <v>0</v>
      </c>
      <c r="K1752" s="2">
        <v>0</v>
      </c>
      <c r="L1752" s="3">
        <v>45848</v>
      </c>
      <c r="M1752" s="3">
        <v>45848</v>
      </c>
      <c r="N1752" s="3"/>
      <c r="O1752" t="s">
        <v>5044</v>
      </c>
      <c r="P1752" t="s">
        <v>20</v>
      </c>
      <c r="Q1752" s="4">
        <v>0.93787037037037002</v>
      </c>
      <c r="R1752" t="s">
        <v>16</v>
      </c>
      <c r="S1752" t="s">
        <v>4</v>
      </c>
      <c r="T1752" t="s">
        <v>2580</v>
      </c>
      <c r="U1752" t="s">
        <v>10</v>
      </c>
      <c r="V1752" s="5">
        <v>0</v>
      </c>
      <c r="W1752" s="5">
        <v>0</v>
      </c>
      <c r="X1752" s="2">
        <v>0</v>
      </c>
      <c r="Y1752" t="s">
        <v>4</v>
      </c>
      <c r="Z1752" t="s">
        <v>4</v>
      </c>
      <c r="AA1752" t="s">
        <v>4</v>
      </c>
      <c r="AB1752" t="s">
        <v>4</v>
      </c>
    </row>
    <row r="1753" spans="1:28" hidden="1" x14ac:dyDescent="0.2">
      <c r="A1753" t="s">
        <v>863</v>
      </c>
      <c r="B1753" t="s">
        <v>2</v>
      </c>
      <c r="C1753" t="s">
        <v>3</v>
      </c>
      <c r="D1753" t="s">
        <v>4</v>
      </c>
      <c r="E1753" t="s">
        <v>4</v>
      </c>
      <c r="F1753" t="s">
        <v>16</v>
      </c>
      <c r="G1753" t="s">
        <v>17</v>
      </c>
      <c r="H1753" t="s">
        <v>5045</v>
      </c>
      <c r="I1753" s="2">
        <v>700</v>
      </c>
      <c r="J1753" s="2">
        <v>0</v>
      </c>
      <c r="K1753" s="2">
        <v>0</v>
      </c>
      <c r="L1753" s="3">
        <v>45799</v>
      </c>
      <c r="M1753" s="3">
        <v>45799</v>
      </c>
      <c r="N1753" s="3"/>
      <c r="O1753" t="s">
        <v>5046</v>
      </c>
      <c r="P1753" t="s">
        <v>20</v>
      </c>
      <c r="Q1753" s="4">
        <v>0.44547453703703999</v>
      </c>
      <c r="R1753" t="s">
        <v>16</v>
      </c>
      <c r="S1753" t="s">
        <v>4</v>
      </c>
      <c r="T1753" t="s">
        <v>4635</v>
      </c>
      <c r="U1753" t="s">
        <v>10</v>
      </c>
      <c r="V1753" s="5">
        <v>0</v>
      </c>
      <c r="W1753" s="5">
        <v>0</v>
      </c>
      <c r="X1753" s="2">
        <v>0</v>
      </c>
      <c r="Y1753" t="s">
        <v>4</v>
      </c>
      <c r="Z1753" t="s">
        <v>4</v>
      </c>
      <c r="AA1753" t="s">
        <v>4</v>
      </c>
      <c r="AB1753" t="s">
        <v>4</v>
      </c>
    </row>
    <row r="1754" spans="1:28" hidden="1" x14ac:dyDescent="0.2">
      <c r="A1754" t="s">
        <v>2196</v>
      </c>
      <c r="B1754" t="s">
        <v>2</v>
      </c>
      <c r="C1754" t="s">
        <v>3</v>
      </c>
      <c r="D1754" t="s">
        <v>4</v>
      </c>
      <c r="E1754" t="s">
        <v>4</v>
      </c>
      <c r="F1754" t="s">
        <v>16</v>
      </c>
      <c r="G1754" t="s">
        <v>17</v>
      </c>
      <c r="H1754" t="s">
        <v>5047</v>
      </c>
      <c r="I1754" s="2">
        <v>768</v>
      </c>
      <c r="J1754" s="2">
        <v>0</v>
      </c>
      <c r="K1754" s="2">
        <v>0</v>
      </c>
      <c r="L1754" s="3">
        <v>45774</v>
      </c>
      <c r="M1754" s="3">
        <v>45774</v>
      </c>
      <c r="N1754" s="3"/>
      <c r="O1754" t="s">
        <v>5048</v>
      </c>
      <c r="P1754" t="s">
        <v>20</v>
      </c>
      <c r="Q1754" s="4">
        <v>0.40707175925925998</v>
      </c>
      <c r="R1754" t="s">
        <v>16</v>
      </c>
      <c r="S1754" t="s">
        <v>4</v>
      </c>
      <c r="T1754" t="s">
        <v>4464</v>
      </c>
      <c r="U1754" t="s">
        <v>10</v>
      </c>
      <c r="V1754" s="5">
        <v>0</v>
      </c>
      <c r="W1754" s="5">
        <v>0</v>
      </c>
      <c r="X1754" s="2">
        <v>0</v>
      </c>
      <c r="Y1754" t="s">
        <v>4</v>
      </c>
      <c r="Z1754" t="s">
        <v>4</v>
      </c>
      <c r="AA1754" t="s">
        <v>4</v>
      </c>
      <c r="AB1754" t="s">
        <v>4</v>
      </c>
    </row>
    <row r="1755" spans="1:28" hidden="1" x14ac:dyDescent="0.2">
      <c r="A1755" t="s">
        <v>863</v>
      </c>
      <c r="B1755" t="s">
        <v>2</v>
      </c>
      <c r="C1755" t="s">
        <v>3</v>
      </c>
      <c r="D1755" t="s">
        <v>4</v>
      </c>
      <c r="E1755" t="s">
        <v>4</v>
      </c>
      <c r="F1755" t="s">
        <v>16</v>
      </c>
      <c r="G1755" t="s">
        <v>17</v>
      </c>
      <c r="H1755" t="s">
        <v>5049</v>
      </c>
      <c r="I1755" s="2">
        <v>475</v>
      </c>
      <c r="J1755" s="2">
        <v>0</v>
      </c>
      <c r="K1755" s="2">
        <v>0</v>
      </c>
      <c r="L1755" s="3">
        <v>45835</v>
      </c>
      <c r="M1755" s="3">
        <v>45835</v>
      </c>
      <c r="N1755" s="3"/>
      <c r="O1755" t="s">
        <v>5050</v>
      </c>
      <c r="P1755" t="s">
        <v>20</v>
      </c>
      <c r="Q1755" s="4">
        <v>0.45807870370370002</v>
      </c>
      <c r="R1755" t="s">
        <v>16</v>
      </c>
      <c r="S1755" t="s">
        <v>4</v>
      </c>
      <c r="T1755" t="s">
        <v>2928</v>
      </c>
      <c r="U1755" t="s">
        <v>10</v>
      </c>
      <c r="V1755" s="5">
        <v>0</v>
      </c>
      <c r="W1755" s="5">
        <v>0</v>
      </c>
      <c r="X1755" s="2">
        <v>0</v>
      </c>
      <c r="Y1755" t="s">
        <v>4</v>
      </c>
      <c r="Z1755" t="s">
        <v>4</v>
      </c>
      <c r="AA1755" t="s">
        <v>4</v>
      </c>
      <c r="AB1755" t="s">
        <v>4</v>
      </c>
    </row>
    <row r="1756" spans="1:28" hidden="1" x14ac:dyDescent="0.2">
      <c r="A1756" t="s">
        <v>2050</v>
      </c>
      <c r="B1756" t="s">
        <v>2</v>
      </c>
      <c r="C1756" t="s">
        <v>3</v>
      </c>
      <c r="D1756" t="s">
        <v>4</v>
      </c>
      <c r="E1756" t="s">
        <v>4</v>
      </c>
      <c r="F1756" t="s">
        <v>16</v>
      </c>
      <c r="G1756" t="s">
        <v>6</v>
      </c>
      <c r="H1756" t="s">
        <v>5051</v>
      </c>
      <c r="I1756" s="2">
        <v>100</v>
      </c>
      <c r="J1756" s="2">
        <v>0</v>
      </c>
      <c r="K1756" s="2">
        <v>0</v>
      </c>
      <c r="L1756" s="3">
        <v>45832</v>
      </c>
      <c r="M1756" s="3">
        <v>45832</v>
      </c>
      <c r="N1756" s="3"/>
      <c r="O1756" t="s">
        <v>5052</v>
      </c>
      <c r="P1756" t="s">
        <v>20</v>
      </c>
      <c r="Q1756" s="4">
        <v>0.98406249999999995</v>
      </c>
      <c r="R1756" t="s">
        <v>16</v>
      </c>
      <c r="S1756" t="s">
        <v>4</v>
      </c>
      <c r="T1756" t="s">
        <v>2665</v>
      </c>
      <c r="U1756" t="s">
        <v>10</v>
      </c>
      <c r="V1756" s="5">
        <v>0</v>
      </c>
      <c r="W1756" s="5">
        <v>0</v>
      </c>
      <c r="X1756" s="2">
        <v>0</v>
      </c>
      <c r="Y1756" t="s">
        <v>4</v>
      </c>
      <c r="Z1756" t="s">
        <v>4</v>
      </c>
      <c r="AA1756" t="s">
        <v>4</v>
      </c>
      <c r="AB1756" t="s">
        <v>4</v>
      </c>
    </row>
    <row r="1757" spans="1:28" hidden="1" x14ac:dyDescent="0.2">
      <c r="A1757" t="s">
        <v>1225</v>
      </c>
      <c r="B1757" t="s">
        <v>2</v>
      </c>
      <c r="C1757" t="s">
        <v>3</v>
      </c>
      <c r="D1757" t="s">
        <v>4</v>
      </c>
      <c r="E1757" t="s">
        <v>4</v>
      </c>
      <c r="F1757" t="s">
        <v>16</v>
      </c>
      <c r="G1757" t="s">
        <v>6</v>
      </c>
      <c r="H1757" t="s">
        <v>5053</v>
      </c>
      <c r="I1757" s="2">
        <v>111</v>
      </c>
      <c r="J1757" s="2">
        <v>0</v>
      </c>
      <c r="K1757" s="2">
        <v>0</v>
      </c>
      <c r="L1757" s="3">
        <v>45692</v>
      </c>
      <c r="M1757" s="3">
        <v>45854</v>
      </c>
      <c r="N1757" s="3">
        <v>45854</v>
      </c>
      <c r="O1757" t="s">
        <v>5054</v>
      </c>
      <c r="P1757" t="s">
        <v>20</v>
      </c>
      <c r="Q1757" s="4">
        <v>0.40438657407407003</v>
      </c>
      <c r="R1757" t="s">
        <v>16</v>
      </c>
      <c r="S1757" t="s">
        <v>4</v>
      </c>
      <c r="T1757" t="s">
        <v>3661</v>
      </c>
      <c r="U1757" t="s">
        <v>10</v>
      </c>
      <c r="V1757" s="5">
        <v>0</v>
      </c>
      <c r="W1757" s="5">
        <v>0</v>
      </c>
      <c r="X1757" s="2">
        <v>0</v>
      </c>
      <c r="Y1757" t="s">
        <v>4</v>
      </c>
      <c r="Z1757" t="s">
        <v>4</v>
      </c>
      <c r="AA1757" t="s">
        <v>4</v>
      </c>
      <c r="AB1757" t="s">
        <v>4</v>
      </c>
    </row>
    <row r="1758" spans="1:28" hidden="1" x14ac:dyDescent="0.2">
      <c r="A1758" t="s">
        <v>796</v>
      </c>
      <c r="B1758" t="s">
        <v>2</v>
      </c>
      <c r="C1758" t="s">
        <v>3</v>
      </c>
      <c r="D1758" t="s">
        <v>4</v>
      </c>
      <c r="E1758" t="s">
        <v>4</v>
      </c>
      <c r="F1758" t="s">
        <v>16</v>
      </c>
      <c r="G1758" t="s">
        <v>21</v>
      </c>
      <c r="H1758" t="s">
        <v>5055</v>
      </c>
      <c r="I1758" s="2">
        <v>1200</v>
      </c>
      <c r="J1758" s="2">
        <v>0</v>
      </c>
      <c r="K1758" s="2">
        <v>0</v>
      </c>
      <c r="L1758" s="3">
        <v>45849</v>
      </c>
      <c r="M1758" s="3">
        <v>45849</v>
      </c>
      <c r="N1758" s="3"/>
      <c r="O1758" t="s">
        <v>5056</v>
      </c>
      <c r="P1758" t="s">
        <v>20</v>
      </c>
      <c r="Q1758" s="4">
        <v>0.74563657407407002</v>
      </c>
      <c r="R1758" t="s">
        <v>16</v>
      </c>
      <c r="S1758" t="s">
        <v>4</v>
      </c>
      <c r="T1758" t="s">
        <v>2321</v>
      </c>
      <c r="U1758" t="s">
        <v>10</v>
      </c>
      <c r="V1758" s="5">
        <v>0</v>
      </c>
      <c r="W1758" s="5">
        <v>0</v>
      </c>
      <c r="X1758" s="2">
        <v>0</v>
      </c>
      <c r="Y1758" t="s">
        <v>4</v>
      </c>
      <c r="Z1758" t="s">
        <v>4</v>
      </c>
      <c r="AA1758" t="s">
        <v>4</v>
      </c>
      <c r="AB1758" t="s">
        <v>4</v>
      </c>
    </row>
    <row r="1759" spans="1:28" hidden="1" x14ac:dyDescent="0.2">
      <c r="A1759" t="s">
        <v>678</v>
      </c>
      <c r="B1759" t="s">
        <v>2</v>
      </c>
      <c r="C1759" t="s">
        <v>3</v>
      </c>
      <c r="D1759" t="s">
        <v>4</v>
      </c>
      <c r="E1759" t="s">
        <v>4</v>
      </c>
      <c r="F1759" t="s">
        <v>16</v>
      </c>
      <c r="G1759" t="s">
        <v>21</v>
      </c>
      <c r="H1759" t="s">
        <v>5057</v>
      </c>
      <c r="I1759" s="2">
        <v>150</v>
      </c>
      <c r="J1759" s="2">
        <v>0</v>
      </c>
      <c r="K1759" s="2">
        <v>0</v>
      </c>
      <c r="L1759" s="3">
        <v>45856</v>
      </c>
      <c r="M1759" s="3">
        <v>45856</v>
      </c>
      <c r="N1759" s="3"/>
      <c r="O1759" t="s">
        <v>5058</v>
      </c>
      <c r="P1759" t="s">
        <v>20</v>
      </c>
      <c r="Q1759" s="4">
        <v>0.94657407407407002</v>
      </c>
      <c r="R1759" t="s">
        <v>16</v>
      </c>
      <c r="S1759" t="s">
        <v>4</v>
      </c>
      <c r="T1759" t="s">
        <v>2260</v>
      </c>
      <c r="U1759" t="s">
        <v>10</v>
      </c>
      <c r="V1759" s="5">
        <v>0</v>
      </c>
      <c r="W1759" s="5">
        <v>0</v>
      </c>
      <c r="X1759" s="2">
        <v>0</v>
      </c>
      <c r="Y1759" t="s">
        <v>4</v>
      </c>
      <c r="Z1759" t="s">
        <v>4</v>
      </c>
      <c r="AA1759" t="s">
        <v>4</v>
      </c>
      <c r="AB1759" t="s">
        <v>4</v>
      </c>
    </row>
    <row r="1760" spans="1:28" hidden="1" x14ac:dyDescent="0.2">
      <c r="A1760" t="s">
        <v>1471</v>
      </c>
      <c r="B1760" t="s">
        <v>2</v>
      </c>
      <c r="C1760" t="s">
        <v>3</v>
      </c>
      <c r="D1760" t="s">
        <v>4</v>
      </c>
      <c r="E1760" t="s">
        <v>4</v>
      </c>
      <c r="F1760" t="s">
        <v>16</v>
      </c>
      <c r="G1760" t="s">
        <v>21</v>
      </c>
      <c r="H1760" t="s">
        <v>5059</v>
      </c>
      <c r="I1760" s="2">
        <v>60</v>
      </c>
      <c r="J1760" s="2">
        <v>0</v>
      </c>
      <c r="K1760" s="2">
        <v>0</v>
      </c>
      <c r="L1760" s="3">
        <v>45858</v>
      </c>
      <c r="M1760" s="3">
        <v>45858</v>
      </c>
      <c r="N1760" s="3"/>
      <c r="O1760" t="s">
        <v>5060</v>
      </c>
      <c r="P1760" t="s">
        <v>20</v>
      </c>
      <c r="Q1760" s="4">
        <v>0.33391203703703998</v>
      </c>
      <c r="R1760" t="s">
        <v>16</v>
      </c>
      <c r="S1760" t="s">
        <v>4</v>
      </c>
      <c r="T1760" t="s">
        <v>2337</v>
      </c>
      <c r="U1760" t="s">
        <v>10</v>
      </c>
      <c r="V1760" s="5">
        <v>0</v>
      </c>
      <c r="W1760" s="5">
        <v>0</v>
      </c>
      <c r="X1760" s="2">
        <v>0</v>
      </c>
      <c r="Y1760" t="s">
        <v>4</v>
      </c>
      <c r="Z1760" t="s">
        <v>4</v>
      </c>
      <c r="AA1760" t="s">
        <v>4</v>
      </c>
      <c r="AB1760" t="s">
        <v>4</v>
      </c>
    </row>
    <row r="1761" spans="1:28" hidden="1" x14ac:dyDescent="0.2">
      <c r="A1761" t="s">
        <v>334</v>
      </c>
      <c r="B1761" t="s">
        <v>2</v>
      </c>
      <c r="C1761" t="s">
        <v>3</v>
      </c>
      <c r="D1761" t="s">
        <v>4</v>
      </c>
      <c r="E1761" t="s">
        <v>4</v>
      </c>
      <c r="F1761" t="s">
        <v>16</v>
      </c>
      <c r="G1761" t="s">
        <v>21</v>
      </c>
      <c r="H1761" t="s">
        <v>5061</v>
      </c>
      <c r="I1761" s="2">
        <v>13800</v>
      </c>
      <c r="J1761" s="2">
        <v>0</v>
      </c>
      <c r="K1761" s="2">
        <v>0</v>
      </c>
      <c r="L1761" s="3">
        <v>45843</v>
      </c>
      <c r="M1761" s="3">
        <v>45843</v>
      </c>
      <c r="N1761" s="3"/>
      <c r="O1761" t="s">
        <v>5062</v>
      </c>
      <c r="P1761" t="s">
        <v>20</v>
      </c>
      <c r="Q1761" s="4">
        <v>0.39167824074073998</v>
      </c>
      <c r="R1761" t="s">
        <v>16</v>
      </c>
      <c r="S1761" t="s">
        <v>4</v>
      </c>
      <c r="T1761" t="s">
        <v>2783</v>
      </c>
      <c r="U1761" t="s">
        <v>10</v>
      </c>
      <c r="V1761" s="5">
        <v>0</v>
      </c>
      <c r="W1761" s="5">
        <v>0</v>
      </c>
      <c r="X1761" s="2">
        <v>0</v>
      </c>
      <c r="Y1761" t="s">
        <v>4</v>
      </c>
      <c r="Z1761" t="s">
        <v>4</v>
      </c>
      <c r="AA1761" t="s">
        <v>4</v>
      </c>
      <c r="AB1761" t="s">
        <v>4</v>
      </c>
    </row>
    <row r="1762" spans="1:28" hidden="1" x14ac:dyDescent="0.2">
      <c r="A1762" t="s">
        <v>635</v>
      </c>
      <c r="B1762" t="s">
        <v>2</v>
      </c>
      <c r="C1762" t="s">
        <v>3</v>
      </c>
      <c r="D1762" t="s">
        <v>4</v>
      </c>
      <c r="E1762" t="s">
        <v>4</v>
      </c>
      <c r="F1762" t="s">
        <v>16</v>
      </c>
      <c r="G1762" t="s">
        <v>21</v>
      </c>
      <c r="H1762" t="s">
        <v>5063</v>
      </c>
      <c r="I1762" s="2">
        <v>800</v>
      </c>
      <c r="J1762" s="2">
        <v>0</v>
      </c>
      <c r="K1762" s="2">
        <v>0</v>
      </c>
      <c r="L1762" s="3">
        <v>45768</v>
      </c>
      <c r="M1762" s="3">
        <v>45768</v>
      </c>
      <c r="N1762" s="3"/>
      <c r="O1762" t="s">
        <v>5064</v>
      </c>
      <c r="P1762" t="s">
        <v>20</v>
      </c>
      <c r="Q1762" s="4">
        <v>0.44315972222222</v>
      </c>
      <c r="R1762" t="s">
        <v>16</v>
      </c>
      <c r="S1762" t="s">
        <v>4</v>
      </c>
      <c r="T1762" t="s">
        <v>2777</v>
      </c>
      <c r="U1762" t="s">
        <v>10</v>
      </c>
      <c r="V1762" s="5">
        <v>0</v>
      </c>
      <c r="W1762" s="5">
        <v>0</v>
      </c>
      <c r="X1762" s="2">
        <v>0</v>
      </c>
      <c r="Y1762" t="s">
        <v>4</v>
      </c>
      <c r="Z1762" t="s">
        <v>4</v>
      </c>
      <c r="AA1762" t="s">
        <v>4</v>
      </c>
      <c r="AB1762" t="s">
        <v>4</v>
      </c>
    </row>
    <row r="1763" spans="1:28" hidden="1" x14ac:dyDescent="0.2">
      <c r="A1763" t="s">
        <v>1924</v>
      </c>
      <c r="B1763" t="s">
        <v>2</v>
      </c>
      <c r="C1763" t="s">
        <v>3</v>
      </c>
      <c r="D1763" t="s">
        <v>4</v>
      </c>
      <c r="E1763" t="s">
        <v>4</v>
      </c>
      <c r="F1763" t="s">
        <v>16</v>
      </c>
      <c r="G1763" t="s">
        <v>21</v>
      </c>
      <c r="H1763" t="s">
        <v>5065</v>
      </c>
      <c r="I1763" s="2">
        <v>330</v>
      </c>
      <c r="J1763" s="2">
        <v>0</v>
      </c>
      <c r="K1763" s="2">
        <v>0</v>
      </c>
      <c r="L1763" s="3">
        <v>45836</v>
      </c>
      <c r="M1763" s="3">
        <v>45836</v>
      </c>
      <c r="N1763" s="3"/>
      <c r="O1763" t="s">
        <v>5066</v>
      </c>
      <c r="P1763" t="s">
        <v>20</v>
      </c>
      <c r="Q1763" s="4">
        <v>0.59438657407407003</v>
      </c>
      <c r="R1763" t="s">
        <v>16</v>
      </c>
      <c r="S1763" t="s">
        <v>4</v>
      </c>
      <c r="T1763" t="s">
        <v>2316</v>
      </c>
      <c r="U1763" t="s">
        <v>10</v>
      </c>
      <c r="V1763" s="5">
        <v>0</v>
      </c>
      <c r="W1763" s="5">
        <v>0</v>
      </c>
      <c r="X1763" s="2">
        <v>0</v>
      </c>
      <c r="Y1763" t="s">
        <v>4</v>
      </c>
      <c r="Z1763" t="s">
        <v>4</v>
      </c>
      <c r="AA1763" t="s">
        <v>4</v>
      </c>
      <c r="AB1763" t="s">
        <v>4</v>
      </c>
    </row>
    <row r="1764" spans="1:28" hidden="1" x14ac:dyDescent="0.2">
      <c r="A1764" t="s">
        <v>0</v>
      </c>
      <c r="B1764" t="s">
        <v>2</v>
      </c>
      <c r="C1764" t="s">
        <v>3</v>
      </c>
      <c r="D1764" t="s">
        <v>4</v>
      </c>
      <c r="E1764" t="s">
        <v>4</v>
      </c>
      <c r="F1764" t="s">
        <v>16</v>
      </c>
      <c r="G1764" t="s">
        <v>21</v>
      </c>
      <c r="H1764" t="s">
        <v>127</v>
      </c>
      <c r="I1764" s="2">
        <v>196</v>
      </c>
      <c r="J1764" s="2">
        <v>0</v>
      </c>
      <c r="K1764" s="2">
        <v>0</v>
      </c>
      <c r="L1764" s="3">
        <v>45843</v>
      </c>
      <c r="M1764" s="3">
        <v>45843</v>
      </c>
      <c r="N1764" s="3"/>
      <c r="O1764" t="s">
        <v>128</v>
      </c>
      <c r="P1764" t="s">
        <v>20</v>
      </c>
      <c r="Q1764" s="4">
        <v>0.88142361111111001</v>
      </c>
      <c r="R1764" t="s">
        <v>16</v>
      </c>
      <c r="S1764" t="s">
        <v>4</v>
      </c>
      <c r="T1764" t="s">
        <v>2783</v>
      </c>
      <c r="U1764" t="s">
        <v>10</v>
      </c>
      <c r="V1764" s="5">
        <v>0</v>
      </c>
      <c r="W1764" s="5">
        <v>0</v>
      </c>
      <c r="X1764" s="2">
        <v>0</v>
      </c>
      <c r="Y1764" t="s">
        <v>4</v>
      </c>
      <c r="Z1764" t="s">
        <v>4</v>
      </c>
      <c r="AA1764" t="s">
        <v>4</v>
      </c>
      <c r="AB1764" t="s">
        <v>4</v>
      </c>
    </row>
    <row r="1765" spans="1:28" hidden="1" x14ac:dyDescent="0.2">
      <c r="A1765" t="s">
        <v>668</v>
      </c>
      <c r="B1765" t="s">
        <v>2</v>
      </c>
      <c r="C1765" t="s">
        <v>3</v>
      </c>
      <c r="D1765" t="s">
        <v>4</v>
      </c>
      <c r="E1765" t="s">
        <v>4</v>
      </c>
      <c r="F1765" t="s">
        <v>16</v>
      </c>
      <c r="G1765" t="s">
        <v>21</v>
      </c>
      <c r="H1765" t="s">
        <v>5067</v>
      </c>
      <c r="I1765" s="2">
        <v>500</v>
      </c>
      <c r="J1765" s="2">
        <v>0</v>
      </c>
      <c r="K1765" s="2">
        <v>0</v>
      </c>
      <c r="L1765" s="3">
        <v>45836</v>
      </c>
      <c r="M1765" s="3">
        <v>45857</v>
      </c>
      <c r="N1765" s="3">
        <v>45857</v>
      </c>
      <c r="O1765" t="s">
        <v>5068</v>
      </c>
      <c r="P1765" t="s">
        <v>20</v>
      </c>
      <c r="Q1765" s="4">
        <v>0.73826388888889005</v>
      </c>
      <c r="R1765" t="s">
        <v>16</v>
      </c>
      <c r="S1765" t="s">
        <v>4</v>
      </c>
      <c r="T1765" t="s">
        <v>2316</v>
      </c>
      <c r="U1765" t="s">
        <v>10</v>
      </c>
      <c r="V1765" s="5">
        <v>0</v>
      </c>
      <c r="W1765" s="5">
        <v>0</v>
      </c>
      <c r="X1765" s="2">
        <v>0</v>
      </c>
      <c r="Y1765" t="s">
        <v>4</v>
      </c>
      <c r="Z1765" t="s">
        <v>4</v>
      </c>
      <c r="AA1765" t="s">
        <v>4</v>
      </c>
      <c r="AB1765" t="s">
        <v>4</v>
      </c>
    </row>
    <row r="1766" spans="1:28" hidden="1" x14ac:dyDescent="0.2">
      <c r="A1766" t="s">
        <v>1050</v>
      </c>
      <c r="B1766" t="s">
        <v>2</v>
      </c>
      <c r="C1766" t="s">
        <v>3</v>
      </c>
      <c r="D1766" t="s">
        <v>4</v>
      </c>
      <c r="E1766" t="s">
        <v>4</v>
      </c>
      <c r="F1766" t="s">
        <v>16</v>
      </c>
      <c r="G1766" t="s">
        <v>21</v>
      </c>
      <c r="H1766" t="s">
        <v>5069</v>
      </c>
      <c r="I1766" s="2">
        <v>8400</v>
      </c>
      <c r="J1766" s="2">
        <v>0</v>
      </c>
      <c r="K1766" s="2">
        <v>0</v>
      </c>
      <c r="L1766" s="3">
        <v>45840</v>
      </c>
      <c r="M1766" s="3">
        <v>45840</v>
      </c>
      <c r="N1766" s="3"/>
      <c r="O1766" t="s">
        <v>5070</v>
      </c>
      <c r="P1766" t="s">
        <v>20</v>
      </c>
      <c r="Q1766" s="4">
        <v>0.56614583333333002</v>
      </c>
      <c r="R1766" t="s">
        <v>16</v>
      </c>
      <c r="S1766" t="s">
        <v>4</v>
      </c>
      <c r="T1766" t="s">
        <v>2766</v>
      </c>
      <c r="U1766" t="s">
        <v>10</v>
      </c>
      <c r="V1766" s="5">
        <v>0</v>
      </c>
      <c r="W1766" s="5">
        <v>0</v>
      </c>
      <c r="X1766" s="2">
        <v>0</v>
      </c>
      <c r="Y1766" t="s">
        <v>4</v>
      </c>
      <c r="Z1766" t="s">
        <v>4</v>
      </c>
      <c r="AA1766" t="s">
        <v>4</v>
      </c>
      <c r="AB1766" t="s">
        <v>4</v>
      </c>
    </row>
    <row r="1767" spans="1:28" hidden="1" x14ac:dyDescent="0.2">
      <c r="A1767" t="s">
        <v>2251</v>
      </c>
      <c r="B1767" t="s">
        <v>4</v>
      </c>
      <c r="C1767" t="s">
        <v>4</v>
      </c>
      <c r="D1767" t="s">
        <v>4</v>
      </c>
      <c r="E1767" t="s">
        <v>4</v>
      </c>
      <c r="F1767" t="s">
        <v>16</v>
      </c>
      <c r="G1767" t="s">
        <v>21</v>
      </c>
      <c r="H1767" t="s">
        <v>5071</v>
      </c>
      <c r="I1767" s="5">
        <v>0</v>
      </c>
      <c r="J1767" s="5">
        <v>0</v>
      </c>
      <c r="K1767" s="5">
        <v>0</v>
      </c>
      <c r="L1767" s="3"/>
      <c r="M1767" s="3"/>
      <c r="N1767" s="3"/>
      <c r="O1767" t="s">
        <v>4</v>
      </c>
      <c r="P1767" t="s">
        <v>20</v>
      </c>
      <c r="Q1767" s="4">
        <v>0.33775462962962999</v>
      </c>
      <c r="R1767" t="s">
        <v>4</v>
      </c>
      <c r="S1767" t="s">
        <v>4</v>
      </c>
      <c r="T1767" t="s">
        <v>2256</v>
      </c>
      <c r="U1767" t="s">
        <v>4</v>
      </c>
      <c r="V1767" s="5">
        <v>0</v>
      </c>
      <c r="W1767" s="5">
        <v>0</v>
      </c>
      <c r="X1767" s="2">
        <v>0</v>
      </c>
      <c r="Y1767" t="s">
        <v>4</v>
      </c>
      <c r="Z1767" t="s">
        <v>4</v>
      </c>
      <c r="AA1767" t="s">
        <v>4</v>
      </c>
      <c r="AB1767" t="s">
        <v>4</v>
      </c>
    </row>
    <row r="1768" spans="1:28" hidden="1" x14ac:dyDescent="0.2">
      <c r="A1768" t="s">
        <v>715</v>
      </c>
      <c r="B1768" t="s">
        <v>2</v>
      </c>
      <c r="C1768" t="s">
        <v>3</v>
      </c>
      <c r="D1768" t="s">
        <v>4</v>
      </c>
      <c r="E1768" t="s">
        <v>4</v>
      </c>
      <c r="F1768" t="s">
        <v>16</v>
      </c>
      <c r="G1768" t="s">
        <v>17</v>
      </c>
      <c r="H1768" t="s">
        <v>5072</v>
      </c>
      <c r="I1768" s="2">
        <v>88</v>
      </c>
      <c r="J1768" s="2">
        <v>0</v>
      </c>
      <c r="K1768" s="2">
        <v>0</v>
      </c>
      <c r="L1768" s="3">
        <v>45855</v>
      </c>
      <c r="M1768" s="3">
        <v>45855</v>
      </c>
      <c r="N1768" s="3"/>
      <c r="O1768" t="s">
        <v>5073</v>
      </c>
      <c r="P1768" t="s">
        <v>20</v>
      </c>
      <c r="Q1768" s="4">
        <v>0.34758101851852002</v>
      </c>
      <c r="R1768" t="s">
        <v>16</v>
      </c>
      <c r="S1768" t="s">
        <v>4</v>
      </c>
      <c r="T1768" t="s">
        <v>2350</v>
      </c>
      <c r="U1768" t="s">
        <v>10</v>
      </c>
      <c r="V1768" s="5">
        <v>0</v>
      </c>
      <c r="W1768" s="5">
        <v>0</v>
      </c>
      <c r="X1768" s="2">
        <v>0</v>
      </c>
      <c r="Y1768" t="s">
        <v>4</v>
      </c>
      <c r="Z1768" t="s">
        <v>4</v>
      </c>
      <c r="AA1768" t="s">
        <v>4</v>
      </c>
      <c r="AB1768" t="s">
        <v>4</v>
      </c>
    </row>
    <row r="1769" spans="1:28" hidden="1" x14ac:dyDescent="0.2">
      <c r="A1769" t="s">
        <v>514</v>
      </c>
      <c r="B1769" t="s">
        <v>2</v>
      </c>
      <c r="C1769" t="s">
        <v>3</v>
      </c>
      <c r="D1769" t="s">
        <v>4</v>
      </c>
      <c r="E1769" t="s">
        <v>4</v>
      </c>
      <c r="F1769" t="s">
        <v>16</v>
      </c>
      <c r="G1769" t="s">
        <v>17</v>
      </c>
      <c r="H1769" t="s">
        <v>5074</v>
      </c>
      <c r="I1769" s="2">
        <v>60000</v>
      </c>
      <c r="J1769" s="2">
        <v>0</v>
      </c>
      <c r="K1769" s="2">
        <v>0</v>
      </c>
      <c r="L1769" s="3">
        <v>45803</v>
      </c>
      <c r="M1769" s="3">
        <v>45803</v>
      </c>
      <c r="N1769" s="3"/>
      <c r="O1769" t="s">
        <v>5075</v>
      </c>
      <c r="P1769" t="s">
        <v>20</v>
      </c>
      <c r="Q1769" s="4">
        <v>0.73899305555556005</v>
      </c>
      <c r="R1769" t="s">
        <v>16</v>
      </c>
      <c r="S1769" t="s">
        <v>4</v>
      </c>
      <c r="T1769" t="s">
        <v>2965</v>
      </c>
      <c r="U1769" t="s">
        <v>10</v>
      </c>
      <c r="V1769" s="5">
        <v>0</v>
      </c>
      <c r="W1769" s="5">
        <v>0</v>
      </c>
      <c r="X1769" s="2">
        <v>0</v>
      </c>
      <c r="Y1769" t="s">
        <v>4</v>
      </c>
      <c r="Z1769" t="s">
        <v>4</v>
      </c>
      <c r="AA1769" t="s">
        <v>4</v>
      </c>
      <c r="AB1769" t="s">
        <v>4</v>
      </c>
    </row>
    <row r="1770" spans="1:28" hidden="1" x14ac:dyDescent="0.2">
      <c r="A1770" t="s">
        <v>909</v>
      </c>
      <c r="B1770" t="s">
        <v>2</v>
      </c>
      <c r="C1770" t="s">
        <v>3</v>
      </c>
      <c r="D1770" t="s">
        <v>4</v>
      </c>
      <c r="E1770" t="s">
        <v>4</v>
      </c>
      <c r="F1770" t="s">
        <v>16</v>
      </c>
      <c r="G1770" t="s">
        <v>6</v>
      </c>
      <c r="H1770" t="s">
        <v>5076</v>
      </c>
      <c r="I1770" s="5">
        <v>108.8</v>
      </c>
      <c r="J1770" s="2">
        <v>0</v>
      </c>
      <c r="K1770" s="2">
        <v>0</v>
      </c>
      <c r="L1770" s="3">
        <v>44970</v>
      </c>
      <c r="M1770" s="3">
        <v>44970</v>
      </c>
      <c r="N1770" s="3"/>
      <c r="O1770" t="s">
        <v>5077</v>
      </c>
      <c r="P1770" t="s">
        <v>20</v>
      </c>
      <c r="Q1770" s="4">
        <v>0.96821759259258999</v>
      </c>
      <c r="R1770" t="s">
        <v>16</v>
      </c>
      <c r="S1770" t="s">
        <v>4</v>
      </c>
      <c r="T1770" t="s">
        <v>5078</v>
      </c>
      <c r="U1770" t="s">
        <v>10</v>
      </c>
      <c r="V1770" s="5">
        <v>0</v>
      </c>
      <c r="W1770" s="5">
        <v>0</v>
      </c>
      <c r="X1770" s="2">
        <v>0</v>
      </c>
      <c r="Y1770" t="s">
        <v>4</v>
      </c>
      <c r="Z1770" t="s">
        <v>4</v>
      </c>
      <c r="AA1770" t="s">
        <v>4</v>
      </c>
      <c r="AB1770" t="s">
        <v>4</v>
      </c>
    </row>
    <row r="1771" spans="1:28" hidden="1" x14ac:dyDescent="0.2">
      <c r="A1771" t="s">
        <v>1324</v>
      </c>
      <c r="B1771" t="s">
        <v>2</v>
      </c>
      <c r="C1771" t="s">
        <v>3</v>
      </c>
      <c r="D1771" t="s">
        <v>4</v>
      </c>
      <c r="E1771" t="s">
        <v>4</v>
      </c>
      <c r="F1771" t="s">
        <v>16</v>
      </c>
      <c r="G1771" t="s">
        <v>6</v>
      </c>
      <c r="H1771" t="s">
        <v>5079</v>
      </c>
      <c r="I1771" s="2">
        <v>500</v>
      </c>
      <c r="J1771" s="2">
        <v>0</v>
      </c>
      <c r="K1771" s="2">
        <v>0</v>
      </c>
      <c r="L1771" s="3">
        <v>45829</v>
      </c>
      <c r="M1771" s="3">
        <v>45829</v>
      </c>
      <c r="N1771" s="3"/>
      <c r="O1771" t="s">
        <v>5080</v>
      </c>
      <c r="P1771" t="s">
        <v>20</v>
      </c>
      <c r="Q1771" s="4">
        <v>0.34424768518519</v>
      </c>
      <c r="R1771" t="s">
        <v>16</v>
      </c>
      <c r="S1771" t="s">
        <v>4</v>
      </c>
      <c r="T1771" t="s">
        <v>3242</v>
      </c>
      <c r="U1771" t="s">
        <v>10</v>
      </c>
      <c r="V1771" s="5">
        <v>0</v>
      </c>
      <c r="W1771" s="5">
        <v>0</v>
      </c>
      <c r="X1771" s="2">
        <v>0</v>
      </c>
      <c r="Y1771" t="s">
        <v>4</v>
      </c>
      <c r="Z1771" t="s">
        <v>4</v>
      </c>
      <c r="AA1771" t="s">
        <v>4</v>
      </c>
      <c r="AB1771" t="s">
        <v>4</v>
      </c>
    </row>
    <row r="1772" spans="1:28" hidden="1" x14ac:dyDescent="0.2">
      <c r="A1772" t="s">
        <v>2251</v>
      </c>
      <c r="B1772" t="s">
        <v>4</v>
      </c>
      <c r="C1772" t="s">
        <v>4</v>
      </c>
      <c r="D1772" t="s">
        <v>4</v>
      </c>
      <c r="E1772" t="s">
        <v>4</v>
      </c>
      <c r="F1772" t="s">
        <v>16</v>
      </c>
      <c r="G1772" t="s">
        <v>6</v>
      </c>
      <c r="H1772" t="s">
        <v>5081</v>
      </c>
      <c r="I1772" s="5">
        <v>0</v>
      </c>
      <c r="J1772" s="5">
        <v>0</v>
      </c>
      <c r="K1772" s="5">
        <v>0</v>
      </c>
      <c r="L1772" s="3"/>
      <c r="M1772" s="3"/>
      <c r="N1772" s="3"/>
      <c r="O1772" t="s">
        <v>4</v>
      </c>
      <c r="P1772" t="s">
        <v>20</v>
      </c>
      <c r="Q1772" s="4">
        <v>0.41085648148148002</v>
      </c>
      <c r="R1772" t="s">
        <v>4</v>
      </c>
      <c r="S1772" t="s">
        <v>4</v>
      </c>
      <c r="T1772" t="s">
        <v>2256</v>
      </c>
      <c r="U1772" t="s">
        <v>4</v>
      </c>
      <c r="V1772" s="5">
        <v>0</v>
      </c>
      <c r="W1772" s="5">
        <v>0</v>
      </c>
      <c r="X1772" s="2">
        <v>0</v>
      </c>
      <c r="Y1772" t="s">
        <v>4</v>
      </c>
      <c r="Z1772" t="s">
        <v>4</v>
      </c>
      <c r="AA1772" t="s">
        <v>4</v>
      </c>
      <c r="AB1772" t="s">
        <v>4</v>
      </c>
    </row>
    <row r="1773" spans="1:28" hidden="1" x14ac:dyDescent="0.2">
      <c r="A1773" t="s">
        <v>0</v>
      </c>
      <c r="B1773" t="s">
        <v>2</v>
      </c>
      <c r="C1773" t="s">
        <v>3</v>
      </c>
      <c r="D1773" t="s">
        <v>4</v>
      </c>
      <c r="E1773" t="s">
        <v>4</v>
      </c>
      <c r="F1773" t="s">
        <v>16</v>
      </c>
      <c r="G1773" t="s">
        <v>6</v>
      </c>
      <c r="H1773" t="s">
        <v>129</v>
      </c>
      <c r="I1773" s="2">
        <v>196</v>
      </c>
      <c r="J1773" s="2">
        <v>0</v>
      </c>
      <c r="K1773" s="2">
        <v>0</v>
      </c>
      <c r="L1773" s="3">
        <v>45843</v>
      </c>
      <c r="M1773" s="3">
        <v>45843</v>
      </c>
      <c r="N1773" s="3"/>
      <c r="O1773" t="s">
        <v>130</v>
      </c>
      <c r="P1773" t="s">
        <v>20</v>
      </c>
      <c r="Q1773" s="4">
        <v>0.88143518518519004</v>
      </c>
      <c r="R1773" t="s">
        <v>16</v>
      </c>
      <c r="S1773" t="s">
        <v>4</v>
      </c>
      <c r="T1773" t="s">
        <v>2783</v>
      </c>
      <c r="U1773" t="s">
        <v>10</v>
      </c>
      <c r="V1773" s="5">
        <v>0</v>
      </c>
      <c r="W1773" s="5">
        <v>0</v>
      </c>
      <c r="X1773" s="2">
        <v>0</v>
      </c>
      <c r="Y1773" t="s">
        <v>4</v>
      </c>
      <c r="Z1773" t="s">
        <v>4</v>
      </c>
      <c r="AA1773" t="s">
        <v>4</v>
      </c>
      <c r="AB1773" t="s">
        <v>4</v>
      </c>
    </row>
    <row r="1774" spans="1:28" hidden="1" x14ac:dyDescent="0.2">
      <c r="A1774" t="s">
        <v>2251</v>
      </c>
      <c r="B1774" t="s">
        <v>4</v>
      </c>
      <c r="C1774" t="s">
        <v>4</v>
      </c>
      <c r="D1774" t="s">
        <v>4</v>
      </c>
      <c r="E1774" t="s">
        <v>4</v>
      </c>
      <c r="F1774" t="s">
        <v>16</v>
      </c>
      <c r="G1774" t="s">
        <v>21</v>
      </c>
      <c r="H1774" t="s">
        <v>5082</v>
      </c>
      <c r="I1774" s="5">
        <v>0</v>
      </c>
      <c r="J1774" s="5">
        <v>0</v>
      </c>
      <c r="K1774" s="5">
        <v>0</v>
      </c>
      <c r="L1774" s="3"/>
      <c r="M1774" s="3"/>
      <c r="N1774" s="3"/>
      <c r="O1774" t="s">
        <v>4</v>
      </c>
      <c r="P1774" t="s">
        <v>20</v>
      </c>
      <c r="Q1774" s="4">
        <v>0.37109953703704002</v>
      </c>
      <c r="R1774" t="s">
        <v>4</v>
      </c>
      <c r="S1774" t="s">
        <v>4</v>
      </c>
      <c r="T1774" t="s">
        <v>2256</v>
      </c>
      <c r="U1774" t="s">
        <v>4</v>
      </c>
      <c r="V1774" s="5">
        <v>0</v>
      </c>
      <c r="W1774" s="5">
        <v>0</v>
      </c>
      <c r="X1774" s="2">
        <v>0</v>
      </c>
      <c r="Y1774" t="s">
        <v>4</v>
      </c>
      <c r="Z1774" t="s">
        <v>4</v>
      </c>
      <c r="AA1774" t="s">
        <v>4</v>
      </c>
      <c r="AB1774" t="s">
        <v>4</v>
      </c>
    </row>
    <row r="1775" spans="1:28" hidden="1" x14ac:dyDescent="0.2">
      <c r="A1775" t="s">
        <v>1331</v>
      </c>
      <c r="B1775" t="s">
        <v>2</v>
      </c>
      <c r="C1775" t="s">
        <v>3</v>
      </c>
      <c r="D1775" t="s">
        <v>4</v>
      </c>
      <c r="E1775" t="s">
        <v>4</v>
      </c>
      <c r="F1775" t="s">
        <v>16</v>
      </c>
      <c r="G1775" t="s">
        <v>21</v>
      </c>
      <c r="H1775" t="s">
        <v>5083</v>
      </c>
      <c r="I1775" s="2">
        <v>2400</v>
      </c>
      <c r="J1775" s="2">
        <v>0</v>
      </c>
      <c r="K1775" s="2">
        <v>0</v>
      </c>
      <c r="L1775" s="3">
        <v>45848</v>
      </c>
      <c r="M1775" s="3">
        <v>45848</v>
      </c>
      <c r="N1775" s="3"/>
      <c r="O1775" t="s">
        <v>5084</v>
      </c>
      <c r="P1775" t="s">
        <v>20</v>
      </c>
      <c r="Q1775" s="4">
        <v>0.85969907407406998</v>
      </c>
      <c r="R1775" t="s">
        <v>16</v>
      </c>
      <c r="S1775" t="s">
        <v>4</v>
      </c>
      <c r="T1775" t="s">
        <v>2580</v>
      </c>
      <c r="U1775" t="s">
        <v>10</v>
      </c>
      <c r="V1775" s="5">
        <v>0</v>
      </c>
      <c r="W1775" s="5">
        <v>0</v>
      </c>
      <c r="X1775" s="2">
        <v>0</v>
      </c>
      <c r="Y1775" t="s">
        <v>4</v>
      </c>
      <c r="Z1775" t="s">
        <v>4</v>
      </c>
      <c r="AA1775" t="s">
        <v>4</v>
      </c>
      <c r="AB1775" t="s">
        <v>4</v>
      </c>
    </row>
    <row r="1776" spans="1:28" hidden="1" x14ac:dyDescent="0.2">
      <c r="A1776" t="s">
        <v>1471</v>
      </c>
      <c r="B1776" t="s">
        <v>2</v>
      </c>
      <c r="C1776" t="s">
        <v>3</v>
      </c>
      <c r="D1776" t="s">
        <v>4</v>
      </c>
      <c r="E1776" t="s">
        <v>4</v>
      </c>
      <c r="F1776" t="s">
        <v>16</v>
      </c>
      <c r="G1776" t="s">
        <v>21</v>
      </c>
      <c r="H1776" t="s">
        <v>5085</v>
      </c>
      <c r="I1776" s="2">
        <v>60</v>
      </c>
      <c r="J1776" s="2">
        <v>0</v>
      </c>
      <c r="K1776" s="2">
        <v>0</v>
      </c>
      <c r="L1776" s="3">
        <v>45858</v>
      </c>
      <c r="M1776" s="3">
        <v>45858</v>
      </c>
      <c r="N1776" s="3"/>
      <c r="O1776" t="s">
        <v>5086</v>
      </c>
      <c r="P1776" t="s">
        <v>20</v>
      </c>
      <c r="Q1776" s="4">
        <v>0.33407407407407003</v>
      </c>
      <c r="R1776" t="s">
        <v>16</v>
      </c>
      <c r="S1776" t="s">
        <v>4</v>
      </c>
      <c r="T1776" t="s">
        <v>2337</v>
      </c>
      <c r="U1776" t="s">
        <v>10</v>
      </c>
      <c r="V1776" s="5">
        <v>0</v>
      </c>
      <c r="W1776" s="5">
        <v>0</v>
      </c>
      <c r="X1776" s="2">
        <v>0</v>
      </c>
      <c r="Y1776" t="s">
        <v>4</v>
      </c>
      <c r="Z1776" t="s">
        <v>4</v>
      </c>
      <c r="AA1776" t="s">
        <v>4</v>
      </c>
      <c r="AB1776" t="s">
        <v>4</v>
      </c>
    </row>
    <row r="1777" spans="1:28" hidden="1" x14ac:dyDescent="0.2">
      <c r="A1777" t="s">
        <v>304</v>
      </c>
      <c r="B1777" t="s">
        <v>2</v>
      </c>
      <c r="C1777" t="s">
        <v>3</v>
      </c>
      <c r="D1777" t="s">
        <v>4</v>
      </c>
      <c r="E1777" t="s">
        <v>4</v>
      </c>
      <c r="F1777" t="s">
        <v>16</v>
      </c>
      <c r="G1777" t="s">
        <v>21</v>
      </c>
      <c r="H1777" t="s">
        <v>5087</v>
      </c>
      <c r="I1777" s="2">
        <v>6250</v>
      </c>
      <c r="J1777" s="2">
        <v>0</v>
      </c>
      <c r="K1777" s="2">
        <v>0</v>
      </c>
      <c r="L1777" s="3">
        <v>45843</v>
      </c>
      <c r="M1777" s="3">
        <v>45843</v>
      </c>
      <c r="N1777" s="3"/>
      <c r="O1777" t="s">
        <v>5088</v>
      </c>
      <c r="P1777" t="s">
        <v>20</v>
      </c>
      <c r="Q1777" s="4">
        <v>0.54621527777778001</v>
      </c>
      <c r="R1777" t="s">
        <v>16</v>
      </c>
      <c r="S1777" t="s">
        <v>4</v>
      </c>
      <c r="T1777" t="s">
        <v>2783</v>
      </c>
      <c r="U1777" t="s">
        <v>10</v>
      </c>
      <c r="V1777" s="5">
        <v>0</v>
      </c>
      <c r="W1777" s="5">
        <v>0</v>
      </c>
      <c r="X1777" s="2">
        <v>0</v>
      </c>
      <c r="Y1777" t="s">
        <v>4</v>
      </c>
      <c r="Z1777" t="s">
        <v>4</v>
      </c>
      <c r="AA1777" t="s">
        <v>4</v>
      </c>
      <c r="AB1777" t="s">
        <v>4</v>
      </c>
    </row>
    <row r="1778" spans="1:28" hidden="1" x14ac:dyDescent="0.2">
      <c r="A1778" t="s">
        <v>327</v>
      </c>
      <c r="B1778" t="s">
        <v>2</v>
      </c>
      <c r="C1778" t="s">
        <v>3</v>
      </c>
      <c r="D1778" t="s">
        <v>4</v>
      </c>
      <c r="E1778" t="s">
        <v>4</v>
      </c>
      <c r="F1778" t="s">
        <v>16</v>
      </c>
      <c r="G1778" t="s">
        <v>21</v>
      </c>
      <c r="H1778" t="s">
        <v>5089</v>
      </c>
      <c r="I1778" s="2">
        <v>1260</v>
      </c>
      <c r="J1778" s="2">
        <v>0</v>
      </c>
      <c r="K1778" s="2">
        <v>0</v>
      </c>
      <c r="L1778" s="3">
        <v>45839</v>
      </c>
      <c r="M1778" s="3">
        <v>45839</v>
      </c>
      <c r="N1778" s="3"/>
      <c r="O1778" t="s">
        <v>5090</v>
      </c>
      <c r="P1778" t="s">
        <v>20</v>
      </c>
      <c r="Q1778" s="4">
        <v>0.79686342592592996</v>
      </c>
      <c r="R1778" t="s">
        <v>16</v>
      </c>
      <c r="S1778" t="s">
        <v>4</v>
      </c>
      <c r="T1778" t="s">
        <v>2312</v>
      </c>
      <c r="U1778" t="s">
        <v>10</v>
      </c>
      <c r="V1778" s="5">
        <v>0</v>
      </c>
      <c r="W1778" s="5">
        <v>0</v>
      </c>
      <c r="X1778" s="2">
        <v>0</v>
      </c>
      <c r="Y1778" t="s">
        <v>4</v>
      </c>
      <c r="Z1778" t="s">
        <v>4</v>
      </c>
      <c r="AA1778" t="s">
        <v>4</v>
      </c>
      <c r="AB1778" t="s">
        <v>4</v>
      </c>
    </row>
    <row r="1779" spans="1:28" hidden="1" x14ac:dyDescent="0.2">
      <c r="A1779" t="s">
        <v>715</v>
      </c>
      <c r="B1779" t="s">
        <v>2</v>
      </c>
      <c r="C1779" t="s">
        <v>3</v>
      </c>
      <c r="D1779" t="s">
        <v>4</v>
      </c>
      <c r="E1779" t="s">
        <v>4</v>
      </c>
      <c r="F1779" t="s">
        <v>16</v>
      </c>
      <c r="G1779" t="s">
        <v>21</v>
      </c>
      <c r="H1779" t="s">
        <v>5091</v>
      </c>
      <c r="I1779" s="2">
        <v>88</v>
      </c>
      <c r="J1779" s="2">
        <v>0</v>
      </c>
      <c r="K1779" s="2">
        <v>0</v>
      </c>
      <c r="L1779" s="3">
        <v>45854</v>
      </c>
      <c r="M1779" s="3">
        <v>45854</v>
      </c>
      <c r="N1779" s="3"/>
      <c r="O1779" t="s">
        <v>5092</v>
      </c>
      <c r="P1779" t="s">
        <v>20</v>
      </c>
      <c r="Q1779" s="4">
        <v>0.90357638888889003</v>
      </c>
      <c r="R1779" t="s">
        <v>16</v>
      </c>
      <c r="S1779" t="s">
        <v>4</v>
      </c>
      <c r="T1779" t="s">
        <v>2299</v>
      </c>
      <c r="U1779" t="s">
        <v>10</v>
      </c>
      <c r="V1779" s="5">
        <v>0</v>
      </c>
      <c r="W1779" s="5">
        <v>0</v>
      </c>
      <c r="X1779" s="2">
        <v>0</v>
      </c>
      <c r="Y1779" t="s">
        <v>4</v>
      </c>
      <c r="Z1779" t="s">
        <v>4</v>
      </c>
      <c r="AA1779" t="s">
        <v>4</v>
      </c>
      <c r="AB1779" t="s">
        <v>4</v>
      </c>
    </row>
    <row r="1780" spans="1:28" hidden="1" x14ac:dyDescent="0.2">
      <c r="A1780" t="s">
        <v>1471</v>
      </c>
      <c r="B1780" t="s">
        <v>2</v>
      </c>
      <c r="C1780" t="s">
        <v>3</v>
      </c>
      <c r="D1780" t="s">
        <v>4</v>
      </c>
      <c r="E1780" t="s">
        <v>4</v>
      </c>
      <c r="F1780" t="s">
        <v>16</v>
      </c>
      <c r="G1780" t="s">
        <v>21</v>
      </c>
      <c r="H1780" t="s">
        <v>5093</v>
      </c>
      <c r="I1780" s="2">
        <v>60</v>
      </c>
      <c r="J1780" s="2">
        <v>0</v>
      </c>
      <c r="K1780" s="2">
        <v>0</v>
      </c>
      <c r="L1780" s="3">
        <v>45855</v>
      </c>
      <c r="M1780" s="3">
        <v>45855</v>
      </c>
      <c r="N1780" s="3"/>
      <c r="O1780" t="s">
        <v>5094</v>
      </c>
      <c r="P1780" t="s">
        <v>20</v>
      </c>
      <c r="Q1780" s="4">
        <v>0.88393518518518999</v>
      </c>
      <c r="R1780" t="s">
        <v>16</v>
      </c>
      <c r="S1780" t="s">
        <v>4</v>
      </c>
      <c r="T1780" t="s">
        <v>2350</v>
      </c>
      <c r="U1780" t="s">
        <v>10</v>
      </c>
      <c r="V1780" s="5">
        <v>0</v>
      </c>
      <c r="W1780" s="5">
        <v>0</v>
      </c>
      <c r="X1780" s="2">
        <v>0</v>
      </c>
      <c r="Y1780" t="s">
        <v>4</v>
      </c>
      <c r="Z1780" t="s">
        <v>4</v>
      </c>
      <c r="AA1780" t="s">
        <v>2351</v>
      </c>
      <c r="AB1780" t="s">
        <v>2351</v>
      </c>
    </row>
    <row r="1781" spans="1:28" hidden="1" x14ac:dyDescent="0.2">
      <c r="A1781" t="s">
        <v>331</v>
      </c>
      <c r="B1781" t="s">
        <v>2</v>
      </c>
      <c r="C1781" t="s">
        <v>3</v>
      </c>
      <c r="D1781" t="s">
        <v>4</v>
      </c>
      <c r="E1781" t="s">
        <v>4</v>
      </c>
      <c r="F1781" t="s">
        <v>16</v>
      </c>
      <c r="G1781" t="s">
        <v>21</v>
      </c>
      <c r="H1781" t="s">
        <v>5095</v>
      </c>
      <c r="I1781" s="2">
        <v>1260</v>
      </c>
      <c r="J1781" s="2">
        <v>0</v>
      </c>
      <c r="K1781" s="2">
        <v>0</v>
      </c>
      <c r="L1781" s="3">
        <v>45839</v>
      </c>
      <c r="M1781" s="3">
        <v>45839</v>
      </c>
      <c r="N1781" s="3"/>
      <c r="O1781" t="s">
        <v>5096</v>
      </c>
      <c r="P1781" t="s">
        <v>20</v>
      </c>
      <c r="Q1781" s="4">
        <v>0.80747685185185003</v>
      </c>
      <c r="R1781" t="s">
        <v>16</v>
      </c>
      <c r="S1781" t="s">
        <v>4</v>
      </c>
      <c r="T1781" t="s">
        <v>2312</v>
      </c>
      <c r="U1781" t="s">
        <v>10</v>
      </c>
      <c r="V1781" s="5">
        <v>0</v>
      </c>
      <c r="W1781" s="5">
        <v>0</v>
      </c>
      <c r="X1781" s="2">
        <v>0</v>
      </c>
      <c r="Y1781" t="s">
        <v>4</v>
      </c>
      <c r="Z1781" t="s">
        <v>4</v>
      </c>
      <c r="AA1781" t="s">
        <v>4</v>
      </c>
      <c r="AB1781" t="s">
        <v>4</v>
      </c>
    </row>
    <row r="1782" spans="1:28" hidden="1" x14ac:dyDescent="0.2">
      <c r="A1782" t="s">
        <v>2251</v>
      </c>
      <c r="B1782" t="s">
        <v>4</v>
      </c>
      <c r="C1782" t="s">
        <v>4</v>
      </c>
      <c r="D1782" t="s">
        <v>4</v>
      </c>
      <c r="E1782" t="s">
        <v>4</v>
      </c>
      <c r="F1782" t="s">
        <v>16</v>
      </c>
      <c r="G1782" t="s">
        <v>21</v>
      </c>
      <c r="H1782" t="s">
        <v>5097</v>
      </c>
      <c r="I1782" s="5">
        <v>0</v>
      </c>
      <c r="J1782" s="5">
        <v>0</v>
      </c>
      <c r="K1782" s="5">
        <v>0</v>
      </c>
      <c r="L1782" s="3"/>
      <c r="M1782" s="3"/>
      <c r="N1782" s="3"/>
      <c r="O1782" t="s">
        <v>4</v>
      </c>
      <c r="P1782" t="s">
        <v>20</v>
      </c>
      <c r="Q1782" s="4">
        <v>0.34623842592593002</v>
      </c>
      <c r="R1782" t="s">
        <v>4</v>
      </c>
      <c r="S1782" t="s">
        <v>4</v>
      </c>
      <c r="T1782" t="s">
        <v>2256</v>
      </c>
      <c r="U1782" t="s">
        <v>4</v>
      </c>
      <c r="V1782" s="5">
        <v>0</v>
      </c>
      <c r="W1782" s="5">
        <v>0</v>
      </c>
      <c r="X1782" s="2">
        <v>0</v>
      </c>
      <c r="Y1782" t="s">
        <v>4</v>
      </c>
      <c r="Z1782" t="s">
        <v>4</v>
      </c>
      <c r="AA1782" t="s">
        <v>4</v>
      </c>
      <c r="AB1782" t="s">
        <v>4</v>
      </c>
    </row>
    <row r="1783" spans="1:28" hidden="1" x14ac:dyDescent="0.2">
      <c r="A1783" t="s">
        <v>331</v>
      </c>
      <c r="B1783" t="s">
        <v>2</v>
      </c>
      <c r="C1783" t="s">
        <v>3</v>
      </c>
      <c r="D1783" t="s">
        <v>4</v>
      </c>
      <c r="E1783" t="s">
        <v>4</v>
      </c>
      <c r="F1783" t="s">
        <v>16</v>
      </c>
      <c r="G1783" t="s">
        <v>21</v>
      </c>
      <c r="H1783" t="s">
        <v>5098</v>
      </c>
      <c r="I1783" s="2">
        <v>1260</v>
      </c>
      <c r="J1783" s="2">
        <v>0</v>
      </c>
      <c r="K1783" s="2">
        <v>0</v>
      </c>
      <c r="L1783" s="3">
        <v>45839</v>
      </c>
      <c r="M1783" s="3">
        <v>45839</v>
      </c>
      <c r="N1783" s="3"/>
      <c r="O1783" t="s">
        <v>5099</v>
      </c>
      <c r="P1783" t="s">
        <v>20</v>
      </c>
      <c r="Q1783" s="4">
        <v>0.81775462962962997</v>
      </c>
      <c r="R1783" t="s">
        <v>16</v>
      </c>
      <c r="S1783" t="s">
        <v>4</v>
      </c>
      <c r="T1783" t="s">
        <v>2312</v>
      </c>
      <c r="U1783" t="s">
        <v>10</v>
      </c>
      <c r="V1783" s="5">
        <v>0</v>
      </c>
      <c r="W1783" s="5">
        <v>0</v>
      </c>
      <c r="X1783" s="2">
        <v>0</v>
      </c>
      <c r="Y1783" t="s">
        <v>4</v>
      </c>
      <c r="Z1783" t="s">
        <v>4</v>
      </c>
      <c r="AA1783" t="s">
        <v>4</v>
      </c>
      <c r="AB1783" t="s">
        <v>4</v>
      </c>
    </row>
    <row r="1784" spans="1:28" hidden="1" x14ac:dyDescent="0.2">
      <c r="A1784" t="s">
        <v>845</v>
      </c>
      <c r="B1784" t="s">
        <v>2</v>
      </c>
      <c r="C1784" t="s">
        <v>3</v>
      </c>
      <c r="D1784" t="s">
        <v>4</v>
      </c>
      <c r="E1784" t="s">
        <v>4</v>
      </c>
      <c r="F1784" t="s">
        <v>16</v>
      </c>
      <c r="G1784" t="s">
        <v>17</v>
      </c>
      <c r="H1784" t="s">
        <v>5100</v>
      </c>
      <c r="I1784" s="2">
        <v>7750</v>
      </c>
      <c r="J1784" s="2">
        <v>0</v>
      </c>
      <c r="K1784" s="2">
        <v>0</v>
      </c>
      <c r="L1784" s="3">
        <v>45744</v>
      </c>
      <c r="M1784" s="3">
        <v>45744</v>
      </c>
      <c r="N1784" s="3"/>
      <c r="O1784" t="s">
        <v>5101</v>
      </c>
      <c r="P1784" t="s">
        <v>20</v>
      </c>
      <c r="Q1784" s="4">
        <v>0.57313657407407004</v>
      </c>
      <c r="R1784" t="s">
        <v>16</v>
      </c>
      <c r="S1784" t="s">
        <v>4</v>
      </c>
      <c r="T1784" t="s">
        <v>2544</v>
      </c>
      <c r="U1784" t="s">
        <v>10</v>
      </c>
      <c r="V1784" s="5">
        <v>0</v>
      </c>
      <c r="W1784" s="5">
        <v>0</v>
      </c>
      <c r="X1784" s="2">
        <v>0</v>
      </c>
      <c r="Y1784" t="s">
        <v>2351</v>
      </c>
      <c r="Z1784" t="s">
        <v>4</v>
      </c>
      <c r="AA1784" t="s">
        <v>4</v>
      </c>
      <c r="AB1784" t="s">
        <v>4</v>
      </c>
    </row>
    <row r="1785" spans="1:28" hidden="1" x14ac:dyDescent="0.2">
      <c r="A1785" t="s">
        <v>1857</v>
      </c>
      <c r="B1785" t="s">
        <v>2</v>
      </c>
      <c r="C1785" t="s">
        <v>3</v>
      </c>
      <c r="D1785" t="s">
        <v>4</v>
      </c>
      <c r="E1785" t="s">
        <v>4</v>
      </c>
      <c r="F1785" t="s">
        <v>16</v>
      </c>
      <c r="G1785" t="s">
        <v>17</v>
      </c>
      <c r="H1785" t="s">
        <v>5102</v>
      </c>
      <c r="I1785" s="2">
        <v>12000</v>
      </c>
      <c r="J1785" s="2">
        <v>0</v>
      </c>
      <c r="K1785" s="2">
        <v>0</v>
      </c>
      <c r="L1785" s="3">
        <v>45801</v>
      </c>
      <c r="M1785" s="3">
        <v>45859</v>
      </c>
      <c r="N1785" s="3">
        <v>45859</v>
      </c>
      <c r="O1785" t="s">
        <v>5103</v>
      </c>
      <c r="P1785" t="s">
        <v>20</v>
      </c>
      <c r="Q1785" s="4">
        <v>0.67739583333332998</v>
      </c>
      <c r="R1785" t="s">
        <v>16</v>
      </c>
      <c r="S1785" t="s">
        <v>4</v>
      </c>
      <c r="T1785" t="s">
        <v>4744</v>
      </c>
      <c r="U1785" t="s">
        <v>10</v>
      </c>
      <c r="V1785" s="5">
        <v>0</v>
      </c>
      <c r="W1785" s="5">
        <v>0</v>
      </c>
      <c r="X1785" s="2">
        <v>0</v>
      </c>
      <c r="Y1785" t="s">
        <v>4</v>
      </c>
      <c r="Z1785" t="s">
        <v>4</v>
      </c>
      <c r="AA1785" t="s">
        <v>4</v>
      </c>
      <c r="AB1785" t="s">
        <v>4</v>
      </c>
    </row>
    <row r="1786" spans="1:28" hidden="1" x14ac:dyDescent="0.2">
      <c r="A1786" t="s">
        <v>623</v>
      </c>
      <c r="B1786" t="s">
        <v>2</v>
      </c>
      <c r="C1786" t="s">
        <v>3</v>
      </c>
      <c r="D1786" t="s">
        <v>4</v>
      </c>
      <c r="E1786" t="s">
        <v>4</v>
      </c>
      <c r="F1786" t="s">
        <v>16</v>
      </c>
      <c r="G1786" t="s">
        <v>6</v>
      </c>
      <c r="H1786" t="s">
        <v>5104</v>
      </c>
      <c r="I1786" s="2">
        <v>5250</v>
      </c>
      <c r="J1786" s="2">
        <v>0</v>
      </c>
      <c r="K1786" s="2">
        <v>0</v>
      </c>
      <c r="L1786" s="3">
        <v>45850</v>
      </c>
      <c r="M1786" s="3">
        <v>45850</v>
      </c>
      <c r="N1786" s="3"/>
      <c r="O1786" t="s">
        <v>5105</v>
      </c>
      <c r="P1786" t="s">
        <v>20</v>
      </c>
      <c r="Q1786" s="4">
        <v>0.92209490740740996</v>
      </c>
      <c r="R1786" t="s">
        <v>16</v>
      </c>
      <c r="S1786" t="s">
        <v>4</v>
      </c>
      <c r="T1786" t="s">
        <v>2680</v>
      </c>
      <c r="U1786" t="s">
        <v>10</v>
      </c>
      <c r="V1786" s="5">
        <v>0</v>
      </c>
      <c r="W1786" s="5">
        <v>0</v>
      </c>
      <c r="X1786" s="2">
        <v>0</v>
      </c>
      <c r="Y1786" t="s">
        <v>4</v>
      </c>
      <c r="Z1786" t="s">
        <v>4</v>
      </c>
      <c r="AA1786" t="s">
        <v>4</v>
      </c>
      <c r="AB1786" t="s">
        <v>4</v>
      </c>
    </row>
    <row r="1787" spans="1:28" hidden="1" x14ac:dyDescent="0.2">
      <c r="A1787" t="s">
        <v>2058</v>
      </c>
      <c r="B1787" t="s">
        <v>2</v>
      </c>
      <c r="C1787" t="s">
        <v>3</v>
      </c>
      <c r="D1787" t="s">
        <v>4</v>
      </c>
      <c r="E1787" t="s">
        <v>4</v>
      </c>
      <c r="F1787" t="s">
        <v>16</v>
      </c>
      <c r="G1787" t="s">
        <v>6</v>
      </c>
      <c r="H1787" t="s">
        <v>5106</v>
      </c>
      <c r="I1787" s="2">
        <v>227</v>
      </c>
      <c r="J1787" s="2">
        <v>0</v>
      </c>
      <c r="K1787" s="2">
        <v>0</v>
      </c>
      <c r="L1787" s="3">
        <v>45790</v>
      </c>
      <c r="M1787" s="3">
        <v>45854</v>
      </c>
      <c r="N1787" s="3">
        <v>45854</v>
      </c>
      <c r="O1787" t="s">
        <v>5107</v>
      </c>
      <c r="P1787" t="s">
        <v>20</v>
      </c>
      <c r="Q1787" s="4">
        <v>0.78622685185185004</v>
      </c>
      <c r="R1787" t="s">
        <v>16</v>
      </c>
      <c r="S1787" t="s">
        <v>4</v>
      </c>
      <c r="T1787" t="s">
        <v>5108</v>
      </c>
      <c r="U1787" t="s">
        <v>10</v>
      </c>
      <c r="V1787" s="5">
        <v>0</v>
      </c>
      <c r="W1787" s="5">
        <v>0</v>
      </c>
      <c r="X1787" s="2">
        <v>0</v>
      </c>
      <c r="Y1787" t="s">
        <v>4</v>
      </c>
      <c r="Z1787" t="s">
        <v>4</v>
      </c>
      <c r="AA1787" t="s">
        <v>4</v>
      </c>
      <c r="AB1787" t="s">
        <v>4</v>
      </c>
    </row>
    <row r="1788" spans="1:28" hidden="1" x14ac:dyDescent="0.2">
      <c r="A1788" t="s">
        <v>1863</v>
      </c>
      <c r="B1788" t="s">
        <v>2</v>
      </c>
      <c r="C1788" t="s">
        <v>3</v>
      </c>
      <c r="D1788" t="s">
        <v>4</v>
      </c>
      <c r="E1788" t="s">
        <v>4</v>
      </c>
      <c r="F1788" t="s">
        <v>16</v>
      </c>
      <c r="G1788" t="s">
        <v>17</v>
      </c>
      <c r="H1788" t="s">
        <v>5109</v>
      </c>
      <c r="I1788" s="2">
        <v>180</v>
      </c>
      <c r="J1788" s="2">
        <v>0</v>
      </c>
      <c r="K1788" s="2">
        <v>0</v>
      </c>
      <c r="L1788" s="3">
        <v>45785</v>
      </c>
      <c r="M1788" s="3">
        <v>45859</v>
      </c>
      <c r="N1788" s="3">
        <v>45859</v>
      </c>
      <c r="O1788" t="s">
        <v>5110</v>
      </c>
      <c r="P1788" t="s">
        <v>20</v>
      </c>
      <c r="Q1788" s="4">
        <v>0.33887731481480998</v>
      </c>
      <c r="R1788" t="s">
        <v>16</v>
      </c>
      <c r="S1788" t="s">
        <v>4</v>
      </c>
      <c r="T1788" t="s">
        <v>2780</v>
      </c>
      <c r="U1788" t="s">
        <v>10</v>
      </c>
      <c r="V1788" s="5">
        <v>0</v>
      </c>
      <c r="W1788" s="5">
        <v>0</v>
      </c>
      <c r="X1788" s="2">
        <v>0</v>
      </c>
      <c r="Y1788" t="s">
        <v>4</v>
      </c>
      <c r="Z1788" t="s">
        <v>4</v>
      </c>
      <c r="AA1788" t="s">
        <v>4</v>
      </c>
      <c r="AB1788" t="s">
        <v>4</v>
      </c>
    </row>
    <row r="1789" spans="1:28" hidden="1" x14ac:dyDescent="0.2">
      <c r="A1789" t="s">
        <v>0</v>
      </c>
      <c r="B1789" t="s">
        <v>2</v>
      </c>
      <c r="C1789" t="s">
        <v>3</v>
      </c>
      <c r="D1789" t="s">
        <v>4</v>
      </c>
      <c r="E1789" t="s">
        <v>4</v>
      </c>
      <c r="F1789" t="s">
        <v>16</v>
      </c>
      <c r="G1789" t="s">
        <v>6</v>
      </c>
      <c r="H1789" t="s">
        <v>131</v>
      </c>
      <c r="I1789" s="2">
        <v>196</v>
      </c>
      <c r="J1789" s="2">
        <v>0</v>
      </c>
      <c r="K1789" s="2">
        <v>0</v>
      </c>
      <c r="L1789" s="3">
        <v>45843</v>
      </c>
      <c r="M1789" s="3">
        <v>45843</v>
      </c>
      <c r="N1789" s="3"/>
      <c r="O1789" t="s">
        <v>132</v>
      </c>
      <c r="P1789" t="s">
        <v>20</v>
      </c>
      <c r="Q1789" s="4">
        <v>0.82962962962963005</v>
      </c>
      <c r="R1789" t="s">
        <v>16</v>
      </c>
      <c r="S1789" t="s">
        <v>4</v>
      </c>
      <c r="T1789" t="s">
        <v>2783</v>
      </c>
      <c r="U1789" t="s">
        <v>10</v>
      </c>
      <c r="V1789" s="5">
        <v>0</v>
      </c>
      <c r="W1789" s="5">
        <v>0</v>
      </c>
      <c r="X1789" s="2">
        <v>0</v>
      </c>
      <c r="Y1789" t="s">
        <v>4</v>
      </c>
      <c r="Z1789" t="s">
        <v>4</v>
      </c>
      <c r="AA1789" t="s">
        <v>4</v>
      </c>
      <c r="AB1789" t="s">
        <v>4</v>
      </c>
    </row>
    <row r="1790" spans="1:28" hidden="1" x14ac:dyDescent="0.2">
      <c r="A1790" t="s">
        <v>1873</v>
      </c>
      <c r="B1790" t="s">
        <v>2</v>
      </c>
      <c r="C1790" t="s">
        <v>3</v>
      </c>
      <c r="D1790" t="s">
        <v>4</v>
      </c>
      <c r="E1790" t="s">
        <v>4</v>
      </c>
      <c r="F1790" t="s">
        <v>16</v>
      </c>
      <c r="G1790" t="s">
        <v>21</v>
      </c>
      <c r="H1790" t="s">
        <v>5111</v>
      </c>
      <c r="I1790" s="2">
        <v>5000</v>
      </c>
      <c r="J1790" s="2">
        <v>0</v>
      </c>
      <c r="K1790" s="2">
        <v>0</v>
      </c>
      <c r="L1790" s="3">
        <v>45833</v>
      </c>
      <c r="M1790" s="3">
        <v>45833</v>
      </c>
      <c r="N1790" s="3"/>
      <c r="O1790" t="s">
        <v>5112</v>
      </c>
      <c r="P1790" t="s">
        <v>20</v>
      </c>
      <c r="Q1790" s="4">
        <v>0.38282407407406999</v>
      </c>
      <c r="R1790" t="s">
        <v>16</v>
      </c>
      <c r="S1790" t="s">
        <v>4</v>
      </c>
      <c r="T1790" t="s">
        <v>2736</v>
      </c>
      <c r="U1790" t="s">
        <v>10</v>
      </c>
      <c r="V1790" s="5">
        <v>0</v>
      </c>
      <c r="W1790" s="5">
        <v>0</v>
      </c>
      <c r="X1790" s="2">
        <v>0</v>
      </c>
      <c r="Y1790" t="s">
        <v>4</v>
      </c>
      <c r="Z1790" t="s">
        <v>4</v>
      </c>
      <c r="AA1790" t="s">
        <v>4</v>
      </c>
      <c r="AB1790" t="s">
        <v>4</v>
      </c>
    </row>
    <row r="1791" spans="1:28" hidden="1" x14ac:dyDescent="0.2">
      <c r="A1791" t="s">
        <v>682</v>
      </c>
      <c r="B1791" t="s">
        <v>2</v>
      </c>
      <c r="C1791" t="s">
        <v>3</v>
      </c>
      <c r="D1791" t="s">
        <v>4</v>
      </c>
      <c r="E1791" t="s">
        <v>4</v>
      </c>
      <c r="F1791" t="s">
        <v>16</v>
      </c>
      <c r="G1791" t="s">
        <v>21</v>
      </c>
      <c r="H1791" t="s">
        <v>5113</v>
      </c>
      <c r="I1791" s="2">
        <v>26</v>
      </c>
      <c r="J1791" s="2">
        <v>0</v>
      </c>
      <c r="K1791" s="2">
        <v>0</v>
      </c>
      <c r="L1791" s="3">
        <v>45748</v>
      </c>
      <c r="M1791" s="3">
        <v>45748</v>
      </c>
      <c r="N1791" s="3"/>
      <c r="O1791" t="s">
        <v>5114</v>
      </c>
      <c r="P1791" t="s">
        <v>20</v>
      </c>
      <c r="Q1791" s="4">
        <v>0.63909722222221998</v>
      </c>
      <c r="R1791" t="s">
        <v>16</v>
      </c>
      <c r="S1791" t="s">
        <v>4</v>
      </c>
      <c r="T1791" t="s">
        <v>3368</v>
      </c>
      <c r="U1791" t="s">
        <v>10</v>
      </c>
      <c r="V1791" s="5">
        <v>0</v>
      </c>
      <c r="W1791" s="5">
        <v>0</v>
      </c>
      <c r="X1791" s="2">
        <v>0</v>
      </c>
      <c r="Y1791" t="s">
        <v>4</v>
      </c>
      <c r="Z1791" t="s">
        <v>4</v>
      </c>
      <c r="AA1791" t="s">
        <v>4</v>
      </c>
      <c r="AB1791" t="s">
        <v>4</v>
      </c>
    </row>
    <row r="1792" spans="1:28" hidden="1" x14ac:dyDescent="0.2">
      <c r="A1792" t="s">
        <v>796</v>
      </c>
      <c r="B1792" t="s">
        <v>2</v>
      </c>
      <c r="C1792" t="s">
        <v>3</v>
      </c>
      <c r="D1792" t="s">
        <v>4</v>
      </c>
      <c r="E1792" t="s">
        <v>4</v>
      </c>
      <c r="F1792" t="s">
        <v>16</v>
      </c>
      <c r="G1792" t="s">
        <v>21</v>
      </c>
      <c r="H1792" t="s">
        <v>5115</v>
      </c>
      <c r="I1792" s="2">
        <v>1040</v>
      </c>
      <c r="J1792" s="2">
        <v>0</v>
      </c>
      <c r="K1792" s="2">
        <v>0</v>
      </c>
      <c r="L1792" s="3">
        <v>45850</v>
      </c>
      <c r="M1792" s="3">
        <v>45850</v>
      </c>
      <c r="N1792" s="3"/>
      <c r="O1792" t="s">
        <v>5116</v>
      </c>
      <c r="P1792" t="s">
        <v>20</v>
      </c>
      <c r="Q1792" s="4">
        <v>0.46555555555556</v>
      </c>
      <c r="R1792" t="s">
        <v>16</v>
      </c>
      <c r="S1792" t="s">
        <v>4</v>
      </c>
      <c r="T1792" t="s">
        <v>2680</v>
      </c>
      <c r="U1792" t="s">
        <v>10</v>
      </c>
      <c r="V1792" s="5">
        <v>0</v>
      </c>
      <c r="W1792" s="5">
        <v>0</v>
      </c>
      <c r="X1792" s="2">
        <v>0</v>
      </c>
      <c r="Y1792" t="s">
        <v>4</v>
      </c>
      <c r="Z1792" t="s">
        <v>4</v>
      </c>
      <c r="AA1792" t="s">
        <v>4</v>
      </c>
      <c r="AB1792" t="s">
        <v>4</v>
      </c>
    </row>
    <row r="1793" spans="1:28" hidden="1" x14ac:dyDescent="0.2">
      <c r="A1793" t="s">
        <v>285</v>
      </c>
      <c r="B1793" t="s">
        <v>2</v>
      </c>
      <c r="C1793" t="s">
        <v>3</v>
      </c>
      <c r="D1793" t="s">
        <v>4</v>
      </c>
      <c r="E1793" t="s">
        <v>4</v>
      </c>
      <c r="F1793" t="s">
        <v>16</v>
      </c>
      <c r="G1793" t="s">
        <v>21</v>
      </c>
      <c r="H1793" t="s">
        <v>5117</v>
      </c>
      <c r="I1793" s="2">
        <v>30</v>
      </c>
      <c r="J1793" s="2">
        <v>0</v>
      </c>
      <c r="K1793" s="2">
        <v>0</v>
      </c>
      <c r="L1793" s="3">
        <v>45835</v>
      </c>
      <c r="M1793" s="3">
        <v>45835</v>
      </c>
      <c r="N1793" s="3"/>
      <c r="O1793" t="s">
        <v>5118</v>
      </c>
      <c r="P1793" t="s">
        <v>20</v>
      </c>
      <c r="Q1793" s="4">
        <v>0.65567129629630005</v>
      </c>
      <c r="R1793" t="s">
        <v>16</v>
      </c>
      <c r="S1793" t="s">
        <v>4</v>
      </c>
      <c r="T1793" t="s">
        <v>2928</v>
      </c>
      <c r="U1793" t="s">
        <v>10</v>
      </c>
      <c r="V1793" s="5">
        <v>0</v>
      </c>
      <c r="W1793" s="5">
        <v>0</v>
      </c>
      <c r="X1793" s="2">
        <v>0</v>
      </c>
      <c r="Y1793" t="s">
        <v>4</v>
      </c>
      <c r="Z1793" t="s">
        <v>4</v>
      </c>
      <c r="AA1793" t="s">
        <v>4</v>
      </c>
      <c r="AB1793" t="s">
        <v>4</v>
      </c>
    </row>
    <row r="1794" spans="1:28" hidden="1" x14ac:dyDescent="0.2">
      <c r="A1794" t="s">
        <v>285</v>
      </c>
      <c r="B1794" t="s">
        <v>2</v>
      </c>
      <c r="C1794" t="s">
        <v>3</v>
      </c>
      <c r="D1794" t="s">
        <v>4</v>
      </c>
      <c r="E1794" t="s">
        <v>4</v>
      </c>
      <c r="F1794" t="s">
        <v>16</v>
      </c>
      <c r="G1794" t="s">
        <v>21</v>
      </c>
      <c r="H1794" t="s">
        <v>5119</v>
      </c>
      <c r="I1794" s="2">
        <v>30</v>
      </c>
      <c r="J1794" s="2">
        <v>0</v>
      </c>
      <c r="K1794" s="2">
        <v>0</v>
      </c>
      <c r="L1794" s="3">
        <v>45835</v>
      </c>
      <c r="M1794" s="3">
        <v>45835</v>
      </c>
      <c r="N1794" s="3"/>
      <c r="O1794" t="s">
        <v>5120</v>
      </c>
      <c r="P1794" t="s">
        <v>20</v>
      </c>
      <c r="Q1794" s="4">
        <v>0.65606481481481005</v>
      </c>
      <c r="R1794" t="s">
        <v>16</v>
      </c>
      <c r="S1794" t="s">
        <v>4</v>
      </c>
      <c r="T1794" t="s">
        <v>2928</v>
      </c>
      <c r="U1794" t="s">
        <v>10</v>
      </c>
      <c r="V1794" s="5">
        <v>0</v>
      </c>
      <c r="W1794" s="5">
        <v>0</v>
      </c>
      <c r="X1794" s="2">
        <v>0</v>
      </c>
      <c r="Y1794" t="s">
        <v>4</v>
      </c>
      <c r="Z1794" t="s">
        <v>4</v>
      </c>
      <c r="AA1794" t="s">
        <v>4</v>
      </c>
      <c r="AB1794" t="s">
        <v>4</v>
      </c>
    </row>
    <row r="1795" spans="1:28" hidden="1" x14ac:dyDescent="0.2">
      <c r="A1795" t="s">
        <v>327</v>
      </c>
      <c r="B1795" t="s">
        <v>2</v>
      </c>
      <c r="C1795" t="s">
        <v>3</v>
      </c>
      <c r="D1795" t="s">
        <v>4</v>
      </c>
      <c r="E1795" t="s">
        <v>4</v>
      </c>
      <c r="F1795" t="s">
        <v>16</v>
      </c>
      <c r="G1795" t="s">
        <v>21</v>
      </c>
      <c r="H1795" t="s">
        <v>5121</v>
      </c>
      <c r="I1795" s="2">
        <v>1260</v>
      </c>
      <c r="J1795" s="2">
        <v>0</v>
      </c>
      <c r="K1795" s="2">
        <v>0</v>
      </c>
      <c r="L1795" s="3">
        <v>45839</v>
      </c>
      <c r="M1795" s="3">
        <v>45839</v>
      </c>
      <c r="N1795" s="3"/>
      <c r="O1795" t="s">
        <v>5122</v>
      </c>
      <c r="P1795" t="s">
        <v>20</v>
      </c>
      <c r="Q1795" s="4">
        <v>0.82130787037037001</v>
      </c>
      <c r="R1795" t="s">
        <v>16</v>
      </c>
      <c r="S1795" t="s">
        <v>4</v>
      </c>
      <c r="T1795" t="s">
        <v>2312</v>
      </c>
      <c r="U1795" t="s">
        <v>10</v>
      </c>
      <c r="V1795" s="5">
        <v>0</v>
      </c>
      <c r="W1795" s="5">
        <v>0</v>
      </c>
      <c r="X1795" s="2">
        <v>0</v>
      </c>
      <c r="Y1795" t="s">
        <v>4</v>
      </c>
      <c r="Z1795" t="s">
        <v>4</v>
      </c>
      <c r="AA1795" t="s">
        <v>4</v>
      </c>
      <c r="AB1795" t="s">
        <v>4</v>
      </c>
    </row>
    <row r="1796" spans="1:28" hidden="1" x14ac:dyDescent="0.2">
      <c r="A1796" t="s">
        <v>327</v>
      </c>
      <c r="B1796" t="s">
        <v>2</v>
      </c>
      <c r="C1796" t="s">
        <v>3</v>
      </c>
      <c r="D1796" t="s">
        <v>4</v>
      </c>
      <c r="E1796" t="s">
        <v>4</v>
      </c>
      <c r="F1796" t="s">
        <v>16</v>
      </c>
      <c r="G1796" t="s">
        <v>21</v>
      </c>
      <c r="H1796" t="s">
        <v>5123</v>
      </c>
      <c r="I1796" s="2">
        <v>1260</v>
      </c>
      <c r="J1796" s="2">
        <v>0</v>
      </c>
      <c r="K1796" s="2">
        <v>0</v>
      </c>
      <c r="L1796" s="3">
        <v>45839</v>
      </c>
      <c r="M1796" s="3">
        <v>45839</v>
      </c>
      <c r="N1796" s="3"/>
      <c r="O1796" t="s">
        <v>5124</v>
      </c>
      <c r="P1796" t="s">
        <v>20</v>
      </c>
      <c r="Q1796" s="4">
        <v>0.82516203703704005</v>
      </c>
      <c r="R1796" t="s">
        <v>16</v>
      </c>
      <c r="S1796" t="s">
        <v>4</v>
      </c>
      <c r="T1796" t="s">
        <v>2312</v>
      </c>
      <c r="U1796" t="s">
        <v>10</v>
      </c>
      <c r="V1796" s="5">
        <v>0</v>
      </c>
      <c r="W1796" s="5">
        <v>0</v>
      </c>
      <c r="X1796" s="2">
        <v>0</v>
      </c>
      <c r="Y1796" t="s">
        <v>4</v>
      </c>
      <c r="Z1796" t="s">
        <v>4</v>
      </c>
      <c r="AA1796" t="s">
        <v>4</v>
      </c>
      <c r="AB1796" t="s">
        <v>4</v>
      </c>
    </row>
    <row r="1797" spans="1:28" hidden="1" x14ac:dyDescent="0.2">
      <c r="A1797" t="s">
        <v>331</v>
      </c>
      <c r="B1797" t="s">
        <v>2</v>
      </c>
      <c r="C1797" t="s">
        <v>3</v>
      </c>
      <c r="D1797" t="s">
        <v>4</v>
      </c>
      <c r="E1797" t="s">
        <v>4</v>
      </c>
      <c r="F1797" t="s">
        <v>16</v>
      </c>
      <c r="G1797" t="s">
        <v>21</v>
      </c>
      <c r="H1797" t="s">
        <v>5125</v>
      </c>
      <c r="I1797" s="2">
        <v>1260</v>
      </c>
      <c r="J1797" s="2">
        <v>0</v>
      </c>
      <c r="K1797" s="2">
        <v>0</v>
      </c>
      <c r="L1797" s="3">
        <v>45839</v>
      </c>
      <c r="M1797" s="3">
        <v>45839</v>
      </c>
      <c r="N1797" s="3"/>
      <c r="O1797" t="s">
        <v>5126</v>
      </c>
      <c r="P1797" t="s">
        <v>20</v>
      </c>
      <c r="Q1797" s="4">
        <v>0.82814814814814997</v>
      </c>
      <c r="R1797" t="s">
        <v>16</v>
      </c>
      <c r="S1797" t="s">
        <v>4</v>
      </c>
      <c r="T1797" t="s">
        <v>2312</v>
      </c>
      <c r="U1797" t="s">
        <v>10</v>
      </c>
      <c r="V1797" s="5">
        <v>0</v>
      </c>
      <c r="W1797" s="5">
        <v>0</v>
      </c>
      <c r="X1797" s="2">
        <v>0</v>
      </c>
      <c r="Y1797" t="s">
        <v>4</v>
      </c>
      <c r="Z1797" t="s">
        <v>4</v>
      </c>
      <c r="AA1797" t="s">
        <v>4</v>
      </c>
      <c r="AB1797" t="s">
        <v>4</v>
      </c>
    </row>
    <row r="1798" spans="1:28" hidden="1" x14ac:dyDescent="0.2">
      <c r="A1798" t="s">
        <v>1022</v>
      </c>
      <c r="B1798" t="s">
        <v>2</v>
      </c>
      <c r="C1798" t="s">
        <v>3</v>
      </c>
      <c r="D1798" t="s">
        <v>4</v>
      </c>
      <c r="E1798" t="s">
        <v>4</v>
      </c>
      <c r="F1798" t="s">
        <v>16</v>
      </c>
      <c r="G1798" t="s">
        <v>21</v>
      </c>
      <c r="H1798" t="s">
        <v>5127</v>
      </c>
      <c r="I1798" s="2">
        <v>1219</v>
      </c>
      <c r="J1798" s="2">
        <v>0</v>
      </c>
      <c r="K1798" s="2">
        <v>0</v>
      </c>
      <c r="L1798" s="3">
        <v>45848</v>
      </c>
      <c r="M1798" s="3">
        <v>45848</v>
      </c>
      <c r="N1798" s="3"/>
      <c r="O1798" t="s">
        <v>5128</v>
      </c>
      <c r="P1798" t="s">
        <v>20</v>
      </c>
      <c r="Q1798" s="4">
        <v>0.90871527777778005</v>
      </c>
      <c r="R1798" t="s">
        <v>16</v>
      </c>
      <c r="S1798" t="s">
        <v>4</v>
      </c>
      <c r="T1798" t="s">
        <v>2580</v>
      </c>
      <c r="U1798" t="s">
        <v>10</v>
      </c>
      <c r="V1798" s="5">
        <v>0</v>
      </c>
      <c r="W1798" s="5">
        <v>0</v>
      </c>
      <c r="X1798" s="2">
        <v>0</v>
      </c>
      <c r="Y1798" t="s">
        <v>4</v>
      </c>
      <c r="Z1798" t="s">
        <v>4</v>
      </c>
      <c r="AA1798" t="s">
        <v>4</v>
      </c>
      <c r="AB1798" t="s">
        <v>4</v>
      </c>
    </row>
    <row r="1799" spans="1:28" hidden="1" x14ac:dyDescent="0.2">
      <c r="A1799" t="s">
        <v>1873</v>
      </c>
      <c r="B1799" t="s">
        <v>2</v>
      </c>
      <c r="C1799" t="s">
        <v>3</v>
      </c>
      <c r="D1799" t="s">
        <v>4</v>
      </c>
      <c r="E1799" t="s">
        <v>4</v>
      </c>
      <c r="F1799" t="s">
        <v>16</v>
      </c>
      <c r="G1799" t="s">
        <v>21</v>
      </c>
      <c r="H1799" t="s">
        <v>5129</v>
      </c>
      <c r="I1799" s="2">
        <v>6000</v>
      </c>
      <c r="J1799" s="2">
        <v>0</v>
      </c>
      <c r="K1799" s="2">
        <v>0</v>
      </c>
      <c r="L1799" s="3">
        <v>45858</v>
      </c>
      <c r="M1799" s="3">
        <v>45858</v>
      </c>
      <c r="N1799" s="3"/>
      <c r="O1799" t="s">
        <v>5130</v>
      </c>
      <c r="P1799" t="s">
        <v>20</v>
      </c>
      <c r="Q1799" s="4">
        <v>0.60177083333333004</v>
      </c>
      <c r="R1799" t="s">
        <v>16</v>
      </c>
      <c r="S1799" t="s">
        <v>4</v>
      </c>
      <c r="T1799" t="s">
        <v>2337</v>
      </c>
      <c r="U1799" t="s">
        <v>10</v>
      </c>
      <c r="V1799" s="5">
        <v>0</v>
      </c>
      <c r="W1799" s="5">
        <v>0</v>
      </c>
      <c r="X1799" s="2">
        <v>0</v>
      </c>
      <c r="Y1799" t="s">
        <v>4</v>
      </c>
      <c r="Z1799" t="s">
        <v>4</v>
      </c>
      <c r="AA1799" t="s">
        <v>4</v>
      </c>
      <c r="AB1799" t="s">
        <v>4</v>
      </c>
    </row>
    <row r="1800" spans="1:28" hidden="1" x14ac:dyDescent="0.2">
      <c r="A1800" t="s">
        <v>2251</v>
      </c>
      <c r="B1800" t="s">
        <v>4</v>
      </c>
      <c r="C1800" t="s">
        <v>4</v>
      </c>
      <c r="D1800" t="s">
        <v>4</v>
      </c>
      <c r="E1800" t="s">
        <v>4</v>
      </c>
      <c r="F1800" t="s">
        <v>16</v>
      </c>
      <c r="G1800" t="s">
        <v>17</v>
      </c>
      <c r="H1800" t="s">
        <v>5131</v>
      </c>
      <c r="I1800" s="5">
        <v>0</v>
      </c>
      <c r="J1800" s="5">
        <v>0</v>
      </c>
      <c r="K1800" s="5">
        <v>0</v>
      </c>
      <c r="L1800" s="3"/>
      <c r="M1800" s="3"/>
      <c r="N1800" s="3"/>
      <c r="O1800" t="s">
        <v>4</v>
      </c>
      <c r="P1800" t="s">
        <v>20</v>
      </c>
      <c r="Q1800" s="4">
        <v>0.55230324074074</v>
      </c>
      <c r="R1800" t="s">
        <v>4</v>
      </c>
      <c r="S1800" t="s">
        <v>4</v>
      </c>
      <c r="T1800" t="s">
        <v>2256</v>
      </c>
      <c r="U1800" t="s">
        <v>4</v>
      </c>
      <c r="V1800" s="5">
        <v>0</v>
      </c>
      <c r="W1800" s="5">
        <v>0</v>
      </c>
      <c r="X1800" s="2">
        <v>0</v>
      </c>
      <c r="Y1800" t="s">
        <v>4</v>
      </c>
      <c r="Z1800" t="s">
        <v>4</v>
      </c>
      <c r="AA1800" t="s">
        <v>4</v>
      </c>
      <c r="AB1800" t="s">
        <v>4</v>
      </c>
    </row>
    <row r="1801" spans="1:28" hidden="1" x14ac:dyDescent="0.2">
      <c r="A1801" t="s">
        <v>2196</v>
      </c>
      <c r="B1801" t="s">
        <v>2</v>
      </c>
      <c r="C1801" t="s">
        <v>3</v>
      </c>
      <c r="D1801" t="s">
        <v>4</v>
      </c>
      <c r="E1801" t="s">
        <v>4</v>
      </c>
      <c r="F1801" t="s">
        <v>16</v>
      </c>
      <c r="G1801" t="s">
        <v>17</v>
      </c>
      <c r="H1801" t="s">
        <v>5132</v>
      </c>
      <c r="I1801" s="2">
        <v>768</v>
      </c>
      <c r="J1801" s="2">
        <v>0</v>
      </c>
      <c r="K1801" s="2">
        <v>0</v>
      </c>
      <c r="L1801" s="3">
        <v>45775</v>
      </c>
      <c r="M1801" s="3">
        <v>45775</v>
      </c>
      <c r="N1801" s="3"/>
      <c r="O1801" t="s">
        <v>5133</v>
      </c>
      <c r="P1801" t="s">
        <v>20</v>
      </c>
      <c r="Q1801" s="4">
        <v>0.36936342592593002</v>
      </c>
      <c r="R1801" t="s">
        <v>16</v>
      </c>
      <c r="S1801" t="s">
        <v>4</v>
      </c>
      <c r="T1801" t="s">
        <v>5134</v>
      </c>
      <c r="U1801" t="s">
        <v>10</v>
      </c>
      <c r="V1801" s="5">
        <v>0</v>
      </c>
      <c r="W1801" s="5">
        <v>0</v>
      </c>
      <c r="X1801" s="2">
        <v>0</v>
      </c>
      <c r="Y1801" t="s">
        <v>4</v>
      </c>
      <c r="Z1801" t="s">
        <v>4</v>
      </c>
      <c r="AA1801" t="s">
        <v>4</v>
      </c>
      <c r="AB1801" t="s">
        <v>4</v>
      </c>
    </row>
    <row r="1802" spans="1:28" hidden="1" x14ac:dyDescent="0.2">
      <c r="A1802" t="s">
        <v>903</v>
      </c>
      <c r="B1802" t="s">
        <v>2</v>
      </c>
      <c r="C1802" t="s">
        <v>3</v>
      </c>
      <c r="D1802" t="s">
        <v>4</v>
      </c>
      <c r="E1802" t="s">
        <v>4</v>
      </c>
      <c r="F1802" t="s">
        <v>16</v>
      </c>
      <c r="G1802" t="s">
        <v>17</v>
      </c>
      <c r="H1802" t="s">
        <v>5135</v>
      </c>
      <c r="I1802" s="2">
        <v>50</v>
      </c>
      <c r="J1802" s="2">
        <v>0</v>
      </c>
      <c r="K1802" s="2">
        <v>0</v>
      </c>
      <c r="L1802" s="3">
        <v>45714</v>
      </c>
      <c r="M1802" s="3">
        <v>45714</v>
      </c>
      <c r="N1802" s="3"/>
      <c r="O1802" t="s">
        <v>5136</v>
      </c>
      <c r="P1802" t="s">
        <v>20</v>
      </c>
      <c r="Q1802" s="4">
        <v>0.72122685185184998</v>
      </c>
      <c r="R1802" t="s">
        <v>16</v>
      </c>
      <c r="S1802" t="s">
        <v>4</v>
      </c>
      <c r="T1802" t="s">
        <v>5137</v>
      </c>
      <c r="U1802" t="s">
        <v>10</v>
      </c>
      <c r="V1802" s="5">
        <v>0</v>
      </c>
      <c r="W1802" s="5">
        <v>0</v>
      </c>
      <c r="X1802" s="2">
        <v>0</v>
      </c>
      <c r="Y1802" t="s">
        <v>4</v>
      </c>
      <c r="Z1802" t="s">
        <v>4</v>
      </c>
      <c r="AA1802" t="s">
        <v>4</v>
      </c>
      <c r="AB1802" t="s">
        <v>4</v>
      </c>
    </row>
    <row r="1803" spans="1:28" hidden="1" x14ac:dyDescent="0.2">
      <c r="A1803" t="s">
        <v>1131</v>
      </c>
      <c r="B1803" t="s">
        <v>2</v>
      </c>
      <c r="C1803" t="s">
        <v>3</v>
      </c>
      <c r="D1803" t="s">
        <v>4</v>
      </c>
      <c r="E1803" t="s">
        <v>4</v>
      </c>
      <c r="F1803" t="s">
        <v>16</v>
      </c>
      <c r="G1803" t="s">
        <v>6</v>
      </c>
      <c r="H1803" t="s">
        <v>5138</v>
      </c>
      <c r="I1803" s="5">
        <v>210.58</v>
      </c>
      <c r="J1803" s="2">
        <v>0</v>
      </c>
      <c r="K1803" s="2">
        <v>0</v>
      </c>
      <c r="L1803" s="3">
        <v>45853</v>
      </c>
      <c r="M1803" s="3">
        <v>45853</v>
      </c>
      <c r="N1803" s="3"/>
      <c r="O1803" t="s">
        <v>5139</v>
      </c>
      <c r="P1803" t="s">
        <v>20</v>
      </c>
      <c r="Q1803" s="4">
        <v>0.88430555555556001</v>
      </c>
      <c r="R1803" t="s">
        <v>16</v>
      </c>
      <c r="S1803" t="s">
        <v>4</v>
      </c>
      <c r="T1803" t="s">
        <v>2272</v>
      </c>
      <c r="U1803" t="s">
        <v>10</v>
      </c>
      <c r="V1803" s="5">
        <v>0</v>
      </c>
      <c r="W1803" s="5">
        <v>0</v>
      </c>
      <c r="X1803" s="2">
        <v>0</v>
      </c>
      <c r="Y1803" t="s">
        <v>4</v>
      </c>
      <c r="Z1803" t="s">
        <v>4</v>
      </c>
      <c r="AA1803" t="s">
        <v>2351</v>
      </c>
      <c r="AB1803" t="s">
        <v>2351</v>
      </c>
    </row>
    <row r="1804" spans="1:28" hidden="1" x14ac:dyDescent="0.2">
      <c r="A1804" t="s">
        <v>632</v>
      </c>
      <c r="B1804" t="s">
        <v>2</v>
      </c>
      <c r="C1804" t="s">
        <v>3</v>
      </c>
      <c r="D1804" t="s">
        <v>4</v>
      </c>
      <c r="E1804" t="s">
        <v>4</v>
      </c>
      <c r="F1804" t="s">
        <v>16</v>
      </c>
      <c r="G1804" t="s">
        <v>6</v>
      </c>
      <c r="H1804" t="s">
        <v>5140</v>
      </c>
      <c r="I1804" s="2">
        <v>1792</v>
      </c>
      <c r="J1804" s="2">
        <v>0</v>
      </c>
      <c r="K1804" s="2">
        <v>0</v>
      </c>
      <c r="L1804" s="3">
        <v>45817</v>
      </c>
      <c r="M1804" s="3">
        <v>45817</v>
      </c>
      <c r="N1804" s="3"/>
      <c r="O1804" t="s">
        <v>5141</v>
      </c>
      <c r="P1804" t="s">
        <v>20</v>
      </c>
      <c r="Q1804" s="4">
        <v>0.52842592592592996</v>
      </c>
      <c r="R1804" t="s">
        <v>16</v>
      </c>
      <c r="S1804" t="s">
        <v>4</v>
      </c>
      <c r="T1804" t="s">
        <v>2894</v>
      </c>
      <c r="U1804" t="s">
        <v>10</v>
      </c>
      <c r="V1804" s="5">
        <v>0</v>
      </c>
      <c r="W1804" s="5">
        <v>0</v>
      </c>
      <c r="X1804" s="2">
        <v>0</v>
      </c>
      <c r="Y1804" t="s">
        <v>4</v>
      </c>
      <c r="Z1804" t="s">
        <v>4</v>
      </c>
      <c r="AA1804" t="s">
        <v>4</v>
      </c>
      <c r="AB1804" t="s">
        <v>4</v>
      </c>
    </row>
    <row r="1805" spans="1:28" hidden="1" x14ac:dyDescent="0.2">
      <c r="A1805" t="s">
        <v>1131</v>
      </c>
      <c r="B1805" t="s">
        <v>2</v>
      </c>
      <c r="C1805" t="s">
        <v>3</v>
      </c>
      <c r="D1805" t="s">
        <v>4</v>
      </c>
      <c r="E1805" t="s">
        <v>4</v>
      </c>
      <c r="F1805" t="s">
        <v>16</v>
      </c>
      <c r="G1805" t="s">
        <v>6</v>
      </c>
      <c r="H1805" t="s">
        <v>5142</v>
      </c>
      <c r="I1805" s="5">
        <v>189.08</v>
      </c>
      <c r="J1805" s="2">
        <v>0</v>
      </c>
      <c r="K1805" s="2">
        <v>0</v>
      </c>
      <c r="L1805" s="3">
        <v>45853</v>
      </c>
      <c r="M1805" s="3">
        <v>45853</v>
      </c>
      <c r="N1805" s="3"/>
      <c r="O1805" t="s">
        <v>5143</v>
      </c>
      <c r="P1805" t="s">
        <v>20</v>
      </c>
      <c r="Q1805" s="4">
        <v>0.88468749999999996</v>
      </c>
      <c r="R1805" t="s">
        <v>16</v>
      </c>
      <c r="S1805" t="s">
        <v>4</v>
      </c>
      <c r="T1805" t="s">
        <v>2272</v>
      </c>
      <c r="U1805" t="s">
        <v>10</v>
      </c>
      <c r="V1805" s="5">
        <v>0</v>
      </c>
      <c r="W1805" s="5">
        <v>0</v>
      </c>
      <c r="X1805" s="2">
        <v>0</v>
      </c>
      <c r="Y1805" t="s">
        <v>4</v>
      </c>
      <c r="Z1805" t="s">
        <v>4</v>
      </c>
      <c r="AA1805" t="s">
        <v>2351</v>
      </c>
      <c r="AB1805" t="s">
        <v>2351</v>
      </c>
    </row>
    <row r="1806" spans="1:28" hidden="1" x14ac:dyDescent="0.2">
      <c r="A1806" t="s">
        <v>1471</v>
      </c>
      <c r="B1806" t="s">
        <v>2</v>
      </c>
      <c r="C1806" t="s">
        <v>3</v>
      </c>
      <c r="D1806" t="s">
        <v>4</v>
      </c>
      <c r="E1806" t="s">
        <v>4</v>
      </c>
      <c r="F1806" t="s">
        <v>16</v>
      </c>
      <c r="G1806" t="s">
        <v>21</v>
      </c>
      <c r="H1806" t="s">
        <v>5144</v>
      </c>
      <c r="I1806" s="2">
        <v>60</v>
      </c>
      <c r="J1806" s="2">
        <v>0</v>
      </c>
      <c r="K1806" s="2">
        <v>0</v>
      </c>
      <c r="L1806" s="3">
        <v>45855</v>
      </c>
      <c r="M1806" s="3">
        <v>45855</v>
      </c>
      <c r="N1806" s="3"/>
      <c r="O1806" t="s">
        <v>5145</v>
      </c>
      <c r="P1806" t="s">
        <v>20</v>
      </c>
      <c r="Q1806" s="4">
        <v>0.88405092592593004</v>
      </c>
      <c r="R1806" t="s">
        <v>16</v>
      </c>
      <c r="S1806" t="s">
        <v>4</v>
      </c>
      <c r="T1806" t="s">
        <v>2350</v>
      </c>
      <c r="U1806" t="s">
        <v>10</v>
      </c>
      <c r="V1806" s="5">
        <v>0</v>
      </c>
      <c r="W1806" s="5">
        <v>0</v>
      </c>
      <c r="X1806" s="2">
        <v>0</v>
      </c>
      <c r="Y1806" t="s">
        <v>4</v>
      </c>
      <c r="Z1806" t="s">
        <v>4</v>
      </c>
      <c r="AA1806" t="s">
        <v>2351</v>
      </c>
      <c r="AB1806" t="s">
        <v>2351</v>
      </c>
    </row>
    <row r="1807" spans="1:28" hidden="1" x14ac:dyDescent="0.2">
      <c r="A1807" t="s">
        <v>1471</v>
      </c>
      <c r="B1807" t="s">
        <v>2</v>
      </c>
      <c r="C1807" t="s">
        <v>3</v>
      </c>
      <c r="D1807" t="s">
        <v>4</v>
      </c>
      <c r="E1807" t="s">
        <v>4</v>
      </c>
      <c r="F1807" t="s">
        <v>16</v>
      </c>
      <c r="G1807" t="s">
        <v>21</v>
      </c>
      <c r="H1807" t="s">
        <v>5146</v>
      </c>
      <c r="I1807" s="2">
        <v>60</v>
      </c>
      <c r="J1807" s="2">
        <v>0</v>
      </c>
      <c r="K1807" s="2">
        <v>0</v>
      </c>
      <c r="L1807" s="3">
        <v>45855</v>
      </c>
      <c r="M1807" s="3">
        <v>45855</v>
      </c>
      <c r="N1807" s="3"/>
      <c r="O1807" t="s">
        <v>5147</v>
      </c>
      <c r="P1807" t="s">
        <v>20</v>
      </c>
      <c r="Q1807" s="4">
        <v>0.88416666666666999</v>
      </c>
      <c r="R1807" t="s">
        <v>16</v>
      </c>
      <c r="S1807" t="s">
        <v>4</v>
      </c>
      <c r="T1807" t="s">
        <v>2350</v>
      </c>
      <c r="U1807" t="s">
        <v>10</v>
      </c>
      <c r="V1807" s="5">
        <v>0</v>
      </c>
      <c r="W1807" s="5">
        <v>0</v>
      </c>
      <c r="X1807" s="2">
        <v>0</v>
      </c>
      <c r="Y1807" t="s">
        <v>4</v>
      </c>
      <c r="Z1807" t="s">
        <v>4</v>
      </c>
      <c r="AA1807" t="s">
        <v>2351</v>
      </c>
      <c r="AB1807" t="s">
        <v>2351</v>
      </c>
    </row>
    <row r="1808" spans="1:28" hidden="1" x14ac:dyDescent="0.2">
      <c r="A1808" t="s">
        <v>796</v>
      </c>
      <c r="B1808" t="s">
        <v>2</v>
      </c>
      <c r="C1808" t="s">
        <v>3</v>
      </c>
      <c r="D1808" t="s">
        <v>4</v>
      </c>
      <c r="E1808" t="s">
        <v>4</v>
      </c>
      <c r="F1808" t="s">
        <v>16</v>
      </c>
      <c r="G1808" t="s">
        <v>21</v>
      </c>
      <c r="H1808" t="s">
        <v>5148</v>
      </c>
      <c r="I1808" s="2">
        <v>240</v>
      </c>
      <c r="J1808" s="2">
        <v>0</v>
      </c>
      <c r="K1808" s="2">
        <v>0</v>
      </c>
      <c r="L1808" s="3">
        <v>45849</v>
      </c>
      <c r="M1808" s="3">
        <v>45849</v>
      </c>
      <c r="N1808" s="3"/>
      <c r="O1808" t="s">
        <v>5149</v>
      </c>
      <c r="P1808" t="s">
        <v>20</v>
      </c>
      <c r="Q1808" s="4">
        <v>0.74583333333333002</v>
      </c>
      <c r="R1808" t="s">
        <v>16</v>
      </c>
      <c r="S1808" t="s">
        <v>4</v>
      </c>
      <c r="T1808" t="s">
        <v>2321</v>
      </c>
      <c r="U1808" t="s">
        <v>10</v>
      </c>
      <c r="V1808" s="5">
        <v>0</v>
      </c>
      <c r="W1808" s="5">
        <v>0</v>
      </c>
      <c r="X1808" s="2">
        <v>0</v>
      </c>
      <c r="Y1808" t="s">
        <v>4</v>
      </c>
      <c r="Z1808" t="s">
        <v>4</v>
      </c>
      <c r="AA1808" t="s">
        <v>4</v>
      </c>
      <c r="AB1808" t="s">
        <v>4</v>
      </c>
    </row>
    <row r="1809" spans="1:28" hidden="1" x14ac:dyDescent="0.2">
      <c r="A1809" t="s">
        <v>1471</v>
      </c>
      <c r="B1809" t="s">
        <v>2</v>
      </c>
      <c r="C1809" t="s">
        <v>3</v>
      </c>
      <c r="D1809" t="s">
        <v>4</v>
      </c>
      <c r="E1809" t="s">
        <v>4</v>
      </c>
      <c r="F1809" t="s">
        <v>16</v>
      </c>
      <c r="G1809" t="s">
        <v>21</v>
      </c>
      <c r="H1809" t="s">
        <v>5150</v>
      </c>
      <c r="I1809" s="2">
        <v>60</v>
      </c>
      <c r="J1809" s="2">
        <v>0</v>
      </c>
      <c r="K1809" s="2">
        <v>0</v>
      </c>
      <c r="L1809" s="3">
        <v>45858</v>
      </c>
      <c r="M1809" s="3">
        <v>45858</v>
      </c>
      <c r="N1809" s="3"/>
      <c r="O1809" t="s">
        <v>5151</v>
      </c>
      <c r="P1809" t="s">
        <v>20</v>
      </c>
      <c r="Q1809" s="4">
        <v>0.33418981481481003</v>
      </c>
      <c r="R1809" t="s">
        <v>16</v>
      </c>
      <c r="S1809" t="s">
        <v>4</v>
      </c>
      <c r="T1809" t="s">
        <v>2337</v>
      </c>
      <c r="U1809" t="s">
        <v>10</v>
      </c>
      <c r="V1809" s="5">
        <v>0</v>
      </c>
      <c r="W1809" s="5">
        <v>0</v>
      </c>
      <c r="X1809" s="2">
        <v>0</v>
      </c>
      <c r="Y1809" t="s">
        <v>4</v>
      </c>
      <c r="Z1809" t="s">
        <v>4</v>
      </c>
      <c r="AA1809" t="s">
        <v>4</v>
      </c>
      <c r="AB1809" t="s">
        <v>4</v>
      </c>
    </row>
    <row r="1810" spans="1:28" hidden="1" x14ac:dyDescent="0.2">
      <c r="A1810" t="s">
        <v>2251</v>
      </c>
      <c r="B1810" t="s">
        <v>4</v>
      </c>
      <c r="C1810" t="s">
        <v>4</v>
      </c>
      <c r="D1810" t="s">
        <v>4</v>
      </c>
      <c r="E1810" t="s">
        <v>4</v>
      </c>
      <c r="F1810" t="s">
        <v>16</v>
      </c>
      <c r="G1810" t="s">
        <v>21</v>
      </c>
      <c r="H1810" t="s">
        <v>5152</v>
      </c>
      <c r="I1810" s="5">
        <v>0</v>
      </c>
      <c r="J1810" s="5">
        <v>0</v>
      </c>
      <c r="K1810" s="5">
        <v>0</v>
      </c>
      <c r="L1810" s="3"/>
      <c r="M1810" s="3"/>
      <c r="N1810" s="3"/>
      <c r="O1810" t="s">
        <v>4</v>
      </c>
      <c r="P1810" t="s">
        <v>20</v>
      </c>
      <c r="Q1810" s="4">
        <v>0.35024305555556001</v>
      </c>
      <c r="R1810" t="s">
        <v>4</v>
      </c>
      <c r="S1810" t="s">
        <v>4</v>
      </c>
      <c r="T1810" t="s">
        <v>2256</v>
      </c>
      <c r="U1810" t="s">
        <v>4</v>
      </c>
      <c r="V1810" s="5">
        <v>0</v>
      </c>
      <c r="W1810" s="5">
        <v>0</v>
      </c>
      <c r="X1810" s="2">
        <v>0</v>
      </c>
      <c r="Y1810" t="s">
        <v>4</v>
      </c>
      <c r="Z1810" t="s">
        <v>4</v>
      </c>
      <c r="AA1810" t="s">
        <v>4</v>
      </c>
      <c r="AB1810" t="s">
        <v>4</v>
      </c>
    </row>
    <row r="1811" spans="1:28" hidden="1" x14ac:dyDescent="0.2">
      <c r="A1811" t="s">
        <v>715</v>
      </c>
      <c r="B1811" t="s">
        <v>2</v>
      </c>
      <c r="C1811" t="s">
        <v>3</v>
      </c>
      <c r="D1811" t="s">
        <v>4</v>
      </c>
      <c r="E1811" t="s">
        <v>4</v>
      </c>
      <c r="F1811" t="s">
        <v>16</v>
      </c>
      <c r="G1811" t="s">
        <v>21</v>
      </c>
      <c r="H1811" t="s">
        <v>5153</v>
      </c>
      <c r="I1811" s="2">
        <v>88</v>
      </c>
      <c r="J1811" s="2">
        <v>0</v>
      </c>
      <c r="K1811" s="2">
        <v>0</v>
      </c>
      <c r="L1811" s="3">
        <v>45854</v>
      </c>
      <c r="M1811" s="3">
        <v>45854</v>
      </c>
      <c r="N1811" s="3"/>
      <c r="O1811" t="s">
        <v>5154</v>
      </c>
      <c r="P1811" t="s">
        <v>20</v>
      </c>
      <c r="Q1811" s="4">
        <v>0.90366898148148</v>
      </c>
      <c r="R1811" t="s">
        <v>16</v>
      </c>
      <c r="S1811" t="s">
        <v>4</v>
      </c>
      <c r="T1811" t="s">
        <v>2299</v>
      </c>
      <c r="U1811" t="s">
        <v>10</v>
      </c>
      <c r="V1811" s="5">
        <v>0</v>
      </c>
      <c r="W1811" s="5">
        <v>0</v>
      </c>
      <c r="X1811" s="2">
        <v>0</v>
      </c>
      <c r="Y1811" t="s">
        <v>4</v>
      </c>
      <c r="Z1811" t="s">
        <v>4</v>
      </c>
      <c r="AA1811" t="s">
        <v>4</v>
      </c>
      <c r="AB1811" t="s">
        <v>4</v>
      </c>
    </row>
    <row r="1812" spans="1:28" hidden="1" x14ac:dyDescent="0.2">
      <c r="A1812" t="s">
        <v>1924</v>
      </c>
      <c r="B1812" t="s">
        <v>2</v>
      </c>
      <c r="C1812" t="s">
        <v>3</v>
      </c>
      <c r="D1812" t="s">
        <v>4</v>
      </c>
      <c r="E1812" t="s">
        <v>4</v>
      </c>
      <c r="F1812" t="s">
        <v>16</v>
      </c>
      <c r="G1812" t="s">
        <v>21</v>
      </c>
      <c r="H1812" t="s">
        <v>5155</v>
      </c>
      <c r="I1812" s="2">
        <v>330</v>
      </c>
      <c r="J1812" s="2">
        <v>0</v>
      </c>
      <c r="K1812" s="2">
        <v>0</v>
      </c>
      <c r="L1812" s="3">
        <v>45850</v>
      </c>
      <c r="M1812" s="3">
        <v>45850</v>
      </c>
      <c r="N1812" s="3"/>
      <c r="O1812" t="s">
        <v>5156</v>
      </c>
      <c r="P1812" t="s">
        <v>20</v>
      </c>
      <c r="Q1812" s="4">
        <v>0.60502314814814995</v>
      </c>
      <c r="R1812" t="s">
        <v>16</v>
      </c>
      <c r="S1812" t="s">
        <v>4</v>
      </c>
      <c r="T1812" t="s">
        <v>2680</v>
      </c>
      <c r="U1812" t="s">
        <v>10</v>
      </c>
      <c r="V1812" s="5">
        <v>0</v>
      </c>
      <c r="W1812" s="5">
        <v>0</v>
      </c>
      <c r="X1812" s="2">
        <v>0</v>
      </c>
      <c r="Y1812" t="s">
        <v>4</v>
      </c>
      <c r="Z1812" t="s">
        <v>4</v>
      </c>
      <c r="AA1812" t="s">
        <v>4</v>
      </c>
      <c r="AB1812" t="s">
        <v>4</v>
      </c>
    </row>
    <row r="1813" spans="1:28" hidden="1" x14ac:dyDescent="0.2">
      <c r="A1813" t="s">
        <v>1924</v>
      </c>
      <c r="B1813" t="s">
        <v>2</v>
      </c>
      <c r="C1813" t="s">
        <v>3</v>
      </c>
      <c r="D1813" t="s">
        <v>4</v>
      </c>
      <c r="E1813" t="s">
        <v>4</v>
      </c>
      <c r="F1813" t="s">
        <v>16</v>
      </c>
      <c r="G1813" t="s">
        <v>21</v>
      </c>
      <c r="H1813" t="s">
        <v>5157</v>
      </c>
      <c r="I1813" s="2">
        <v>176</v>
      </c>
      <c r="J1813" s="2">
        <v>0</v>
      </c>
      <c r="K1813" s="2">
        <v>0</v>
      </c>
      <c r="L1813" s="3">
        <v>45850</v>
      </c>
      <c r="M1813" s="3">
        <v>45850</v>
      </c>
      <c r="N1813" s="3"/>
      <c r="O1813" t="s">
        <v>5158</v>
      </c>
      <c r="P1813" t="s">
        <v>20</v>
      </c>
      <c r="Q1813" s="4">
        <v>0.60517361111111001</v>
      </c>
      <c r="R1813" t="s">
        <v>16</v>
      </c>
      <c r="S1813" t="s">
        <v>4</v>
      </c>
      <c r="T1813" t="s">
        <v>2680</v>
      </c>
      <c r="U1813" t="s">
        <v>10</v>
      </c>
      <c r="V1813" s="5">
        <v>0</v>
      </c>
      <c r="W1813" s="5">
        <v>0</v>
      </c>
      <c r="X1813" s="2">
        <v>0</v>
      </c>
      <c r="Y1813" t="s">
        <v>4</v>
      </c>
      <c r="Z1813" t="s">
        <v>4</v>
      </c>
      <c r="AA1813" t="s">
        <v>4</v>
      </c>
      <c r="AB1813" t="s">
        <v>4</v>
      </c>
    </row>
    <row r="1814" spans="1:28" hidden="1" x14ac:dyDescent="0.2">
      <c r="A1814" t="s">
        <v>715</v>
      </c>
      <c r="B1814" t="s">
        <v>2</v>
      </c>
      <c r="C1814" t="s">
        <v>3</v>
      </c>
      <c r="D1814" t="s">
        <v>4</v>
      </c>
      <c r="E1814" t="s">
        <v>4</v>
      </c>
      <c r="F1814" t="s">
        <v>16</v>
      </c>
      <c r="G1814" t="s">
        <v>21</v>
      </c>
      <c r="H1814" t="s">
        <v>5159</v>
      </c>
      <c r="I1814" s="2">
        <v>88</v>
      </c>
      <c r="J1814" s="2">
        <v>0</v>
      </c>
      <c r="K1814" s="2">
        <v>0</v>
      </c>
      <c r="L1814" s="3">
        <v>45854</v>
      </c>
      <c r="M1814" s="3">
        <v>45854</v>
      </c>
      <c r="N1814" s="3"/>
      <c r="O1814" t="s">
        <v>5160</v>
      </c>
      <c r="P1814" t="s">
        <v>20</v>
      </c>
      <c r="Q1814" s="4">
        <v>0.90380787037037003</v>
      </c>
      <c r="R1814" t="s">
        <v>16</v>
      </c>
      <c r="S1814" t="s">
        <v>4</v>
      </c>
      <c r="T1814" t="s">
        <v>2299</v>
      </c>
      <c r="U1814" t="s">
        <v>10</v>
      </c>
      <c r="V1814" s="5">
        <v>0</v>
      </c>
      <c r="W1814" s="5">
        <v>0</v>
      </c>
      <c r="X1814" s="2">
        <v>0</v>
      </c>
      <c r="Y1814" t="s">
        <v>4</v>
      </c>
      <c r="Z1814" t="s">
        <v>4</v>
      </c>
      <c r="AA1814" t="s">
        <v>4</v>
      </c>
      <c r="AB1814" t="s">
        <v>4</v>
      </c>
    </row>
    <row r="1815" spans="1:28" hidden="1" x14ac:dyDescent="0.2">
      <c r="A1815" t="s">
        <v>2092</v>
      </c>
      <c r="B1815" t="s">
        <v>2</v>
      </c>
      <c r="C1815" t="s">
        <v>3</v>
      </c>
      <c r="D1815" t="s">
        <v>4</v>
      </c>
      <c r="E1815" t="s">
        <v>4</v>
      </c>
      <c r="F1815" t="s">
        <v>16</v>
      </c>
      <c r="G1815" t="s">
        <v>21</v>
      </c>
      <c r="H1815" t="s">
        <v>5161</v>
      </c>
      <c r="I1815" s="2">
        <v>4000</v>
      </c>
      <c r="J1815" s="2">
        <v>0</v>
      </c>
      <c r="K1815" s="2">
        <v>0</v>
      </c>
      <c r="L1815" s="3">
        <v>45850</v>
      </c>
      <c r="M1815" s="3">
        <v>45850</v>
      </c>
      <c r="N1815" s="3"/>
      <c r="O1815" t="s">
        <v>5162</v>
      </c>
      <c r="P1815" t="s">
        <v>20</v>
      </c>
      <c r="Q1815" s="4">
        <v>0.62723379629630005</v>
      </c>
      <c r="R1815" t="s">
        <v>16</v>
      </c>
      <c r="S1815" t="s">
        <v>4</v>
      </c>
      <c r="T1815" t="s">
        <v>2680</v>
      </c>
      <c r="U1815" t="s">
        <v>10</v>
      </c>
      <c r="V1815" s="5">
        <v>0</v>
      </c>
      <c r="W1815" s="5">
        <v>0</v>
      </c>
      <c r="X1815" s="2">
        <v>0</v>
      </c>
      <c r="Y1815" t="s">
        <v>4</v>
      </c>
      <c r="Z1815" t="s">
        <v>4</v>
      </c>
      <c r="AA1815" t="s">
        <v>4</v>
      </c>
      <c r="AB1815" t="s">
        <v>4</v>
      </c>
    </row>
    <row r="1816" spans="1:28" hidden="1" x14ac:dyDescent="0.2">
      <c r="A1816" t="s">
        <v>2078</v>
      </c>
      <c r="B1816" t="s">
        <v>2</v>
      </c>
      <c r="C1816" t="s">
        <v>3</v>
      </c>
      <c r="D1816" t="s">
        <v>4</v>
      </c>
      <c r="E1816" t="s">
        <v>4</v>
      </c>
      <c r="F1816" t="s">
        <v>16</v>
      </c>
      <c r="G1816" t="s">
        <v>17</v>
      </c>
      <c r="H1816" t="s">
        <v>5163</v>
      </c>
      <c r="I1816" s="2">
        <v>30000</v>
      </c>
      <c r="J1816" s="2">
        <v>0</v>
      </c>
      <c r="K1816" s="2">
        <v>0</v>
      </c>
      <c r="L1816" s="3">
        <v>45849</v>
      </c>
      <c r="M1816" s="3">
        <v>45859</v>
      </c>
      <c r="N1816" s="3"/>
      <c r="O1816" t="s">
        <v>5164</v>
      </c>
      <c r="P1816" t="s">
        <v>20</v>
      </c>
      <c r="Q1816" s="4">
        <v>0.36185185185184998</v>
      </c>
      <c r="R1816" t="s">
        <v>16</v>
      </c>
      <c r="S1816" t="s">
        <v>4</v>
      </c>
      <c r="T1816" t="s">
        <v>2321</v>
      </c>
      <c r="U1816" t="s">
        <v>10</v>
      </c>
      <c r="V1816" s="5">
        <v>0</v>
      </c>
      <c r="W1816" s="5">
        <v>0</v>
      </c>
      <c r="X1816" s="2">
        <v>0</v>
      </c>
      <c r="Y1816" t="s">
        <v>4</v>
      </c>
      <c r="Z1816" t="s">
        <v>4</v>
      </c>
      <c r="AA1816" t="s">
        <v>4</v>
      </c>
      <c r="AB1816" t="s">
        <v>4</v>
      </c>
    </row>
    <row r="1817" spans="1:28" hidden="1" x14ac:dyDescent="0.2">
      <c r="A1817" t="s">
        <v>863</v>
      </c>
      <c r="B1817" t="s">
        <v>2</v>
      </c>
      <c r="C1817" t="s">
        <v>3</v>
      </c>
      <c r="D1817" t="s">
        <v>4</v>
      </c>
      <c r="E1817" t="s">
        <v>4</v>
      </c>
      <c r="F1817" t="s">
        <v>16</v>
      </c>
      <c r="G1817" t="s">
        <v>17</v>
      </c>
      <c r="H1817" t="s">
        <v>5165</v>
      </c>
      <c r="I1817" s="2">
        <v>700</v>
      </c>
      <c r="J1817" s="2">
        <v>0</v>
      </c>
      <c r="K1817" s="2">
        <v>0</v>
      </c>
      <c r="L1817" s="3">
        <v>45779</v>
      </c>
      <c r="M1817" s="3">
        <v>45779</v>
      </c>
      <c r="N1817" s="3"/>
      <c r="O1817" t="s">
        <v>5166</v>
      </c>
      <c r="P1817" t="s">
        <v>20</v>
      </c>
      <c r="Q1817" s="4">
        <v>0.76111111111110996</v>
      </c>
      <c r="R1817" t="s">
        <v>16</v>
      </c>
      <c r="S1817" t="s">
        <v>4</v>
      </c>
      <c r="T1817" t="s">
        <v>2775</v>
      </c>
      <c r="U1817" t="s">
        <v>10</v>
      </c>
      <c r="V1817" s="5">
        <v>0</v>
      </c>
      <c r="W1817" s="5">
        <v>0</v>
      </c>
      <c r="X1817" s="2">
        <v>0</v>
      </c>
      <c r="Y1817" t="s">
        <v>4</v>
      </c>
      <c r="Z1817" t="s">
        <v>4</v>
      </c>
      <c r="AA1817" t="s">
        <v>4</v>
      </c>
      <c r="AB1817" t="s">
        <v>4</v>
      </c>
    </row>
    <row r="1818" spans="1:28" hidden="1" x14ac:dyDescent="0.2">
      <c r="A1818" t="s">
        <v>514</v>
      </c>
      <c r="B1818" t="s">
        <v>2</v>
      </c>
      <c r="C1818" t="s">
        <v>3</v>
      </c>
      <c r="D1818" t="s">
        <v>4</v>
      </c>
      <c r="E1818" t="s">
        <v>4</v>
      </c>
      <c r="F1818" t="s">
        <v>16</v>
      </c>
      <c r="G1818" t="s">
        <v>17</v>
      </c>
      <c r="H1818" t="s">
        <v>5167</v>
      </c>
      <c r="I1818" s="2">
        <v>30000</v>
      </c>
      <c r="J1818" s="2">
        <v>0</v>
      </c>
      <c r="K1818" s="2">
        <v>0</v>
      </c>
      <c r="L1818" s="3">
        <v>45803</v>
      </c>
      <c r="M1818" s="3">
        <v>45803</v>
      </c>
      <c r="N1818" s="3"/>
      <c r="O1818" t="s">
        <v>5168</v>
      </c>
      <c r="P1818" t="s">
        <v>20</v>
      </c>
      <c r="Q1818" s="4">
        <v>0.74478009259259004</v>
      </c>
      <c r="R1818" t="s">
        <v>16</v>
      </c>
      <c r="S1818" t="s">
        <v>4</v>
      </c>
      <c r="T1818" t="s">
        <v>2965</v>
      </c>
      <c r="U1818" t="s">
        <v>10</v>
      </c>
      <c r="V1818" s="5">
        <v>0</v>
      </c>
      <c r="W1818" s="5">
        <v>0</v>
      </c>
      <c r="X1818" s="2">
        <v>0</v>
      </c>
      <c r="Y1818" t="s">
        <v>4</v>
      </c>
      <c r="Z1818" t="s">
        <v>4</v>
      </c>
      <c r="AA1818" t="s">
        <v>4</v>
      </c>
      <c r="AB1818" t="s">
        <v>4</v>
      </c>
    </row>
    <row r="1819" spans="1:28" hidden="1" x14ac:dyDescent="0.2">
      <c r="A1819" t="s">
        <v>2251</v>
      </c>
      <c r="B1819" t="s">
        <v>4</v>
      </c>
      <c r="C1819" t="s">
        <v>4</v>
      </c>
      <c r="D1819" t="s">
        <v>4</v>
      </c>
      <c r="E1819" t="s">
        <v>4</v>
      </c>
      <c r="F1819" t="s">
        <v>16</v>
      </c>
      <c r="G1819" t="s">
        <v>6</v>
      </c>
      <c r="H1819" t="s">
        <v>5169</v>
      </c>
      <c r="I1819" s="5">
        <v>0</v>
      </c>
      <c r="J1819" s="5">
        <v>0</v>
      </c>
      <c r="K1819" s="5">
        <v>0</v>
      </c>
      <c r="L1819" s="3"/>
      <c r="M1819" s="3"/>
      <c r="N1819" s="3"/>
      <c r="O1819" t="s">
        <v>4</v>
      </c>
      <c r="P1819" t="s">
        <v>20</v>
      </c>
      <c r="Q1819" s="4">
        <v>0.92731481481481004</v>
      </c>
      <c r="R1819" t="s">
        <v>4</v>
      </c>
      <c r="S1819" t="s">
        <v>4</v>
      </c>
      <c r="T1819" t="s">
        <v>2256</v>
      </c>
      <c r="U1819" t="s">
        <v>4</v>
      </c>
      <c r="V1819" s="5">
        <v>0</v>
      </c>
      <c r="W1819" s="5">
        <v>0</v>
      </c>
      <c r="X1819" s="2">
        <v>0</v>
      </c>
      <c r="Y1819" t="s">
        <v>4</v>
      </c>
      <c r="Z1819" t="s">
        <v>4</v>
      </c>
      <c r="AA1819" t="s">
        <v>4</v>
      </c>
      <c r="AB1819" t="s">
        <v>4</v>
      </c>
    </row>
    <row r="1820" spans="1:28" hidden="1" x14ac:dyDescent="0.2">
      <c r="A1820" t="s">
        <v>285</v>
      </c>
      <c r="B1820" t="s">
        <v>2</v>
      </c>
      <c r="C1820" t="s">
        <v>3</v>
      </c>
      <c r="D1820" t="s">
        <v>4</v>
      </c>
      <c r="E1820" t="s">
        <v>4</v>
      </c>
      <c r="F1820" t="s">
        <v>16</v>
      </c>
      <c r="G1820" t="s">
        <v>6</v>
      </c>
      <c r="H1820" t="s">
        <v>5170</v>
      </c>
      <c r="I1820" s="2">
        <v>6</v>
      </c>
      <c r="J1820" s="2">
        <v>0</v>
      </c>
      <c r="K1820" s="2">
        <v>0</v>
      </c>
      <c r="L1820" s="3">
        <v>45845</v>
      </c>
      <c r="M1820" s="3">
        <v>45845</v>
      </c>
      <c r="N1820" s="3"/>
      <c r="O1820" t="s">
        <v>5171</v>
      </c>
      <c r="P1820" t="s">
        <v>20</v>
      </c>
      <c r="Q1820" s="4">
        <v>0.55131944444444003</v>
      </c>
      <c r="R1820" t="s">
        <v>16</v>
      </c>
      <c r="S1820" t="s">
        <v>4</v>
      </c>
      <c r="T1820" t="s">
        <v>2701</v>
      </c>
      <c r="U1820" t="s">
        <v>10</v>
      </c>
      <c r="V1820" s="5">
        <v>0</v>
      </c>
      <c r="W1820" s="5">
        <v>0</v>
      </c>
      <c r="X1820" s="2">
        <v>0</v>
      </c>
      <c r="Y1820" t="s">
        <v>4</v>
      </c>
      <c r="Z1820" t="s">
        <v>4</v>
      </c>
      <c r="AA1820" t="s">
        <v>4</v>
      </c>
      <c r="AB1820" t="s">
        <v>4</v>
      </c>
    </row>
    <row r="1821" spans="1:28" hidden="1" x14ac:dyDescent="0.2">
      <c r="A1821" t="s">
        <v>2010</v>
      </c>
      <c r="B1821" t="s">
        <v>2</v>
      </c>
      <c r="C1821" t="s">
        <v>3</v>
      </c>
      <c r="D1821" t="s">
        <v>4</v>
      </c>
      <c r="E1821" t="s">
        <v>4</v>
      </c>
      <c r="F1821" t="s">
        <v>16</v>
      </c>
      <c r="G1821" t="s">
        <v>6</v>
      </c>
      <c r="H1821" t="s">
        <v>5172</v>
      </c>
      <c r="I1821" s="2">
        <v>180</v>
      </c>
      <c r="J1821" s="2">
        <v>0</v>
      </c>
      <c r="K1821" s="2">
        <v>0</v>
      </c>
      <c r="L1821" s="3">
        <v>45727</v>
      </c>
      <c r="M1821" s="3">
        <v>45825</v>
      </c>
      <c r="N1821" s="3">
        <v>45805</v>
      </c>
      <c r="O1821" t="s">
        <v>5173</v>
      </c>
      <c r="P1821" t="s">
        <v>20</v>
      </c>
      <c r="Q1821" s="4">
        <v>0.72244212962962995</v>
      </c>
      <c r="R1821" t="s">
        <v>16</v>
      </c>
      <c r="S1821" t="s">
        <v>4</v>
      </c>
      <c r="T1821" t="s">
        <v>3147</v>
      </c>
      <c r="U1821" t="s">
        <v>10</v>
      </c>
      <c r="V1821" s="5">
        <v>0</v>
      </c>
      <c r="W1821" s="5">
        <v>0</v>
      </c>
      <c r="X1821" s="2">
        <v>0</v>
      </c>
      <c r="Y1821" t="s">
        <v>4</v>
      </c>
      <c r="Z1821" t="s">
        <v>4</v>
      </c>
      <c r="AA1821" t="s">
        <v>4</v>
      </c>
      <c r="AB1821" t="s">
        <v>4</v>
      </c>
    </row>
    <row r="1822" spans="1:28" hidden="1" x14ac:dyDescent="0.2">
      <c r="A1822" t="s">
        <v>1927</v>
      </c>
      <c r="B1822" t="s">
        <v>2</v>
      </c>
      <c r="C1822" t="s">
        <v>3</v>
      </c>
      <c r="D1822" t="s">
        <v>4</v>
      </c>
      <c r="E1822" t="s">
        <v>4</v>
      </c>
      <c r="F1822" t="s">
        <v>16</v>
      </c>
      <c r="G1822" t="s">
        <v>21</v>
      </c>
      <c r="H1822" t="s">
        <v>5174</v>
      </c>
      <c r="I1822" s="2">
        <v>7</v>
      </c>
      <c r="J1822" s="2">
        <v>0</v>
      </c>
      <c r="K1822" s="2">
        <v>0</v>
      </c>
      <c r="L1822" s="3">
        <v>45720</v>
      </c>
      <c r="M1822" s="3">
        <v>45720</v>
      </c>
      <c r="N1822" s="3"/>
      <c r="O1822" t="s">
        <v>5175</v>
      </c>
      <c r="P1822" t="s">
        <v>20</v>
      </c>
      <c r="Q1822" s="4">
        <v>0.62025462962962996</v>
      </c>
      <c r="R1822" t="s">
        <v>16</v>
      </c>
      <c r="S1822" t="s">
        <v>4</v>
      </c>
      <c r="T1822" t="s">
        <v>5176</v>
      </c>
      <c r="U1822" t="s">
        <v>10</v>
      </c>
      <c r="V1822" s="5">
        <v>0</v>
      </c>
      <c r="W1822" s="5">
        <v>0</v>
      </c>
      <c r="X1822" s="2">
        <v>0</v>
      </c>
      <c r="Y1822" t="s">
        <v>4</v>
      </c>
      <c r="Z1822" t="s">
        <v>4</v>
      </c>
      <c r="AA1822" t="s">
        <v>4</v>
      </c>
      <c r="AB1822" t="s">
        <v>4</v>
      </c>
    </row>
    <row r="1823" spans="1:28" hidden="1" x14ac:dyDescent="0.2">
      <c r="A1823" t="s">
        <v>1466</v>
      </c>
      <c r="B1823" t="s">
        <v>2</v>
      </c>
      <c r="C1823" t="s">
        <v>3</v>
      </c>
      <c r="D1823" t="s">
        <v>4</v>
      </c>
      <c r="E1823" t="s">
        <v>4</v>
      </c>
      <c r="F1823" t="s">
        <v>16</v>
      </c>
      <c r="G1823" t="s">
        <v>21</v>
      </c>
      <c r="H1823" t="s">
        <v>5177</v>
      </c>
      <c r="I1823" s="2">
        <v>60</v>
      </c>
      <c r="J1823" s="2">
        <v>0</v>
      </c>
      <c r="K1823" s="2">
        <v>0</v>
      </c>
      <c r="L1823" s="3">
        <v>45856</v>
      </c>
      <c r="M1823" s="3">
        <v>45856</v>
      </c>
      <c r="N1823" s="3"/>
      <c r="O1823" t="s">
        <v>5178</v>
      </c>
      <c r="P1823" t="s">
        <v>20</v>
      </c>
      <c r="Q1823" s="4">
        <v>0.94975694444444003</v>
      </c>
      <c r="R1823" t="s">
        <v>16</v>
      </c>
      <c r="S1823" t="s">
        <v>4</v>
      </c>
      <c r="T1823" t="s">
        <v>2260</v>
      </c>
      <c r="U1823" t="s">
        <v>10</v>
      </c>
      <c r="V1823" s="5">
        <v>0</v>
      </c>
      <c r="W1823" s="5">
        <v>0</v>
      </c>
      <c r="X1823" s="2">
        <v>0</v>
      </c>
      <c r="Y1823" t="s">
        <v>4</v>
      </c>
      <c r="Z1823" t="s">
        <v>4</v>
      </c>
      <c r="AA1823" t="s">
        <v>4</v>
      </c>
      <c r="AB1823" t="s">
        <v>4</v>
      </c>
    </row>
    <row r="1824" spans="1:28" hidden="1" x14ac:dyDescent="0.2">
      <c r="A1824" t="s">
        <v>1466</v>
      </c>
      <c r="B1824" t="s">
        <v>2</v>
      </c>
      <c r="C1824" t="s">
        <v>3</v>
      </c>
      <c r="D1824" t="s">
        <v>4</v>
      </c>
      <c r="E1824" t="s">
        <v>4</v>
      </c>
      <c r="F1824" t="s">
        <v>16</v>
      </c>
      <c r="G1824" t="s">
        <v>21</v>
      </c>
      <c r="H1824" t="s">
        <v>5179</v>
      </c>
      <c r="I1824" s="2">
        <v>60</v>
      </c>
      <c r="J1824" s="2">
        <v>0</v>
      </c>
      <c r="K1824" s="2">
        <v>0</v>
      </c>
      <c r="L1824" s="3">
        <v>45854</v>
      </c>
      <c r="M1824" s="3">
        <v>45854</v>
      </c>
      <c r="N1824" s="3"/>
      <c r="O1824" t="s">
        <v>5180</v>
      </c>
      <c r="P1824" t="s">
        <v>20</v>
      </c>
      <c r="Q1824" s="4">
        <v>0.91171296296296001</v>
      </c>
      <c r="R1824" t="s">
        <v>16</v>
      </c>
      <c r="S1824" t="s">
        <v>4</v>
      </c>
      <c r="T1824" t="s">
        <v>2299</v>
      </c>
      <c r="U1824" t="s">
        <v>10</v>
      </c>
      <c r="V1824" s="5">
        <v>0</v>
      </c>
      <c r="W1824" s="5">
        <v>0</v>
      </c>
      <c r="X1824" s="2">
        <v>0</v>
      </c>
      <c r="Y1824" t="s">
        <v>4</v>
      </c>
      <c r="Z1824" t="s">
        <v>4</v>
      </c>
      <c r="AA1824" t="s">
        <v>4</v>
      </c>
      <c r="AB1824" t="s">
        <v>4</v>
      </c>
    </row>
    <row r="1825" spans="1:28" hidden="1" x14ac:dyDescent="0.2">
      <c r="A1825" t="s">
        <v>1050</v>
      </c>
      <c r="B1825" t="s">
        <v>2</v>
      </c>
      <c r="C1825" t="s">
        <v>3</v>
      </c>
      <c r="D1825" t="s">
        <v>4</v>
      </c>
      <c r="E1825" t="s">
        <v>4</v>
      </c>
      <c r="F1825" t="s">
        <v>16</v>
      </c>
      <c r="G1825" t="s">
        <v>21</v>
      </c>
      <c r="H1825" t="s">
        <v>5181</v>
      </c>
      <c r="I1825" s="2">
        <v>7800</v>
      </c>
      <c r="J1825" s="2">
        <v>0</v>
      </c>
      <c r="K1825" s="2">
        <v>0</v>
      </c>
      <c r="L1825" s="3">
        <v>45850</v>
      </c>
      <c r="M1825" s="3">
        <v>45850</v>
      </c>
      <c r="N1825" s="3"/>
      <c r="O1825" t="s">
        <v>5182</v>
      </c>
      <c r="P1825" t="s">
        <v>20</v>
      </c>
      <c r="Q1825" s="4">
        <v>0.62871527777778002</v>
      </c>
      <c r="R1825" t="s">
        <v>16</v>
      </c>
      <c r="S1825" t="s">
        <v>4</v>
      </c>
      <c r="T1825" t="s">
        <v>2680</v>
      </c>
      <c r="U1825" t="s">
        <v>10</v>
      </c>
      <c r="V1825" s="5">
        <v>0</v>
      </c>
      <c r="W1825" s="5">
        <v>0</v>
      </c>
      <c r="X1825" s="2">
        <v>0</v>
      </c>
      <c r="Y1825" t="s">
        <v>4</v>
      </c>
      <c r="Z1825" t="s">
        <v>4</v>
      </c>
      <c r="AA1825" t="s">
        <v>4</v>
      </c>
      <c r="AB1825" t="s">
        <v>4</v>
      </c>
    </row>
    <row r="1826" spans="1:28" hidden="1" x14ac:dyDescent="0.2">
      <c r="A1826" t="s">
        <v>320</v>
      </c>
      <c r="B1826" t="s">
        <v>2</v>
      </c>
      <c r="C1826" t="s">
        <v>3</v>
      </c>
      <c r="D1826" t="s">
        <v>4</v>
      </c>
      <c r="E1826" t="s">
        <v>4</v>
      </c>
      <c r="F1826" t="s">
        <v>16</v>
      </c>
      <c r="G1826" t="s">
        <v>21</v>
      </c>
      <c r="H1826" t="s">
        <v>5183</v>
      </c>
      <c r="I1826" s="2">
        <v>6000</v>
      </c>
      <c r="J1826" s="2">
        <v>0</v>
      </c>
      <c r="K1826" s="2">
        <v>0</v>
      </c>
      <c r="L1826" s="3">
        <v>45850</v>
      </c>
      <c r="M1826" s="3">
        <v>45850</v>
      </c>
      <c r="N1826" s="3"/>
      <c r="O1826" t="s">
        <v>5184</v>
      </c>
      <c r="P1826" t="s">
        <v>20</v>
      </c>
      <c r="Q1826" s="4">
        <v>0.62972222222221996</v>
      </c>
      <c r="R1826" t="s">
        <v>16</v>
      </c>
      <c r="S1826" t="s">
        <v>4</v>
      </c>
      <c r="T1826" t="s">
        <v>2680</v>
      </c>
      <c r="U1826" t="s">
        <v>10</v>
      </c>
      <c r="V1826" s="5">
        <v>0</v>
      </c>
      <c r="W1826" s="5">
        <v>0</v>
      </c>
      <c r="X1826" s="2">
        <v>0</v>
      </c>
      <c r="Y1826" t="s">
        <v>4</v>
      </c>
      <c r="Z1826" t="s">
        <v>4</v>
      </c>
      <c r="AA1826" t="s">
        <v>4</v>
      </c>
      <c r="AB1826" t="s">
        <v>4</v>
      </c>
    </row>
    <row r="1827" spans="1:28" hidden="1" x14ac:dyDescent="0.2">
      <c r="A1827" t="s">
        <v>1466</v>
      </c>
      <c r="B1827" t="s">
        <v>2</v>
      </c>
      <c r="C1827" t="s">
        <v>3</v>
      </c>
      <c r="D1827" t="s">
        <v>4</v>
      </c>
      <c r="E1827" t="s">
        <v>4</v>
      </c>
      <c r="F1827" t="s">
        <v>16</v>
      </c>
      <c r="G1827" t="s">
        <v>21</v>
      </c>
      <c r="H1827" t="s">
        <v>5185</v>
      </c>
      <c r="I1827" s="2">
        <v>60</v>
      </c>
      <c r="J1827" s="2">
        <v>0</v>
      </c>
      <c r="K1827" s="2">
        <v>0</v>
      </c>
      <c r="L1827" s="3">
        <v>45854</v>
      </c>
      <c r="M1827" s="3">
        <v>45854</v>
      </c>
      <c r="N1827" s="3"/>
      <c r="O1827" t="s">
        <v>5186</v>
      </c>
      <c r="P1827" t="s">
        <v>20</v>
      </c>
      <c r="Q1827" s="4">
        <v>0.91184027777777998</v>
      </c>
      <c r="R1827" t="s">
        <v>16</v>
      </c>
      <c r="S1827" t="s">
        <v>4</v>
      </c>
      <c r="T1827" t="s">
        <v>2299</v>
      </c>
      <c r="U1827" t="s">
        <v>10</v>
      </c>
      <c r="V1827" s="5">
        <v>0</v>
      </c>
      <c r="W1827" s="5">
        <v>0</v>
      </c>
      <c r="X1827" s="2">
        <v>0</v>
      </c>
      <c r="Y1827" t="s">
        <v>4</v>
      </c>
      <c r="Z1827" t="s">
        <v>4</v>
      </c>
      <c r="AA1827" t="s">
        <v>4</v>
      </c>
      <c r="AB1827" t="s">
        <v>4</v>
      </c>
    </row>
    <row r="1828" spans="1:28" hidden="1" x14ac:dyDescent="0.2">
      <c r="A1828" t="s">
        <v>1193</v>
      </c>
      <c r="B1828" t="s">
        <v>2</v>
      </c>
      <c r="C1828" t="s">
        <v>3</v>
      </c>
      <c r="D1828" t="s">
        <v>4</v>
      </c>
      <c r="E1828" t="s">
        <v>4</v>
      </c>
      <c r="F1828" t="s">
        <v>16</v>
      </c>
      <c r="G1828" t="s">
        <v>21</v>
      </c>
      <c r="H1828" t="s">
        <v>5187</v>
      </c>
      <c r="I1828" s="2">
        <v>300</v>
      </c>
      <c r="J1828" s="2">
        <v>0</v>
      </c>
      <c r="K1828" s="2">
        <v>0</v>
      </c>
      <c r="L1828" s="3">
        <v>45692</v>
      </c>
      <c r="M1828" s="3">
        <v>45692</v>
      </c>
      <c r="N1828" s="3"/>
      <c r="O1828" t="s">
        <v>5188</v>
      </c>
      <c r="P1828" t="s">
        <v>20</v>
      </c>
      <c r="Q1828" s="4">
        <v>0.93741898148147995</v>
      </c>
      <c r="R1828" t="s">
        <v>16</v>
      </c>
      <c r="S1828" t="s">
        <v>4</v>
      </c>
      <c r="T1828" t="s">
        <v>3661</v>
      </c>
      <c r="U1828" t="s">
        <v>10</v>
      </c>
      <c r="V1828" s="5">
        <v>0</v>
      </c>
      <c r="W1828" s="5">
        <v>0</v>
      </c>
      <c r="X1828" s="2">
        <v>0</v>
      </c>
      <c r="Y1828" t="s">
        <v>4</v>
      </c>
      <c r="Z1828" t="s">
        <v>4</v>
      </c>
      <c r="AA1828" t="s">
        <v>4</v>
      </c>
      <c r="AB1828" t="s">
        <v>4</v>
      </c>
    </row>
    <row r="1829" spans="1:28" hidden="1" x14ac:dyDescent="0.2">
      <c r="A1829" t="s">
        <v>331</v>
      </c>
      <c r="B1829" t="s">
        <v>2</v>
      </c>
      <c r="C1829" t="s">
        <v>3</v>
      </c>
      <c r="D1829" t="s">
        <v>4</v>
      </c>
      <c r="E1829" t="s">
        <v>4</v>
      </c>
      <c r="F1829" t="s">
        <v>16</v>
      </c>
      <c r="G1829" t="s">
        <v>21</v>
      </c>
      <c r="H1829" t="s">
        <v>5189</v>
      </c>
      <c r="I1829" s="2">
        <v>1260</v>
      </c>
      <c r="J1829" s="2">
        <v>0</v>
      </c>
      <c r="K1829" s="2">
        <v>0</v>
      </c>
      <c r="L1829" s="3">
        <v>45839</v>
      </c>
      <c r="M1829" s="3">
        <v>45839</v>
      </c>
      <c r="N1829" s="3"/>
      <c r="O1829" t="s">
        <v>5190</v>
      </c>
      <c r="P1829" t="s">
        <v>20</v>
      </c>
      <c r="Q1829" s="4">
        <v>0.91142361111111003</v>
      </c>
      <c r="R1829" t="s">
        <v>16</v>
      </c>
      <c r="S1829" t="s">
        <v>4</v>
      </c>
      <c r="T1829" t="s">
        <v>2312</v>
      </c>
      <c r="U1829" t="s">
        <v>10</v>
      </c>
      <c r="V1829" s="5">
        <v>0</v>
      </c>
      <c r="W1829" s="5">
        <v>0</v>
      </c>
      <c r="X1829" s="2">
        <v>0</v>
      </c>
      <c r="Y1829" t="s">
        <v>4</v>
      </c>
      <c r="Z1829" t="s">
        <v>4</v>
      </c>
      <c r="AA1829" t="s">
        <v>4</v>
      </c>
      <c r="AB1829" t="s">
        <v>4</v>
      </c>
    </row>
    <row r="1830" spans="1:28" hidden="1" x14ac:dyDescent="0.2">
      <c r="A1830" t="s">
        <v>1996</v>
      </c>
      <c r="B1830" t="s">
        <v>2</v>
      </c>
      <c r="C1830" t="s">
        <v>3</v>
      </c>
      <c r="D1830" t="s">
        <v>4</v>
      </c>
      <c r="E1830" t="s">
        <v>4</v>
      </c>
      <c r="F1830" t="s">
        <v>16</v>
      </c>
      <c r="G1830" t="s">
        <v>21</v>
      </c>
      <c r="H1830" t="s">
        <v>5191</v>
      </c>
      <c r="I1830" s="2">
        <v>5200</v>
      </c>
      <c r="J1830" s="2">
        <v>0</v>
      </c>
      <c r="K1830" s="2">
        <v>0</v>
      </c>
      <c r="L1830" s="3">
        <v>45839</v>
      </c>
      <c r="M1830" s="3">
        <v>45839</v>
      </c>
      <c r="N1830" s="3"/>
      <c r="O1830" t="s">
        <v>5192</v>
      </c>
      <c r="P1830" t="s">
        <v>20</v>
      </c>
      <c r="Q1830" s="4">
        <v>0.94210648148148002</v>
      </c>
      <c r="R1830" t="s">
        <v>16</v>
      </c>
      <c r="S1830" t="s">
        <v>4</v>
      </c>
      <c r="T1830" t="s">
        <v>2312</v>
      </c>
      <c r="U1830" t="s">
        <v>10</v>
      </c>
      <c r="V1830" s="5">
        <v>0</v>
      </c>
      <c r="W1830" s="5">
        <v>0</v>
      </c>
      <c r="X1830" s="2">
        <v>0</v>
      </c>
      <c r="Y1830" t="s">
        <v>4</v>
      </c>
      <c r="Z1830" t="s">
        <v>4</v>
      </c>
      <c r="AA1830" t="s">
        <v>4</v>
      </c>
      <c r="AB1830" t="s">
        <v>4</v>
      </c>
    </row>
    <row r="1831" spans="1:28" hidden="1" x14ac:dyDescent="0.2">
      <c r="A1831" t="s">
        <v>2251</v>
      </c>
      <c r="B1831" t="s">
        <v>4</v>
      </c>
      <c r="C1831" t="s">
        <v>4</v>
      </c>
      <c r="D1831" t="s">
        <v>4</v>
      </c>
      <c r="E1831" t="s">
        <v>4</v>
      </c>
      <c r="F1831" t="s">
        <v>16</v>
      </c>
      <c r="G1831" t="s">
        <v>21</v>
      </c>
      <c r="H1831" t="s">
        <v>5193</v>
      </c>
      <c r="I1831" s="5">
        <v>0</v>
      </c>
      <c r="J1831" s="5">
        <v>0</v>
      </c>
      <c r="K1831" s="5">
        <v>0</v>
      </c>
      <c r="L1831" s="3"/>
      <c r="M1831" s="3"/>
      <c r="N1831" s="3"/>
      <c r="O1831" t="s">
        <v>4</v>
      </c>
      <c r="P1831" t="s">
        <v>20</v>
      </c>
      <c r="Q1831" s="4">
        <v>0.58866898148147995</v>
      </c>
      <c r="R1831" t="s">
        <v>4</v>
      </c>
      <c r="S1831" t="s">
        <v>4</v>
      </c>
      <c r="T1831" t="s">
        <v>2256</v>
      </c>
      <c r="U1831" t="s">
        <v>4</v>
      </c>
      <c r="V1831" s="5">
        <v>0</v>
      </c>
      <c r="W1831" s="5">
        <v>0</v>
      </c>
      <c r="X1831" s="2">
        <v>0</v>
      </c>
      <c r="Y1831" t="s">
        <v>4</v>
      </c>
      <c r="Z1831" t="s">
        <v>4</v>
      </c>
      <c r="AA1831" t="s">
        <v>4</v>
      </c>
      <c r="AB1831" t="s">
        <v>4</v>
      </c>
    </row>
    <row r="1832" spans="1:28" hidden="1" x14ac:dyDescent="0.2">
      <c r="A1832" t="s">
        <v>1963</v>
      </c>
      <c r="B1832" t="s">
        <v>2</v>
      </c>
      <c r="C1832" t="s">
        <v>3</v>
      </c>
      <c r="D1832" t="s">
        <v>4</v>
      </c>
      <c r="E1832" t="s">
        <v>4</v>
      </c>
      <c r="F1832" t="s">
        <v>16</v>
      </c>
      <c r="G1832" t="s">
        <v>17</v>
      </c>
      <c r="H1832" t="s">
        <v>5194</v>
      </c>
      <c r="I1832" s="2">
        <v>12672</v>
      </c>
      <c r="J1832" s="2">
        <v>0</v>
      </c>
      <c r="K1832" s="2">
        <v>0</v>
      </c>
      <c r="L1832" s="3">
        <v>45858</v>
      </c>
      <c r="M1832" s="3">
        <v>45858</v>
      </c>
      <c r="N1832" s="3"/>
      <c r="O1832" t="s">
        <v>5195</v>
      </c>
      <c r="P1832" t="s">
        <v>20</v>
      </c>
      <c r="Q1832" s="4">
        <v>0.64807870370370002</v>
      </c>
      <c r="R1832" t="s">
        <v>16</v>
      </c>
      <c r="S1832" t="s">
        <v>4</v>
      </c>
      <c r="T1832" t="s">
        <v>2337</v>
      </c>
      <c r="U1832" t="s">
        <v>10</v>
      </c>
      <c r="V1832" s="5">
        <v>0</v>
      </c>
      <c r="W1832" s="5">
        <v>0</v>
      </c>
      <c r="X1832" s="2">
        <v>0</v>
      </c>
      <c r="Y1832" t="s">
        <v>4</v>
      </c>
      <c r="Z1832" t="s">
        <v>4</v>
      </c>
      <c r="AA1832" t="s">
        <v>4</v>
      </c>
      <c r="AB1832" t="s">
        <v>4</v>
      </c>
    </row>
    <row r="1833" spans="1:28" hidden="1" x14ac:dyDescent="0.2">
      <c r="A1833" t="s">
        <v>2196</v>
      </c>
      <c r="B1833" t="s">
        <v>2</v>
      </c>
      <c r="C1833" t="s">
        <v>3</v>
      </c>
      <c r="D1833" t="s">
        <v>4</v>
      </c>
      <c r="E1833" t="s">
        <v>4</v>
      </c>
      <c r="F1833" t="s">
        <v>16</v>
      </c>
      <c r="G1833" t="s">
        <v>17</v>
      </c>
      <c r="H1833" t="s">
        <v>5196</v>
      </c>
      <c r="I1833" s="2">
        <v>768</v>
      </c>
      <c r="J1833" s="2">
        <v>0</v>
      </c>
      <c r="K1833" s="2">
        <v>0</v>
      </c>
      <c r="L1833" s="3">
        <v>45772</v>
      </c>
      <c r="M1833" s="3">
        <v>45772</v>
      </c>
      <c r="N1833" s="3"/>
      <c r="O1833" t="s">
        <v>5197</v>
      </c>
      <c r="P1833" t="s">
        <v>20</v>
      </c>
      <c r="Q1833" s="4">
        <v>0.92583333333332996</v>
      </c>
      <c r="R1833" t="s">
        <v>16</v>
      </c>
      <c r="S1833" t="s">
        <v>4</v>
      </c>
      <c r="T1833" t="s">
        <v>4331</v>
      </c>
      <c r="U1833" t="s">
        <v>10</v>
      </c>
      <c r="V1833" s="5">
        <v>0</v>
      </c>
      <c r="W1833" s="5">
        <v>0</v>
      </c>
      <c r="X1833" s="2">
        <v>0</v>
      </c>
      <c r="Y1833" t="s">
        <v>4</v>
      </c>
      <c r="Z1833" t="s">
        <v>4</v>
      </c>
      <c r="AA1833" t="s">
        <v>4</v>
      </c>
      <c r="AB1833" t="s">
        <v>4</v>
      </c>
    </row>
    <row r="1834" spans="1:28" hidden="1" x14ac:dyDescent="0.2">
      <c r="A1834" t="s">
        <v>1987</v>
      </c>
      <c r="B1834" t="s">
        <v>2</v>
      </c>
      <c r="C1834" t="s">
        <v>3</v>
      </c>
      <c r="D1834" t="s">
        <v>4</v>
      </c>
      <c r="E1834" t="s">
        <v>4</v>
      </c>
      <c r="F1834" t="s">
        <v>16</v>
      </c>
      <c r="G1834" t="s">
        <v>17</v>
      </c>
      <c r="H1834" t="s">
        <v>5198</v>
      </c>
      <c r="I1834" s="2">
        <v>1200</v>
      </c>
      <c r="J1834" s="2">
        <v>0</v>
      </c>
      <c r="K1834" s="2">
        <v>0</v>
      </c>
      <c r="L1834" s="3">
        <v>45839</v>
      </c>
      <c r="M1834" s="3">
        <v>45839</v>
      </c>
      <c r="N1834" s="3"/>
      <c r="O1834" t="s">
        <v>5199</v>
      </c>
      <c r="P1834" t="s">
        <v>20</v>
      </c>
      <c r="Q1834" s="4">
        <v>0.96472222222222004</v>
      </c>
      <c r="R1834" t="s">
        <v>16</v>
      </c>
      <c r="S1834" t="s">
        <v>4</v>
      </c>
      <c r="T1834" t="s">
        <v>2312</v>
      </c>
      <c r="U1834" t="s">
        <v>10</v>
      </c>
      <c r="V1834" s="5">
        <v>0</v>
      </c>
      <c r="W1834" s="5">
        <v>0</v>
      </c>
      <c r="X1834" s="2">
        <v>0</v>
      </c>
      <c r="Y1834" t="s">
        <v>4</v>
      </c>
      <c r="Z1834" t="s">
        <v>4</v>
      </c>
      <c r="AA1834" t="s">
        <v>4</v>
      </c>
      <c r="AB1834" t="s">
        <v>4</v>
      </c>
    </row>
    <row r="1835" spans="1:28" hidden="1" x14ac:dyDescent="0.2">
      <c r="A1835" t="s">
        <v>2251</v>
      </c>
      <c r="B1835" t="s">
        <v>4</v>
      </c>
      <c r="C1835" t="s">
        <v>4</v>
      </c>
      <c r="D1835" t="s">
        <v>4</v>
      </c>
      <c r="E1835" t="s">
        <v>4</v>
      </c>
      <c r="F1835" t="s">
        <v>16</v>
      </c>
      <c r="G1835" t="s">
        <v>6</v>
      </c>
      <c r="H1835" t="s">
        <v>5200</v>
      </c>
      <c r="I1835" s="5">
        <v>0</v>
      </c>
      <c r="J1835" s="5">
        <v>0</v>
      </c>
      <c r="K1835" s="5">
        <v>0</v>
      </c>
      <c r="L1835" s="3"/>
      <c r="M1835" s="3"/>
      <c r="N1835" s="3"/>
      <c r="O1835" t="s">
        <v>4</v>
      </c>
      <c r="P1835" t="s">
        <v>20</v>
      </c>
      <c r="Q1835" s="4">
        <v>0.56685185185185005</v>
      </c>
      <c r="R1835" t="s">
        <v>4</v>
      </c>
      <c r="S1835" t="s">
        <v>4</v>
      </c>
      <c r="T1835" t="s">
        <v>2256</v>
      </c>
      <c r="U1835" t="s">
        <v>4</v>
      </c>
      <c r="V1835" s="5">
        <v>0</v>
      </c>
      <c r="W1835" s="5">
        <v>0</v>
      </c>
      <c r="X1835" s="2">
        <v>0</v>
      </c>
      <c r="Y1835" t="s">
        <v>4</v>
      </c>
      <c r="Z1835" t="s">
        <v>4</v>
      </c>
      <c r="AA1835" t="s">
        <v>4</v>
      </c>
      <c r="AB1835" t="s">
        <v>4</v>
      </c>
    </row>
    <row r="1836" spans="1:28" hidden="1" x14ac:dyDescent="0.2">
      <c r="A1836" t="s">
        <v>1471</v>
      </c>
      <c r="B1836" t="s">
        <v>2</v>
      </c>
      <c r="C1836" t="s">
        <v>3</v>
      </c>
      <c r="D1836" t="s">
        <v>4</v>
      </c>
      <c r="E1836" t="s">
        <v>4</v>
      </c>
      <c r="F1836" t="s">
        <v>16</v>
      </c>
      <c r="G1836" t="s">
        <v>6</v>
      </c>
      <c r="H1836" t="s">
        <v>5201</v>
      </c>
      <c r="I1836" s="2">
        <v>60</v>
      </c>
      <c r="J1836" s="2">
        <v>0</v>
      </c>
      <c r="K1836" s="2">
        <v>0</v>
      </c>
      <c r="L1836" s="3">
        <v>45858</v>
      </c>
      <c r="M1836" s="3">
        <v>45858</v>
      </c>
      <c r="N1836" s="3"/>
      <c r="O1836" t="s">
        <v>5202</v>
      </c>
      <c r="P1836" t="s">
        <v>20</v>
      </c>
      <c r="Q1836" s="4">
        <v>0.33296296296296002</v>
      </c>
      <c r="R1836" t="s">
        <v>16</v>
      </c>
      <c r="S1836" t="s">
        <v>4</v>
      </c>
      <c r="T1836" t="s">
        <v>2337</v>
      </c>
      <c r="U1836" t="s">
        <v>10</v>
      </c>
      <c r="V1836" s="5">
        <v>0</v>
      </c>
      <c r="W1836" s="5">
        <v>0</v>
      </c>
      <c r="X1836" s="2">
        <v>0</v>
      </c>
      <c r="Y1836" t="s">
        <v>4</v>
      </c>
      <c r="Z1836" t="s">
        <v>4</v>
      </c>
      <c r="AA1836" t="s">
        <v>4</v>
      </c>
      <c r="AB1836" t="s">
        <v>4</v>
      </c>
    </row>
    <row r="1837" spans="1:28" hidden="1" x14ac:dyDescent="0.2">
      <c r="A1837" t="s">
        <v>623</v>
      </c>
      <c r="B1837" t="s">
        <v>2</v>
      </c>
      <c r="C1837" t="s">
        <v>3</v>
      </c>
      <c r="D1837" t="s">
        <v>4</v>
      </c>
      <c r="E1837" t="s">
        <v>4</v>
      </c>
      <c r="F1837" t="s">
        <v>16</v>
      </c>
      <c r="G1837" t="s">
        <v>6</v>
      </c>
      <c r="H1837" t="s">
        <v>5203</v>
      </c>
      <c r="I1837" s="2">
        <v>5250</v>
      </c>
      <c r="J1837" s="2">
        <v>0</v>
      </c>
      <c r="K1837" s="2">
        <v>0</v>
      </c>
      <c r="L1837" s="3">
        <v>45850</v>
      </c>
      <c r="M1837" s="3">
        <v>45850</v>
      </c>
      <c r="N1837" s="3"/>
      <c r="O1837" t="s">
        <v>5204</v>
      </c>
      <c r="P1837" t="s">
        <v>20</v>
      </c>
      <c r="Q1837" s="4">
        <v>0.96888888888889002</v>
      </c>
      <c r="R1837" t="s">
        <v>16</v>
      </c>
      <c r="S1837" t="s">
        <v>4</v>
      </c>
      <c r="T1837" t="s">
        <v>2680</v>
      </c>
      <c r="U1837" t="s">
        <v>10</v>
      </c>
      <c r="V1837" s="5">
        <v>0</v>
      </c>
      <c r="W1837" s="5">
        <v>0</v>
      </c>
      <c r="X1837" s="2">
        <v>0</v>
      </c>
      <c r="Y1837" t="s">
        <v>4</v>
      </c>
      <c r="Z1837" t="s">
        <v>4</v>
      </c>
      <c r="AA1837" t="s">
        <v>4</v>
      </c>
      <c r="AB1837" t="s">
        <v>4</v>
      </c>
    </row>
    <row r="1838" spans="1:28" hidden="1" x14ac:dyDescent="0.2">
      <c r="A1838" t="s">
        <v>1998</v>
      </c>
      <c r="B1838" t="s">
        <v>2</v>
      </c>
      <c r="C1838" t="s">
        <v>3</v>
      </c>
      <c r="D1838" t="s">
        <v>4</v>
      </c>
      <c r="E1838" t="s">
        <v>4</v>
      </c>
      <c r="F1838" t="s">
        <v>16</v>
      </c>
      <c r="G1838" t="s">
        <v>21</v>
      </c>
      <c r="H1838" t="s">
        <v>5205</v>
      </c>
      <c r="I1838" s="2">
        <v>2400</v>
      </c>
      <c r="J1838" s="2">
        <v>0</v>
      </c>
      <c r="K1838" s="2">
        <v>0</v>
      </c>
      <c r="L1838" s="3">
        <v>45839</v>
      </c>
      <c r="M1838" s="3">
        <v>45839</v>
      </c>
      <c r="N1838" s="3"/>
      <c r="O1838" t="s">
        <v>5206</v>
      </c>
      <c r="P1838" t="s">
        <v>20</v>
      </c>
      <c r="Q1838" s="4">
        <v>0.95047453703703999</v>
      </c>
      <c r="R1838" t="s">
        <v>16</v>
      </c>
      <c r="S1838" t="s">
        <v>4</v>
      </c>
      <c r="T1838" t="s">
        <v>2312</v>
      </c>
      <c r="U1838" t="s">
        <v>10</v>
      </c>
      <c r="V1838" s="5">
        <v>0</v>
      </c>
      <c r="W1838" s="5">
        <v>0</v>
      </c>
      <c r="X1838" s="2">
        <v>0</v>
      </c>
      <c r="Y1838" t="s">
        <v>4</v>
      </c>
      <c r="Z1838" t="s">
        <v>4</v>
      </c>
      <c r="AA1838" t="s">
        <v>4</v>
      </c>
      <c r="AB1838" t="s">
        <v>4</v>
      </c>
    </row>
    <row r="1839" spans="1:28" hidden="1" x14ac:dyDescent="0.2">
      <c r="A1839" t="s">
        <v>470</v>
      </c>
      <c r="B1839" t="s">
        <v>2</v>
      </c>
      <c r="C1839" t="s">
        <v>3</v>
      </c>
      <c r="D1839" t="s">
        <v>4</v>
      </c>
      <c r="E1839" t="s">
        <v>4</v>
      </c>
      <c r="F1839" t="s">
        <v>16</v>
      </c>
      <c r="G1839" t="s">
        <v>21</v>
      </c>
      <c r="H1839" t="s">
        <v>5207</v>
      </c>
      <c r="I1839" s="2">
        <v>8000</v>
      </c>
      <c r="J1839" s="2">
        <v>0</v>
      </c>
      <c r="K1839" s="2">
        <v>0</v>
      </c>
      <c r="L1839" s="3">
        <v>45850</v>
      </c>
      <c r="M1839" s="3">
        <v>45850</v>
      </c>
      <c r="N1839" s="3"/>
      <c r="O1839" t="s">
        <v>5208</v>
      </c>
      <c r="P1839" t="s">
        <v>20</v>
      </c>
      <c r="Q1839" s="4">
        <v>0.74584490740741005</v>
      </c>
      <c r="R1839" t="s">
        <v>16</v>
      </c>
      <c r="S1839" t="s">
        <v>4</v>
      </c>
      <c r="T1839" t="s">
        <v>2680</v>
      </c>
      <c r="U1839" t="s">
        <v>10</v>
      </c>
      <c r="V1839" s="5">
        <v>0</v>
      </c>
      <c r="W1839" s="5">
        <v>0</v>
      </c>
      <c r="X1839" s="2">
        <v>0</v>
      </c>
      <c r="Y1839" t="s">
        <v>4</v>
      </c>
      <c r="Z1839" t="s">
        <v>4</v>
      </c>
      <c r="AA1839" t="s">
        <v>4</v>
      </c>
      <c r="AB1839" t="s">
        <v>4</v>
      </c>
    </row>
    <row r="1840" spans="1:28" hidden="1" x14ac:dyDescent="0.2">
      <c r="A1840" t="s">
        <v>1982</v>
      </c>
      <c r="B1840" t="s">
        <v>2</v>
      </c>
      <c r="C1840" t="s">
        <v>3</v>
      </c>
      <c r="D1840" t="s">
        <v>4</v>
      </c>
      <c r="E1840" t="s">
        <v>4</v>
      </c>
      <c r="F1840" t="s">
        <v>16</v>
      </c>
      <c r="G1840" t="s">
        <v>21</v>
      </c>
      <c r="H1840" t="s">
        <v>5209</v>
      </c>
      <c r="I1840" s="2">
        <v>3360</v>
      </c>
      <c r="J1840" s="2">
        <v>0</v>
      </c>
      <c r="K1840" s="2">
        <v>0</v>
      </c>
      <c r="L1840" s="3">
        <v>45858</v>
      </c>
      <c r="M1840" s="3">
        <v>45858</v>
      </c>
      <c r="N1840" s="3"/>
      <c r="O1840" t="s">
        <v>5210</v>
      </c>
      <c r="P1840" t="s">
        <v>20</v>
      </c>
      <c r="Q1840" s="4">
        <v>0.54089120370370003</v>
      </c>
      <c r="R1840" t="s">
        <v>16</v>
      </c>
      <c r="S1840" t="s">
        <v>4</v>
      </c>
      <c r="T1840" t="s">
        <v>2337</v>
      </c>
      <c r="U1840" t="s">
        <v>10</v>
      </c>
      <c r="V1840" s="5">
        <v>0</v>
      </c>
      <c r="W1840" s="5">
        <v>0</v>
      </c>
      <c r="X1840" s="2">
        <v>0</v>
      </c>
      <c r="Y1840" t="s">
        <v>4</v>
      </c>
      <c r="Z1840" t="s">
        <v>4</v>
      </c>
      <c r="AA1840" t="s">
        <v>4</v>
      </c>
      <c r="AB1840" t="s">
        <v>4</v>
      </c>
    </row>
    <row r="1841" spans="1:28" hidden="1" x14ac:dyDescent="0.2">
      <c r="A1841" t="s">
        <v>1196</v>
      </c>
      <c r="B1841" t="s">
        <v>2</v>
      </c>
      <c r="C1841" t="s">
        <v>3</v>
      </c>
      <c r="D1841" t="s">
        <v>4</v>
      </c>
      <c r="E1841" t="s">
        <v>4</v>
      </c>
      <c r="F1841" t="s">
        <v>16</v>
      </c>
      <c r="G1841" t="s">
        <v>21</v>
      </c>
      <c r="H1841" t="s">
        <v>5211</v>
      </c>
      <c r="I1841" s="2">
        <v>300</v>
      </c>
      <c r="J1841" s="2">
        <v>0</v>
      </c>
      <c r="K1841" s="2">
        <v>0</v>
      </c>
      <c r="L1841" s="3">
        <v>45524</v>
      </c>
      <c r="M1841" s="3">
        <v>45524</v>
      </c>
      <c r="N1841" s="3"/>
      <c r="O1841" t="s">
        <v>5212</v>
      </c>
      <c r="P1841" t="s">
        <v>20</v>
      </c>
      <c r="Q1841" s="4">
        <v>0.62386574074073997</v>
      </c>
      <c r="R1841" t="s">
        <v>16</v>
      </c>
      <c r="S1841" t="s">
        <v>4</v>
      </c>
      <c r="T1841" t="s">
        <v>5213</v>
      </c>
      <c r="U1841" t="s">
        <v>10</v>
      </c>
      <c r="V1841" s="5">
        <v>0</v>
      </c>
      <c r="W1841" s="5">
        <v>0</v>
      </c>
      <c r="X1841" s="2">
        <v>0</v>
      </c>
      <c r="Y1841" t="s">
        <v>4</v>
      </c>
      <c r="Z1841" t="s">
        <v>4</v>
      </c>
      <c r="AA1841" t="s">
        <v>4</v>
      </c>
      <c r="AB1841" t="s">
        <v>4</v>
      </c>
    </row>
    <row r="1842" spans="1:28" hidden="1" x14ac:dyDescent="0.2">
      <c r="A1842" t="s">
        <v>285</v>
      </c>
      <c r="B1842" t="s">
        <v>2</v>
      </c>
      <c r="C1842" t="s">
        <v>3</v>
      </c>
      <c r="D1842" t="s">
        <v>4</v>
      </c>
      <c r="E1842" t="s">
        <v>4</v>
      </c>
      <c r="F1842" t="s">
        <v>16</v>
      </c>
      <c r="G1842" t="s">
        <v>21</v>
      </c>
      <c r="H1842" t="s">
        <v>5214</v>
      </c>
      <c r="I1842" s="2">
        <v>30</v>
      </c>
      <c r="J1842" s="2">
        <v>0</v>
      </c>
      <c r="K1842" s="2">
        <v>0</v>
      </c>
      <c r="L1842" s="3">
        <v>45835</v>
      </c>
      <c r="M1842" s="3">
        <v>45835</v>
      </c>
      <c r="N1842" s="3"/>
      <c r="O1842" t="s">
        <v>5215</v>
      </c>
      <c r="P1842" t="s">
        <v>20</v>
      </c>
      <c r="Q1842" s="4">
        <v>0.73589120370369998</v>
      </c>
      <c r="R1842" t="s">
        <v>16</v>
      </c>
      <c r="S1842" t="s">
        <v>4</v>
      </c>
      <c r="T1842" t="s">
        <v>2928</v>
      </c>
      <c r="U1842" t="s">
        <v>10</v>
      </c>
      <c r="V1842" s="5">
        <v>0</v>
      </c>
      <c r="W1842" s="5">
        <v>0</v>
      </c>
      <c r="X1842" s="2">
        <v>0</v>
      </c>
      <c r="Y1842" t="s">
        <v>4</v>
      </c>
      <c r="Z1842" t="s">
        <v>4</v>
      </c>
      <c r="AA1842" t="s">
        <v>4</v>
      </c>
      <c r="AB1842" t="s">
        <v>4</v>
      </c>
    </row>
    <row r="1843" spans="1:28" hidden="1" x14ac:dyDescent="0.2">
      <c r="A1843" t="s">
        <v>396</v>
      </c>
      <c r="B1843" t="s">
        <v>2</v>
      </c>
      <c r="C1843" t="s">
        <v>3</v>
      </c>
      <c r="D1843" t="s">
        <v>4</v>
      </c>
      <c r="E1843" t="s">
        <v>4</v>
      </c>
      <c r="F1843" t="s">
        <v>16</v>
      </c>
      <c r="G1843" t="s">
        <v>21</v>
      </c>
      <c r="H1843" t="s">
        <v>5216</v>
      </c>
      <c r="I1843" s="2">
        <v>1800</v>
      </c>
      <c r="J1843" s="2">
        <v>0</v>
      </c>
      <c r="K1843" s="2">
        <v>0</v>
      </c>
      <c r="L1843" s="3">
        <v>45850</v>
      </c>
      <c r="M1843" s="3">
        <v>45850</v>
      </c>
      <c r="N1843" s="3"/>
      <c r="O1843" t="s">
        <v>5217</v>
      </c>
      <c r="P1843" t="s">
        <v>20</v>
      </c>
      <c r="Q1843" s="4">
        <v>0.94431712962962999</v>
      </c>
      <c r="R1843" t="s">
        <v>16</v>
      </c>
      <c r="S1843" t="s">
        <v>4</v>
      </c>
      <c r="T1843" t="s">
        <v>2680</v>
      </c>
      <c r="U1843" t="s">
        <v>10</v>
      </c>
      <c r="V1843" s="5">
        <v>0</v>
      </c>
      <c r="W1843" s="5">
        <v>0</v>
      </c>
      <c r="X1843" s="2">
        <v>0</v>
      </c>
      <c r="Y1843" t="s">
        <v>4</v>
      </c>
      <c r="Z1843" t="s">
        <v>4</v>
      </c>
      <c r="AA1843" t="s">
        <v>4</v>
      </c>
      <c r="AB1843" t="s">
        <v>4</v>
      </c>
    </row>
    <row r="1844" spans="1:28" hidden="1" x14ac:dyDescent="0.2">
      <c r="A1844" t="s">
        <v>1854</v>
      </c>
      <c r="B1844" t="s">
        <v>2</v>
      </c>
      <c r="C1844" t="s">
        <v>3</v>
      </c>
      <c r="D1844" t="s">
        <v>4</v>
      </c>
      <c r="E1844" t="s">
        <v>4</v>
      </c>
      <c r="F1844" t="s">
        <v>16</v>
      </c>
      <c r="G1844" t="s">
        <v>21</v>
      </c>
      <c r="H1844" t="s">
        <v>5218</v>
      </c>
      <c r="I1844" s="2">
        <v>432</v>
      </c>
      <c r="J1844" s="2">
        <v>0</v>
      </c>
      <c r="K1844" s="2">
        <v>0</v>
      </c>
      <c r="L1844" s="3">
        <v>45050</v>
      </c>
      <c r="M1844" s="3">
        <v>45050</v>
      </c>
      <c r="N1844" s="3"/>
      <c r="O1844" t="s">
        <v>5219</v>
      </c>
      <c r="P1844" t="s">
        <v>20</v>
      </c>
      <c r="Q1844" s="4">
        <v>0.90828703703703995</v>
      </c>
      <c r="R1844" t="s">
        <v>16</v>
      </c>
      <c r="S1844" t="s">
        <v>4</v>
      </c>
      <c r="T1844" t="s">
        <v>5220</v>
      </c>
      <c r="U1844" t="s">
        <v>10</v>
      </c>
      <c r="V1844" s="5">
        <v>0</v>
      </c>
      <c r="W1844" s="5">
        <v>0</v>
      </c>
      <c r="X1844" s="2">
        <v>0</v>
      </c>
      <c r="Y1844" t="s">
        <v>4</v>
      </c>
      <c r="Z1844" t="s">
        <v>4</v>
      </c>
      <c r="AA1844" t="s">
        <v>4</v>
      </c>
      <c r="AB1844" t="s">
        <v>4</v>
      </c>
    </row>
    <row r="1845" spans="1:28" hidden="1" x14ac:dyDescent="0.2">
      <c r="A1845" t="s">
        <v>2251</v>
      </c>
      <c r="B1845" t="s">
        <v>4</v>
      </c>
      <c r="C1845" t="s">
        <v>4</v>
      </c>
      <c r="D1845" t="s">
        <v>4</v>
      </c>
      <c r="E1845" t="s">
        <v>4</v>
      </c>
      <c r="F1845" t="s">
        <v>16</v>
      </c>
      <c r="G1845" t="s">
        <v>21</v>
      </c>
      <c r="H1845" t="s">
        <v>5221</v>
      </c>
      <c r="I1845" s="5">
        <v>0</v>
      </c>
      <c r="J1845" s="5">
        <v>0</v>
      </c>
      <c r="K1845" s="5">
        <v>0</v>
      </c>
      <c r="L1845" s="3"/>
      <c r="M1845" s="3"/>
      <c r="N1845" s="3"/>
      <c r="O1845" t="s">
        <v>4</v>
      </c>
      <c r="P1845" t="s">
        <v>20</v>
      </c>
      <c r="Q1845" s="4">
        <v>0.98741898148148</v>
      </c>
      <c r="R1845" t="s">
        <v>4</v>
      </c>
      <c r="S1845" t="s">
        <v>4</v>
      </c>
      <c r="T1845" t="s">
        <v>2256</v>
      </c>
      <c r="U1845" t="s">
        <v>4</v>
      </c>
      <c r="V1845" s="5">
        <v>0</v>
      </c>
      <c r="W1845" s="5">
        <v>0</v>
      </c>
      <c r="X1845" s="2">
        <v>0</v>
      </c>
      <c r="Y1845" t="s">
        <v>4</v>
      </c>
      <c r="Z1845" t="s">
        <v>4</v>
      </c>
      <c r="AA1845" t="s">
        <v>4</v>
      </c>
      <c r="AB1845" t="s">
        <v>4</v>
      </c>
    </row>
    <row r="1846" spans="1:28" hidden="1" x14ac:dyDescent="0.2">
      <c r="A1846" t="s">
        <v>643</v>
      </c>
      <c r="B1846" t="s">
        <v>2</v>
      </c>
      <c r="C1846" t="s">
        <v>3</v>
      </c>
      <c r="D1846" t="s">
        <v>4</v>
      </c>
      <c r="E1846" t="s">
        <v>4</v>
      </c>
      <c r="F1846" t="s">
        <v>16</v>
      </c>
      <c r="G1846" t="s">
        <v>21</v>
      </c>
      <c r="H1846" t="s">
        <v>5222</v>
      </c>
      <c r="I1846" s="2">
        <v>1080</v>
      </c>
      <c r="J1846" s="2">
        <v>0</v>
      </c>
      <c r="K1846" s="2">
        <v>0</v>
      </c>
      <c r="L1846" s="3">
        <v>45756</v>
      </c>
      <c r="M1846" s="3">
        <v>45813</v>
      </c>
      <c r="N1846" s="3"/>
      <c r="O1846" t="s">
        <v>5223</v>
      </c>
      <c r="P1846" t="s">
        <v>20</v>
      </c>
      <c r="Q1846" s="4">
        <v>0.42633101851852001</v>
      </c>
      <c r="R1846" t="s">
        <v>16</v>
      </c>
      <c r="S1846" t="s">
        <v>4</v>
      </c>
      <c r="T1846" t="s">
        <v>4765</v>
      </c>
      <c r="U1846" t="s">
        <v>10</v>
      </c>
      <c r="V1846" s="5">
        <v>0</v>
      </c>
      <c r="W1846" s="5">
        <v>0</v>
      </c>
      <c r="X1846" s="2">
        <v>0</v>
      </c>
      <c r="Y1846" t="s">
        <v>4</v>
      </c>
      <c r="Z1846" t="s">
        <v>4</v>
      </c>
      <c r="AA1846" t="s">
        <v>2351</v>
      </c>
      <c r="AB1846" t="s">
        <v>2351</v>
      </c>
    </row>
    <row r="1847" spans="1:28" hidden="1" x14ac:dyDescent="0.2">
      <c r="A1847" t="s">
        <v>643</v>
      </c>
      <c r="B1847" t="s">
        <v>2</v>
      </c>
      <c r="C1847" t="s">
        <v>3</v>
      </c>
      <c r="D1847" t="s">
        <v>4</v>
      </c>
      <c r="E1847" t="s">
        <v>4</v>
      </c>
      <c r="F1847" t="s">
        <v>16</v>
      </c>
      <c r="G1847" t="s">
        <v>21</v>
      </c>
      <c r="H1847" t="s">
        <v>5224</v>
      </c>
      <c r="I1847" s="2">
        <v>1800</v>
      </c>
      <c r="J1847" s="2">
        <v>0</v>
      </c>
      <c r="K1847" s="2">
        <v>0</v>
      </c>
      <c r="L1847" s="3">
        <v>45756</v>
      </c>
      <c r="M1847" s="3">
        <v>45756</v>
      </c>
      <c r="N1847" s="3"/>
      <c r="O1847" t="s">
        <v>5225</v>
      </c>
      <c r="P1847" t="s">
        <v>20</v>
      </c>
      <c r="Q1847" s="4">
        <v>0.93353009259259001</v>
      </c>
      <c r="R1847" t="s">
        <v>16</v>
      </c>
      <c r="S1847" t="s">
        <v>4</v>
      </c>
      <c r="T1847" t="s">
        <v>4765</v>
      </c>
      <c r="U1847" t="s">
        <v>10</v>
      </c>
      <c r="V1847" s="5">
        <v>0</v>
      </c>
      <c r="W1847" s="5">
        <v>0</v>
      </c>
      <c r="X1847" s="2">
        <v>0</v>
      </c>
      <c r="Y1847" t="s">
        <v>4</v>
      </c>
      <c r="Z1847" t="s">
        <v>4</v>
      </c>
      <c r="AA1847" t="s">
        <v>2351</v>
      </c>
      <c r="AB1847" t="s">
        <v>2351</v>
      </c>
    </row>
    <row r="1848" spans="1:28" hidden="1" x14ac:dyDescent="0.2">
      <c r="A1848" t="s">
        <v>553</v>
      </c>
      <c r="B1848" t="s">
        <v>2</v>
      </c>
      <c r="C1848" t="s">
        <v>3</v>
      </c>
      <c r="D1848" t="s">
        <v>4</v>
      </c>
      <c r="E1848" t="s">
        <v>4</v>
      </c>
      <c r="F1848" t="s">
        <v>16</v>
      </c>
      <c r="G1848" t="s">
        <v>17</v>
      </c>
      <c r="H1848" t="s">
        <v>5226</v>
      </c>
      <c r="I1848" s="2">
        <v>88000</v>
      </c>
      <c r="J1848" s="2">
        <v>0</v>
      </c>
      <c r="K1848" s="2">
        <v>0</v>
      </c>
      <c r="L1848" s="3">
        <v>45858</v>
      </c>
      <c r="M1848" s="3">
        <v>45858</v>
      </c>
      <c r="N1848" s="3"/>
      <c r="O1848" t="s">
        <v>5227</v>
      </c>
      <c r="P1848" t="s">
        <v>20</v>
      </c>
      <c r="Q1848" s="4">
        <v>0.58099537037036997</v>
      </c>
      <c r="R1848" t="s">
        <v>16</v>
      </c>
      <c r="S1848" t="s">
        <v>4</v>
      </c>
      <c r="T1848" t="s">
        <v>2337</v>
      </c>
      <c r="U1848" t="s">
        <v>10</v>
      </c>
      <c r="V1848" s="5">
        <v>0</v>
      </c>
      <c r="W1848" s="5">
        <v>0</v>
      </c>
      <c r="X1848" s="2">
        <v>0</v>
      </c>
      <c r="Y1848" t="s">
        <v>4</v>
      </c>
      <c r="Z1848" t="s">
        <v>4</v>
      </c>
      <c r="AA1848" t="s">
        <v>4</v>
      </c>
      <c r="AB1848" t="s">
        <v>4</v>
      </c>
    </row>
    <row r="1849" spans="1:28" hidden="1" x14ac:dyDescent="0.2">
      <c r="A1849" t="s">
        <v>863</v>
      </c>
      <c r="B1849" t="s">
        <v>2</v>
      </c>
      <c r="C1849" t="s">
        <v>3</v>
      </c>
      <c r="D1849" t="s">
        <v>4</v>
      </c>
      <c r="E1849" t="s">
        <v>4</v>
      </c>
      <c r="F1849" t="s">
        <v>16</v>
      </c>
      <c r="G1849" t="s">
        <v>17</v>
      </c>
      <c r="H1849" t="s">
        <v>5228</v>
      </c>
      <c r="I1849" s="2">
        <v>700</v>
      </c>
      <c r="J1849" s="2">
        <v>0</v>
      </c>
      <c r="K1849" s="2">
        <v>0</v>
      </c>
      <c r="L1849" s="3">
        <v>45799</v>
      </c>
      <c r="M1849" s="3">
        <v>45799</v>
      </c>
      <c r="N1849" s="3"/>
      <c r="O1849" t="s">
        <v>5229</v>
      </c>
      <c r="P1849" t="s">
        <v>20</v>
      </c>
      <c r="Q1849" s="4">
        <v>0.44554398148148</v>
      </c>
      <c r="R1849" t="s">
        <v>16</v>
      </c>
      <c r="S1849" t="s">
        <v>4</v>
      </c>
      <c r="T1849" t="s">
        <v>4635</v>
      </c>
      <c r="U1849" t="s">
        <v>10</v>
      </c>
      <c r="V1849" s="5">
        <v>0</v>
      </c>
      <c r="W1849" s="5">
        <v>0</v>
      </c>
      <c r="X1849" s="2">
        <v>0</v>
      </c>
      <c r="Y1849" t="s">
        <v>4</v>
      </c>
      <c r="Z1849" t="s">
        <v>4</v>
      </c>
      <c r="AA1849" t="s">
        <v>4</v>
      </c>
      <c r="AB1849" t="s">
        <v>4</v>
      </c>
    </row>
    <row r="1850" spans="1:28" hidden="1" x14ac:dyDescent="0.2">
      <c r="A1850" t="s">
        <v>2204</v>
      </c>
      <c r="B1850" t="s">
        <v>2</v>
      </c>
      <c r="C1850" t="s">
        <v>3</v>
      </c>
      <c r="D1850" t="s">
        <v>4</v>
      </c>
      <c r="E1850" t="s">
        <v>4</v>
      </c>
      <c r="F1850" t="s">
        <v>16</v>
      </c>
      <c r="G1850" t="s">
        <v>17</v>
      </c>
      <c r="H1850" t="s">
        <v>5230</v>
      </c>
      <c r="I1850" s="2">
        <v>120000</v>
      </c>
      <c r="J1850" s="2">
        <v>0</v>
      </c>
      <c r="K1850" s="2">
        <v>0</v>
      </c>
      <c r="L1850" s="3">
        <v>45836</v>
      </c>
      <c r="M1850" s="3">
        <v>45836</v>
      </c>
      <c r="N1850" s="3"/>
      <c r="O1850" t="s">
        <v>5231</v>
      </c>
      <c r="P1850" t="s">
        <v>20</v>
      </c>
      <c r="Q1850" s="4">
        <v>0.87778935185185003</v>
      </c>
      <c r="R1850" t="s">
        <v>16</v>
      </c>
      <c r="S1850" t="s">
        <v>4</v>
      </c>
      <c r="T1850" t="s">
        <v>2316</v>
      </c>
      <c r="U1850" t="s">
        <v>10</v>
      </c>
      <c r="V1850" s="5">
        <v>0</v>
      </c>
      <c r="W1850" s="5">
        <v>0</v>
      </c>
      <c r="X1850" s="2">
        <v>0</v>
      </c>
      <c r="Y1850" t="s">
        <v>4</v>
      </c>
      <c r="Z1850" t="s">
        <v>4</v>
      </c>
      <c r="AA1850" t="s">
        <v>4</v>
      </c>
      <c r="AB1850" t="s">
        <v>4</v>
      </c>
    </row>
    <row r="1851" spans="1:28" hidden="1" x14ac:dyDescent="0.2">
      <c r="A1851" t="s">
        <v>2251</v>
      </c>
      <c r="B1851" t="s">
        <v>4</v>
      </c>
      <c r="C1851" t="s">
        <v>4</v>
      </c>
      <c r="D1851" t="s">
        <v>4</v>
      </c>
      <c r="E1851" t="s">
        <v>4</v>
      </c>
      <c r="F1851" t="s">
        <v>16</v>
      </c>
      <c r="G1851" t="s">
        <v>6</v>
      </c>
      <c r="H1851" t="s">
        <v>5232</v>
      </c>
      <c r="I1851" s="5">
        <v>0</v>
      </c>
      <c r="J1851" s="5">
        <v>0</v>
      </c>
      <c r="K1851" s="5">
        <v>0</v>
      </c>
      <c r="L1851" s="3"/>
      <c r="M1851" s="3"/>
      <c r="N1851" s="3"/>
      <c r="O1851" t="s">
        <v>4</v>
      </c>
      <c r="P1851" t="s">
        <v>20</v>
      </c>
      <c r="Q1851" s="4">
        <v>0.53707175925925998</v>
      </c>
      <c r="R1851" t="s">
        <v>4</v>
      </c>
      <c r="S1851" t="s">
        <v>4</v>
      </c>
      <c r="T1851" t="s">
        <v>2256</v>
      </c>
      <c r="U1851" t="s">
        <v>4</v>
      </c>
      <c r="V1851" s="5">
        <v>0</v>
      </c>
      <c r="W1851" s="5">
        <v>0</v>
      </c>
      <c r="X1851" s="2">
        <v>0</v>
      </c>
      <c r="Y1851" t="s">
        <v>4</v>
      </c>
      <c r="Z1851" t="s">
        <v>4</v>
      </c>
      <c r="AA1851" t="s">
        <v>4</v>
      </c>
      <c r="AB1851" t="s">
        <v>4</v>
      </c>
    </row>
    <row r="1852" spans="1:28" hidden="1" x14ac:dyDescent="0.2">
      <c r="A1852" t="s">
        <v>1867</v>
      </c>
      <c r="B1852" t="s">
        <v>2</v>
      </c>
      <c r="C1852" t="s">
        <v>3</v>
      </c>
      <c r="D1852" t="s">
        <v>4</v>
      </c>
      <c r="E1852" t="s">
        <v>4</v>
      </c>
      <c r="F1852" t="s">
        <v>16</v>
      </c>
      <c r="G1852" t="s">
        <v>6</v>
      </c>
      <c r="H1852" t="s">
        <v>5233</v>
      </c>
      <c r="I1852" s="2">
        <v>7060</v>
      </c>
      <c r="J1852" s="2">
        <v>0</v>
      </c>
      <c r="K1852" s="2">
        <v>0</v>
      </c>
      <c r="L1852" s="3">
        <v>45833</v>
      </c>
      <c r="M1852" s="3">
        <v>45833</v>
      </c>
      <c r="N1852" s="3"/>
      <c r="O1852" t="s">
        <v>5234</v>
      </c>
      <c r="P1852" t="s">
        <v>20</v>
      </c>
      <c r="Q1852" s="4">
        <v>0.38622685185185002</v>
      </c>
      <c r="R1852" t="s">
        <v>16</v>
      </c>
      <c r="S1852" t="s">
        <v>4</v>
      </c>
      <c r="T1852" t="s">
        <v>2736</v>
      </c>
      <c r="U1852" t="s">
        <v>10</v>
      </c>
      <c r="V1852" s="5">
        <v>0</v>
      </c>
      <c r="W1852" s="5">
        <v>0</v>
      </c>
      <c r="X1852" s="2">
        <v>0</v>
      </c>
      <c r="Y1852" t="s">
        <v>4</v>
      </c>
      <c r="Z1852" t="s">
        <v>4</v>
      </c>
      <c r="AA1852" t="s">
        <v>4</v>
      </c>
      <c r="AB1852" t="s">
        <v>4</v>
      </c>
    </row>
    <row r="1853" spans="1:28" hidden="1" x14ac:dyDescent="0.2">
      <c r="A1853" t="s">
        <v>596</v>
      </c>
      <c r="B1853" t="s">
        <v>2</v>
      </c>
      <c r="C1853" t="s">
        <v>3</v>
      </c>
      <c r="D1853" t="s">
        <v>4</v>
      </c>
      <c r="E1853" t="s">
        <v>4</v>
      </c>
      <c r="F1853" t="s">
        <v>16</v>
      </c>
      <c r="G1853" t="s">
        <v>6</v>
      </c>
      <c r="H1853" t="s">
        <v>5235</v>
      </c>
      <c r="I1853" s="2">
        <v>42000</v>
      </c>
      <c r="J1853" s="2">
        <v>0</v>
      </c>
      <c r="K1853" s="2">
        <v>0</v>
      </c>
      <c r="L1853" s="3">
        <v>45829</v>
      </c>
      <c r="M1853" s="3">
        <v>45829</v>
      </c>
      <c r="N1853" s="3"/>
      <c r="O1853" t="s">
        <v>5236</v>
      </c>
      <c r="P1853" t="s">
        <v>20</v>
      </c>
      <c r="Q1853" s="4">
        <v>0.97232638888889</v>
      </c>
      <c r="R1853" t="s">
        <v>16</v>
      </c>
      <c r="S1853" t="s">
        <v>4</v>
      </c>
      <c r="T1853" t="s">
        <v>3242</v>
      </c>
      <c r="U1853" t="s">
        <v>10</v>
      </c>
      <c r="V1853" s="5">
        <v>0</v>
      </c>
      <c r="W1853" s="5">
        <v>0</v>
      </c>
      <c r="X1853" s="2">
        <v>0</v>
      </c>
      <c r="Y1853" t="s">
        <v>4</v>
      </c>
      <c r="Z1853" t="s">
        <v>4</v>
      </c>
      <c r="AA1853" t="s">
        <v>4</v>
      </c>
      <c r="AB1853" t="s">
        <v>4</v>
      </c>
    </row>
    <row r="1854" spans="1:28" hidden="1" x14ac:dyDescent="0.2">
      <c r="A1854" t="s">
        <v>2251</v>
      </c>
      <c r="B1854" t="s">
        <v>4</v>
      </c>
      <c r="C1854" t="s">
        <v>4</v>
      </c>
      <c r="D1854" t="s">
        <v>4</v>
      </c>
      <c r="E1854" t="s">
        <v>4</v>
      </c>
      <c r="F1854" t="s">
        <v>16</v>
      </c>
      <c r="G1854" t="s">
        <v>6</v>
      </c>
      <c r="H1854" t="s">
        <v>5237</v>
      </c>
      <c r="I1854" s="5">
        <v>0</v>
      </c>
      <c r="J1854" s="5">
        <v>0</v>
      </c>
      <c r="K1854" s="5">
        <v>0</v>
      </c>
      <c r="L1854" s="3"/>
      <c r="M1854" s="3"/>
      <c r="N1854" s="3"/>
      <c r="O1854" t="s">
        <v>4</v>
      </c>
      <c r="P1854" t="s">
        <v>20</v>
      </c>
      <c r="Q1854" s="4">
        <v>0.58725694444443999</v>
      </c>
      <c r="R1854" t="s">
        <v>4</v>
      </c>
      <c r="S1854" t="s">
        <v>4</v>
      </c>
      <c r="T1854" t="s">
        <v>2256</v>
      </c>
      <c r="U1854" t="s">
        <v>4</v>
      </c>
      <c r="V1854" s="5">
        <v>0</v>
      </c>
      <c r="W1854" s="5">
        <v>0</v>
      </c>
      <c r="X1854" s="2">
        <v>0</v>
      </c>
      <c r="Y1854" t="s">
        <v>4</v>
      </c>
      <c r="Z1854" t="s">
        <v>4</v>
      </c>
      <c r="AA1854" t="s">
        <v>4</v>
      </c>
      <c r="AB1854" t="s">
        <v>4</v>
      </c>
    </row>
    <row r="1855" spans="1:28" hidden="1" x14ac:dyDescent="0.2">
      <c r="A1855" t="s">
        <v>692</v>
      </c>
      <c r="B1855" t="s">
        <v>2</v>
      </c>
      <c r="C1855" t="s">
        <v>3</v>
      </c>
      <c r="D1855" t="s">
        <v>4</v>
      </c>
      <c r="E1855" t="s">
        <v>4</v>
      </c>
      <c r="F1855" t="s">
        <v>16</v>
      </c>
      <c r="G1855" t="s">
        <v>6</v>
      </c>
      <c r="H1855" t="s">
        <v>5238</v>
      </c>
      <c r="I1855" s="2">
        <v>43</v>
      </c>
      <c r="J1855" s="2">
        <v>0</v>
      </c>
      <c r="K1855" s="2">
        <v>0</v>
      </c>
      <c r="L1855" s="3">
        <v>45656</v>
      </c>
      <c r="M1855" s="3">
        <v>45748</v>
      </c>
      <c r="N1855" s="3"/>
      <c r="O1855" t="s">
        <v>5239</v>
      </c>
      <c r="P1855" t="s">
        <v>20</v>
      </c>
      <c r="Q1855" s="4">
        <v>0.43118055555556001</v>
      </c>
      <c r="R1855" t="s">
        <v>16</v>
      </c>
      <c r="S1855" t="s">
        <v>4</v>
      </c>
      <c r="T1855" t="s">
        <v>4653</v>
      </c>
      <c r="U1855" t="s">
        <v>10</v>
      </c>
      <c r="V1855" s="5">
        <v>0</v>
      </c>
      <c r="W1855" s="5">
        <v>0</v>
      </c>
      <c r="X1855" s="2">
        <v>0</v>
      </c>
      <c r="Y1855" t="s">
        <v>4</v>
      </c>
      <c r="Z1855" t="s">
        <v>4</v>
      </c>
      <c r="AA1855" t="s">
        <v>4</v>
      </c>
      <c r="AB1855" t="s">
        <v>4</v>
      </c>
    </row>
    <row r="1856" spans="1:28" hidden="1" x14ac:dyDescent="0.2">
      <c r="A1856" t="s">
        <v>2251</v>
      </c>
      <c r="B1856" t="s">
        <v>4</v>
      </c>
      <c r="C1856" t="s">
        <v>4</v>
      </c>
      <c r="D1856" t="s">
        <v>4</v>
      </c>
      <c r="E1856" t="s">
        <v>4</v>
      </c>
      <c r="F1856" t="s">
        <v>16</v>
      </c>
      <c r="G1856" t="s">
        <v>6</v>
      </c>
      <c r="H1856" t="s">
        <v>5240</v>
      </c>
      <c r="I1856" s="5">
        <v>0</v>
      </c>
      <c r="J1856" s="5">
        <v>0</v>
      </c>
      <c r="K1856" s="5">
        <v>0</v>
      </c>
      <c r="L1856" s="3"/>
      <c r="M1856" s="3"/>
      <c r="N1856" s="3"/>
      <c r="O1856" t="s">
        <v>4</v>
      </c>
      <c r="P1856" t="s">
        <v>20</v>
      </c>
      <c r="Q1856" s="4">
        <v>0.53677083333332998</v>
      </c>
      <c r="R1856" t="s">
        <v>4</v>
      </c>
      <c r="S1856" t="s">
        <v>4</v>
      </c>
      <c r="T1856" t="s">
        <v>2256</v>
      </c>
      <c r="U1856" t="s">
        <v>4</v>
      </c>
      <c r="V1856" s="5">
        <v>0</v>
      </c>
      <c r="W1856" s="5">
        <v>0</v>
      </c>
      <c r="X1856" s="2">
        <v>0</v>
      </c>
      <c r="Y1856" t="s">
        <v>4</v>
      </c>
      <c r="Z1856" t="s">
        <v>4</v>
      </c>
      <c r="AA1856" t="s">
        <v>4</v>
      </c>
      <c r="AB1856" t="s">
        <v>4</v>
      </c>
    </row>
    <row r="1857" spans="1:28" hidden="1" x14ac:dyDescent="0.2">
      <c r="A1857" t="s">
        <v>596</v>
      </c>
      <c r="B1857" t="s">
        <v>2</v>
      </c>
      <c r="C1857" t="s">
        <v>3</v>
      </c>
      <c r="D1857" t="s">
        <v>4</v>
      </c>
      <c r="E1857" t="s">
        <v>4</v>
      </c>
      <c r="F1857" t="s">
        <v>16</v>
      </c>
      <c r="G1857" t="s">
        <v>6</v>
      </c>
      <c r="H1857" t="s">
        <v>5241</v>
      </c>
      <c r="I1857" s="2">
        <v>42000</v>
      </c>
      <c r="J1857" s="2">
        <v>0</v>
      </c>
      <c r="K1857" s="2">
        <v>0</v>
      </c>
      <c r="L1857" s="3">
        <v>45829</v>
      </c>
      <c r="M1857" s="3">
        <v>45829</v>
      </c>
      <c r="N1857" s="3"/>
      <c r="O1857" t="s">
        <v>5242</v>
      </c>
      <c r="P1857" t="s">
        <v>20</v>
      </c>
      <c r="Q1857" s="4">
        <v>0.94569444444443995</v>
      </c>
      <c r="R1857" t="s">
        <v>16</v>
      </c>
      <c r="S1857" t="s">
        <v>4</v>
      </c>
      <c r="T1857" t="s">
        <v>3242</v>
      </c>
      <c r="U1857" t="s">
        <v>10</v>
      </c>
      <c r="V1857" s="5">
        <v>0</v>
      </c>
      <c r="W1857" s="5">
        <v>0</v>
      </c>
      <c r="X1857" s="2">
        <v>0</v>
      </c>
      <c r="Y1857" t="s">
        <v>4</v>
      </c>
      <c r="Z1857" t="s">
        <v>4</v>
      </c>
      <c r="AA1857" t="s">
        <v>4</v>
      </c>
      <c r="AB1857" t="s">
        <v>4</v>
      </c>
    </row>
    <row r="1858" spans="1:28" hidden="1" x14ac:dyDescent="0.2">
      <c r="A1858" t="s">
        <v>1854</v>
      </c>
      <c r="B1858" t="s">
        <v>2</v>
      </c>
      <c r="C1858" t="s">
        <v>3</v>
      </c>
      <c r="D1858" t="s">
        <v>4</v>
      </c>
      <c r="E1858" t="s">
        <v>4</v>
      </c>
      <c r="F1858" t="s">
        <v>16</v>
      </c>
      <c r="G1858" t="s">
        <v>6</v>
      </c>
      <c r="H1858" t="s">
        <v>5243</v>
      </c>
      <c r="I1858" s="2">
        <v>432</v>
      </c>
      <c r="J1858" s="2">
        <v>0</v>
      </c>
      <c r="K1858" s="2">
        <v>0</v>
      </c>
      <c r="L1858" s="3">
        <v>45070</v>
      </c>
      <c r="M1858" s="3">
        <v>45070</v>
      </c>
      <c r="N1858" s="3"/>
      <c r="O1858" t="s">
        <v>5244</v>
      </c>
      <c r="P1858" t="s">
        <v>20</v>
      </c>
      <c r="Q1858" s="4">
        <v>0.70224537037037005</v>
      </c>
      <c r="R1858" t="s">
        <v>16</v>
      </c>
      <c r="S1858" t="s">
        <v>4</v>
      </c>
      <c r="T1858" t="s">
        <v>5033</v>
      </c>
      <c r="U1858" t="s">
        <v>10</v>
      </c>
      <c r="V1858" s="5">
        <v>0</v>
      </c>
      <c r="W1858" s="5">
        <v>0</v>
      </c>
      <c r="X1858" s="2">
        <v>0</v>
      </c>
      <c r="Y1858" t="s">
        <v>4</v>
      </c>
      <c r="Z1858" t="s">
        <v>4</v>
      </c>
      <c r="AA1858" t="s">
        <v>4</v>
      </c>
      <c r="AB1858" t="s">
        <v>4</v>
      </c>
    </row>
    <row r="1859" spans="1:28" hidden="1" x14ac:dyDescent="0.2">
      <c r="A1859" t="s">
        <v>1462</v>
      </c>
      <c r="B1859" t="s">
        <v>2</v>
      </c>
      <c r="C1859" t="s">
        <v>3</v>
      </c>
      <c r="D1859" t="s">
        <v>4</v>
      </c>
      <c r="E1859" t="s">
        <v>4</v>
      </c>
      <c r="F1859" t="s">
        <v>16</v>
      </c>
      <c r="G1859" t="s">
        <v>6</v>
      </c>
      <c r="H1859" t="s">
        <v>5245</v>
      </c>
      <c r="I1859" s="2">
        <v>72</v>
      </c>
      <c r="J1859" s="2">
        <v>0</v>
      </c>
      <c r="K1859" s="2">
        <v>0</v>
      </c>
      <c r="L1859" s="3">
        <v>45855</v>
      </c>
      <c r="M1859" s="3">
        <v>45855</v>
      </c>
      <c r="N1859" s="3"/>
      <c r="O1859" t="s">
        <v>5246</v>
      </c>
      <c r="P1859" t="s">
        <v>20</v>
      </c>
      <c r="Q1859" s="4">
        <v>0.76646990740740994</v>
      </c>
      <c r="R1859" t="s">
        <v>16</v>
      </c>
      <c r="S1859" t="s">
        <v>4</v>
      </c>
      <c r="T1859" t="s">
        <v>2350</v>
      </c>
      <c r="U1859" t="s">
        <v>10</v>
      </c>
      <c r="V1859" s="5">
        <v>0</v>
      </c>
      <c r="W1859" s="5">
        <v>0</v>
      </c>
      <c r="X1859" s="2">
        <v>0</v>
      </c>
      <c r="Y1859" t="s">
        <v>4</v>
      </c>
      <c r="Z1859" t="s">
        <v>4</v>
      </c>
      <c r="AA1859" t="s">
        <v>4</v>
      </c>
      <c r="AB1859" t="s">
        <v>4</v>
      </c>
    </row>
    <row r="1860" spans="1:28" hidden="1" x14ac:dyDescent="0.2">
      <c r="A1860" t="s">
        <v>2073</v>
      </c>
      <c r="B1860" t="s">
        <v>2</v>
      </c>
      <c r="C1860" t="s">
        <v>3</v>
      </c>
      <c r="D1860" t="s">
        <v>4</v>
      </c>
      <c r="E1860" t="s">
        <v>4</v>
      </c>
      <c r="F1860" t="s">
        <v>16</v>
      </c>
      <c r="G1860" t="s">
        <v>21</v>
      </c>
      <c r="H1860" t="s">
        <v>5247</v>
      </c>
      <c r="I1860" s="2">
        <v>320</v>
      </c>
      <c r="J1860" s="2">
        <v>0</v>
      </c>
      <c r="K1860" s="2">
        <v>0</v>
      </c>
      <c r="L1860" s="3">
        <v>45839</v>
      </c>
      <c r="M1860" s="3">
        <v>45839</v>
      </c>
      <c r="N1860" s="3"/>
      <c r="O1860" t="s">
        <v>5248</v>
      </c>
      <c r="P1860" t="s">
        <v>20</v>
      </c>
      <c r="Q1860" s="4">
        <v>0.95460648148147997</v>
      </c>
      <c r="R1860" t="s">
        <v>16</v>
      </c>
      <c r="S1860" t="s">
        <v>4</v>
      </c>
      <c r="T1860" t="s">
        <v>2312</v>
      </c>
      <c r="U1860" t="s">
        <v>10</v>
      </c>
      <c r="V1860" s="5">
        <v>0</v>
      </c>
      <c r="W1860" s="5">
        <v>0</v>
      </c>
      <c r="X1860" s="2">
        <v>0</v>
      </c>
      <c r="Y1860" t="s">
        <v>4</v>
      </c>
      <c r="Z1860" t="s">
        <v>4</v>
      </c>
      <c r="AA1860" t="s">
        <v>4</v>
      </c>
      <c r="AB1860" t="s">
        <v>4</v>
      </c>
    </row>
    <row r="1861" spans="1:28" hidden="1" x14ac:dyDescent="0.2">
      <c r="A1861" t="s">
        <v>1131</v>
      </c>
      <c r="B1861" t="s">
        <v>2</v>
      </c>
      <c r="C1861" t="s">
        <v>3</v>
      </c>
      <c r="D1861" t="s">
        <v>4</v>
      </c>
      <c r="E1861" t="s">
        <v>4</v>
      </c>
      <c r="F1861" t="s">
        <v>16</v>
      </c>
      <c r="G1861" t="s">
        <v>21</v>
      </c>
      <c r="H1861" t="s">
        <v>5249</v>
      </c>
      <c r="I1861" s="5">
        <v>203.08</v>
      </c>
      <c r="J1861" s="2">
        <v>0</v>
      </c>
      <c r="K1861" s="2">
        <v>0</v>
      </c>
      <c r="L1861" s="3">
        <v>45851</v>
      </c>
      <c r="M1861" s="3">
        <v>45851</v>
      </c>
      <c r="N1861" s="3"/>
      <c r="O1861" t="s">
        <v>5250</v>
      </c>
      <c r="P1861" t="s">
        <v>20</v>
      </c>
      <c r="Q1861" s="4">
        <v>0.57811342592592996</v>
      </c>
      <c r="R1861" t="s">
        <v>16</v>
      </c>
      <c r="S1861" t="s">
        <v>4</v>
      </c>
      <c r="T1861" t="s">
        <v>2747</v>
      </c>
      <c r="U1861" t="s">
        <v>10</v>
      </c>
      <c r="V1861" s="5">
        <v>0</v>
      </c>
      <c r="W1861" s="5">
        <v>0</v>
      </c>
      <c r="X1861" s="2">
        <v>0</v>
      </c>
      <c r="Y1861" t="s">
        <v>4</v>
      </c>
      <c r="Z1861" t="s">
        <v>4</v>
      </c>
      <c r="AA1861" t="s">
        <v>4</v>
      </c>
      <c r="AB1861" t="s">
        <v>4</v>
      </c>
    </row>
    <row r="1862" spans="1:28" hidden="1" x14ac:dyDescent="0.2">
      <c r="A1862" t="s">
        <v>331</v>
      </c>
      <c r="B1862" t="s">
        <v>2</v>
      </c>
      <c r="C1862" t="s">
        <v>3</v>
      </c>
      <c r="D1862" t="s">
        <v>4</v>
      </c>
      <c r="E1862" t="s">
        <v>4</v>
      </c>
      <c r="F1862" t="s">
        <v>16</v>
      </c>
      <c r="G1862" t="s">
        <v>21</v>
      </c>
      <c r="H1862" t="s">
        <v>5251</v>
      </c>
      <c r="I1862" s="2">
        <v>222</v>
      </c>
      <c r="J1862" s="2">
        <v>0</v>
      </c>
      <c r="K1862" s="2">
        <v>0</v>
      </c>
      <c r="L1862" s="3">
        <v>45839</v>
      </c>
      <c r="M1862" s="3">
        <v>45851</v>
      </c>
      <c r="N1862" s="3"/>
      <c r="O1862" t="s">
        <v>5252</v>
      </c>
      <c r="P1862" t="s">
        <v>20</v>
      </c>
      <c r="Q1862" s="4">
        <v>0.53989583333333002</v>
      </c>
      <c r="R1862" t="s">
        <v>16</v>
      </c>
      <c r="S1862" t="s">
        <v>4</v>
      </c>
      <c r="T1862" t="s">
        <v>2312</v>
      </c>
      <c r="U1862" t="s">
        <v>10</v>
      </c>
      <c r="V1862" s="5">
        <v>0</v>
      </c>
      <c r="W1862" s="5">
        <v>0</v>
      </c>
      <c r="X1862" s="2">
        <v>0</v>
      </c>
      <c r="Y1862" t="s">
        <v>4</v>
      </c>
      <c r="Z1862" t="s">
        <v>4</v>
      </c>
      <c r="AA1862" t="s">
        <v>4</v>
      </c>
      <c r="AB1862" t="s">
        <v>4</v>
      </c>
    </row>
    <row r="1863" spans="1:28" hidden="1" x14ac:dyDescent="0.2">
      <c r="A1863" t="s">
        <v>608</v>
      </c>
      <c r="B1863" t="s">
        <v>2</v>
      </c>
      <c r="C1863" t="s">
        <v>3</v>
      </c>
      <c r="D1863" t="s">
        <v>4</v>
      </c>
      <c r="E1863" t="s">
        <v>4</v>
      </c>
      <c r="F1863" t="s">
        <v>16</v>
      </c>
      <c r="G1863" t="s">
        <v>17</v>
      </c>
      <c r="H1863" t="s">
        <v>5253</v>
      </c>
      <c r="I1863" s="2">
        <v>90000</v>
      </c>
      <c r="J1863" s="2">
        <v>0</v>
      </c>
      <c r="K1863" s="2">
        <v>0</v>
      </c>
      <c r="L1863" s="3">
        <v>45791</v>
      </c>
      <c r="M1863" s="3">
        <v>45853</v>
      </c>
      <c r="N1863" s="3">
        <v>45853</v>
      </c>
      <c r="O1863" t="s">
        <v>5254</v>
      </c>
      <c r="P1863" t="s">
        <v>20</v>
      </c>
      <c r="Q1863" s="4">
        <v>0.73961805555556004</v>
      </c>
      <c r="R1863" t="s">
        <v>16</v>
      </c>
      <c r="S1863" t="s">
        <v>4</v>
      </c>
      <c r="T1863" t="s">
        <v>3485</v>
      </c>
      <c r="U1863" t="s">
        <v>10</v>
      </c>
      <c r="V1863" s="5">
        <v>0</v>
      </c>
      <c r="W1863" s="5">
        <v>0</v>
      </c>
      <c r="X1863" s="2">
        <v>0</v>
      </c>
      <c r="Y1863" t="s">
        <v>4</v>
      </c>
      <c r="Z1863" t="s">
        <v>4</v>
      </c>
      <c r="AA1863" t="s">
        <v>4</v>
      </c>
      <c r="AB1863" t="s">
        <v>4</v>
      </c>
    </row>
    <row r="1864" spans="1:28" hidden="1" x14ac:dyDescent="0.2">
      <c r="A1864" t="s">
        <v>863</v>
      </c>
      <c r="B1864" t="s">
        <v>2</v>
      </c>
      <c r="C1864" t="s">
        <v>3</v>
      </c>
      <c r="D1864" t="s">
        <v>4</v>
      </c>
      <c r="E1864" t="s">
        <v>4</v>
      </c>
      <c r="F1864" t="s">
        <v>16</v>
      </c>
      <c r="G1864" t="s">
        <v>17</v>
      </c>
      <c r="H1864" t="s">
        <v>5255</v>
      </c>
      <c r="I1864" s="2">
        <v>700</v>
      </c>
      <c r="J1864" s="2">
        <v>0</v>
      </c>
      <c r="K1864" s="2">
        <v>0</v>
      </c>
      <c r="L1864" s="3">
        <v>45799</v>
      </c>
      <c r="M1864" s="3">
        <v>45799</v>
      </c>
      <c r="N1864" s="3"/>
      <c r="O1864" t="s">
        <v>5256</v>
      </c>
      <c r="P1864" t="s">
        <v>20</v>
      </c>
      <c r="Q1864" s="4">
        <v>0.44562499999999999</v>
      </c>
      <c r="R1864" t="s">
        <v>16</v>
      </c>
      <c r="S1864" t="s">
        <v>4</v>
      </c>
      <c r="T1864" t="s">
        <v>4635</v>
      </c>
      <c r="U1864" t="s">
        <v>10</v>
      </c>
      <c r="V1864" s="5">
        <v>0</v>
      </c>
      <c r="W1864" s="5">
        <v>0</v>
      </c>
      <c r="X1864" s="2">
        <v>0</v>
      </c>
      <c r="Y1864" t="s">
        <v>4</v>
      </c>
      <c r="Z1864" t="s">
        <v>4</v>
      </c>
      <c r="AA1864" t="s">
        <v>4</v>
      </c>
      <c r="AB1864" t="s">
        <v>4</v>
      </c>
    </row>
    <row r="1865" spans="1:28" hidden="1" x14ac:dyDescent="0.2">
      <c r="A1865" t="s">
        <v>863</v>
      </c>
      <c r="B1865" t="s">
        <v>2</v>
      </c>
      <c r="C1865" t="s">
        <v>3</v>
      </c>
      <c r="D1865" t="s">
        <v>4</v>
      </c>
      <c r="E1865" t="s">
        <v>4</v>
      </c>
      <c r="F1865" t="s">
        <v>16</v>
      </c>
      <c r="G1865" t="s">
        <v>17</v>
      </c>
      <c r="H1865" t="s">
        <v>5257</v>
      </c>
      <c r="I1865" s="2">
        <v>175</v>
      </c>
      <c r="J1865" s="2">
        <v>0</v>
      </c>
      <c r="K1865" s="2">
        <v>0</v>
      </c>
      <c r="L1865" s="3">
        <v>45799</v>
      </c>
      <c r="M1865" s="3">
        <v>45799</v>
      </c>
      <c r="N1865" s="3"/>
      <c r="O1865" t="s">
        <v>5258</v>
      </c>
      <c r="P1865" t="s">
        <v>20</v>
      </c>
      <c r="Q1865" s="4">
        <v>0.44569444444444001</v>
      </c>
      <c r="R1865" t="s">
        <v>16</v>
      </c>
      <c r="S1865" t="s">
        <v>4</v>
      </c>
      <c r="T1865" t="s">
        <v>4635</v>
      </c>
      <c r="U1865" t="s">
        <v>10</v>
      </c>
      <c r="V1865" s="5">
        <v>0</v>
      </c>
      <c r="W1865" s="5">
        <v>0</v>
      </c>
      <c r="X1865" s="2">
        <v>0</v>
      </c>
      <c r="Y1865" t="s">
        <v>4</v>
      </c>
      <c r="Z1865" t="s">
        <v>4</v>
      </c>
      <c r="AA1865" t="s">
        <v>4</v>
      </c>
      <c r="AB1865" t="s">
        <v>4</v>
      </c>
    </row>
    <row r="1866" spans="1:28" hidden="1" x14ac:dyDescent="0.2">
      <c r="A1866" t="s">
        <v>596</v>
      </c>
      <c r="B1866" t="s">
        <v>2</v>
      </c>
      <c r="C1866" t="s">
        <v>3</v>
      </c>
      <c r="D1866" t="s">
        <v>4</v>
      </c>
      <c r="E1866" t="s">
        <v>4</v>
      </c>
      <c r="F1866" t="s">
        <v>16</v>
      </c>
      <c r="G1866" t="s">
        <v>6</v>
      </c>
      <c r="H1866" t="s">
        <v>5259</v>
      </c>
      <c r="I1866" s="2">
        <v>42000</v>
      </c>
      <c r="J1866" s="2">
        <v>0</v>
      </c>
      <c r="K1866" s="2">
        <v>0</v>
      </c>
      <c r="L1866" s="3">
        <v>45829</v>
      </c>
      <c r="M1866" s="3">
        <v>45829</v>
      </c>
      <c r="N1866" s="3"/>
      <c r="O1866" t="s">
        <v>5260</v>
      </c>
      <c r="P1866" t="s">
        <v>20</v>
      </c>
      <c r="Q1866" s="4">
        <v>0.94755787037036998</v>
      </c>
      <c r="R1866" t="s">
        <v>16</v>
      </c>
      <c r="S1866" t="s">
        <v>4</v>
      </c>
      <c r="T1866" t="s">
        <v>3242</v>
      </c>
      <c r="U1866" t="s">
        <v>10</v>
      </c>
      <c r="V1866" s="5">
        <v>0</v>
      </c>
      <c r="W1866" s="5">
        <v>0</v>
      </c>
      <c r="X1866" s="2">
        <v>0</v>
      </c>
      <c r="Y1866" t="s">
        <v>4</v>
      </c>
      <c r="Z1866" t="s">
        <v>4</v>
      </c>
      <c r="AA1866" t="s">
        <v>4</v>
      </c>
      <c r="AB1866" t="s">
        <v>4</v>
      </c>
    </row>
    <row r="1867" spans="1:28" hidden="1" x14ac:dyDescent="0.2">
      <c r="A1867" t="s">
        <v>2251</v>
      </c>
      <c r="B1867" t="s">
        <v>4</v>
      </c>
      <c r="C1867" t="s">
        <v>4</v>
      </c>
      <c r="D1867" t="s">
        <v>4</v>
      </c>
      <c r="E1867" t="s">
        <v>4</v>
      </c>
      <c r="F1867" t="s">
        <v>16</v>
      </c>
      <c r="G1867" t="s">
        <v>6</v>
      </c>
      <c r="H1867" t="s">
        <v>5261</v>
      </c>
      <c r="I1867" s="5">
        <v>0</v>
      </c>
      <c r="J1867" s="5">
        <v>0</v>
      </c>
      <c r="K1867" s="5">
        <v>0</v>
      </c>
      <c r="L1867" s="3"/>
      <c r="M1867" s="3"/>
      <c r="N1867" s="3"/>
      <c r="O1867" t="s">
        <v>4</v>
      </c>
      <c r="P1867" t="s">
        <v>20</v>
      </c>
      <c r="Q1867" s="4">
        <v>0.55868055555555995</v>
      </c>
      <c r="R1867" t="s">
        <v>4</v>
      </c>
      <c r="S1867" t="s">
        <v>4</v>
      </c>
      <c r="T1867" t="s">
        <v>2256</v>
      </c>
      <c r="U1867" t="s">
        <v>4</v>
      </c>
      <c r="V1867" s="5">
        <v>0</v>
      </c>
      <c r="W1867" s="5">
        <v>0</v>
      </c>
      <c r="X1867" s="2">
        <v>0</v>
      </c>
      <c r="Y1867" t="s">
        <v>4</v>
      </c>
      <c r="Z1867" t="s">
        <v>4</v>
      </c>
      <c r="AA1867" t="s">
        <v>4</v>
      </c>
      <c r="AB1867" t="s">
        <v>4</v>
      </c>
    </row>
    <row r="1868" spans="1:28" hidden="1" x14ac:dyDescent="0.2">
      <c r="A1868" t="s">
        <v>2043</v>
      </c>
      <c r="B1868" t="s">
        <v>2</v>
      </c>
      <c r="C1868" t="s">
        <v>3</v>
      </c>
      <c r="D1868" t="s">
        <v>4</v>
      </c>
      <c r="E1868" t="s">
        <v>4</v>
      </c>
      <c r="F1868" t="s">
        <v>16</v>
      </c>
      <c r="G1868" t="s">
        <v>6</v>
      </c>
      <c r="H1868" t="s">
        <v>5262</v>
      </c>
      <c r="I1868" s="2">
        <v>108</v>
      </c>
      <c r="J1868" s="2">
        <v>0</v>
      </c>
      <c r="K1868" s="2">
        <v>0</v>
      </c>
      <c r="L1868" s="3">
        <v>45850</v>
      </c>
      <c r="M1868" s="3">
        <v>45850</v>
      </c>
      <c r="N1868" s="3"/>
      <c r="O1868" t="s">
        <v>5263</v>
      </c>
      <c r="P1868" t="s">
        <v>20</v>
      </c>
      <c r="Q1868" s="4">
        <v>0.58719907407407002</v>
      </c>
      <c r="R1868" t="s">
        <v>16</v>
      </c>
      <c r="S1868" t="s">
        <v>4</v>
      </c>
      <c r="T1868" t="s">
        <v>2680</v>
      </c>
      <c r="U1868" t="s">
        <v>10</v>
      </c>
      <c r="V1868" s="5">
        <v>0</v>
      </c>
      <c r="W1868" s="5">
        <v>0</v>
      </c>
      <c r="X1868" s="2">
        <v>0</v>
      </c>
      <c r="Y1868" t="s">
        <v>4</v>
      </c>
      <c r="Z1868" t="s">
        <v>4</v>
      </c>
      <c r="AA1868" t="s">
        <v>4</v>
      </c>
      <c r="AB1868" t="s">
        <v>4</v>
      </c>
    </row>
    <row r="1869" spans="1:28" hidden="1" x14ac:dyDescent="0.2">
      <c r="A1869" t="s">
        <v>581</v>
      </c>
      <c r="B1869" t="s">
        <v>2</v>
      </c>
      <c r="C1869" t="s">
        <v>3</v>
      </c>
      <c r="D1869" t="s">
        <v>4</v>
      </c>
      <c r="E1869" t="s">
        <v>4</v>
      </c>
      <c r="F1869" t="s">
        <v>16</v>
      </c>
      <c r="G1869" t="s">
        <v>17</v>
      </c>
      <c r="H1869" t="s">
        <v>5264</v>
      </c>
      <c r="I1869" s="2">
        <v>88000</v>
      </c>
      <c r="J1869" s="2">
        <v>0</v>
      </c>
      <c r="K1869" s="2">
        <v>0</v>
      </c>
      <c r="L1869" s="3">
        <v>45858</v>
      </c>
      <c r="M1869" s="3">
        <v>45858</v>
      </c>
      <c r="N1869" s="3"/>
      <c r="O1869" t="s">
        <v>5265</v>
      </c>
      <c r="P1869" t="s">
        <v>20</v>
      </c>
      <c r="Q1869" s="4">
        <v>0.58283564814815003</v>
      </c>
      <c r="R1869" t="s">
        <v>16</v>
      </c>
      <c r="S1869" t="s">
        <v>4</v>
      </c>
      <c r="T1869" t="s">
        <v>2337</v>
      </c>
      <c r="U1869" t="s">
        <v>10</v>
      </c>
      <c r="V1869" s="5">
        <v>0</v>
      </c>
      <c r="W1869" s="5">
        <v>0</v>
      </c>
      <c r="X1869" s="2">
        <v>0</v>
      </c>
      <c r="Y1869" t="s">
        <v>4</v>
      </c>
      <c r="Z1869" t="s">
        <v>4</v>
      </c>
      <c r="AA1869" t="s">
        <v>4</v>
      </c>
      <c r="AB1869" t="s">
        <v>4</v>
      </c>
    </row>
    <row r="1870" spans="1:28" hidden="1" x14ac:dyDescent="0.2">
      <c r="A1870" t="s">
        <v>1471</v>
      </c>
      <c r="B1870" t="s">
        <v>2</v>
      </c>
      <c r="C1870" t="s">
        <v>3</v>
      </c>
      <c r="D1870" t="s">
        <v>4</v>
      </c>
      <c r="E1870" t="s">
        <v>4</v>
      </c>
      <c r="F1870" t="s">
        <v>16</v>
      </c>
      <c r="G1870" t="s">
        <v>6</v>
      </c>
      <c r="H1870" t="s">
        <v>5266</v>
      </c>
      <c r="I1870" s="2">
        <v>60</v>
      </c>
      <c r="J1870" s="2">
        <v>0</v>
      </c>
      <c r="K1870" s="2">
        <v>0</v>
      </c>
      <c r="L1870" s="3">
        <v>45853</v>
      </c>
      <c r="M1870" s="3">
        <v>45853</v>
      </c>
      <c r="N1870" s="3"/>
      <c r="O1870" t="s">
        <v>5267</v>
      </c>
      <c r="P1870" t="s">
        <v>20</v>
      </c>
      <c r="Q1870" s="4">
        <v>0.94219907407407</v>
      </c>
      <c r="R1870" t="s">
        <v>16</v>
      </c>
      <c r="S1870" t="s">
        <v>4</v>
      </c>
      <c r="T1870" t="s">
        <v>2272</v>
      </c>
      <c r="U1870" t="s">
        <v>10</v>
      </c>
      <c r="V1870" s="5">
        <v>0</v>
      </c>
      <c r="W1870" s="5">
        <v>0</v>
      </c>
      <c r="X1870" s="2">
        <v>0</v>
      </c>
      <c r="Y1870" t="s">
        <v>4</v>
      </c>
      <c r="Z1870" t="s">
        <v>4</v>
      </c>
      <c r="AA1870" t="s">
        <v>4</v>
      </c>
      <c r="AB1870" t="s">
        <v>4</v>
      </c>
    </row>
    <row r="1871" spans="1:28" hidden="1" x14ac:dyDescent="0.2">
      <c r="A1871" t="s">
        <v>1573</v>
      </c>
      <c r="B1871" t="s">
        <v>2</v>
      </c>
      <c r="C1871" t="s">
        <v>3</v>
      </c>
      <c r="D1871" t="s">
        <v>4</v>
      </c>
      <c r="E1871" t="s">
        <v>4</v>
      </c>
      <c r="F1871" t="s">
        <v>16</v>
      </c>
      <c r="G1871" t="s">
        <v>6</v>
      </c>
      <c r="H1871" t="s">
        <v>5268</v>
      </c>
      <c r="I1871" s="2">
        <v>45</v>
      </c>
      <c r="J1871" s="2">
        <v>0</v>
      </c>
      <c r="K1871" s="2">
        <v>0</v>
      </c>
      <c r="L1871" s="3">
        <v>45853</v>
      </c>
      <c r="M1871" s="3">
        <v>45853</v>
      </c>
      <c r="N1871" s="3"/>
      <c r="O1871" t="s">
        <v>5269</v>
      </c>
      <c r="P1871" t="s">
        <v>20</v>
      </c>
      <c r="Q1871" s="4">
        <v>0.88928240740741005</v>
      </c>
      <c r="R1871" t="s">
        <v>16</v>
      </c>
      <c r="S1871" t="s">
        <v>4</v>
      </c>
      <c r="T1871" t="s">
        <v>2272</v>
      </c>
      <c r="U1871" t="s">
        <v>10</v>
      </c>
      <c r="V1871" s="5">
        <v>0</v>
      </c>
      <c r="W1871" s="5">
        <v>0</v>
      </c>
      <c r="X1871" s="2">
        <v>0</v>
      </c>
      <c r="Y1871" t="s">
        <v>4</v>
      </c>
      <c r="Z1871" t="s">
        <v>4</v>
      </c>
      <c r="AA1871" t="s">
        <v>4</v>
      </c>
      <c r="AB1871" t="s">
        <v>4</v>
      </c>
    </row>
    <row r="1872" spans="1:28" hidden="1" x14ac:dyDescent="0.2">
      <c r="A1872" t="s">
        <v>1466</v>
      </c>
      <c r="B1872" t="s">
        <v>2</v>
      </c>
      <c r="C1872" t="s">
        <v>3</v>
      </c>
      <c r="D1872" t="s">
        <v>4</v>
      </c>
      <c r="E1872" t="s">
        <v>4</v>
      </c>
      <c r="F1872" t="s">
        <v>16</v>
      </c>
      <c r="G1872" t="s">
        <v>6</v>
      </c>
      <c r="H1872" t="s">
        <v>5270</v>
      </c>
      <c r="I1872" s="2">
        <v>60</v>
      </c>
      <c r="J1872" s="2">
        <v>0</v>
      </c>
      <c r="K1872" s="2">
        <v>0</v>
      </c>
      <c r="L1872" s="3">
        <v>45843</v>
      </c>
      <c r="M1872" s="3">
        <v>45843</v>
      </c>
      <c r="N1872" s="3"/>
      <c r="O1872" t="s">
        <v>5271</v>
      </c>
      <c r="P1872" t="s">
        <v>20</v>
      </c>
      <c r="Q1872" s="4">
        <v>0.72496527777777997</v>
      </c>
      <c r="R1872" t="s">
        <v>16</v>
      </c>
      <c r="S1872" t="s">
        <v>4</v>
      </c>
      <c r="T1872" t="s">
        <v>2783</v>
      </c>
      <c r="U1872" t="s">
        <v>10</v>
      </c>
      <c r="V1872" s="5">
        <v>0</v>
      </c>
      <c r="W1872" s="5">
        <v>0</v>
      </c>
      <c r="X1872" s="2">
        <v>0</v>
      </c>
      <c r="Y1872" t="s">
        <v>4</v>
      </c>
      <c r="Z1872" t="s">
        <v>4</v>
      </c>
      <c r="AA1872" t="s">
        <v>4</v>
      </c>
      <c r="AB1872" t="s">
        <v>4</v>
      </c>
    </row>
    <row r="1873" spans="1:28" hidden="1" x14ac:dyDescent="0.2">
      <c r="A1873" t="s">
        <v>1446</v>
      </c>
      <c r="B1873" t="s">
        <v>2</v>
      </c>
      <c r="C1873" t="s">
        <v>3</v>
      </c>
      <c r="D1873" t="s">
        <v>4</v>
      </c>
      <c r="E1873" t="s">
        <v>4</v>
      </c>
      <c r="F1873" t="s">
        <v>16</v>
      </c>
      <c r="G1873" t="s">
        <v>6</v>
      </c>
      <c r="H1873" t="s">
        <v>5272</v>
      </c>
      <c r="I1873" s="2">
        <v>3339</v>
      </c>
      <c r="J1873" s="2">
        <v>0</v>
      </c>
      <c r="K1873" s="2">
        <v>0</v>
      </c>
      <c r="L1873" s="3">
        <v>45840</v>
      </c>
      <c r="M1873" s="3">
        <v>45840</v>
      </c>
      <c r="N1873" s="3"/>
      <c r="O1873" t="s">
        <v>5273</v>
      </c>
      <c r="P1873" t="s">
        <v>20</v>
      </c>
      <c r="Q1873" s="4">
        <v>0.56718749999999996</v>
      </c>
      <c r="R1873" t="s">
        <v>16</v>
      </c>
      <c r="S1873" t="s">
        <v>4</v>
      </c>
      <c r="T1873" t="s">
        <v>2766</v>
      </c>
      <c r="U1873" t="s">
        <v>10</v>
      </c>
      <c r="V1873" s="5">
        <v>0</v>
      </c>
      <c r="W1873" s="5">
        <v>0</v>
      </c>
      <c r="X1873" s="2">
        <v>0</v>
      </c>
      <c r="Y1873" t="s">
        <v>4</v>
      </c>
      <c r="Z1873" t="s">
        <v>4</v>
      </c>
      <c r="AA1873" t="s">
        <v>4</v>
      </c>
      <c r="AB1873" t="s">
        <v>4</v>
      </c>
    </row>
    <row r="1874" spans="1:28" hidden="1" x14ac:dyDescent="0.2">
      <c r="A1874" t="s">
        <v>0</v>
      </c>
      <c r="B1874" t="s">
        <v>2</v>
      </c>
      <c r="C1874" t="s">
        <v>3</v>
      </c>
      <c r="D1874" t="s">
        <v>4</v>
      </c>
      <c r="E1874" t="s">
        <v>4</v>
      </c>
      <c r="F1874" t="s">
        <v>16</v>
      </c>
      <c r="G1874" t="s">
        <v>6</v>
      </c>
      <c r="H1874" t="s">
        <v>133</v>
      </c>
      <c r="I1874" s="2">
        <v>196</v>
      </c>
      <c r="J1874" s="2">
        <v>0</v>
      </c>
      <c r="K1874" s="2">
        <v>0</v>
      </c>
      <c r="L1874" s="3">
        <v>45843</v>
      </c>
      <c r="M1874" s="3">
        <v>45843</v>
      </c>
      <c r="N1874" s="3"/>
      <c r="O1874" t="s">
        <v>134</v>
      </c>
      <c r="P1874" t="s">
        <v>20</v>
      </c>
      <c r="Q1874" s="4">
        <v>0.86195601851852</v>
      </c>
      <c r="R1874" t="s">
        <v>16</v>
      </c>
      <c r="S1874" t="s">
        <v>4</v>
      </c>
      <c r="T1874" t="s">
        <v>2783</v>
      </c>
      <c r="U1874" t="s">
        <v>10</v>
      </c>
      <c r="V1874" s="5">
        <v>0</v>
      </c>
      <c r="W1874" s="5">
        <v>0</v>
      </c>
      <c r="X1874" s="2">
        <v>0</v>
      </c>
      <c r="Y1874" t="s">
        <v>4</v>
      </c>
      <c r="Z1874" t="s">
        <v>4</v>
      </c>
      <c r="AA1874" t="s">
        <v>4</v>
      </c>
      <c r="AB1874" t="s">
        <v>4</v>
      </c>
    </row>
    <row r="1875" spans="1:28" hidden="1" x14ac:dyDescent="0.2">
      <c r="A1875" t="s">
        <v>0</v>
      </c>
      <c r="B1875" t="s">
        <v>2</v>
      </c>
      <c r="C1875" t="s">
        <v>3</v>
      </c>
      <c r="D1875" t="s">
        <v>4</v>
      </c>
      <c r="E1875" t="s">
        <v>4</v>
      </c>
      <c r="F1875" t="s">
        <v>16</v>
      </c>
      <c r="G1875" t="s">
        <v>6</v>
      </c>
      <c r="H1875" t="s">
        <v>135</v>
      </c>
      <c r="I1875" s="2">
        <v>196</v>
      </c>
      <c r="J1875" s="2">
        <v>0</v>
      </c>
      <c r="K1875" s="2">
        <v>0</v>
      </c>
      <c r="L1875" s="3">
        <v>45843</v>
      </c>
      <c r="M1875" s="3">
        <v>45843</v>
      </c>
      <c r="N1875" s="3"/>
      <c r="O1875" t="s">
        <v>136</v>
      </c>
      <c r="P1875" t="s">
        <v>20</v>
      </c>
      <c r="Q1875" s="4">
        <v>0.86212962962963002</v>
      </c>
      <c r="R1875" t="s">
        <v>16</v>
      </c>
      <c r="S1875" t="s">
        <v>4</v>
      </c>
      <c r="T1875" t="s">
        <v>2783</v>
      </c>
      <c r="U1875" t="s">
        <v>10</v>
      </c>
      <c r="V1875" s="5">
        <v>0</v>
      </c>
      <c r="W1875" s="5">
        <v>0</v>
      </c>
      <c r="X1875" s="2">
        <v>0</v>
      </c>
      <c r="Y1875" t="s">
        <v>4</v>
      </c>
      <c r="Z1875" t="s">
        <v>4</v>
      </c>
      <c r="AA1875" t="s">
        <v>4</v>
      </c>
      <c r="AB1875" t="s">
        <v>4</v>
      </c>
    </row>
    <row r="1876" spans="1:28" hidden="1" x14ac:dyDescent="0.2">
      <c r="A1876" t="s">
        <v>2251</v>
      </c>
      <c r="B1876" t="s">
        <v>4</v>
      </c>
      <c r="C1876" t="s">
        <v>4</v>
      </c>
      <c r="D1876" t="s">
        <v>4</v>
      </c>
      <c r="E1876" t="s">
        <v>4</v>
      </c>
      <c r="F1876" t="s">
        <v>16</v>
      </c>
      <c r="G1876" t="s">
        <v>21</v>
      </c>
      <c r="H1876" t="s">
        <v>5274</v>
      </c>
      <c r="I1876" s="5">
        <v>0</v>
      </c>
      <c r="J1876" s="5">
        <v>0</v>
      </c>
      <c r="K1876" s="5">
        <v>0</v>
      </c>
      <c r="L1876" s="3"/>
      <c r="M1876" s="3"/>
      <c r="N1876" s="3"/>
      <c r="O1876" t="s">
        <v>4</v>
      </c>
      <c r="P1876" t="s">
        <v>20</v>
      </c>
      <c r="Q1876" s="4">
        <v>0.53034722222221997</v>
      </c>
      <c r="R1876" t="s">
        <v>4</v>
      </c>
      <c r="S1876" t="s">
        <v>4</v>
      </c>
      <c r="T1876" t="s">
        <v>2256</v>
      </c>
      <c r="U1876" t="s">
        <v>4</v>
      </c>
      <c r="V1876" s="5">
        <v>0</v>
      </c>
      <c r="W1876" s="5">
        <v>0</v>
      </c>
      <c r="X1876" s="2">
        <v>0</v>
      </c>
      <c r="Y1876" t="s">
        <v>4</v>
      </c>
      <c r="Z1876" t="s">
        <v>4</v>
      </c>
      <c r="AA1876" t="s">
        <v>4</v>
      </c>
      <c r="AB1876" t="s">
        <v>4</v>
      </c>
    </row>
    <row r="1877" spans="1:28" hidden="1" x14ac:dyDescent="0.2">
      <c r="A1877" t="s">
        <v>31</v>
      </c>
      <c r="B1877" t="s">
        <v>2</v>
      </c>
      <c r="C1877" t="s">
        <v>3</v>
      </c>
      <c r="D1877" t="s">
        <v>4</v>
      </c>
      <c r="E1877" t="s">
        <v>4</v>
      </c>
      <c r="F1877" t="s">
        <v>16</v>
      </c>
      <c r="G1877" t="s">
        <v>17</v>
      </c>
      <c r="H1877" t="s">
        <v>137</v>
      </c>
      <c r="I1877" s="2">
        <v>147</v>
      </c>
      <c r="J1877" s="2">
        <v>0</v>
      </c>
      <c r="K1877" s="2">
        <v>0</v>
      </c>
      <c r="L1877" s="3">
        <v>45854</v>
      </c>
      <c r="M1877" s="3">
        <v>45854</v>
      </c>
      <c r="N1877" s="3"/>
      <c r="O1877" t="s">
        <v>138</v>
      </c>
      <c r="P1877" t="s">
        <v>20</v>
      </c>
      <c r="Q1877" s="4">
        <v>0.34384259259258998</v>
      </c>
      <c r="R1877" t="s">
        <v>16</v>
      </c>
      <c r="S1877" t="s">
        <v>4</v>
      </c>
      <c r="T1877" t="s">
        <v>2299</v>
      </c>
      <c r="U1877" t="s">
        <v>35</v>
      </c>
      <c r="V1877" s="5">
        <v>0</v>
      </c>
      <c r="W1877" s="5">
        <v>0</v>
      </c>
      <c r="X1877" s="2">
        <v>0</v>
      </c>
      <c r="Y1877" t="s">
        <v>4</v>
      </c>
      <c r="Z1877" t="s">
        <v>4</v>
      </c>
      <c r="AA1877" t="s">
        <v>4</v>
      </c>
      <c r="AB1877" t="s">
        <v>4</v>
      </c>
    </row>
    <row r="1878" spans="1:28" hidden="1" x14ac:dyDescent="0.2">
      <c r="A1878" t="s">
        <v>2010</v>
      </c>
      <c r="B1878" t="s">
        <v>2</v>
      </c>
      <c r="C1878" t="s">
        <v>3</v>
      </c>
      <c r="D1878" t="s">
        <v>4</v>
      </c>
      <c r="E1878" t="s">
        <v>4</v>
      </c>
      <c r="F1878" t="s">
        <v>16</v>
      </c>
      <c r="G1878" t="s">
        <v>21</v>
      </c>
      <c r="H1878" t="s">
        <v>5275</v>
      </c>
      <c r="I1878" s="2">
        <v>150</v>
      </c>
      <c r="J1878" s="2">
        <v>0</v>
      </c>
      <c r="K1878" s="2">
        <v>0</v>
      </c>
      <c r="L1878" s="3">
        <v>45818</v>
      </c>
      <c r="M1878" s="3">
        <v>45818</v>
      </c>
      <c r="N1878" s="3"/>
      <c r="O1878" t="s">
        <v>5276</v>
      </c>
      <c r="P1878" t="s">
        <v>20</v>
      </c>
      <c r="Q1878" s="4">
        <v>0.67861111111111005</v>
      </c>
      <c r="R1878" t="s">
        <v>16</v>
      </c>
      <c r="S1878" t="s">
        <v>4</v>
      </c>
      <c r="T1878" t="s">
        <v>2290</v>
      </c>
      <c r="U1878" t="s">
        <v>10</v>
      </c>
      <c r="V1878" s="5">
        <v>0</v>
      </c>
      <c r="W1878" s="5">
        <v>0</v>
      </c>
      <c r="X1878" s="2">
        <v>0</v>
      </c>
      <c r="Y1878" t="s">
        <v>4</v>
      </c>
      <c r="Z1878" t="s">
        <v>4</v>
      </c>
      <c r="AA1878" t="s">
        <v>4</v>
      </c>
      <c r="AB1878" t="s">
        <v>4</v>
      </c>
    </row>
    <row r="1879" spans="1:28" hidden="1" x14ac:dyDescent="0.2">
      <c r="A1879" t="s">
        <v>479</v>
      </c>
      <c r="B1879" t="s">
        <v>2</v>
      </c>
      <c r="C1879" t="s">
        <v>3</v>
      </c>
      <c r="D1879" t="s">
        <v>4</v>
      </c>
      <c r="E1879" t="s">
        <v>4</v>
      </c>
      <c r="F1879" t="s">
        <v>16</v>
      </c>
      <c r="G1879" t="s">
        <v>17</v>
      </c>
      <c r="H1879" t="s">
        <v>5277</v>
      </c>
      <c r="I1879" s="2">
        <v>1920</v>
      </c>
      <c r="J1879" s="2">
        <v>0</v>
      </c>
      <c r="K1879" s="2">
        <v>0</v>
      </c>
      <c r="L1879" s="3">
        <v>45852</v>
      </c>
      <c r="M1879" s="3">
        <v>45852</v>
      </c>
      <c r="N1879" s="3"/>
      <c r="O1879" t="s">
        <v>5278</v>
      </c>
      <c r="P1879" t="s">
        <v>20</v>
      </c>
      <c r="Q1879" s="4">
        <v>0.89423611111111001</v>
      </c>
      <c r="R1879" t="s">
        <v>16</v>
      </c>
      <c r="S1879" t="s">
        <v>4</v>
      </c>
      <c r="T1879" t="s">
        <v>2669</v>
      </c>
      <c r="U1879" t="s">
        <v>10</v>
      </c>
      <c r="V1879" s="5">
        <v>0</v>
      </c>
      <c r="W1879" s="5">
        <v>0</v>
      </c>
      <c r="X1879" s="2">
        <v>0</v>
      </c>
      <c r="Y1879" t="s">
        <v>4</v>
      </c>
      <c r="Z1879" t="s">
        <v>4</v>
      </c>
      <c r="AA1879" t="s">
        <v>4</v>
      </c>
      <c r="AB1879" t="s">
        <v>4</v>
      </c>
    </row>
    <row r="1880" spans="1:28" hidden="1" x14ac:dyDescent="0.2">
      <c r="A1880" t="s">
        <v>1753</v>
      </c>
      <c r="B1880" t="s">
        <v>2</v>
      </c>
      <c r="C1880" t="s">
        <v>3</v>
      </c>
      <c r="D1880" t="s">
        <v>4</v>
      </c>
      <c r="E1880" t="s">
        <v>4</v>
      </c>
      <c r="F1880" t="s">
        <v>5279</v>
      </c>
      <c r="G1880" t="s">
        <v>5280</v>
      </c>
      <c r="H1880" t="s">
        <v>5281</v>
      </c>
      <c r="I1880" s="2">
        <v>6400</v>
      </c>
      <c r="J1880" s="2">
        <v>0</v>
      </c>
      <c r="K1880" s="2">
        <v>0</v>
      </c>
      <c r="L1880" s="3">
        <v>45839</v>
      </c>
      <c r="M1880" s="3">
        <v>45859</v>
      </c>
      <c r="N1880" s="3">
        <v>45852</v>
      </c>
      <c r="O1880" t="s">
        <v>4</v>
      </c>
      <c r="P1880" t="s">
        <v>20</v>
      </c>
      <c r="Q1880" s="4">
        <v>0.68081018518518999</v>
      </c>
      <c r="R1880" t="s">
        <v>5279</v>
      </c>
      <c r="S1880" t="s">
        <v>4</v>
      </c>
      <c r="T1880" t="s">
        <v>2312</v>
      </c>
      <c r="U1880" t="s">
        <v>5282</v>
      </c>
      <c r="V1880" s="5">
        <v>0</v>
      </c>
      <c r="W1880" s="5">
        <v>0</v>
      </c>
      <c r="X1880" s="2">
        <v>0</v>
      </c>
      <c r="Y1880" t="s">
        <v>4</v>
      </c>
      <c r="Z1880" t="s">
        <v>4</v>
      </c>
      <c r="AA1880" t="s">
        <v>4</v>
      </c>
      <c r="AB1880" t="s">
        <v>4</v>
      </c>
    </row>
    <row r="1881" spans="1:28" hidden="1" x14ac:dyDescent="0.2">
      <c r="A1881" t="s">
        <v>1701</v>
      </c>
      <c r="B1881" t="s">
        <v>2</v>
      </c>
      <c r="C1881" t="s">
        <v>3</v>
      </c>
      <c r="D1881" t="s">
        <v>4</v>
      </c>
      <c r="E1881" t="s">
        <v>4</v>
      </c>
      <c r="F1881" t="s">
        <v>5279</v>
      </c>
      <c r="G1881" t="s">
        <v>5283</v>
      </c>
      <c r="H1881" t="s">
        <v>5284</v>
      </c>
      <c r="I1881" s="2">
        <v>534</v>
      </c>
      <c r="J1881" s="2">
        <v>0</v>
      </c>
      <c r="K1881" s="2">
        <v>0</v>
      </c>
      <c r="L1881" s="3">
        <v>45501</v>
      </c>
      <c r="M1881" s="3">
        <v>45722</v>
      </c>
      <c r="N1881" s="3">
        <v>45722</v>
      </c>
      <c r="O1881" t="s">
        <v>4</v>
      </c>
      <c r="P1881" t="s">
        <v>5285</v>
      </c>
      <c r="Q1881" s="4">
        <v>0.45746527777778001</v>
      </c>
      <c r="R1881" t="s">
        <v>5279</v>
      </c>
      <c r="S1881" t="s">
        <v>4</v>
      </c>
      <c r="T1881" t="s">
        <v>5286</v>
      </c>
      <c r="U1881" t="s">
        <v>5282</v>
      </c>
      <c r="V1881" s="5">
        <v>0</v>
      </c>
      <c r="W1881" s="5">
        <v>0</v>
      </c>
      <c r="X1881" s="2">
        <v>0</v>
      </c>
      <c r="Y1881" t="s">
        <v>4</v>
      </c>
      <c r="Z1881" t="s">
        <v>4</v>
      </c>
      <c r="AA1881" t="s">
        <v>4</v>
      </c>
      <c r="AB1881" t="s">
        <v>4</v>
      </c>
    </row>
    <row r="1882" spans="1:28" hidden="1" x14ac:dyDescent="0.2">
      <c r="A1882" t="s">
        <v>1592</v>
      </c>
      <c r="B1882" t="s">
        <v>2</v>
      </c>
      <c r="C1882" t="s">
        <v>3</v>
      </c>
      <c r="D1882" t="s">
        <v>4</v>
      </c>
      <c r="E1882" t="s">
        <v>4</v>
      </c>
      <c r="F1882" t="s">
        <v>5279</v>
      </c>
      <c r="G1882" t="s">
        <v>5283</v>
      </c>
      <c r="H1882" t="s">
        <v>5284</v>
      </c>
      <c r="I1882" s="2">
        <v>9000</v>
      </c>
      <c r="J1882" s="2">
        <v>0</v>
      </c>
      <c r="K1882" s="2">
        <v>0</v>
      </c>
      <c r="L1882" s="3">
        <v>45769</v>
      </c>
      <c r="M1882" s="3">
        <v>45859</v>
      </c>
      <c r="N1882" s="3">
        <v>45854</v>
      </c>
      <c r="O1882" t="s">
        <v>4</v>
      </c>
      <c r="P1882" t="s">
        <v>5285</v>
      </c>
      <c r="Q1882" s="4">
        <v>0.45746527777778001</v>
      </c>
      <c r="R1882" t="s">
        <v>5279</v>
      </c>
      <c r="S1882" t="s">
        <v>4</v>
      </c>
      <c r="T1882" t="s">
        <v>5287</v>
      </c>
      <c r="U1882" t="s">
        <v>10</v>
      </c>
      <c r="V1882" s="5">
        <v>0</v>
      </c>
      <c r="W1882" s="5">
        <v>0</v>
      </c>
      <c r="X1882" s="2">
        <v>0</v>
      </c>
      <c r="Y1882" t="s">
        <v>4</v>
      </c>
      <c r="Z1882" t="s">
        <v>4</v>
      </c>
      <c r="AA1882" t="s">
        <v>4</v>
      </c>
      <c r="AB1882" t="s">
        <v>4</v>
      </c>
    </row>
    <row r="1883" spans="1:28" hidden="1" x14ac:dyDescent="0.2">
      <c r="A1883" t="s">
        <v>1791</v>
      </c>
      <c r="B1883" t="s">
        <v>2</v>
      </c>
      <c r="C1883" t="s">
        <v>3</v>
      </c>
      <c r="D1883" t="s">
        <v>4</v>
      </c>
      <c r="E1883" t="s">
        <v>4</v>
      </c>
      <c r="F1883" t="s">
        <v>5279</v>
      </c>
      <c r="G1883" t="s">
        <v>5283</v>
      </c>
      <c r="H1883" t="s">
        <v>5288</v>
      </c>
      <c r="I1883" s="2">
        <v>43</v>
      </c>
      <c r="J1883" s="2">
        <v>0</v>
      </c>
      <c r="K1883" s="2">
        <v>0</v>
      </c>
      <c r="L1883" s="3">
        <v>45199</v>
      </c>
      <c r="M1883" s="3">
        <v>45636</v>
      </c>
      <c r="N1883" s="3">
        <v>45636</v>
      </c>
      <c r="O1883" t="s">
        <v>4</v>
      </c>
      <c r="P1883" t="s">
        <v>5285</v>
      </c>
      <c r="Q1883" s="4">
        <v>0.67774305555556003</v>
      </c>
      <c r="R1883" t="s">
        <v>5279</v>
      </c>
      <c r="S1883" t="s">
        <v>4</v>
      </c>
      <c r="T1883" t="s">
        <v>5289</v>
      </c>
      <c r="U1883" t="s">
        <v>10</v>
      </c>
      <c r="V1883" s="5">
        <v>0</v>
      </c>
      <c r="W1883" s="5">
        <v>0</v>
      </c>
      <c r="X1883" s="2">
        <v>0</v>
      </c>
      <c r="Y1883" t="s">
        <v>4</v>
      </c>
      <c r="Z1883" t="s">
        <v>4</v>
      </c>
      <c r="AA1883" t="s">
        <v>4</v>
      </c>
      <c r="AB1883" t="s">
        <v>4</v>
      </c>
    </row>
    <row r="1884" spans="1:28" hidden="1" x14ac:dyDescent="0.2">
      <c r="A1884" t="s">
        <v>1602</v>
      </c>
      <c r="B1884" t="s">
        <v>2</v>
      </c>
      <c r="C1884" t="s">
        <v>3</v>
      </c>
      <c r="D1884" t="s">
        <v>4</v>
      </c>
      <c r="E1884" t="s">
        <v>4</v>
      </c>
      <c r="F1884" t="s">
        <v>5279</v>
      </c>
      <c r="G1884" t="s">
        <v>5283</v>
      </c>
      <c r="H1884" t="s">
        <v>5288</v>
      </c>
      <c r="I1884" s="2">
        <v>600</v>
      </c>
      <c r="J1884" s="2">
        <v>0</v>
      </c>
      <c r="K1884" s="2">
        <v>0</v>
      </c>
      <c r="L1884" s="3">
        <v>45805</v>
      </c>
      <c r="M1884" s="3">
        <v>45857</v>
      </c>
      <c r="N1884" s="3">
        <v>45855</v>
      </c>
      <c r="O1884" t="s">
        <v>4</v>
      </c>
      <c r="P1884" t="s">
        <v>5285</v>
      </c>
      <c r="Q1884" s="4">
        <v>0.67774305555556003</v>
      </c>
      <c r="R1884" t="s">
        <v>5279</v>
      </c>
      <c r="S1884" t="s">
        <v>4</v>
      </c>
      <c r="T1884" t="s">
        <v>3377</v>
      </c>
      <c r="U1884" t="s">
        <v>10</v>
      </c>
      <c r="V1884" s="5">
        <v>0</v>
      </c>
      <c r="W1884" s="5">
        <v>0</v>
      </c>
      <c r="X1884" s="2">
        <v>0</v>
      </c>
      <c r="Y1884" t="s">
        <v>4</v>
      </c>
      <c r="Z1884" t="s">
        <v>4</v>
      </c>
      <c r="AA1884" t="s">
        <v>4</v>
      </c>
      <c r="AB1884" t="s">
        <v>4</v>
      </c>
    </row>
    <row r="1885" spans="1:28" hidden="1" x14ac:dyDescent="0.2">
      <c r="A1885" t="s">
        <v>1701</v>
      </c>
      <c r="B1885" t="s">
        <v>2</v>
      </c>
      <c r="C1885" t="s">
        <v>3</v>
      </c>
      <c r="D1885" t="s">
        <v>4</v>
      </c>
      <c r="E1885" t="s">
        <v>4</v>
      </c>
      <c r="F1885" t="s">
        <v>5279</v>
      </c>
      <c r="G1885" t="s">
        <v>5283</v>
      </c>
      <c r="H1885" t="s">
        <v>5290</v>
      </c>
      <c r="I1885" s="2">
        <v>1000</v>
      </c>
      <c r="J1885" s="2">
        <v>0</v>
      </c>
      <c r="K1885" s="2">
        <v>0</v>
      </c>
      <c r="L1885" s="3">
        <v>45199</v>
      </c>
      <c r="M1885" s="3">
        <v>45637</v>
      </c>
      <c r="N1885" s="3">
        <v>45637</v>
      </c>
      <c r="O1885" t="s">
        <v>4</v>
      </c>
      <c r="P1885" t="s">
        <v>5285</v>
      </c>
      <c r="Q1885" s="4">
        <v>0.42545138888889</v>
      </c>
      <c r="R1885" t="s">
        <v>5279</v>
      </c>
      <c r="S1885" t="s">
        <v>4</v>
      </c>
      <c r="T1885" t="s">
        <v>5289</v>
      </c>
      <c r="U1885" t="s">
        <v>10</v>
      </c>
      <c r="V1885" s="5">
        <v>0</v>
      </c>
      <c r="W1885" s="5">
        <v>0</v>
      </c>
      <c r="X1885" s="2">
        <v>0</v>
      </c>
      <c r="Y1885" t="s">
        <v>4</v>
      </c>
      <c r="Z1885" t="s">
        <v>4</v>
      </c>
      <c r="AA1885" t="s">
        <v>4</v>
      </c>
      <c r="AB1885" t="s">
        <v>4</v>
      </c>
    </row>
    <row r="1886" spans="1:28" hidden="1" x14ac:dyDescent="0.2">
      <c r="A1886" t="s">
        <v>1602</v>
      </c>
      <c r="B1886" t="s">
        <v>2</v>
      </c>
      <c r="C1886" t="s">
        <v>3</v>
      </c>
      <c r="D1886" t="s">
        <v>4</v>
      </c>
      <c r="E1886" t="s">
        <v>4</v>
      </c>
      <c r="F1886" t="s">
        <v>5279</v>
      </c>
      <c r="G1886" t="s">
        <v>5283</v>
      </c>
      <c r="H1886" t="s">
        <v>5290</v>
      </c>
      <c r="I1886" s="2">
        <v>5000</v>
      </c>
      <c r="J1886" s="2">
        <v>0</v>
      </c>
      <c r="K1886" s="2">
        <v>0</v>
      </c>
      <c r="L1886" s="3">
        <v>45815</v>
      </c>
      <c r="M1886" s="3">
        <v>45832</v>
      </c>
      <c r="N1886" s="3"/>
      <c r="O1886" t="s">
        <v>4</v>
      </c>
      <c r="P1886" t="s">
        <v>5285</v>
      </c>
      <c r="Q1886" s="4">
        <v>0.42545138888889</v>
      </c>
      <c r="R1886" t="s">
        <v>5279</v>
      </c>
      <c r="S1886" t="s">
        <v>4</v>
      </c>
      <c r="T1886" t="s">
        <v>5291</v>
      </c>
      <c r="U1886" t="s">
        <v>10</v>
      </c>
      <c r="V1886" s="5">
        <v>0</v>
      </c>
      <c r="W1886" s="5">
        <v>0</v>
      </c>
      <c r="X1886" s="2">
        <v>0</v>
      </c>
      <c r="Y1886" t="s">
        <v>4</v>
      </c>
      <c r="Z1886" t="s">
        <v>4</v>
      </c>
      <c r="AA1886" t="s">
        <v>4</v>
      </c>
      <c r="AB1886" t="s">
        <v>4</v>
      </c>
    </row>
    <row r="1887" spans="1:28" hidden="1" x14ac:dyDescent="0.2">
      <c r="A1887" t="s">
        <v>1707</v>
      </c>
      <c r="B1887" t="s">
        <v>2</v>
      </c>
      <c r="C1887" t="s">
        <v>3</v>
      </c>
      <c r="D1887" t="s">
        <v>4</v>
      </c>
      <c r="E1887" t="s">
        <v>4</v>
      </c>
      <c r="F1887" t="s">
        <v>5279</v>
      </c>
      <c r="G1887" t="s">
        <v>5283</v>
      </c>
      <c r="H1887" t="s">
        <v>5292</v>
      </c>
      <c r="I1887" s="2">
        <v>1808</v>
      </c>
      <c r="J1887" s="2">
        <v>0</v>
      </c>
      <c r="K1887" s="2">
        <v>0</v>
      </c>
      <c r="L1887" s="3">
        <v>45653</v>
      </c>
      <c r="M1887" s="3">
        <v>45849</v>
      </c>
      <c r="N1887" s="3">
        <v>45849</v>
      </c>
      <c r="O1887" t="s">
        <v>4</v>
      </c>
      <c r="P1887" t="s">
        <v>5285</v>
      </c>
      <c r="Q1887" s="4">
        <v>0.37366898148147998</v>
      </c>
      <c r="R1887" t="s">
        <v>5279</v>
      </c>
      <c r="S1887" t="s">
        <v>4</v>
      </c>
      <c r="T1887" t="s">
        <v>5293</v>
      </c>
      <c r="U1887" t="s">
        <v>10</v>
      </c>
      <c r="V1887" s="5">
        <v>0</v>
      </c>
      <c r="W1887" s="5">
        <v>0</v>
      </c>
      <c r="X1887" s="2">
        <v>0</v>
      </c>
      <c r="Y1887" t="s">
        <v>4</v>
      </c>
      <c r="Z1887" t="s">
        <v>4</v>
      </c>
      <c r="AA1887" t="s">
        <v>4</v>
      </c>
      <c r="AB1887" t="s">
        <v>4</v>
      </c>
    </row>
    <row r="1888" spans="1:28" hidden="1" x14ac:dyDescent="0.2">
      <c r="A1888" t="s">
        <v>418</v>
      </c>
      <c r="B1888" t="s">
        <v>2</v>
      </c>
      <c r="C1888" t="s">
        <v>3</v>
      </c>
      <c r="D1888" t="s">
        <v>4</v>
      </c>
      <c r="E1888" t="s">
        <v>4</v>
      </c>
      <c r="F1888" t="s">
        <v>5279</v>
      </c>
      <c r="G1888" t="s">
        <v>5283</v>
      </c>
      <c r="H1888" t="s">
        <v>5294</v>
      </c>
      <c r="I1888" s="2">
        <v>271</v>
      </c>
      <c r="J1888" s="2">
        <v>0</v>
      </c>
      <c r="K1888" s="2">
        <v>0</v>
      </c>
      <c r="L1888" s="3">
        <v>45702</v>
      </c>
      <c r="M1888" s="3">
        <v>45857</v>
      </c>
      <c r="N1888" s="3">
        <v>45857</v>
      </c>
      <c r="O1888" t="s">
        <v>4</v>
      </c>
      <c r="P1888" t="s">
        <v>5285</v>
      </c>
      <c r="Q1888" s="4">
        <v>0.53788194444444004</v>
      </c>
      <c r="R1888" t="s">
        <v>5279</v>
      </c>
      <c r="S1888" t="s">
        <v>4</v>
      </c>
      <c r="T1888" t="s">
        <v>5295</v>
      </c>
      <c r="U1888" t="s">
        <v>10</v>
      </c>
      <c r="V1888" s="5">
        <v>0</v>
      </c>
      <c r="W1888" s="5">
        <v>0</v>
      </c>
      <c r="X1888" s="2">
        <v>0</v>
      </c>
      <c r="Y1888" t="s">
        <v>4</v>
      </c>
      <c r="Z1888" t="s">
        <v>4</v>
      </c>
      <c r="AA1888" t="s">
        <v>4</v>
      </c>
      <c r="AB1888" t="s">
        <v>4</v>
      </c>
    </row>
    <row r="1889" spans="1:28" hidden="1" x14ac:dyDescent="0.2">
      <c r="A1889" t="s">
        <v>1688</v>
      </c>
      <c r="B1889" t="s">
        <v>2</v>
      </c>
      <c r="C1889" t="s">
        <v>3</v>
      </c>
      <c r="D1889" t="s">
        <v>4</v>
      </c>
      <c r="E1889" t="s">
        <v>4</v>
      </c>
      <c r="F1889" t="s">
        <v>5279</v>
      </c>
      <c r="G1889" t="s">
        <v>5283</v>
      </c>
      <c r="H1889" t="s">
        <v>5296</v>
      </c>
      <c r="I1889" s="2">
        <v>2340</v>
      </c>
      <c r="J1889" s="2">
        <v>0</v>
      </c>
      <c r="K1889" s="2">
        <v>0</v>
      </c>
      <c r="L1889" s="3">
        <v>45584</v>
      </c>
      <c r="M1889" s="3">
        <v>45844</v>
      </c>
      <c r="N1889" s="3">
        <v>45844</v>
      </c>
      <c r="O1889" t="s">
        <v>4</v>
      </c>
      <c r="P1889" t="s">
        <v>5285</v>
      </c>
      <c r="Q1889" s="4">
        <v>0.53424768518518995</v>
      </c>
      <c r="R1889" t="s">
        <v>5279</v>
      </c>
      <c r="S1889" t="s">
        <v>4</v>
      </c>
      <c r="T1889" t="s">
        <v>5297</v>
      </c>
      <c r="U1889" t="s">
        <v>10</v>
      </c>
      <c r="V1889" s="5">
        <v>0</v>
      </c>
      <c r="W1889" s="5">
        <v>0</v>
      </c>
      <c r="X1889" s="2">
        <v>0</v>
      </c>
      <c r="Y1889" t="s">
        <v>4</v>
      </c>
      <c r="Z1889" t="s">
        <v>4</v>
      </c>
      <c r="AA1889" t="s">
        <v>4</v>
      </c>
      <c r="AB1889" t="s">
        <v>4</v>
      </c>
    </row>
    <row r="1890" spans="1:28" hidden="1" x14ac:dyDescent="0.2">
      <c r="A1890" t="s">
        <v>1602</v>
      </c>
      <c r="B1890" t="s">
        <v>2</v>
      </c>
      <c r="C1890" t="s">
        <v>3</v>
      </c>
      <c r="D1890" t="s">
        <v>4</v>
      </c>
      <c r="E1890" t="s">
        <v>4</v>
      </c>
      <c r="F1890" t="s">
        <v>5279</v>
      </c>
      <c r="G1890" t="s">
        <v>5283</v>
      </c>
      <c r="H1890" t="s">
        <v>5298</v>
      </c>
      <c r="I1890" s="2">
        <v>400</v>
      </c>
      <c r="J1890" s="2">
        <v>0</v>
      </c>
      <c r="K1890" s="2">
        <v>0</v>
      </c>
      <c r="L1890" s="3">
        <v>45815</v>
      </c>
      <c r="M1890" s="3">
        <v>45815</v>
      </c>
      <c r="N1890" s="3"/>
      <c r="O1890" t="s">
        <v>4</v>
      </c>
      <c r="P1890" t="s">
        <v>5285</v>
      </c>
      <c r="Q1890" s="4">
        <v>0.89432870370369999</v>
      </c>
      <c r="R1890" t="s">
        <v>5279</v>
      </c>
      <c r="S1890" t="s">
        <v>4</v>
      </c>
      <c r="T1890" t="s">
        <v>5291</v>
      </c>
      <c r="U1890" t="s">
        <v>10</v>
      </c>
      <c r="V1890" s="5">
        <v>0</v>
      </c>
      <c r="W1890" s="5">
        <v>0</v>
      </c>
      <c r="X1890" s="2">
        <v>0</v>
      </c>
      <c r="Y1890" t="s">
        <v>4</v>
      </c>
      <c r="Z1890" t="s">
        <v>4</v>
      </c>
      <c r="AA1890" t="s">
        <v>4</v>
      </c>
      <c r="AB1890" t="s">
        <v>4</v>
      </c>
    </row>
    <row r="1891" spans="1:28" hidden="1" x14ac:dyDescent="0.2">
      <c r="A1891" t="s">
        <v>400</v>
      </c>
      <c r="B1891" t="s">
        <v>2</v>
      </c>
      <c r="C1891" t="s">
        <v>3</v>
      </c>
      <c r="D1891" t="s">
        <v>4</v>
      </c>
      <c r="E1891" t="s">
        <v>4</v>
      </c>
      <c r="F1891" t="s">
        <v>5279</v>
      </c>
      <c r="G1891" t="s">
        <v>5283</v>
      </c>
      <c r="H1891" t="s">
        <v>5298</v>
      </c>
      <c r="I1891" s="2">
        <v>2000</v>
      </c>
      <c r="J1891" s="2">
        <v>0</v>
      </c>
      <c r="K1891" s="2">
        <v>0</v>
      </c>
      <c r="L1891" s="3">
        <v>45702</v>
      </c>
      <c r="M1891" s="3">
        <v>45859</v>
      </c>
      <c r="N1891" s="3">
        <v>45855</v>
      </c>
      <c r="O1891" t="s">
        <v>4</v>
      </c>
      <c r="P1891" t="s">
        <v>5285</v>
      </c>
      <c r="Q1891" s="4">
        <v>0.89432870370369999</v>
      </c>
      <c r="R1891" t="s">
        <v>5279</v>
      </c>
      <c r="S1891" t="s">
        <v>4</v>
      </c>
      <c r="T1891" t="s">
        <v>5295</v>
      </c>
      <c r="U1891" t="s">
        <v>10</v>
      </c>
      <c r="V1891" s="5">
        <v>0</v>
      </c>
      <c r="W1891" s="5">
        <v>0</v>
      </c>
      <c r="X1891" s="2">
        <v>0</v>
      </c>
      <c r="Y1891" t="s">
        <v>4</v>
      </c>
      <c r="Z1891" t="s">
        <v>4</v>
      </c>
      <c r="AA1891" t="s">
        <v>4</v>
      </c>
      <c r="AB1891" t="s">
        <v>4</v>
      </c>
    </row>
    <row r="1892" spans="1:28" hidden="1" x14ac:dyDescent="0.2">
      <c r="A1892" t="s">
        <v>2215</v>
      </c>
      <c r="B1892" t="s">
        <v>2</v>
      </c>
      <c r="C1892" t="s">
        <v>3</v>
      </c>
      <c r="D1892" t="s">
        <v>4</v>
      </c>
      <c r="E1892" t="s">
        <v>4</v>
      </c>
      <c r="F1892" t="s">
        <v>5279</v>
      </c>
      <c r="G1892" t="s">
        <v>5283</v>
      </c>
      <c r="H1892" t="s">
        <v>5298</v>
      </c>
      <c r="I1892" s="2">
        <v>400</v>
      </c>
      <c r="J1892" s="2">
        <v>0</v>
      </c>
      <c r="K1892" s="2">
        <v>0</v>
      </c>
      <c r="L1892" s="3">
        <v>45777</v>
      </c>
      <c r="M1892" s="3">
        <v>45777</v>
      </c>
      <c r="N1892" s="3"/>
      <c r="O1892" t="s">
        <v>4</v>
      </c>
      <c r="P1892" t="s">
        <v>5285</v>
      </c>
      <c r="Q1892" s="4">
        <v>0.89432870370369999</v>
      </c>
      <c r="R1892" t="s">
        <v>5279</v>
      </c>
      <c r="S1892" t="s">
        <v>4</v>
      </c>
      <c r="T1892" t="s">
        <v>5299</v>
      </c>
      <c r="U1892" t="s">
        <v>10</v>
      </c>
      <c r="V1892" s="5">
        <v>0</v>
      </c>
      <c r="W1892" s="5">
        <v>0</v>
      </c>
      <c r="X1892" s="2">
        <v>0</v>
      </c>
      <c r="Y1892" t="s">
        <v>4</v>
      </c>
      <c r="Z1892" t="s">
        <v>4</v>
      </c>
      <c r="AA1892" t="s">
        <v>4</v>
      </c>
      <c r="AB1892" t="s">
        <v>4</v>
      </c>
    </row>
    <row r="1893" spans="1:28" hidden="1" x14ac:dyDescent="0.2">
      <c r="A1893" t="s">
        <v>1602</v>
      </c>
      <c r="B1893" t="s">
        <v>2</v>
      </c>
      <c r="C1893" t="s">
        <v>3</v>
      </c>
      <c r="D1893" t="s">
        <v>4</v>
      </c>
      <c r="E1893" t="s">
        <v>4</v>
      </c>
      <c r="F1893" t="s">
        <v>5279</v>
      </c>
      <c r="G1893" t="s">
        <v>5283</v>
      </c>
      <c r="H1893" t="s">
        <v>5300</v>
      </c>
      <c r="I1893" s="2">
        <v>6400</v>
      </c>
      <c r="J1893" s="2">
        <v>0</v>
      </c>
      <c r="K1893" s="2">
        <v>0</v>
      </c>
      <c r="L1893" s="3">
        <v>45815</v>
      </c>
      <c r="M1893" s="3">
        <v>45815</v>
      </c>
      <c r="N1893" s="3">
        <v>45815</v>
      </c>
      <c r="O1893" t="s">
        <v>4</v>
      </c>
      <c r="P1893" t="s">
        <v>5285</v>
      </c>
      <c r="Q1893" s="4">
        <v>0.55758101851852004</v>
      </c>
      <c r="R1893" t="s">
        <v>5279</v>
      </c>
      <c r="S1893" t="s">
        <v>4</v>
      </c>
      <c r="T1893" t="s">
        <v>5291</v>
      </c>
      <c r="U1893" t="s">
        <v>10</v>
      </c>
      <c r="V1893" s="5">
        <v>0</v>
      </c>
      <c r="W1893" s="5">
        <v>0</v>
      </c>
      <c r="X1893" s="2">
        <v>0</v>
      </c>
      <c r="Y1893" t="s">
        <v>4</v>
      </c>
      <c r="Z1893" t="s">
        <v>4</v>
      </c>
      <c r="AA1893" t="s">
        <v>4</v>
      </c>
      <c r="AB1893" t="s">
        <v>4</v>
      </c>
    </row>
    <row r="1894" spans="1:28" hidden="1" x14ac:dyDescent="0.2">
      <c r="A1894" t="s">
        <v>1672</v>
      </c>
      <c r="B1894" t="s">
        <v>2</v>
      </c>
      <c r="C1894" t="s">
        <v>3</v>
      </c>
      <c r="D1894" t="s">
        <v>4</v>
      </c>
      <c r="E1894" t="s">
        <v>4</v>
      </c>
      <c r="F1894" t="s">
        <v>5279</v>
      </c>
      <c r="G1894" t="s">
        <v>5283</v>
      </c>
      <c r="H1894" t="s">
        <v>5301</v>
      </c>
      <c r="I1894" s="2">
        <v>1244</v>
      </c>
      <c r="J1894" s="2">
        <v>0</v>
      </c>
      <c r="K1894" s="2">
        <v>0</v>
      </c>
      <c r="L1894" s="3">
        <v>45653</v>
      </c>
      <c r="M1894" s="3">
        <v>45844</v>
      </c>
      <c r="N1894" s="3">
        <v>45844</v>
      </c>
      <c r="O1894" t="s">
        <v>4</v>
      </c>
      <c r="P1894" t="s">
        <v>5285</v>
      </c>
      <c r="Q1894" s="4">
        <v>0.53778935185184995</v>
      </c>
      <c r="R1894" t="s">
        <v>5279</v>
      </c>
      <c r="S1894" t="s">
        <v>4</v>
      </c>
      <c r="T1894" t="s">
        <v>5293</v>
      </c>
      <c r="U1894" t="s">
        <v>10</v>
      </c>
      <c r="V1894" s="5">
        <v>0</v>
      </c>
      <c r="W1894" s="5">
        <v>0</v>
      </c>
      <c r="X1894" s="2">
        <v>0</v>
      </c>
      <c r="Y1894" t="s">
        <v>4</v>
      </c>
      <c r="Z1894" t="s">
        <v>4</v>
      </c>
      <c r="AA1894" t="s">
        <v>4</v>
      </c>
      <c r="AB1894" t="s">
        <v>4</v>
      </c>
    </row>
    <row r="1895" spans="1:28" hidden="1" x14ac:dyDescent="0.2">
      <c r="A1895" t="s">
        <v>1641</v>
      </c>
      <c r="B1895" t="s">
        <v>2</v>
      </c>
      <c r="C1895" t="s">
        <v>3</v>
      </c>
      <c r="D1895" t="s">
        <v>4</v>
      </c>
      <c r="E1895" t="s">
        <v>4</v>
      </c>
      <c r="F1895" t="s">
        <v>5279</v>
      </c>
      <c r="G1895" t="s">
        <v>5283</v>
      </c>
      <c r="H1895" t="s">
        <v>5301</v>
      </c>
      <c r="I1895" s="2">
        <v>92</v>
      </c>
      <c r="J1895" s="2">
        <v>0</v>
      </c>
      <c r="K1895" s="2">
        <v>0</v>
      </c>
      <c r="L1895" s="3">
        <v>45802</v>
      </c>
      <c r="M1895" s="3">
        <v>45802</v>
      </c>
      <c r="N1895" s="3"/>
      <c r="O1895" t="s">
        <v>4</v>
      </c>
      <c r="P1895" t="s">
        <v>5285</v>
      </c>
      <c r="Q1895" s="4">
        <v>0.53778935185184995</v>
      </c>
      <c r="R1895" t="s">
        <v>5279</v>
      </c>
      <c r="S1895" t="s">
        <v>4</v>
      </c>
      <c r="T1895" t="s">
        <v>3252</v>
      </c>
      <c r="U1895" t="s">
        <v>10</v>
      </c>
      <c r="V1895" s="5">
        <v>0</v>
      </c>
      <c r="W1895" s="5">
        <v>0</v>
      </c>
      <c r="X1895" s="2">
        <v>0</v>
      </c>
      <c r="Y1895" t="s">
        <v>4</v>
      </c>
      <c r="Z1895" t="s">
        <v>4</v>
      </c>
      <c r="AA1895" t="s">
        <v>4</v>
      </c>
      <c r="AB1895" t="s">
        <v>4</v>
      </c>
    </row>
    <row r="1896" spans="1:28" hidden="1" x14ac:dyDescent="0.2">
      <c r="A1896" t="s">
        <v>428</v>
      </c>
      <c r="B1896" t="s">
        <v>2</v>
      </c>
      <c r="C1896" t="s">
        <v>3</v>
      </c>
      <c r="D1896" t="s">
        <v>4</v>
      </c>
      <c r="E1896" t="s">
        <v>4</v>
      </c>
      <c r="F1896" t="s">
        <v>5279</v>
      </c>
      <c r="G1896" t="s">
        <v>5283</v>
      </c>
      <c r="H1896" t="s">
        <v>5302</v>
      </c>
      <c r="I1896" s="2">
        <v>192</v>
      </c>
      <c r="J1896" s="2">
        <v>0</v>
      </c>
      <c r="K1896" s="2">
        <v>0</v>
      </c>
      <c r="L1896" s="3">
        <v>45702</v>
      </c>
      <c r="M1896" s="3">
        <v>45859</v>
      </c>
      <c r="N1896" s="3">
        <v>45859</v>
      </c>
      <c r="O1896" t="s">
        <v>4</v>
      </c>
      <c r="P1896" t="s">
        <v>5285</v>
      </c>
      <c r="Q1896" s="4">
        <v>0.89432870370369999</v>
      </c>
      <c r="R1896" t="s">
        <v>5279</v>
      </c>
      <c r="S1896" t="s">
        <v>4</v>
      </c>
      <c r="T1896" t="s">
        <v>5295</v>
      </c>
      <c r="U1896" t="s">
        <v>10</v>
      </c>
      <c r="V1896" s="5">
        <v>0</v>
      </c>
      <c r="W1896" s="5">
        <v>0</v>
      </c>
      <c r="X1896" s="2">
        <v>0</v>
      </c>
      <c r="Y1896" t="s">
        <v>4</v>
      </c>
      <c r="Z1896" t="s">
        <v>4</v>
      </c>
      <c r="AA1896" t="s">
        <v>4</v>
      </c>
      <c r="AB1896" t="s">
        <v>4</v>
      </c>
    </row>
    <row r="1897" spans="1:28" hidden="1" x14ac:dyDescent="0.2">
      <c r="A1897" t="s">
        <v>2251</v>
      </c>
      <c r="B1897" t="s">
        <v>4</v>
      </c>
      <c r="C1897" t="s">
        <v>4</v>
      </c>
      <c r="D1897" t="s">
        <v>4</v>
      </c>
      <c r="E1897" t="s">
        <v>4</v>
      </c>
      <c r="F1897" t="s">
        <v>5279</v>
      </c>
      <c r="G1897" t="s">
        <v>5283</v>
      </c>
      <c r="H1897" t="s">
        <v>5303</v>
      </c>
      <c r="I1897" s="5">
        <v>0</v>
      </c>
      <c r="J1897" s="5">
        <v>0</v>
      </c>
      <c r="K1897" s="5">
        <v>0</v>
      </c>
      <c r="L1897" s="3"/>
      <c r="M1897" s="3"/>
      <c r="N1897" s="3"/>
      <c r="O1897" t="s">
        <v>4</v>
      </c>
      <c r="P1897" t="s">
        <v>5285</v>
      </c>
      <c r="Q1897" s="4">
        <v>0.45746527777778001</v>
      </c>
      <c r="R1897" t="s">
        <v>4</v>
      </c>
      <c r="S1897" t="s">
        <v>4</v>
      </c>
      <c r="T1897" t="s">
        <v>2256</v>
      </c>
      <c r="U1897" t="s">
        <v>4</v>
      </c>
      <c r="V1897" s="5">
        <v>0</v>
      </c>
      <c r="W1897" s="5">
        <v>0</v>
      </c>
      <c r="X1897" s="2">
        <v>0</v>
      </c>
      <c r="Y1897" t="s">
        <v>4</v>
      </c>
      <c r="Z1897" t="s">
        <v>4</v>
      </c>
      <c r="AA1897" t="s">
        <v>4</v>
      </c>
      <c r="AB1897" t="s">
        <v>4</v>
      </c>
    </row>
    <row r="1898" spans="1:28" hidden="1" x14ac:dyDescent="0.2">
      <c r="A1898" t="s">
        <v>1780</v>
      </c>
      <c r="B1898" t="s">
        <v>2</v>
      </c>
      <c r="C1898" t="s">
        <v>3</v>
      </c>
      <c r="D1898" t="s">
        <v>4</v>
      </c>
      <c r="E1898" t="s">
        <v>4</v>
      </c>
      <c r="F1898" t="s">
        <v>5279</v>
      </c>
      <c r="G1898" t="s">
        <v>5283</v>
      </c>
      <c r="H1898" t="s">
        <v>5304</v>
      </c>
      <c r="I1898" s="2">
        <v>215</v>
      </c>
      <c r="J1898" s="2">
        <v>0</v>
      </c>
      <c r="K1898" s="2">
        <v>0</v>
      </c>
      <c r="L1898" s="3">
        <v>45836</v>
      </c>
      <c r="M1898" s="3">
        <v>45836</v>
      </c>
      <c r="N1898" s="3"/>
      <c r="O1898" t="s">
        <v>4</v>
      </c>
      <c r="P1898" t="s">
        <v>5285</v>
      </c>
      <c r="Q1898" s="4">
        <v>0.53530092592593004</v>
      </c>
      <c r="R1898" t="s">
        <v>5279</v>
      </c>
      <c r="S1898" t="s">
        <v>4</v>
      </c>
      <c r="T1898" t="s">
        <v>2316</v>
      </c>
      <c r="U1898" t="s">
        <v>10</v>
      </c>
      <c r="V1898" s="5">
        <v>0</v>
      </c>
      <c r="W1898" s="5">
        <v>0</v>
      </c>
      <c r="X1898" s="2">
        <v>0</v>
      </c>
      <c r="Y1898" t="s">
        <v>4</v>
      </c>
      <c r="Z1898" t="s">
        <v>4</v>
      </c>
      <c r="AA1898" t="s">
        <v>4</v>
      </c>
      <c r="AB1898" t="s">
        <v>4</v>
      </c>
    </row>
    <row r="1899" spans="1:28" hidden="1" x14ac:dyDescent="0.2">
      <c r="A1899" t="s">
        <v>1692</v>
      </c>
      <c r="B1899" t="s">
        <v>2</v>
      </c>
      <c r="C1899" t="s">
        <v>3</v>
      </c>
      <c r="D1899" t="s">
        <v>4</v>
      </c>
      <c r="E1899" t="s">
        <v>4</v>
      </c>
      <c r="F1899" t="s">
        <v>5279</v>
      </c>
      <c r="G1899" t="s">
        <v>5283</v>
      </c>
      <c r="H1899" t="s">
        <v>5304</v>
      </c>
      <c r="I1899" s="2">
        <v>32</v>
      </c>
      <c r="J1899" s="2">
        <v>0</v>
      </c>
      <c r="K1899" s="2">
        <v>0</v>
      </c>
      <c r="L1899" s="3">
        <v>45831</v>
      </c>
      <c r="M1899" s="3">
        <v>45844</v>
      </c>
      <c r="N1899" s="3">
        <v>45844</v>
      </c>
      <c r="O1899" t="s">
        <v>4</v>
      </c>
      <c r="P1899" t="s">
        <v>5285</v>
      </c>
      <c r="Q1899" s="4">
        <v>0.53530092592593004</v>
      </c>
      <c r="R1899" t="s">
        <v>5279</v>
      </c>
      <c r="S1899" t="s">
        <v>4</v>
      </c>
      <c r="T1899" t="s">
        <v>3984</v>
      </c>
      <c r="U1899" t="s">
        <v>10</v>
      </c>
      <c r="V1899" s="5">
        <v>0</v>
      </c>
      <c r="W1899" s="5">
        <v>0</v>
      </c>
      <c r="X1899" s="2">
        <v>0</v>
      </c>
      <c r="Y1899" t="s">
        <v>4</v>
      </c>
      <c r="Z1899" t="s">
        <v>4</v>
      </c>
      <c r="AA1899" t="s">
        <v>4</v>
      </c>
      <c r="AB1899" t="s">
        <v>4</v>
      </c>
    </row>
    <row r="1900" spans="1:28" hidden="1" x14ac:dyDescent="0.2">
      <c r="A1900" t="s">
        <v>1634</v>
      </c>
      <c r="B1900" t="s">
        <v>2</v>
      </c>
      <c r="C1900" t="s">
        <v>3</v>
      </c>
      <c r="D1900" t="s">
        <v>4</v>
      </c>
      <c r="E1900" t="s">
        <v>4</v>
      </c>
      <c r="F1900" t="s">
        <v>5279</v>
      </c>
      <c r="G1900" t="s">
        <v>5283</v>
      </c>
      <c r="H1900" t="s">
        <v>5304</v>
      </c>
      <c r="I1900" s="2">
        <v>636</v>
      </c>
      <c r="J1900" s="2">
        <v>0</v>
      </c>
      <c r="K1900" s="2">
        <v>0</v>
      </c>
      <c r="L1900" s="3">
        <v>45699</v>
      </c>
      <c r="M1900" s="3">
        <v>45802</v>
      </c>
      <c r="N1900" s="3">
        <v>45802</v>
      </c>
      <c r="O1900" t="s">
        <v>4</v>
      </c>
      <c r="P1900" t="s">
        <v>5285</v>
      </c>
      <c r="Q1900" s="4">
        <v>0.53530092592593004</v>
      </c>
      <c r="R1900" t="s">
        <v>5279</v>
      </c>
      <c r="S1900" t="s">
        <v>4</v>
      </c>
      <c r="T1900" t="s">
        <v>5305</v>
      </c>
      <c r="U1900" t="s">
        <v>10</v>
      </c>
      <c r="V1900" s="5">
        <v>0</v>
      </c>
      <c r="W1900" s="5">
        <v>0</v>
      </c>
      <c r="X1900" s="2">
        <v>0</v>
      </c>
      <c r="Y1900" t="s">
        <v>4</v>
      </c>
      <c r="Z1900" t="s">
        <v>4</v>
      </c>
      <c r="AA1900" t="s">
        <v>4</v>
      </c>
      <c r="AB1900" t="s">
        <v>4</v>
      </c>
    </row>
    <row r="1901" spans="1:28" hidden="1" x14ac:dyDescent="0.2">
      <c r="A1901" t="s">
        <v>2251</v>
      </c>
      <c r="B1901" t="s">
        <v>4</v>
      </c>
      <c r="C1901" t="s">
        <v>4</v>
      </c>
      <c r="D1901" t="s">
        <v>4</v>
      </c>
      <c r="E1901" t="s">
        <v>4</v>
      </c>
      <c r="F1901" t="s">
        <v>5279</v>
      </c>
      <c r="G1901" t="s">
        <v>5283</v>
      </c>
      <c r="H1901" t="s">
        <v>5306</v>
      </c>
      <c r="I1901" s="5">
        <v>0</v>
      </c>
      <c r="J1901" s="5">
        <v>0</v>
      </c>
      <c r="K1901" s="5">
        <v>0</v>
      </c>
      <c r="L1901" s="3"/>
      <c r="M1901" s="3"/>
      <c r="N1901" s="3"/>
      <c r="O1901" t="s">
        <v>4</v>
      </c>
      <c r="P1901" t="s">
        <v>5285</v>
      </c>
      <c r="Q1901" s="4">
        <v>0.36331018518518998</v>
      </c>
      <c r="R1901" t="s">
        <v>4</v>
      </c>
      <c r="S1901" t="s">
        <v>4</v>
      </c>
      <c r="T1901" t="s">
        <v>2256</v>
      </c>
      <c r="U1901" t="s">
        <v>4</v>
      </c>
      <c r="V1901" s="5">
        <v>0</v>
      </c>
      <c r="W1901" s="5">
        <v>0</v>
      </c>
      <c r="X1901" s="2">
        <v>0</v>
      </c>
      <c r="Y1901" t="s">
        <v>4</v>
      </c>
      <c r="Z1901" t="s">
        <v>4</v>
      </c>
      <c r="AA1901" t="s">
        <v>4</v>
      </c>
      <c r="AB1901" t="s">
        <v>4</v>
      </c>
    </row>
    <row r="1902" spans="1:28" hidden="1" x14ac:dyDescent="0.2">
      <c r="A1902" t="s">
        <v>1748</v>
      </c>
      <c r="B1902" t="s">
        <v>2</v>
      </c>
      <c r="C1902" t="s">
        <v>3</v>
      </c>
      <c r="D1902" t="s">
        <v>4</v>
      </c>
      <c r="E1902" t="s">
        <v>4</v>
      </c>
      <c r="F1902" t="s">
        <v>5279</v>
      </c>
      <c r="G1902" t="s">
        <v>5283</v>
      </c>
      <c r="H1902" t="s">
        <v>5307</v>
      </c>
      <c r="I1902" s="2">
        <v>3000</v>
      </c>
      <c r="J1902" s="2">
        <v>0</v>
      </c>
      <c r="K1902" s="2">
        <v>0</v>
      </c>
      <c r="L1902" s="3">
        <v>45769</v>
      </c>
      <c r="M1902" s="3">
        <v>45832</v>
      </c>
      <c r="N1902" s="3">
        <v>45832</v>
      </c>
      <c r="O1902" t="s">
        <v>4</v>
      </c>
      <c r="P1902" t="s">
        <v>5285</v>
      </c>
      <c r="Q1902" s="4">
        <v>0.74385416666667004</v>
      </c>
      <c r="R1902" t="s">
        <v>5279</v>
      </c>
      <c r="S1902" t="s">
        <v>4</v>
      </c>
      <c r="T1902" t="s">
        <v>5287</v>
      </c>
      <c r="U1902" t="s">
        <v>10</v>
      </c>
      <c r="V1902" s="5">
        <v>0</v>
      </c>
      <c r="W1902" s="5">
        <v>0</v>
      </c>
      <c r="X1902" s="2">
        <v>0</v>
      </c>
      <c r="Y1902" t="s">
        <v>4</v>
      </c>
      <c r="Z1902" t="s">
        <v>4</v>
      </c>
      <c r="AA1902" t="s">
        <v>4</v>
      </c>
      <c r="AB1902" t="s">
        <v>4</v>
      </c>
    </row>
    <row r="1903" spans="1:28" hidden="1" x14ac:dyDescent="0.2">
      <c r="A1903" t="s">
        <v>1692</v>
      </c>
      <c r="B1903" t="s">
        <v>2</v>
      </c>
      <c r="C1903" t="s">
        <v>3</v>
      </c>
      <c r="D1903" t="s">
        <v>4</v>
      </c>
      <c r="E1903" t="s">
        <v>4</v>
      </c>
      <c r="F1903" t="s">
        <v>5279</v>
      </c>
      <c r="G1903" t="s">
        <v>5283</v>
      </c>
      <c r="H1903" t="s">
        <v>5308</v>
      </c>
      <c r="I1903" s="2">
        <v>1600</v>
      </c>
      <c r="J1903" s="2">
        <v>0</v>
      </c>
      <c r="K1903" s="2">
        <v>0</v>
      </c>
      <c r="L1903" s="3">
        <v>45790</v>
      </c>
      <c r="M1903" s="3">
        <v>45841</v>
      </c>
      <c r="N1903" s="3"/>
      <c r="O1903" t="s">
        <v>4</v>
      </c>
      <c r="P1903" t="s">
        <v>5285</v>
      </c>
      <c r="Q1903" s="4">
        <v>0.73946759259258998</v>
      </c>
      <c r="R1903" t="s">
        <v>5279</v>
      </c>
      <c r="S1903" t="s">
        <v>4</v>
      </c>
      <c r="T1903" t="s">
        <v>5108</v>
      </c>
      <c r="U1903" t="s">
        <v>10</v>
      </c>
      <c r="V1903" s="5">
        <v>0</v>
      </c>
      <c r="W1903" s="5">
        <v>0</v>
      </c>
      <c r="X1903" s="2">
        <v>0</v>
      </c>
      <c r="Y1903" t="s">
        <v>4</v>
      </c>
      <c r="Z1903" t="s">
        <v>4</v>
      </c>
      <c r="AA1903" t="s">
        <v>4</v>
      </c>
      <c r="AB1903" t="s">
        <v>4</v>
      </c>
    </row>
    <row r="1904" spans="1:28" hidden="1" x14ac:dyDescent="0.2">
      <c r="A1904" t="s">
        <v>2210</v>
      </c>
      <c r="B1904" t="s">
        <v>2</v>
      </c>
      <c r="C1904" t="s">
        <v>3</v>
      </c>
      <c r="D1904" t="s">
        <v>4</v>
      </c>
      <c r="E1904" t="s">
        <v>4</v>
      </c>
      <c r="F1904" t="s">
        <v>5279</v>
      </c>
      <c r="G1904" t="s">
        <v>5283</v>
      </c>
      <c r="H1904" t="s">
        <v>5308</v>
      </c>
      <c r="I1904" s="2">
        <v>400</v>
      </c>
      <c r="J1904" s="2">
        <v>0</v>
      </c>
      <c r="K1904" s="2">
        <v>0</v>
      </c>
      <c r="L1904" s="3">
        <v>45777</v>
      </c>
      <c r="M1904" s="3">
        <v>45777</v>
      </c>
      <c r="N1904" s="3"/>
      <c r="O1904" t="s">
        <v>4</v>
      </c>
      <c r="P1904" t="s">
        <v>5285</v>
      </c>
      <c r="Q1904" s="4">
        <v>0.73946759259258998</v>
      </c>
      <c r="R1904" t="s">
        <v>5279</v>
      </c>
      <c r="S1904" t="s">
        <v>4</v>
      </c>
      <c r="T1904" t="s">
        <v>5299</v>
      </c>
      <c r="U1904" t="s">
        <v>10</v>
      </c>
      <c r="V1904" s="5">
        <v>0</v>
      </c>
      <c r="W1904" s="5">
        <v>0</v>
      </c>
      <c r="X1904" s="2">
        <v>0</v>
      </c>
      <c r="Y1904" t="s">
        <v>4</v>
      </c>
      <c r="Z1904" t="s">
        <v>4</v>
      </c>
      <c r="AA1904" t="s">
        <v>4</v>
      </c>
      <c r="AB1904" t="s">
        <v>4</v>
      </c>
    </row>
    <row r="1905" spans="1:28" hidden="1" x14ac:dyDescent="0.2">
      <c r="A1905" t="s">
        <v>1634</v>
      </c>
      <c r="B1905" t="s">
        <v>2</v>
      </c>
      <c r="C1905" t="s">
        <v>3</v>
      </c>
      <c r="D1905" t="s">
        <v>4</v>
      </c>
      <c r="E1905" t="s">
        <v>4</v>
      </c>
      <c r="F1905" t="s">
        <v>5279</v>
      </c>
      <c r="G1905" t="s">
        <v>5283</v>
      </c>
      <c r="H1905" t="s">
        <v>5309</v>
      </c>
      <c r="I1905" s="2">
        <v>1200</v>
      </c>
      <c r="J1905" s="2">
        <v>0</v>
      </c>
      <c r="K1905" s="2">
        <v>0</v>
      </c>
      <c r="L1905" s="3">
        <v>45668</v>
      </c>
      <c r="M1905" s="3">
        <v>45668</v>
      </c>
      <c r="N1905" s="3"/>
      <c r="O1905" t="s">
        <v>4</v>
      </c>
      <c r="P1905" t="s">
        <v>5285</v>
      </c>
      <c r="Q1905" s="4">
        <v>0.90189814814814995</v>
      </c>
      <c r="R1905" t="s">
        <v>5279</v>
      </c>
      <c r="S1905" t="s">
        <v>4</v>
      </c>
      <c r="T1905" t="s">
        <v>5310</v>
      </c>
      <c r="U1905" t="s">
        <v>10</v>
      </c>
      <c r="V1905" s="5">
        <v>0</v>
      </c>
      <c r="W1905" s="5">
        <v>0</v>
      </c>
      <c r="X1905" s="2">
        <v>0</v>
      </c>
      <c r="Y1905" t="s">
        <v>4</v>
      </c>
      <c r="Z1905" t="s">
        <v>4</v>
      </c>
      <c r="AA1905" t="s">
        <v>4</v>
      </c>
      <c r="AB1905" t="s">
        <v>4</v>
      </c>
    </row>
    <row r="1906" spans="1:28" hidden="1" x14ac:dyDescent="0.2">
      <c r="A1906" t="s">
        <v>1776</v>
      </c>
      <c r="B1906" t="s">
        <v>2</v>
      </c>
      <c r="C1906" t="s">
        <v>3</v>
      </c>
      <c r="D1906" t="s">
        <v>4</v>
      </c>
      <c r="E1906" t="s">
        <v>4</v>
      </c>
      <c r="F1906" t="s">
        <v>5279</v>
      </c>
      <c r="G1906" t="s">
        <v>5283</v>
      </c>
      <c r="H1906" t="s">
        <v>5311</v>
      </c>
      <c r="I1906" s="2">
        <v>1800</v>
      </c>
      <c r="J1906" s="2">
        <v>0</v>
      </c>
      <c r="K1906" s="2">
        <v>0</v>
      </c>
      <c r="L1906" s="3">
        <v>45834</v>
      </c>
      <c r="M1906" s="3">
        <v>45859</v>
      </c>
      <c r="N1906" s="3">
        <v>45853</v>
      </c>
      <c r="O1906" t="s">
        <v>4</v>
      </c>
      <c r="P1906" t="s">
        <v>5285</v>
      </c>
      <c r="Q1906" s="4">
        <v>0.89432870370369999</v>
      </c>
      <c r="R1906" t="s">
        <v>5279</v>
      </c>
      <c r="S1906" t="s">
        <v>4</v>
      </c>
      <c r="T1906" t="s">
        <v>2817</v>
      </c>
      <c r="U1906" t="s">
        <v>4</v>
      </c>
      <c r="V1906" s="5">
        <v>0</v>
      </c>
      <c r="W1906" s="5">
        <v>0</v>
      </c>
      <c r="X1906" s="2">
        <v>0</v>
      </c>
      <c r="Y1906" t="s">
        <v>4</v>
      </c>
      <c r="Z1906" t="s">
        <v>4</v>
      </c>
      <c r="AA1906" t="s">
        <v>4</v>
      </c>
      <c r="AB1906" t="s">
        <v>4</v>
      </c>
    </row>
    <row r="1907" spans="1:28" hidden="1" x14ac:dyDescent="0.2">
      <c r="A1907" t="s">
        <v>2251</v>
      </c>
      <c r="B1907" t="s">
        <v>4</v>
      </c>
      <c r="C1907" t="s">
        <v>4</v>
      </c>
      <c r="D1907" t="s">
        <v>4</v>
      </c>
      <c r="E1907" t="s">
        <v>4</v>
      </c>
      <c r="F1907" t="s">
        <v>5279</v>
      </c>
      <c r="G1907" t="s">
        <v>5283</v>
      </c>
      <c r="H1907" t="s">
        <v>5312</v>
      </c>
      <c r="I1907" s="5">
        <v>0</v>
      </c>
      <c r="J1907" s="5">
        <v>0</v>
      </c>
      <c r="K1907" s="5">
        <v>0</v>
      </c>
      <c r="L1907" s="3"/>
      <c r="M1907" s="3"/>
      <c r="N1907" s="3"/>
      <c r="O1907" t="s">
        <v>4</v>
      </c>
      <c r="P1907" t="s">
        <v>5285</v>
      </c>
      <c r="Q1907" s="4">
        <v>0.76199074074074002</v>
      </c>
      <c r="R1907" t="s">
        <v>4</v>
      </c>
      <c r="S1907" t="s">
        <v>4</v>
      </c>
      <c r="T1907" t="s">
        <v>2256</v>
      </c>
      <c r="U1907" t="s">
        <v>4</v>
      </c>
      <c r="V1907" s="5">
        <v>0</v>
      </c>
      <c r="W1907" s="5">
        <v>0</v>
      </c>
      <c r="X1907" s="2">
        <v>0</v>
      </c>
      <c r="Y1907" t="s">
        <v>4</v>
      </c>
      <c r="Z1907" t="s">
        <v>4</v>
      </c>
      <c r="AA1907" t="s">
        <v>4</v>
      </c>
      <c r="AB1907" t="s">
        <v>4</v>
      </c>
    </row>
    <row r="1908" spans="1:28" hidden="1" x14ac:dyDescent="0.2">
      <c r="A1908" t="s">
        <v>2251</v>
      </c>
      <c r="B1908" t="s">
        <v>4</v>
      </c>
      <c r="C1908" t="s">
        <v>4</v>
      </c>
      <c r="D1908" t="s">
        <v>4</v>
      </c>
      <c r="E1908" t="s">
        <v>4</v>
      </c>
      <c r="F1908" t="s">
        <v>5279</v>
      </c>
      <c r="G1908" t="s">
        <v>5283</v>
      </c>
      <c r="H1908" t="s">
        <v>5313</v>
      </c>
      <c r="I1908" s="5">
        <v>0</v>
      </c>
      <c r="J1908" s="5">
        <v>0</v>
      </c>
      <c r="K1908" s="5">
        <v>0</v>
      </c>
      <c r="L1908" s="3"/>
      <c r="M1908" s="3"/>
      <c r="N1908" s="3"/>
      <c r="O1908" t="s">
        <v>4</v>
      </c>
      <c r="P1908" t="s">
        <v>5285</v>
      </c>
      <c r="Q1908" s="4">
        <v>0.74008101851852004</v>
      </c>
      <c r="R1908" t="s">
        <v>4</v>
      </c>
      <c r="S1908" t="s">
        <v>4</v>
      </c>
      <c r="T1908" t="s">
        <v>2256</v>
      </c>
      <c r="U1908" t="s">
        <v>4</v>
      </c>
      <c r="V1908" s="5">
        <v>0</v>
      </c>
      <c r="W1908" s="5">
        <v>0</v>
      </c>
      <c r="X1908" s="2">
        <v>0</v>
      </c>
      <c r="Y1908" t="s">
        <v>4</v>
      </c>
      <c r="Z1908" t="s">
        <v>4</v>
      </c>
      <c r="AA1908" t="s">
        <v>4</v>
      </c>
      <c r="AB1908" t="s">
        <v>4</v>
      </c>
    </row>
    <row r="1909" spans="1:28" hidden="1" x14ac:dyDescent="0.2">
      <c r="A1909" t="s">
        <v>2251</v>
      </c>
      <c r="B1909" t="s">
        <v>4</v>
      </c>
      <c r="C1909" t="s">
        <v>4</v>
      </c>
      <c r="D1909" t="s">
        <v>4</v>
      </c>
      <c r="E1909" t="s">
        <v>4</v>
      </c>
      <c r="F1909" t="s">
        <v>5279</v>
      </c>
      <c r="G1909" t="s">
        <v>5283</v>
      </c>
      <c r="H1909" t="s">
        <v>5314</v>
      </c>
      <c r="I1909" s="5">
        <v>0</v>
      </c>
      <c r="J1909" s="5">
        <v>0</v>
      </c>
      <c r="K1909" s="5">
        <v>0</v>
      </c>
      <c r="L1909" s="3"/>
      <c r="M1909" s="3"/>
      <c r="N1909" s="3"/>
      <c r="O1909" t="s">
        <v>4</v>
      </c>
      <c r="P1909" t="s">
        <v>5285</v>
      </c>
      <c r="Q1909" s="4">
        <v>0.73325231481481001</v>
      </c>
      <c r="R1909" t="s">
        <v>4</v>
      </c>
      <c r="S1909" t="s">
        <v>4</v>
      </c>
      <c r="T1909" t="s">
        <v>2256</v>
      </c>
      <c r="U1909" t="s">
        <v>4</v>
      </c>
      <c r="V1909" s="5">
        <v>0</v>
      </c>
      <c r="W1909" s="5">
        <v>0</v>
      </c>
      <c r="X1909" s="2">
        <v>0</v>
      </c>
      <c r="Y1909" t="s">
        <v>4</v>
      </c>
      <c r="Z1909" t="s">
        <v>4</v>
      </c>
      <c r="AA1909" t="s">
        <v>4</v>
      </c>
      <c r="AB1909" t="s">
        <v>4</v>
      </c>
    </row>
    <row r="1910" spans="1:28" hidden="1" x14ac:dyDescent="0.2">
      <c r="A1910" t="s">
        <v>1606</v>
      </c>
      <c r="B1910" t="s">
        <v>2</v>
      </c>
      <c r="C1910" t="s">
        <v>3</v>
      </c>
      <c r="D1910" t="s">
        <v>4</v>
      </c>
      <c r="E1910" t="s">
        <v>4</v>
      </c>
      <c r="F1910" t="s">
        <v>5279</v>
      </c>
      <c r="G1910" t="s">
        <v>5283</v>
      </c>
      <c r="H1910" t="s">
        <v>5315</v>
      </c>
      <c r="I1910" s="2">
        <v>12000</v>
      </c>
      <c r="J1910" s="2">
        <v>0</v>
      </c>
      <c r="K1910" s="2">
        <v>0</v>
      </c>
      <c r="L1910" s="3">
        <v>45803</v>
      </c>
      <c r="M1910" s="3">
        <v>45859</v>
      </c>
      <c r="N1910" s="3">
        <v>45855</v>
      </c>
      <c r="O1910" t="s">
        <v>4</v>
      </c>
      <c r="P1910" t="s">
        <v>5285</v>
      </c>
      <c r="Q1910" s="4">
        <v>0.89432870370369999</v>
      </c>
      <c r="R1910" t="s">
        <v>5279</v>
      </c>
      <c r="S1910" t="s">
        <v>4</v>
      </c>
      <c r="T1910" t="s">
        <v>2965</v>
      </c>
      <c r="U1910" t="s">
        <v>10</v>
      </c>
      <c r="V1910" s="5">
        <v>0</v>
      </c>
      <c r="W1910" s="5">
        <v>0</v>
      </c>
      <c r="X1910" s="2">
        <v>0</v>
      </c>
      <c r="Y1910" t="s">
        <v>4</v>
      </c>
      <c r="Z1910" t="s">
        <v>4</v>
      </c>
      <c r="AA1910" t="s">
        <v>4</v>
      </c>
      <c r="AB1910" t="s">
        <v>4</v>
      </c>
    </row>
    <row r="1911" spans="1:28" hidden="1" x14ac:dyDescent="0.2">
      <c r="A1911" t="s">
        <v>2251</v>
      </c>
      <c r="B1911" t="s">
        <v>4</v>
      </c>
      <c r="C1911" t="s">
        <v>4</v>
      </c>
      <c r="D1911" t="s">
        <v>4</v>
      </c>
      <c r="E1911" t="s">
        <v>4</v>
      </c>
      <c r="F1911" t="s">
        <v>5279</v>
      </c>
      <c r="G1911" t="s">
        <v>5283</v>
      </c>
      <c r="H1911" t="s">
        <v>5316</v>
      </c>
      <c r="I1911" s="5">
        <v>0</v>
      </c>
      <c r="J1911" s="5">
        <v>0</v>
      </c>
      <c r="K1911" s="5">
        <v>0</v>
      </c>
      <c r="L1911" s="3"/>
      <c r="M1911" s="3"/>
      <c r="N1911" s="3"/>
      <c r="O1911" t="s">
        <v>4</v>
      </c>
      <c r="P1911" t="s">
        <v>5285</v>
      </c>
      <c r="Q1911" s="4">
        <v>0.57295138888888997</v>
      </c>
      <c r="R1911" t="s">
        <v>4</v>
      </c>
      <c r="S1911" t="s">
        <v>4</v>
      </c>
      <c r="T1911" t="s">
        <v>2256</v>
      </c>
      <c r="U1911" t="s">
        <v>4</v>
      </c>
      <c r="V1911" s="5">
        <v>0</v>
      </c>
      <c r="W1911" s="5">
        <v>0</v>
      </c>
      <c r="X1911" s="2">
        <v>0</v>
      </c>
      <c r="Y1911" t="s">
        <v>4</v>
      </c>
      <c r="Z1911" t="s">
        <v>4</v>
      </c>
      <c r="AA1911" t="s">
        <v>4</v>
      </c>
      <c r="AB1911" t="s">
        <v>4</v>
      </c>
    </row>
    <row r="1912" spans="1:28" hidden="1" x14ac:dyDescent="0.2">
      <c r="A1912" t="s">
        <v>1675</v>
      </c>
      <c r="B1912" t="s">
        <v>2</v>
      </c>
      <c r="C1912" t="s">
        <v>3</v>
      </c>
      <c r="D1912" t="s">
        <v>4</v>
      </c>
      <c r="E1912" t="s">
        <v>4</v>
      </c>
      <c r="F1912" t="s">
        <v>5279</v>
      </c>
      <c r="G1912" t="s">
        <v>5283</v>
      </c>
      <c r="H1912" t="s">
        <v>5317</v>
      </c>
      <c r="I1912" s="2">
        <v>1400</v>
      </c>
      <c r="J1912" s="2">
        <v>0</v>
      </c>
      <c r="K1912" s="2">
        <v>0</v>
      </c>
      <c r="L1912" s="3">
        <v>45489</v>
      </c>
      <c r="M1912" s="3">
        <v>45850</v>
      </c>
      <c r="N1912" s="3">
        <v>45850</v>
      </c>
      <c r="O1912" t="s">
        <v>4</v>
      </c>
      <c r="P1912" t="s">
        <v>5285</v>
      </c>
      <c r="Q1912" s="4">
        <v>0.90089120370370002</v>
      </c>
      <c r="R1912" t="s">
        <v>5279</v>
      </c>
      <c r="S1912" t="s">
        <v>4</v>
      </c>
      <c r="T1912" t="s">
        <v>5318</v>
      </c>
      <c r="U1912" t="s">
        <v>4</v>
      </c>
      <c r="V1912" s="5">
        <v>0</v>
      </c>
      <c r="W1912" s="5">
        <v>0</v>
      </c>
      <c r="X1912" s="2">
        <v>0</v>
      </c>
      <c r="Y1912" t="s">
        <v>4</v>
      </c>
      <c r="Z1912" t="s">
        <v>4</v>
      </c>
      <c r="AA1912" t="s">
        <v>4</v>
      </c>
      <c r="AB1912" t="s">
        <v>4</v>
      </c>
    </row>
    <row r="1913" spans="1:28" hidden="1" x14ac:dyDescent="0.2">
      <c r="A1913" t="s">
        <v>2251</v>
      </c>
      <c r="B1913" t="s">
        <v>4</v>
      </c>
      <c r="C1913" t="s">
        <v>4</v>
      </c>
      <c r="D1913" t="s">
        <v>4</v>
      </c>
      <c r="E1913" t="s">
        <v>4</v>
      </c>
      <c r="F1913" t="s">
        <v>5279</v>
      </c>
      <c r="G1913" t="s">
        <v>5283</v>
      </c>
      <c r="H1913" t="s">
        <v>5319</v>
      </c>
      <c r="I1913" s="5">
        <v>0</v>
      </c>
      <c r="J1913" s="5">
        <v>0</v>
      </c>
      <c r="K1913" s="5">
        <v>0</v>
      </c>
      <c r="L1913" s="3"/>
      <c r="M1913" s="3"/>
      <c r="N1913" s="3"/>
      <c r="O1913" t="s">
        <v>4</v>
      </c>
      <c r="P1913" t="s">
        <v>5285</v>
      </c>
      <c r="Q1913" s="4">
        <v>0.41840277777778001</v>
      </c>
      <c r="R1913" t="s">
        <v>4</v>
      </c>
      <c r="S1913" t="s">
        <v>4</v>
      </c>
      <c r="T1913" t="s">
        <v>2256</v>
      </c>
      <c r="U1913" t="s">
        <v>4</v>
      </c>
      <c r="V1913" s="5">
        <v>0</v>
      </c>
      <c r="W1913" s="5">
        <v>0</v>
      </c>
      <c r="X1913" s="2">
        <v>0</v>
      </c>
      <c r="Y1913" t="s">
        <v>4</v>
      </c>
      <c r="Z1913" t="s">
        <v>4</v>
      </c>
      <c r="AA1913" t="s">
        <v>4</v>
      </c>
      <c r="AB1913" t="s">
        <v>4</v>
      </c>
    </row>
    <row r="1914" spans="1:28" hidden="1" x14ac:dyDescent="0.2">
      <c r="A1914" t="s">
        <v>421</v>
      </c>
      <c r="B1914" t="s">
        <v>2</v>
      </c>
      <c r="C1914" t="s">
        <v>3</v>
      </c>
      <c r="D1914" t="s">
        <v>4</v>
      </c>
      <c r="E1914" t="s">
        <v>4</v>
      </c>
      <c r="F1914" t="s">
        <v>5279</v>
      </c>
      <c r="G1914" t="s">
        <v>5283</v>
      </c>
      <c r="H1914" t="s">
        <v>5320</v>
      </c>
      <c r="I1914" s="2">
        <v>863</v>
      </c>
      <c r="J1914" s="2">
        <v>0</v>
      </c>
      <c r="K1914" s="2">
        <v>0</v>
      </c>
      <c r="L1914" s="3">
        <v>45702</v>
      </c>
      <c r="M1914" s="3">
        <v>45858</v>
      </c>
      <c r="N1914" s="3">
        <v>45858</v>
      </c>
      <c r="O1914" t="s">
        <v>4</v>
      </c>
      <c r="P1914" t="s">
        <v>5285</v>
      </c>
      <c r="Q1914" s="4">
        <v>0.60995370370369995</v>
      </c>
      <c r="R1914" t="s">
        <v>5279</v>
      </c>
      <c r="S1914" t="s">
        <v>4</v>
      </c>
      <c r="T1914" t="s">
        <v>5295</v>
      </c>
      <c r="U1914" t="s">
        <v>10</v>
      </c>
      <c r="V1914" s="5">
        <v>0</v>
      </c>
      <c r="W1914" s="5">
        <v>0</v>
      </c>
      <c r="X1914" s="2">
        <v>0</v>
      </c>
      <c r="Y1914" t="s">
        <v>4</v>
      </c>
      <c r="Z1914" t="s">
        <v>4</v>
      </c>
      <c r="AA1914" t="s">
        <v>4</v>
      </c>
      <c r="AB1914" t="s">
        <v>4</v>
      </c>
    </row>
    <row r="1915" spans="1:28" hidden="1" x14ac:dyDescent="0.2">
      <c r="A1915" t="s">
        <v>1737</v>
      </c>
      <c r="B1915" t="s">
        <v>2</v>
      </c>
      <c r="C1915" t="s">
        <v>3</v>
      </c>
      <c r="D1915" t="s">
        <v>4</v>
      </c>
      <c r="E1915" t="s">
        <v>4</v>
      </c>
      <c r="F1915" t="s">
        <v>5279</v>
      </c>
      <c r="G1915" t="s">
        <v>5283</v>
      </c>
      <c r="H1915" t="s">
        <v>5321</v>
      </c>
      <c r="I1915" s="2">
        <v>1600</v>
      </c>
      <c r="J1915" s="2">
        <v>0</v>
      </c>
      <c r="K1915" s="2">
        <v>0</v>
      </c>
      <c r="L1915" s="3">
        <v>45759</v>
      </c>
      <c r="M1915" s="3">
        <v>45759</v>
      </c>
      <c r="N1915" s="3"/>
      <c r="O1915" t="s">
        <v>4</v>
      </c>
      <c r="P1915" t="s">
        <v>5285</v>
      </c>
      <c r="Q1915" s="4">
        <v>0.66361111111111004</v>
      </c>
      <c r="R1915" t="s">
        <v>5279</v>
      </c>
      <c r="S1915" t="s">
        <v>4</v>
      </c>
      <c r="T1915" t="s">
        <v>3144</v>
      </c>
      <c r="U1915" t="s">
        <v>10</v>
      </c>
      <c r="V1915" s="5">
        <v>0</v>
      </c>
      <c r="W1915" s="5">
        <v>0</v>
      </c>
      <c r="X1915" s="2">
        <v>0</v>
      </c>
      <c r="Y1915" t="s">
        <v>2351</v>
      </c>
      <c r="Z1915" t="s">
        <v>2351</v>
      </c>
      <c r="AA1915" t="s">
        <v>2351</v>
      </c>
      <c r="AB1915" t="s">
        <v>2351</v>
      </c>
    </row>
    <row r="1916" spans="1:28" hidden="1" x14ac:dyDescent="0.2">
      <c r="A1916" t="s">
        <v>1664</v>
      </c>
      <c r="B1916" t="s">
        <v>2</v>
      </c>
      <c r="C1916" t="s">
        <v>3</v>
      </c>
      <c r="D1916" t="s">
        <v>4</v>
      </c>
      <c r="E1916" t="s">
        <v>4</v>
      </c>
      <c r="F1916" t="s">
        <v>5279</v>
      </c>
      <c r="G1916" t="s">
        <v>5283</v>
      </c>
      <c r="H1916" t="s">
        <v>5322</v>
      </c>
      <c r="I1916" s="2">
        <v>170</v>
      </c>
      <c r="J1916" s="2">
        <v>0</v>
      </c>
      <c r="K1916" s="2">
        <v>0</v>
      </c>
      <c r="L1916" s="3">
        <v>45831</v>
      </c>
      <c r="M1916" s="3">
        <v>45844</v>
      </c>
      <c r="N1916" s="3">
        <v>45844</v>
      </c>
      <c r="O1916" t="s">
        <v>4</v>
      </c>
      <c r="P1916" t="s">
        <v>5285</v>
      </c>
      <c r="Q1916" s="4">
        <v>0.54440972222221995</v>
      </c>
      <c r="R1916" t="s">
        <v>5279</v>
      </c>
      <c r="S1916" t="s">
        <v>4</v>
      </c>
      <c r="T1916" t="s">
        <v>3984</v>
      </c>
      <c r="U1916" t="s">
        <v>10</v>
      </c>
      <c r="V1916" s="5">
        <v>0</v>
      </c>
      <c r="W1916" s="5">
        <v>0</v>
      </c>
      <c r="X1916" s="2">
        <v>0</v>
      </c>
      <c r="Y1916" t="s">
        <v>4</v>
      </c>
      <c r="Z1916" t="s">
        <v>4</v>
      </c>
      <c r="AA1916" t="s">
        <v>4</v>
      </c>
      <c r="AB1916" t="s">
        <v>4</v>
      </c>
    </row>
    <row r="1917" spans="1:28" hidden="1" x14ac:dyDescent="0.2">
      <c r="A1917" t="s">
        <v>1657</v>
      </c>
      <c r="B1917" t="s">
        <v>2</v>
      </c>
      <c r="C1917" t="s">
        <v>3</v>
      </c>
      <c r="D1917" t="s">
        <v>4</v>
      </c>
      <c r="E1917" t="s">
        <v>4</v>
      </c>
      <c r="F1917" t="s">
        <v>5279</v>
      </c>
      <c r="G1917" t="s">
        <v>5283</v>
      </c>
      <c r="H1917" t="s">
        <v>5322</v>
      </c>
      <c r="I1917" s="2">
        <v>1640</v>
      </c>
      <c r="J1917" s="2">
        <v>0</v>
      </c>
      <c r="K1917" s="2">
        <v>0</v>
      </c>
      <c r="L1917" s="3">
        <v>45552</v>
      </c>
      <c r="M1917" s="3">
        <v>45844</v>
      </c>
      <c r="N1917" s="3">
        <v>45844</v>
      </c>
      <c r="O1917" t="s">
        <v>4</v>
      </c>
      <c r="P1917" t="s">
        <v>5285</v>
      </c>
      <c r="Q1917" s="4">
        <v>0.54440972222221995</v>
      </c>
      <c r="R1917" t="s">
        <v>5279</v>
      </c>
      <c r="S1917" t="s">
        <v>4</v>
      </c>
      <c r="T1917" t="s">
        <v>5323</v>
      </c>
      <c r="U1917" t="s">
        <v>10</v>
      </c>
      <c r="V1917" s="5">
        <v>0</v>
      </c>
      <c r="W1917" s="5">
        <v>0</v>
      </c>
      <c r="X1917" s="2">
        <v>0</v>
      </c>
      <c r="Y1917" t="s">
        <v>4</v>
      </c>
      <c r="Z1917" t="s">
        <v>4</v>
      </c>
      <c r="AA1917" t="s">
        <v>4</v>
      </c>
      <c r="AB1917" t="s">
        <v>4</v>
      </c>
    </row>
    <row r="1918" spans="1:28" hidden="1" x14ac:dyDescent="0.2">
      <c r="A1918" t="s">
        <v>1955</v>
      </c>
      <c r="B1918" t="s">
        <v>2</v>
      </c>
      <c r="C1918" t="s">
        <v>3</v>
      </c>
      <c r="D1918" t="s">
        <v>4</v>
      </c>
      <c r="E1918" t="s">
        <v>4</v>
      </c>
      <c r="F1918" t="s">
        <v>5279</v>
      </c>
      <c r="G1918" t="s">
        <v>5283</v>
      </c>
      <c r="H1918" t="s">
        <v>5324</v>
      </c>
      <c r="I1918" s="2">
        <v>5700</v>
      </c>
      <c r="J1918" s="2">
        <v>0</v>
      </c>
      <c r="K1918" s="2">
        <v>0</v>
      </c>
      <c r="L1918" s="3">
        <v>45743</v>
      </c>
      <c r="M1918" s="3">
        <v>45854</v>
      </c>
      <c r="N1918" s="3">
        <v>45839</v>
      </c>
      <c r="O1918" t="s">
        <v>4</v>
      </c>
      <c r="P1918" t="s">
        <v>5285</v>
      </c>
      <c r="Q1918" s="4">
        <v>0.73038194444444005</v>
      </c>
      <c r="R1918" t="s">
        <v>5279</v>
      </c>
      <c r="S1918" t="s">
        <v>4</v>
      </c>
      <c r="T1918" t="s">
        <v>3434</v>
      </c>
      <c r="U1918" t="s">
        <v>5282</v>
      </c>
      <c r="V1918" s="5">
        <v>0</v>
      </c>
      <c r="W1918" s="5">
        <v>0</v>
      </c>
      <c r="X1918" s="2">
        <v>0</v>
      </c>
      <c r="Y1918" t="s">
        <v>4</v>
      </c>
      <c r="Z1918" t="s">
        <v>4</v>
      </c>
      <c r="AA1918" t="s">
        <v>4</v>
      </c>
      <c r="AB1918" t="s">
        <v>4</v>
      </c>
    </row>
    <row r="1919" spans="1:28" hidden="1" x14ac:dyDescent="0.2">
      <c r="A1919" t="s">
        <v>346</v>
      </c>
      <c r="B1919" t="s">
        <v>2</v>
      </c>
      <c r="C1919" t="s">
        <v>3</v>
      </c>
      <c r="D1919" t="s">
        <v>4</v>
      </c>
      <c r="E1919" t="s">
        <v>4</v>
      </c>
      <c r="F1919" t="s">
        <v>5279</v>
      </c>
      <c r="G1919" t="s">
        <v>5283</v>
      </c>
      <c r="H1919" t="s">
        <v>5324</v>
      </c>
      <c r="I1919" s="2">
        <v>600</v>
      </c>
      <c r="J1919" s="2">
        <v>0</v>
      </c>
      <c r="K1919" s="2">
        <v>0</v>
      </c>
      <c r="L1919" s="3">
        <v>45742</v>
      </c>
      <c r="M1919" s="3">
        <v>45843</v>
      </c>
      <c r="N1919" s="3">
        <v>45831</v>
      </c>
      <c r="O1919" t="s">
        <v>4</v>
      </c>
      <c r="P1919" t="s">
        <v>5285</v>
      </c>
      <c r="Q1919" s="4">
        <v>0.73038194444444005</v>
      </c>
      <c r="R1919" t="s">
        <v>5279</v>
      </c>
      <c r="S1919" t="s">
        <v>4</v>
      </c>
      <c r="T1919" t="s">
        <v>3620</v>
      </c>
      <c r="U1919" t="s">
        <v>10</v>
      </c>
      <c r="V1919" s="5">
        <v>0</v>
      </c>
      <c r="W1919" s="5">
        <v>0</v>
      </c>
      <c r="X1919" s="2">
        <v>0</v>
      </c>
      <c r="Y1919" t="s">
        <v>4</v>
      </c>
      <c r="Z1919" t="s">
        <v>4</v>
      </c>
      <c r="AA1919" t="s">
        <v>4</v>
      </c>
      <c r="AB1919" t="s">
        <v>4</v>
      </c>
    </row>
    <row r="1920" spans="1:28" hidden="1" x14ac:dyDescent="0.2">
      <c r="A1920" t="s">
        <v>415</v>
      </c>
      <c r="B1920" t="s">
        <v>2</v>
      </c>
      <c r="C1920" t="s">
        <v>3</v>
      </c>
      <c r="D1920" t="s">
        <v>4</v>
      </c>
      <c r="E1920" t="s">
        <v>4</v>
      </c>
      <c r="F1920" t="s">
        <v>5279</v>
      </c>
      <c r="G1920" t="s">
        <v>5283</v>
      </c>
      <c r="H1920" t="s">
        <v>5325</v>
      </c>
      <c r="I1920" s="2">
        <v>1139</v>
      </c>
      <c r="J1920" s="2">
        <v>0</v>
      </c>
      <c r="K1920" s="2">
        <v>0</v>
      </c>
      <c r="L1920" s="3">
        <v>45702</v>
      </c>
      <c r="M1920" s="3">
        <v>45844</v>
      </c>
      <c r="N1920" s="3">
        <v>45844</v>
      </c>
      <c r="O1920" t="s">
        <v>4</v>
      </c>
      <c r="P1920" t="s">
        <v>5285</v>
      </c>
      <c r="Q1920" s="4">
        <v>0.42126157407407</v>
      </c>
      <c r="R1920" t="s">
        <v>5279</v>
      </c>
      <c r="S1920" t="s">
        <v>4</v>
      </c>
      <c r="T1920" t="s">
        <v>5295</v>
      </c>
      <c r="U1920" t="s">
        <v>10</v>
      </c>
      <c r="V1920" s="5">
        <v>0</v>
      </c>
      <c r="W1920" s="5">
        <v>0</v>
      </c>
      <c r="X1920" s="2">
        <v>0</v>
      </c>
      <c r="Y1920" t="s">
        <v>4</v>
      </c>
      <c r="Z1920" t="s">
        <v>4</v>
      </c>
      <c r="AA1920" t="s">
        <v>4</v>
      </c>
      <c r="AB1920" t="s">
        <v>4</v>
      </c>
    </row>
    <row r="1921" spans="1:28" hidden="1" x14ac:dyDescent="0.2">
      <c r="A1921" t="s">
        <v>424</v>
      </c>
      <c r="B1921" t="s">
        <v>2</v>
      </c>
      <c r="C1921" t="s">
        <v>3</v>
      </c>
      <c r="D1921" t="s">
        <v>4</v>
      </c>
      <c r="E1921" t="s">
        <v>4</v>
      </c>
      <c r="F1921" t="s">
        <v>5279</v>
      </c>
      <c r="G1921" t="s">
        <v>5283</v>
      </c>
      <c r="H1921" t="s">
        <v>5325</v>
      </c>
      <c r="I1921" s="2">
        <v>200</v>
      </c>
      <c r="J1921" s="2">
        <v>0</v>
      </c>
      <c r="K1921" s="2">
        <v>0</v>
      </c>
      <c r="L1921" s="3">
        <v>45822</v>
      </c>
      <c r="M1921" s="3">
        <v>45857</v>
      </c>
      <c r="N1921" s="3">
        <v>45841</v>
      </c>
      <c r="O1921" t="s">
        <v>4</v>
      </c>
      <c r="P1921" t="s">
        <v>5285</v>
      </c>
      <c r="Q1921" s="4">
        <v>0.42126157407407</v>
      </c>
      <c r="R1921" t="s">
        <v>5279</v>
      </c>
      <c r="S1921" t="s">
        <v>4</v>
      </c>
      <c r="T1921" t="s">
        <v>3122</v>
      </c>
      <c r="U1921" t="s">
        <v>10</v>
      </c>
      <c r="V1921" s="5">
        <v>0</v>
      </c>
      <c r="W1921" s="5">
        <v>0</v>
      </c>
      <c r="X1921" s="2">
        <v>0</v>
      </c>
      <c r="Y1921" t="s">
        <v>4</v>
      </c>
      <c r="Z1921" t="s">
        <v>4</v>
      </c>
      <c r="AA1921" t="s">
        <v>4</v>
      </c>
      <c r="AB1921" t="s">
        <v>4</v>
      </c>
    </row>
    <row r="1922" spans="1:28" hidden="1" x14ac:dyDescent="0.2">
      <c r="A1922" t="s">
        <v>424</v>
      </c>
      <c r="B1922" t="s">
        <v>2</v>
      </c>
      <c r="C1922" t="s">
        <v>3</v>
      </c>
      <c r="D1922" t="s">
        <v>4</v>
      </c>
      <c r="E1922" t="s">
        <v>4</v>
      </c>
      <c r="F1922" t="s">
        <v>5279</v>
      </c>
      <c r="G1922" t="s">
        <v>5283</v>
      </c>
      <c r="H1922" t="s">
        <v>5326</v>
      </c>
      <c r="I1922" s="2">
        <v>1600</v>
      </c>
      <c r="J1922" s="2">
        <v>0</v>
      </c>
      <c r="K1922" s="2">
        <v>0</v>
      </c>
      <c r="L1922" s="3">
        <v>45803</v>
      </c>
      <c r="M1922" s="3">
        <v>45858</v>
      </c>
      <c r="N1922" s="3">
        <v>45855</v>
      </c>
      <c r="O1922" t="s">
        <v>4</v>
      </c>
      <c r="P1922" t="s">
        <v>5285</v>
      </c>
      <c r="Q1922" s="4">
        <v>0.59190972222222005</v>
      </c>
      <c r="R1922" t="s">
        <v>5279</v>
      </c>
      <c r="S1922" t="s">
        <v>4</v>
      </c>
      <c r="T1922" t="s">
        <v>2965</v>
      </c>
      <c r="U1922" t="s">
        <v>10</v>
      </c>
      <c r="V1922" s="5">
        <v>0</v>
      </c>
      <c r="W1922" s="5">
        <v>0</v>
      </c>
      <c r="X1922" s="2">
        <v>0</v>
      </c>
      <c r="Y1922" t="s">
        <v>4</v>
      </c>
      <c r="Z1922" t="s">
        <v>4</v>
      </c>
      <c r="AA1922" t="s">
        <v>4</v>
      </c>
      <c r="AB1922" t="s">
        <v>4</v>
      </c>
    </row>
    <row r="1923" spans="1:28" hidden="1" x14ac:dyDescent="0.2">
      <c r="A1923" t="s">
        <v>1955</v>
      </c>
      <c r="B1923" t="s">
        <v>2</v>
      </c>
      <c r="C1923" t="s">
        <v>3</v>
      </c>
      <c r="D1923" t="s">
        <v>4</v>
      </c>
      <c r="E1923" t="s">
        <v>4</v>
      </c>
      <c r="F1923" t="s">
        <v>5279</v>
      </c>
      <c r="G1923" t="s">
        <v>5327</v>
      </c>
      <c r="H1923" t="s">
        <v>5328</v>
      </c>
      <c r="I1923" s="2">
        <v>18000</v>
      </c>
      <c r="J1923" s="2">
        <v>0</v>
      </c>
      <c r="K1923" s="2">
        <v>0</v>
      </c>
      <c r="L1923" s="3">
        <v>45839</v>
      </c>
      <c r="M1923" s="3">
        <v>45839</v>
      </c>
      <c r="N1923" s="3">
        <v>45839</v>
      </c>
      <c r="O1923" t="s">
        <v>4</v>
      </c>
      <c r="P1923" t="s">
        <v>5285</v>
      </c>
      <c r="Q1923" s="4">
        <v>0.37741898148148001</v>
      </c>
      <c r="R1923" t="s">
        <v>5279</v>
      </c>
      <c r="S1923" t="s">
        <v>4</v>
      </c>
      <c r="T1923" t="s">
        <v>2312</v>
      </c>
      <c r="U1923" t="s">
        <v>5282</v>
      </c>
      <c r="V1923" s="5">
        <v>0</v>
      </c>
      <c r="W1923" s="5">
        <v>0</v>
      </c>
      <c r="X1923" s="2">
        <v>0</v>
      </c>
      <c r="Y1923" t="s">
        <v>4</v>
      </c>
      <c r="Z1923" t="s">
        <v>4</v>
      </c>
      <c r="AA1923" t="s">
        <v>4</v>
      </c>
      <c r="AB1923" t="s">
        <v>4</v>
      </c>
    </row>
    <row r="1924" spans="1:28" hidden="1" x14ac:dyDescent="0.2">
      <c r="A1924" t="s">
        <v>2251</v>
      </c>
      <c r="B1924" t="s">
        <v>4</v>
      </c>
      <c r="C1924" t="s">
        <v>4</v>
      </c>
      <c r="D1924" t="s">
        <v>4</v>
      </c>
      <c r="E1924" t="s">
        <v>4</v>
      </c>
      <c r="F1924" t="s">
        <v>5279</v>
      </c>
      <c r="G1924" t="s">
        <v>5283</v>
      </c>
      <c r="H1924" t="s">
        <v>5329</v>
      </c>
      <c r="I1924" s="5">
        <v>0</v>
      </c>
      <c r="J1924" s="5">
        <v>0</v>
      </c>
      <c r="K1924" s="5">
        <v>0</v>
      </c>
      <c r="L1924" s="3"/>
      <c r="M1924" s="3"/>
      <c r="N1924" s="3"/>
      <c r="O1924" t="s">
        <v>4</v>
      </c>
      <c r="P1924" t="s">
        <v>5285</v>
      </c>
      <c r="Q1924" s="4">
        <v>0.53355324074073995</v>
      </c>
      <c r="R1924" t="s">
        <v>4</v>
      </c>
      <c r="S1924" t="s">
        <v>4</v>
      </c>
      <c r="T1924" t="s">
        <v>2256</v>
      </c>
      <c r="U1924" t="s">
        <v>4</v>
      </c>
      <c r="V1924" s="5">
        <v>0</v>
      </c>
      <c r="W1924" s="5">
        <v>0</v>
      </c>
      <c r="X1924" s="2">
        <v>0</v>
      </c>
      <c r="Y1924" t="s">
        <v>4</v>
      </c>
      <c r="Z1924" t="s">
        <v>4</v>
      </c>
      <c r="AA1924" t="s">
        <v>4</v>
      </c>
      <c r="AB1924" t="s">
        <v>4</v>
      </c>
    </row>
    <row r="1925" spans="1:28" hidden="1" x14ac:dyDescent="0.2">
      <c r="A1925" t="s">
        <v>1751</v>
      </c>
      <c r="B1925" t="s">
        <v>2</v>
      </c>
      <c r="C1925" t="s">
        <v>3</v>
      </c>
      <c r="D1925" t="s">
        <v>4</v>
      </c>
      <c r="E1925" t="s">
        <v>4</v>
      </c>
      <c r="F1925" t="s">
        <v>5279</v>
      </c>
      <c r="G1925" t="s">
        <v>5283</v>
      </c>
      <c r="H1925" t="s">
        <v>5330</v>
      </c>
      <c r="I1925" s="2">
        <v>15000</v>
      </c>
      <c r="J1925" s="2">
        <v>0</v>
      </c>
      <c r="K1925" s="2">
        <v>0</v>
      </c>
      <c r="L1925" s="3">
        <v>45840</v>
      </c>
      <c r="M1925" s="3">
        <v>45840</v>
      </c>
      <c r="N1925" s="3"/>
      <c r="O1925" t="s">
        <v>4</v>
      </c>
      <c r="P1925" t="s">
        <v>5285</v>
      </c>
      <c r="Q1925" s="4">
        <v>0.67297453703704002</v>
      </c>
      <c r="R1925" t="s">
        <v>5279</v>
      </c>
      <c r="S1925" t="s">
        <v>4</v>
      </c>
      <c r="T1925" t="s">
        <v>2766</v>
      </c>
      <c r="U1925" t="s">
        <v>10</v>
      </c>
      <c r="V1925" s="5">
        <v>0</v>
      </c>
      <c r="W1925" s="5">
        <v>0</v>
      </c>
      <c r="X1925" s="2">
        <v>0</v>
      </c>
      <c r="Y1925" t="s">
        <v>4</v>
      </c>
      <c r="Z1925" t="s">
        <v>4</v>
      </c>
      <c r="AA1925" t="s">
        <v>4</v>
      </c>
      <c r="AB1925" t="s">
        <v>4</v>
      </c>
    </row>
    <row r="1926" spans="1:28" hidden="1" x14ac:dyDescent="0.2">
      <c r="A1926" t="s">
        <v>1623</v>
      </c>
      <c r="B1926" t="s">
        <v>2</v>
      </c>
      <c r="C1926" t="s">
        <v>3</v>
      </c>
      <c r="D1926" t="s">
        <v>4</v>
      </c>
      <c r="E1926" t="s">
        <v>4</v>
      </c>
      <c r="F1926" t="s">
        <v>5279</v>
      </c>
      <c r="G1926" t="s">
        <v>5283</v>
      </c>
      <c r="H1926" t="s">
        <v>5331</v>
      </c>
      <c r="I1926" s="2">
        <v>622</v>
      </c>
      <c r="J1926" s="2">
        <v>0</v>
      </c>
      <c r="K1926" s="2">
        <v>0</v>
      </c>
      <c r="L1926" s="3">
        <v>45653</v>
      </c>
      <c r="M1926" s="3">
        <v>45653</v>
      </c>
      <c r="N1926" s="3"/>
      <c r="O1926" t="s">
        <v>4</v>
      </c>
      <c r="P1926" t="s">
        <v>5285</v>
      </c>
      <c r="Q1926" s="4">
        <v>0.63731481481481</v>
      </c>
      <c r="R1926" t="s">
        <v>5279</v>
      </c>
      <c r="S1926" t="s">
        <v>4</v>
      </c>
      <c r="T1926" t="s">
        <v>5293</v>
      </c>
      <c r="U1926" t="s">
        <v>10</v>
      </c>
      <c r="V1926" s="5">
        <v>0</v>
      </c>
      <c r="W1926" s="5">
        <v>0</v>
      </c>
      <c r="X1926" s="2">
        <v>0</v>
      </c>
      <c r="Y1926" t="s">
        <v>4</v>
      </c>
      <c r="Z1926" t="s">
        <v>4</v>
      </c>
      <c r="AA1926" t="s">
        <v>4</v>
      </c>
      <c r="AB1926" t="s">
        <v>4</v>
      </c>
    </row>
    <row r="1927" spans="1:28" hidden="1" x14ac:dyDescent="0.2">
      <c r="A1927" t="s">
        <v>1695</v>
      </c>
      <c r="B1927" t="s">
        <v>2</v>
      </c>
      <c r="C1927" t="s">
        <v>3</v>
      </c>
      <c r="D1927" t="s">
        <v>4</v>
      </c>
      <c r="E1927" t="s">
        <v>4</v>
      </c>
      <c r="F1927" t="s">
        <v>5279</v>
      </c>
      <c r="G1927" t="s">
        <v>5327</v>
      </c>
      <c r="H1927" t="s">
        <v>5332</v>
      </c>
      <c r="I1927" s="2">
        <v>1400</v>
      </c>
      <c r="J1927" s="2">
        <v>0</v>
      </c>
      <c r="K1927" s="2">
        <v>0</v>
      </c>
      <c r="L1927" s="3">
        <v>45815</v>
      </c>
      <c r="M1927" s="3">
        <v>45841</v>
      </c>
      <c r="N1927" s="3">
        <v>45841</v>
      </c>
      <c r="O1927" t="s">
        <v>4</v>
      </c>
      <c r="P1927" t="s">
        <v>5285</v>
      </c>
      <c r="Q1927" s="4">
        <v>0.89734953703704001</v>
      </c>
      <c r="R1927" t="s">
        <v>5279</v>
      </c>
      <c r="S1927" t="s">
        <v>4</v>
      </c>
      <c r="T1927" t="s">
        <v>5291</v>
      </c>
      <c r="U1927" t="s">
        <v>10</v>
      </c>
      <c r="V1927" s="5">
        <v>0</v>
      </c>
      <c r="W1927" s="5">
        <v>0</v>
      </c>
      <c r="X1927" s="2">
        <v>0</v>
      </c>
      <c r="Y1927" t="s">
        <v>4</v>
      </c>
      <c r="Z1927" t="s">
        <v>4</v>
      </c>
      <c r="AA1927" t="s">
        <v>4</v>
      </c>
      <c r="AB1927" t="s">
        <v>4</v>
      </c>
    </row>
    <row r="1928" spans="1:28" hidden="1" x14ac:dyDescent="0.2">
      <c r="A1928" t="s">
        <v>1795</v>
      </c>
      <c r="B1928" t="s">
        <v>2</v>
      </c>
      <c r="C1928" t="s">
        <v>3</v>
      </c>
      <c r="D1928" t="s">
        <v>4</v>
      </c>
      <c r="E1928" t="s">
        <v>4</v>
      </c>
      <c r="F1928" t="s">
        <v>5279</v>
      </c>
      <c r="G1928" t="s">
        <v>5327</v>
      </c>
      <c r="H1928" t="s">
        <v>5332</v>
      </c>
      <c r="I1928" s="2">
        <v>1378</v>
      </c>
      <c r="J1928" s="2">
        <v>0</v>
      </c>
      <c r="K1928" s="2">
        <v>0</v>
      </c>
      <c r="L1928" s="3">
        <v>45785</v>
      </c>
      <c r="M1928" s="3">
        <v>45807</v>
      </c>
      <c r="N1928" s="3">
        <v>45807</v>
      </c>
      <c r="O1928" t="s">
        <v>4</v>
      </c>
      <c r="P1928" t="s">
        <v>5285</v>
      </c>
      <c r="Q1928" s="4">
        <v>0.89734953703704001</v>
      </c>
      <c r="R1928" t="s">
        <v>5279</v>
      </c>
      <c r="S1928" t="s">
        <v>4</v>
      </c>
      <c r="T1928" t="s">
        <v>2780</v>
      </c>
      <c r="U1928" t="s">
        <v>10</v>
      </c>
      <c r="V1928" s="5">
        <v>0</v>
      </c>
      <c r="W1928" s="5">
        <v>0</v>
      </c>
      <c r="X1928" s="2">
        <v>0</v>
      </c>
      <c r="Y1928" t="s">
        <v>4</v>
      </c>
      <c r="Z1928" t="s">
        <v>4</v>
      </c>
      <c r="AA1928" t="s">
        <v>4</v>
      </c>
      <c r="AB1928" t="s">
        <v>4</v>
      </c>
    </row>
    <row r="1929" spans="1:28" hidden="1" x14ac:dyDescent="0.2">
      <c r="A1929" t="s">
        <v>1695</v>
      </c>
      <c r="B1929" t="s">
        <v>2</v>
      </c>
      <c r="C1929" t="s">
        <v>3</v>
      </c>
      <c r="D1929" t="s">
        <v>4</v>
      </c>
      <c r="E1929" t="s">
        <v>4</v>
      </c>
      <c r="F1929" t="s">
        <v>5279</v>
      </c>
      <c r="G1929" t="s">
        <v>5327</v>
      </c>
      <c r="H1929" t="s">
        <v>5333</v>
      </c>
      <c r="I1929" s="2">
        <v>200</v>
      </c>
      <c r="J1929" s="2">
        <v>0</v>
      </c>
      <c r="K1929" s="2">
        <v>0</v>
      </c>
      <c r="L1929" s="3">
        <v>45742</v>
      </c>
      <c r="M1929" s="3">
        <v>45856</v>
      </c>
      <c r="N1929" s="3">
        <v>45847</v>
      </c>
      <c r="O1929" t="s">
        <v>4</v>
      </c>
      <c r="P1929" t="s">
        <v>5285</v>
      </c>
      <c r="Q1929" s="4">
        <v>0.54950231481481004</v>
      </c>
      <c r="R1929" t="s">
        <v>5279</v>
      </c>
      <c r="S1929" t="s">
        <v>4</v>
      </c>
      <c r="T1929" t="s">
        <v>3620</v>
      </c>
      <c r="U1929" t="s">
        <v>10</v>
      </c>
      <c r="V1929" s="5">
        <v>0</v>
      </c>
      <c r="W1929" s="5">
        <v>0</v>
      </c>
      <c r="X1929" s="2">
        <v>0</v>
      </c>
      <c r="Y1929" t="s">
        <v>4</v>
      </c>
      <c r="Z1929" t="s">
        <v>4</v>
      </c>
      <c r="AA1929" t="s">
        <v>4</v>
      </c>
      <c r="AB1929" t="s">
        <v>4</v>
      </c>
    </row>
    <row r="1930" spans="1:28" hidden="1" x14ac:dyDescent="0.2">
      <c r="A1930" t="s">
        <v>1710</v>
      </c>
      <c r="B1930" t="s">
        <v>2</v>
      </c>
      <c r="C1930" t="s">
        <v>3</v>
      </c>
      <c r="D1930" t="s">
        <v>4</v>
      </c>
      <c r="E1930" t="s">
        <v>4</v>
      </c>
      <c r="F1930" t="s">
        <v>5279</v>
      </c>
      <c r="G1930" t="s">
        <v>5327</v>
      </c>
      <c r="H1930" t="s">
        <v>5334</v>
      </c>
      <c r="I1930" s="2">
        <v>1766</v>
      </c>
      <c r="J1930" s="2">
        <v>0</v>
      </c>
      <c r="K1930" s="2">
        <v>0</v>
      </c>
      <c r="L1930" s="3">
        <v>45653</v>
      </c>
      <c r="M1930" s="3">
        <v>45857</v>
      </c>
      <c r="N1930" s="3">
        <v>45857</v>
      </c>
      <c r="O1930" t="s">
        <v>4</v>
      </c>
      <c r="P1930" t="s">
        <v>5285</v>
      </c>
      <c r="Q1930" s="4">
        <v>0.68103009259258995</v>
      </c>
      <c r="R1930" t="s">
        <v>5279</v>
      </c>
      <c r="S1930" t="s">
        <v>4</v>
      </c>
      <c r="T1930" t="s">
        <v>5293</v>
      </c>
      <c r="U1930" t="s">
        <v>10</v>
      </c>
      <c r="V1930" s="5">
        <v>0</v>
      </c>
      <c r="W1930" s="5">
        <v>0</v>
      </c>
      <c r="X1930" s="2">
        <v>0</v>
      </c>
      <c r="Y1930" t="s">
        <v>4</v>
      </c>
      <c r="Z1930" t="s">
        <v>4</v>
      </c>
      <c r="AA1930" t="s">
        <v>4</v>
      </c>
      <c r="AB1930" t="s">
        <v>4</v>
      </c>
    </row>
    <row r="1931" spans="1:28" hidden="1" x14ac:dyDescent="0.2">
      <c r="A1931" t="s">
        <v>1774</v>
      </c>
      <c r="B1931" t="s">
        <v>2</v>
      </c>
      <c r="C1931" t="s">
        <v>3</v>
      </c>
      <c r="D1931" t="s">
        <v>4</v>
      </c>
      <c r="E1931" t="s">
        <v>4</v>
      </c>
      <c r="F1931" t="s">
        <v>5279</v>
      </c>
      <c r="G1931" t="s">
        <v>5327</v>
      </c>
      <c r="H1931" t="s">
        <v>5335</v>
      </c>
      <c r="I1931" s="2">
        <v>6000</v>
      </c>
      <c r="J1931" s="2">
        <v>0</v>
      </c>
      <c r="K1931" s="2">
        <v>0</v>
      </c>
      <c r="L1931" s="3">
        <v>45769</v>
      </c>
      <c r="M1931" s="3">
        <v>45859</v>
      </c>
      <c r="N1931" s="3">
        <v>45836</v>
      </c>
      <c r="O1931" t="s">
        <v>4</v>
      </c>
      <c r="P1931" t="s">
        <v>5285</v>
      </c>
      <c r="Q1931" s="4">
        <v>0.45746527777778001</v>
      </c>
      <c r="R1931" t="s">
        <v>5279</v>
      </c>
      <c r="S1931" t="s">
        <v>4</v>
      </c>
      <c r="T1931" t="s">
        <v>5287</v>
      </c>
      <c r="U1931" t="s">
        <v>10</v>
      </c>
      <c r="V1931" s="5">
        <v>0</v>
      </c>
      <c r="W1931" s="5">
        <v>0</v>
      </c>
      <c r="X1931" s="2">
        <v>0</v>
      </c>
      <c r="Y1931" t="s">
        <v>4</v>
      </c>
      <c r="Z1931" t="s">
        <v>4</v>
      </c>
      <c r="AA1931" t="s">
        <v>4</v>
      </c>
      <c r="AB1931" t="s">
        <v>4</v>
      </c>
    </row>
    <row r="1932" spans="1:28" hidden="1" x14ac:dyDescent="0.2">
      <c r="A1932" t="s">
        <v>1757</v>
      </c>
      <c r="B1932" t="s">
        <v>2</v>
      </c>
      <c r="C1932" t="s">
        <v>3</v>
      </c>
      <c r="D1932" t="s">
        <v>4</v>
      </c>
      <c r="E1932" t="s">
        <v>4</v>
      </c>
      <c r="F1932" t="s">
        <v>5279</v>
      </c>
      <c r="G1932" t="s">
        <v>5327</v>
      </c>
      <c r="H1932" t="s">
        <v>5335</v>
      </c>
      <c r="I1932" s="2">
        <v>1000</v>
      </c>
      <c r="J1932" s="2">
        <v>0</v>
      </c>
      <c r="K1932" s="2">
        <v>0</v>
      </c>
      <c r="L1932" s="3">
        <v>45727</v>
      </c>
      <c r="M1932" s="3">
        <v>45803</v>
      </c>
      <c r="N1932" s="3">
        <v>45763</v>
      </c>
      <c r="O1932" t="s">
        <v>4</v>
      </c>
      <c r="P1932" t="s">
        <v>5285</v>
      </c>
      <c r="Q1932" s="4">
        <v>0.45746527777778001</v>
      </c>
      <c r="R1932" t="s">
        <v>5279</v>
      </c>
      <c r="S1932" t="s">
        <v>4</v>
      </c>
      <c r="T1932" t="s">
        <v>3147</v>
      </c>
      <c r="U1932" t="s">
        <v>10</v>
      </c>
      <c r="V1932" s="5">
        <v>0</v>
      </c>
      <c r="W1932" s="5">
        <v>0</v>
      </c>
      <c r="X1932" s="2">
        <v>0</v>
      </c>
      <c r="Y1932" t="s">
        <v>4</v>
      </c>
      <c r="Z1932" t="s">
        <v>4</v>
      </c>
      <c r="AA1932" t="s">
        <v>4</v>
      </c>
      <c r="AB1932" t="s">
        <v>4</v>
      </c>
    </row>
    <row r="1933" spans="1:28" hidden="1" x14ac:dyDescent="0.2">
      <c r="A1933" t="s">
        <v>1595</v>
      </c>
      <c r="B1933" t="s">
        <v>2</v>
      </c>
      <c r="C1933" t="s">
        <v>3</v>
      </c>
      <c r="D1933" t="s">
        <v>4</v>
      </c>
      <c r="E1933" t="s">
        <v>4</v>
      </c>
      <c r="F1933" t="s">
        <v>5279</v>
      </c>
      <c r="G1933" t="s">
        <v>5327</v>
      </c>
      <c r="H1933" t="s">
        <v>5336</v>
      </c>
      <c r="I1933" s="2">
        <v>4000</v>
      </c>
      <c r="J1933" s="2">
        <v>0</v>
      </c>
      <c r="K1933" s="2">
        <v>0</v>
      </c>
      <c r="L1933" s="3">
        <v>45653</v>
      </c>
      <c r="M1933" s="3">
        <v>45849</v>
      </c>
      <c r="N1933" s="3">
        <v>45745</v>
      </c>
      <c r="O1933" t="s">
        <v>4</v>
      </c>
      <c r="P1933" t="s">
        <v>5285</v>
      </c>
      <c r="Q1933" s="4">
        <v>0.70219907407407001</v>
      </c>
      <c r="R1933" t="s">
        <v>5279</v>
      </c>
      <c r="S1933" t="s">
        <v>4</v>
      </c>
      <c r="T1933" t="s">
        <v>5293</v>
      </c>
      <c r="U1933" t="s">
        <v>10</v>
      </c>
      <c r="V1933" s="5">
        <v>0</v>
      </c>
      <c r="W1933" s="5">
        <v>0</v>
      </c>
      <c r="X1933" s="2">
        <v>0</v>
      </c>
      <c r="Y1933" t="s">
        <v>4</v>
      </c>
      <c r="Z1933" t="s">
        <v>4</v>
      </c>
      <c r="AA1933" t="s">
        <v>4</v>
      </c>
      <c r="AB1933" t="s">
        <v>4</v>
      </c>
    </row>
    <row r="1934" spans="1:28" hidden="1" x14ac:dyDescent="0.2">
      <c r="A1934" t="s">
        <v>1712</v>
      </c>
      <c r="B1934" t="s">
        <v>2</v>
      </c>
      <c r="C1934" t="s">
        <v>3</v>
      </c>
      <c r="D1934" t="s">
        <v>4</v>
      </c>
      <c r="E1934" t="s">
        <v>4</v>
      </c>
      <c r="F1934" t="s">
        <v>5279</v>
      </c>
      <c r="G1934" t="s">
        <v>5327</v>
      </c>
      <c r="H1934" t="s">
        <v>5336</v>
      </c>
      <c r="I1934" s="2">
        <v>1302</v>
      </c>
      <c r="J1934" s="2">
        <v>0</v>
      </c>
      <c r="K1934" s="2">
        <v>0</v>
      </c>
      <c r="L1934" s="3">
        <v>45653</v>
      </c>
      <c r="M1934" s="3">
        <v>45803</v>
      </c>
      <c r="N1934" s="3">
        <v>45803</v>
      </c>
      <c r="O1934" t="s">
        <v>4</v>
      </c>
      <c r="P1934" t="s">
        <v>5285</v>
      </c>
      <c r="Q1934" s="4">
        <v>0.70219907407407001</v>
      </c>
      <c r="R1934" t="s">
        <v>5279</v>
      </c>
      <c r="S1934" t="s">
        <v>4</v>
      </c>
      <c r="T1934" t="s">
        <v>5293</v>
      </c>
      <c r="U1934" t="s">
        <v>10</v>
      </c>
      <c r="V1934" s="5">
        <v>0</v>
      </c>
      <c r="W1934" s="5">
        <v>0</v>
      </c>
      <c r="X1934" s="2">
        <v>0</v>
      </c>
      <c r="Y1934" t="s">
        <v>4</v>
      </c>
      <c r="Z1934" t="s">
        <v>4</v>
      </c>
      <c r="AA1934" t="s">
        <v>4</v>
      </c>
      <c r="AB1934" t="s">
        <v>4</v>
      </c>
    </row>
    <row r="1935" spans="1:28" hidden="1" x14ac:dyDescent="0.2">
      <c r="A1935" t="s">
        <v>1612</v>
      </c>
      <c r="B1935" t="s">
        <v>2</v>
      </c>
      <c r="C1935" t="s">
        <v>3</v>
      </c>
      <c r="D1935" t="s">
        <v>4</v>
      </c>
      <c r="E1935" t="s">
        <v>4</v>
      </c>
      <c r="F1935" t="s">
        <v>5279</v>
      </c>
      <c r="G1935" t="s">
        <v>5327</v>
      </c>
      <c r="H1935" t="s">
        <v>5337</v>
      </c>
      <c r="I1935" s="2">
        <v>797</v>
      </c>
      <c r="J1935" s="2">
        <v>0</v>
      </c>
      <c r="K1935" s="2">
        <v>0</v>
      </c>
      <c r="L1935" s="3">
        <v>45653</v>
      </c>
      <c r="M1935" s="3">
        <v>45836</v>
      </c>
      <c r="N1935" s="3">
        <v>45836</v>
      </c>
      <c r="O1935" t="s">
        <v>4</v>
      </c>
      <c r="P1935" t="s">
        <v>5285</v>
      </c>
      <c r="Q1935" s="4">
        <v>0.65685185185185002</v>
      </c>
      <c r="R1935" t="s">
        <v>5279</v>
      </c>
      <c r="S1935" t="s">
        <v>4</v>
      </c>
      <c r="T1935" t="s">
        <v>5293</v>
      </c>
      <c r="U1935" t="s">
        <v>10</v>
      </c>
      <c r="V1935" s="5">
        <v>0</v>
      </c>
      <c r="W1935" s="5">
        <v>0</v>
      </c>
      <c r="X1935" s="2">
        <v>0</v>
      </c>
      <c r="Y1935" t="s">
        <v>4</v>
      </c>
      <c r="Z1935" t="s">
        <v>4</v>
      </c>
      <c r="AA1935" t="s">
        <v>4</v>
      </c>
      <c r="AB1935" t="s">
        <v>4</v>
      </c>
    </row>
    <row r="1936" spans="1:28" hidden="1" x14ac:dyDescent="0.2">
      <c r="A1936" t="s">
        <v>1725</v>
      </c>
      <c r="B1936" t="s">
        <v>2</v>
      </c>
      <c r="C1936" t="s">
        <v>3</v>
      </c>
      <c r="D1936" t="s">
        <v>4</v>
      </c>
      <c r="E1936" t="s">
        <v>4</v>
      </c>
      <c r="F1936" t="s">
        <v>5279</v>
      </c>
      <c r="G1936" t="s">
        <v>5327</v>
      </c>
      <c r="H1936" t="s">
        <v>5338</v>
      </c>
      <c r="I1936" s="2">
        <v>500</v>
      </c>
      <c r="J1936" s="2">
        <v>0</v>
      </c>
      <c r="K1936" s="2">
        <v>0</v>
      </c>
      <c r="L1936" s="3">
        <v>45840</v>
      </c>
      <c r="M1936" s="3">
        <v>45840</v>
      </c>
      <c r="N1936" s="3"/>
      <c r="O1936" t="s">
        <v>4</v>
      </c>
      <c r="P1936" t="s">
        <v>5285</v>
      </c>
      <c r="Q1936" s="4">
        <v>0.92936342592593002</v>
      </c>
      <c r="R1936" t="s">
        <v>5279</v>
      </c>
      <c r="S1936" t="s">
        <v>4</v>
      </c>
      <c r="T1936" t="s">
        <v>2766</v>
      </c>
      <c r="U1936" t="s">
        <v>10</v>
      </c>
      <c r="V1936" s="5">
        <v>0</v>
      </c>
      <c r="W1936" s="5">
        <v>0</v>
      </c>
      <c r="X1936" s="2">
        <v>0</v>
      </c>
      <c r="Y1936" t="s">
        <v>4</v>
      </c>
      <c r="Z1936" t="s">
        <v>4</v>
      </c>
      <c r="AA1936" t="s">
        <v>4</v>
      </c>
      <c r="AB1936" t="s">
        <v>4</v>
      </c>
    </row>
    <row r="1937" spans="1:28" hidden="1" x14ac:dyDescent="0.2">
      <c r="A1937" t="s">
        <v>1667</v>
      </c>
      <c r="B1937" t="s">
        <v>2</v>
      </c>
      <c r="C1937" t="s">
        <v>3</v>
      </c>
      <c r="D1937" t="s">
        <v>4</v>
      </c>
      <c r="E1937" t="s">
        <v>4</v>
      </c>
      <c r="F1937" t="s">
        <v>5279</v>
      </c>
      <c r="G1937" t="s">
        <v>5283</v>
      </c>
      <c r="H1937" t="s">
        <v>5339</v>
      </c>
      <c r="I1937" s="2">
        <v>3140</v>
      </c>
      <c r="J1937" s="2">
        <v>0</v>
      </c>
      <c r="K1937" s="2">
        <v>0</v>
      </c>
      <c r="L1937" s="3">
        <v>45840</v>
      </c>
      <c r="M1937" s="3">
        <v>45859</v>
      </c>
      <c r="N1937" s="3">
        <v>45844</v>
      </c>
      <c r="O1937" t="s">
        <v>4</v>
      </c>
      <c r="P1937" t="s">
        <v>5285</v>
      </c>
      <c r="Q1937" s="4">
        <v>0.45747685185185</v>
      </c>
      <c r="R1937" t="s">
        <v>5279</v>
      </c>
      <c r="S1937" t="s">
        <v>4</v>
      </c>
      <c r="T1937" t="s">
        <v>2766</v>
      </c>
      <c r="U1937" t="s">
        <v>10</v>
      </c>
      <c r="V1937" s="5">
        <v>0</v>
      </c>
      <c r="W1937" s="5">
        <v>0</v>
      </c>
      <c r="X1937" s="2">
        <v>0</v>
      </c>
      <c r="Y1937" t="s">
        <v>4</v>
      </c>
      <c r="Z1937" t="s">
        <v>4</v>
      </c>
      <c r="AA1937" t="s">
        <v>4</v>
      </c>
      <c r="AB1937" t="s">
        <v>4</v>
      </c>
    </row>
    <row r="1938" spans="1:28" hidden="1" x14ac:dyDescent="0.2">
      <c r="A1938" t="s">
        <v>1955</v>
      </c>
      <c r="B1938" t="s">
        <v>2</v>
      </c>
      <c r="C1938" t="s">
        <v>3</v>
      </c>
      <c r="D1938" t="s">
        <v>4</v>
      </c>
      <c r="E1938" t="s">
        <v>4</v>
      </c>
      <c r="F1938" t="s">
        <v>5279</v>
      </c>
      <c r="G1938" t="s">
        <v>5327</v>
      </c>
      <c r="H1938" t="s">
        <v>5340</v>
      </c>
      <c r="I1938" s="2">
        <v>18000</v>
      </c>
      <c r="J1938" s="2">
        <v>0</v>
      </c>
      <c r="K1938" s="2">
        <v>0</v>
      </c>
      <c r="L1938" s="3">
        <v>45839</v>
      </c>
      <c r="M1938" s="3">
        <v>45839</v>
      </c>
      <c r="N1938" s="3">
        <v>45839</v>
      </c>
      <c r="O1938" t="s">
        <v>4</v>
      </c>
      <c r="P1938" t="s">
        <v>5285</v>
      </c>
      <c r="Q1938" s="4">
        <v>0.39524305555556</v>
      </c>
      <c r="R1938" t="s">
        <v>5279</v>
      </c>
      <c r="S1938" t="s">
        <v>4</v>
      </c>
      <c r="T1938" t="s">
        <v>2312</v>
      </c>
      <c r="U1938" t="s">
        <v>5282</v>
      </c>
      <c r="V1938" s="5">
        <v>0</v>
      </c>
      <c r="W1938" s="5">
        <v>0</v>
      </c>
      <c r="X1938" s="2">
        <v>0</v>
      </c>
      <c r="Y1938" t="s">
        <v>4</v>
      </c>
      <c r="Z1938" t="s">
        <v>4</v>
      </c>
      <c r="AA1938" t="s">
        <v>4</v>
      </c>
      <c r="AB1938" t="s">
        <v>4</v>
      </c>
    </row>
    <row r="1939" spans="1:28" hidden="1" x14ac:dyDescent="0.2">
      <c r="A1939" t="s">
        <v>1757</v>
      </c>
      <c r="B1939" t="s">
        <v>2</v>
      </c>
      <c r="C1939" t="s">
        <v>3</v>
      </c>
      <c r="D1939" t="s">
        <v>4</v>
      </c>
      <c r="E1939" t="s">
        <v>4</v>
      </c>
      <c r="F1939" t="s">
        <v>5279</v>
      </c>
      <c r="G1939" t="s">
        <v>5283</v>
      </c>
      <c r="H1939" t="s">
        <v>5341</v>
      </c>
      <c r="I1939" s="2">
        <v>500</v>
      </c>
      <c r="J1939" s="2">
        <v>0</v>
      </c>
      <c r="K1939" s="2">
        <v>0</v>
      </c>
      <c r="L1939" s="3">
        <v>45807</v>
      </c>
      <c r="M1939" s="3">
        <v>45807</v>
      </c>
      <c r="N1939" s="3"/>
      <c r="O1939" t="s">
        <v>4</v>
      </c>
      <c r="P1939" t="s">
        <v>5285</v>
      </c>
      <c r="Q1939" s="4">
        <v>0.91861111111111005</v>
      </c>
      <c r="R1939" t="s">
        <v>5279</v>
      </c>
      <c r="S1939" t="s">
        <v>4</v>
      </c>
      <c r="T1939" t="s">
        <v>3482</v>
      </c>
      <c r="U1939" t="s">
        <v>10</v>
      </c>
      <c r="V1939" s="5">
        <v>0</v>
      </c>
      <c r="W1939" s="5">
        <v>0</v>
      </c>
      <c r="X1939" s="2">
        <v>0</v>
      </c>
      <c r="Y1939" t="s">
        <v>4</v>
      </c>
      <c r="Z1939" t="s">
        <v>4</v>
      </c>
      <c r="AA1939" t="s">
        <v>4</v>
      </c>
      <c r="AB1939" t="s">
        <v>4</v>
      </c>
    </row>
    <row r="1940" spans="1:28" hidden="1" x14ac:dyDescent="0.2">
      <c r="A1940" t="s">
        <v>1759</v>
      </c>
      <c r="B1940" t="s">
        <v>2</v>
      </c>
      <c r="C1940" t="s">
        <v>3</v>
      </c>
      <c r="D1940" t="s">
        <v>4</v>
      </c>
      <c r="E1940" t="s">
        <v>4</v>
      </c>
      <c r="F1940" t="s">
        <v>5279</v>
      </c>
      <c r="G1940" t="s">
        <v>5283</v>
      </c>
      <c r="H1940" t="s">
        <v>5342</v>
      </c>
      <c r="I1940" s="2">
        <v>17000</v>
      </c>
      <c r="J1940" s="2">
        <v>0</v>
      </c>
      <c r="K1940" s="2">
        <v>0</v>
      </c>
      <c r="L1940" s="3">
        <v>45653</v>
      </c>
      <c r="M1940" s="3">
        <v>45859</v>
      </c>
      <c r="N1940" s="3">
        <v>45855</v>
      </c>
      <c r="O1940" t="s">
        <v>4</v>
      </c>
      <c r="P1940" t="s">
        <v>5285</v>
      </c>
      <c r="Q1940" s="4">
        <v>0.34539351851852002</v>
      </c>
      <c r="R1940" t="s">
        <v>5279</v>
      </c>
      <c r="S1940" t="s">
        <v>4</v>
      </c>
      <c r="T1940" t="s">
        <v>5293</v>
      </c>
      <c r="U1940" t="s">
        <v>10</v>
      </c>
      <c r="V1940" s="5">
        <v>0</v>
      </c>
      <c r="W1940" s="5">
        <v>0</v>
      </c>
      <c r="X1940" s="2">
        <v>0</v>
      </c>
      <c r="Y1940" t="s">
        <v>4</v>
      </c>
      <c r="Z1940" t="s">
        <v>4</v>
      </c>
      <c r="AA1940" t="s">
        <v>4</v>
      </c>
      <c r="AB1940" t="s">
        <v>4</v>
      </c>
    </row>
    <row r="1941" spans="1:28" hidden="1" x14ac:dyDescent="0.2">
      <c r="A1941" t="s">
        <v>1787</v>
      </c>
      <c r="B1941" t="s">
        <v>2</v>
      </c>
      <c r="C1941" t="s">
        <v>3</v>
      </c>
      <c r="D1941" t="s">
        <v>4</v>
      </c>
      <c r="E1941" t="s">
        <v>4</v>
      </c>
      <c r="F1941" t="s">
        <v>5279</v>
      </c>
      <c r="G1941" t="s">
        <v>5283</v>
      </c>
      <c r="H1941" t="s">
        <v>5343</v>
      </c>
      <c r="I1941" s="2">
        <v>5000</v>
      </c>
      <c r="J1941" s="2">
        <v>0</v>
      </c>
      <c r="K1941" s="2">
        <v>0</v>
      </c>
      <c r="L1941" s="3">
        <v>45815</v>
      </c>
      <c r="M1941" s="3">
        <v>45815</v>
      </c>
      <c r="N1941" s="3"/>
      <c r="O1941" t="s">
        <v>4</v>
      </c>
      <c r="P1941" t="s">
        <v>5285</v>
      </c>
      <c r="Q1941" s="4">
        <v>0.81542824074074005</v>
      </c>
      <c r="R1941" t="s">
        <v>5279</v>
      </c>
      <c r="S1941" t="s">
        <v>4</v>
      </c>
      <c r="T1941" t="s">
        <v>5291</v>
      </c>
      <c r="U1941" t="s">
        <v>10</v>
      </c>
      <c r="V1941" s="5">
        <v>0</v>
      </c>
      <c r="W1941" s="5">
        <v>0</v>
      </c>
      <c r="X1941" s="2">
        <v>0</v>
      </c>
      <c r="Y1941" t="s">
        <v>4</v>
      </c>
      <c r="Z1941" t="s">
        <v>4</v>
      </c>
      <c r="AA1941" t="s">
        <v>4</v>
      </c>
      <c r="AB1941" t="s">
        <v>4</v>
      </c>
    </row>
    <row r="1942" spans="1:28" hidden="1" x14ac:dyDescent="0.2">
      <c r="A1942" t="s">
        <v>2251</v>
      </c>
      <c r="B1942" t="s">
        <v>4</v>
      </c>
      <c r="C1942" t="s">
        <v>4</v>
      </c>
      <c r="D1942" t="s">
        <v>4</v>
      </c>
      <c r="E1942" t="s">
        <v>4</v>
      </c>
      <c r="F1942" t="s">
        <v>5279</v>
      </c>
      <c r="G1942" t="s">
        <v>5283</v>
      </c>
      <c r="H1942" t="s">
        <v>5344</v>
      </c>
      <c r="I1942" s="5">
        <v>0</v>
      </c>
      <c r="J1942" s="5">
        <v>0</v>
      </c>
      <c r="K1942" s="5">
        <v>0</v>
      </c>
      <c r="L1942" s="3"/>
      <c r="M1942" s="3"/>
      <c r="N1942" s="3"/>
      <c r="O1942" t="s">
        <v>4</v>
      </c>
      <c r="P1942" t="s">
        <v>5285</v>
      </c>
      <c r="Q1942" s="4">
        <v>0.59903935185184998</v>
      </c>
      <c r="R1942" t="s">
        <v>4</v>
      </c>
      <c r="S1942" t="s">
        <v>4</v>
      </c>
      <c r="T1942" t="s">
        <v>2256</v>
      </c>
      <c r="U1942" t="s">
        <v>4</v>
      </c>
      <c r="V1942" s="5">
        <v>0</v>
      </c>
      <c r="W1942" s="5">
        <v>0</v>
      </c>
      <c r="X1942" s="2">
        <v>0</v>
      </c>
      <c r="Y1942" t="s">
        <v>4</v>
      </c>
      <c r="Z1942" t="s">
        <v>4</v>
      </c>
      <c r="AA1942" t="s">
        <v>4</v>
      </c>
      <c r="AB1942" t="s">
        <v>4</v>
      </c>
    </row>
    <row r="1943" spans="1:28" hidden="1" x14ac:dyDescent="0.2">
      <c r="A1943" t="s">
        <v>1742</v>
      </c>
      <c r="B1943" t="s">
        <v>2</v>
      </c>
      <c r="C1943" t="s">
        <v>3</v>
      </c>
      <c r="D1943" t="s">
        <v>4</v>
      </c>
      <c r="E1943" t="s">
        <v>4</v>
      </c>
      <c r="F1943" t="s">
        <v>5279</v>
      </c>
      <c r="G1943" t="s">
        <v>5327</v>
      </c>
      <c r="H1943" t="s">
        <v>5345</v>
      </c>
      <c r="I1943" s="2">
        <v>3500</v>
      </c>
      <c r="J1943" s="2">
        <v>0</v>
      </c>
      <c r="K1943" s="2">
        <v>0</v>
      </c>
      <c r="L1943" s="3">
        <v>45117</v>
      </c>
      <c r="M1943" s="3">
        <v>45850</v>
      </c>
      <c r="N1943" s="3">
        <v>45733</v>
      </c>
      <c r="O1943" t="s">
        <v>4</v>
      </c>
      <c r="P1943" t="s">
        <v>5285</v>
      </c>
      <c r="Q1943" s="4">
        <v>0.77835648148147996</v>
      </c>
      <c r="R1943" t="s">
        <v>5279</v>
      </c>
      <c r="S1943" t="s">
        <v>4</v>
      </c>
      <c r="T1943" t="s">
        <v>5346</v>
      </c>
      <c r="U1943" t="s">
        <v>10</v>
      </c>
      <c r="V1943" s="5">
        <v>0</v>
      </c>
      <c r="W1943" s="5">
        <v>0</v>
      </c>
      <c r="X1943" s="2">
        <v>0</v>
      </c>
      <c r="Y1943" t="s">
        <v>4</v>
      </c>
      <c r="Z1943" t="s">
        <v>4</v>
      </c>
      <c r="AA1943" t="s">
        <v>4</v>
      </c>
      <c r="AB1943" t="s">
        <v>4</v>
      </c>
    </row>
    <row r="1944" spans="1:28" hidden="1" x14ac:dyDescent="0.2">
      <c r="A1944" t="s">
        <v>338</v>
      </c>
      <c r="B1944" t="s">
        <v>2</v>
      </c>
      <c r="C1944" t="s">
        <v>3</v>
      </c>
      <c r="D1944" t="s">
        <v>4</v>
      </c>
      <c r="E1944" t="s">
        <v>4</v>
      </c>
      <c r="F1944" t="s">
        <v>5279</v>
      </c>
      <c r="G1944" t="s">
        <v>5327</v>
      </c>
      <c r="H1944" t="s">
        <v>5345</v>
      </c>
      <c r="I1944" s="2">
        <v>400</v>
      </c>
      <c r="J1944" s="2">
        <v>0</v>
      </c>
      <c r="K1944" s="2">
        <v>0</v>
      </c>
      <c r="L1944" s="3">
        <v>45774</v>
      </c>
      <c r="M1944" s="3">
        <v>45774</v>
      </c>
      <c r="N1944" s="3"/>
      <c r="O1944" t="s">
        <v>4</v>
      </c>
      <c r="P1944" t="s">
        <v>5285</v>
      </c>
      <c r="Q1944" s="4">
        <v>0.77835648148147996</v>
      </c>
      <c r="R1944" t="s">
        <v>5279</v>
      </c>
      <c r="S1944" t="s">
        <v>4</v>
      </c>
      <c r="T1944" t="s">
        <v>4464</v>
      </c>
      <c r="U1944" t="s">
        <v>10</v>
      </c>
      <c r="V1944" s="5">
        <v>0</v>
      </c>
      <c r="W1944" s="5">
        <v>0</v>
      </c>
      <c r="X1944" s="2">
        <v>0</v>
      </c>
      <c r="Y1944" t="s">
        <v>4</v>
      </c>
      <c r="Z1944" t="s">
        <v>4</v>
      </c>
      <c r="AA1944" t="s">
        <v>4</v>
      </c>
      <c r="AB1944" t="s">
        <v>4</v>
      </c>
    </row>
    <row r="1945" spans="1:28" hidden="1" x14ac:dyDescent="0.2">
      <c r="A1945" t="s">
        <v>1638</v>
      </c>
      <c r="B1945" t="s">
        <v>2</v>
      </c>
      <c r="C1945" t="s">
        <v>3</v>
      </c>
      <c r="D1945" t="s">
        <v>4</v>
      </c>
      <c r="E1945" t="s">
        <v>4</v>
      </c>
      <c r="F1945" t="s">
        <v>5279</v>
      </c>
      <c r="G1945" t="s">
        <v>5327</v>
      </c>
      <c r="H1945" t="s">
        <v>5347</v>
      </c>
      <c r="I1945" s="2">
        <v>934</v>
      </c>
      <c r="J1945" s="2">
        <v>0</v>
      </c>
      <c r="K1945" s="2">
        <v>0</v>
      </c>
      <c r="L1945" s="3">
        <v>45653</v>
      </c>
      <c r="M1945" s="3">
        <v>45724</v>
      </c>
      <c r="N1945" s="3">
        <v>45724</v>
      </c>
      <c r="O1945" t="s">
        <v>4</v>
      </c>
      <c r="P1945" t="s">
        <v>5285</v>
      </c>
      <c r="Q1945" s="4">
        <v>0.60054398148148003</v>
      </c>
      <c r="R1945" t="s">
        <v>5279</v>
      </c>
      <c r="S1945" t="s">
        <v>4</v>
      </c>
      <c r="T1945" t="s">
        <v>5293</v>
      </c>
      <c r="U1945" t="s">
        <v>10</v>
      </c>
      <c r="V1945" s="5">
        <v>0</v>
      </c>
      <c r="W1945" s="5">
        <v>0</v>
      </c>
      <c r="X1945" s="2">
        <v>0</v>
      </c>
      <c r="Y1945" t="s">
        <v>4</v>
      </c>
      <c r="Z1945" t="s">
        <v>4</v>
      </c>
      <c r="AA1945" t="s">
        <v>4</v>
      </c>
      <c r="AB1945" t="s">
        <v>4</v>
      </c>
    </row>
    <row r="1946" spans="1:28" hidden="1" x14ac:dyDescent="0.2">
      <c r="A1946" t="s">
        <v>1654</v>
      </c>
      <c r="B1946" t="s">
        <v>2</v>
      </c>
      <c r="C1946" t="s">
        <v>3</v>
      </c>
      <c r="D1946" t="s">
        <v>4</v>
      </c>
      <c r="E1946" t="s">
        <v>4</v>
      </c>
      <c r="F1946" t="s">
        <v>5279</v>
      </c>
      <c r="G1946" t="s">
        <v>5327</v>
      </c>
      <c r="H1946" t="s">
        <v>5347</v>
      </c>
      <c r="I1946" s="2">
        <v>797</v>
      </c>
      <c r="J1946" s="2">
        <v>0</v>
      </c>
      <c r="K1946" s="2">
        <v>0</v>
      </c>
      <c r="L1946" s="3">
        <v>45700</v>
      </c>
      <c r="M1946" s="3">
        <v>45831</v>
      </c>
      <c r="N1946" s="3">
        <v>45831</v>
      </c>
      <c r="O1946" t="s">
        <v>4</v>
      </c>
      <c r="P1946" t="s">
        <v>5285</v>
      </c>
      <c r="Q1946" s="4">
        <v>0.60054398148148003</v>
      </c>
      <c r="R1946" t="s">
        <v>5279</v>
      </c>
      <c r="S1946" t="s">
        <v>4</v>
      </c>
      <c r="T1946" t="s">
        <v>5348</v>
      </c>
      <c r="U1946" t="s">
        <v>10</v>
      </c>
      <c r="V1946" s="5">
        <v>0</v>
      </c>
      <c r="W1946" s="5">
        <v>0</v>
      </c>
      <c r="X1946" s="2">
        <v>0</v>
      </c>
      <c r="Y1946" t="s">
        <v>4</v>
      </c>
      <c r="Z1946" t="s">
        <v>4</v>
      </c>
      <c r="AA1946" t="s">
        <v>4</v>
      </c>
      <c r="AB1946" t="s">
        <v>4</v>
      </c>
    </row>
    <row r="1947" spans="1:28" hidden="1" x14ac:dyDescent="0.2">
      <c r="A1947" t="s">
        <v>2251</v>
      </c>
      <c r="B1947" t="s">
        <v>4</v>
      </c>
      <c r="C1947" t="s">
        <v>4</v>
      </c>
      <c r="D1947" t="s">
        <v>4</v>
      </c>
      <c r="E1947" t="s">
        <v>4</v>
      </c>
      <c r="F1947" t="s">
        <v>5279</v>
      </c>
      <c r="G1947" t="s">
        <v>5327</v>
      </c>
      <c r="H1947" t="s">
        <v>5349</v>
      </c>
      <c r="I1947" s="5">
        <v>0</v>
      </c>
      <c r="J1947" s="5">
        <v>0</v>
      </c>
      <c r="K1947" s="5">
        <v>0</v>
      </c>
      <c r="L1947" s="3"/>
      <c r="M1947" s="3"/>
      <c r="N1947" s="3"/>
      <c r="O1947" t="s">
        <v>4</v>
      </c>
      <c r="P1947" t="s">
        <v>5285</v>
      </c>
      <c r="Q1947" s="4">
        <v>0.92346064814814999</v>
      </c>
      <c r="R1947" t="s">
        <v>4</v>
      </c>
      <c r="S1947" t="s">
        <v>4</v>
      </c>
      <c r="T1947" t="s">
        <v>2256</v>
      </c>
      <c r="U1947" t="s">
        <v>4</v>
      </c>
      <c r="V1947" s="5">
        <v>0</v>
      </c>
      <c r="W1947" s="5">
        <v>0</v>
      </c>
      <c r="X1947" s="2">
        <v>0</v>
      </c>
      <c r="Y1947" t="s">
        <v>4</v>
      </c>
      <c r="Z1947" t="s">
        <v>4</v>
      </c>
      <c r="AA1947" t="s">
        <v>4</v>
      </c>
      <c r="AB1947" t="s">
        <v>4</v>
      </c>
    </row>
    <row r="1948" spans="1:28" hidden="1" x14ac:dyDescent="0.2">
      <c r="A1948" t="s">
        <v>1737</v>
      </c>
      <c r="B1948" t="s">
        <v>2</v>
      </c>
      <c r="C1948" t="s">
        <v>3</v>
      </c>
      <c r="D1948" t="s">
        <v>4</v>
      </c>
      <c r="E1948" t="s">
        <v>4</v>
      </c>
      <c r="F1948" t="s">
        <v>5279</v>
      </c>
      <c r="G1948" t="s">
        <v>5327</v>
      </c>
      <c r="H1948" t="s">
        <v>5350</v>
      </c>
      <c r="I1948" s="2">
        <v>2000</v>
      </c>
      <c r="J1948" s="2">
        <v>0</v>
      </c>
      <c r="K1948" s="2">
        <v>0</v>
      </c>
      <c r="L1948" s="3">
        <v>45737</v>
      </c>
      <c r="M1948" s="3">
        <v>45819</v>
      </c>
      <c r="N1948" s="3"/>
      <c r="O1948" t="s">
        <v>4</v>
      </c>
      <c r="P1948" t="s">
        <v>5285</v>
      </c>
      <c r="Q1948" s="4">
        <v>0.59131944444443996</v>
      </c>
      <c r="R1948" t="s">
        <v>5279</v>
      </c>
      <c r="S1948" t="s">
        <v>4</v>
      </c>
      <c r="T1948" t="s">
        <v>4397</v>
      </c>
      <c r="U1948" t="s">
        <v>10</v>
      </c>
      <c r="V1948" s="5">
        <v>0</v>
      </c>
      <c r="W1948" s="5">
        <v>0</v>
      </c>
      <c r="X1948" s="2">
        <v>0</v>
      </c>
      <c r="Y1948" t="s">
        <v>2351</v>
      </c>
      <c r="Z1948" t="s">
        <v>2351</v>
      </c>
      <c r="AA1948" t="s">
        <v>2351</v>
      </c>
      <c r="AB1948" t="s">
        <v>2351</v>
      </c>
    </row>
    <row r="1949" spans="1:28" hidden="1" x14ac:dyDescent="0.2">
      <c r="A1949" t="s">
        <v>1803</v>
      </c>
      <c r="B1949" t="s">
        <v>2</v>
      </c>
      <c r="C1949" t="s">
        <v>3</v>
      </c>
      <c r="D1949" t="s">
        <v>4</v>
      </c>
      <c r="E1949" t="s">
        <v>4</v>
      </c>
      <c r="F1949" t="s">
        <v>5279</v>
      </c>
      <c r="G1949" t="s">
        <v>5327</v>
      </c>
      <c r="H1949" t="s">
        <v>5351</v>
      </c>
      <c r="I1949" s="2">
        <v>1000</v>
      </c>
      <c r="J1949" s="2">
        <v>0</v>
      </c>
      <c r="K1949" s="2">
        <v>0</v>
      </c>
      <c r="L1949" s="3">
        <v>45769</v>
      </c>
      <c r="M1949" s="3">
        <v>45843</v>
      </c>
      <c r="N1949" s="3">
        <v>45843</v>
      </c>
      <c r="O1949" t="s">
        <v>4</v>
      </c>
      <c r="P1949" t="s">
        <v>5285</v>
      </c>
      <c r="Q1949" s="4">
        <v>0.69456018518519003</v>
      </c>
      <c r="R1949" t="s">
        <v>5279</v>
      </c>
      <c r="S1949" t="s">
        <v>4</v>
      </c>
      <c r="T1949" t="s">
        <v>5287</v>
      </c>
      <c r="U1949" t="s">
        <v>5282</v>
      </c>
      <c r="V1949" s="5">
        <v>0</v>
      </c>
      <c r="W1949" s="5">
        <v>0</v>
      </c>
      <c r="X1949" s="2">
        <v>0</v>
      </c>
      <c r="Y1949" t="s">
        <v>4</v>
      </c>
      <c r="Z1949" t="s">
        <v>4</v>
      </c>
      <c r="AA1949" t="s">
        <v>4</v>
      </c>
      <c r="AB1949" t="s">
        <v>4</v>
      </c>
    </row>
    <row r="1950" spans="1:28" hidden="1" x14ac:dyDescent="0.2">
      <c r="A1950" t="s">
        <v>1722</v>
      </c>
      <c r="B1950" t="s">
        <v>2</v>
      </c>
      <c r="C1950" t="s">
        <v>3</v>
      </c>
      <c r="D1950" t="s">
        <v>4</v>
      </c>
      <c r="E1950" t="s">
        <v>4</v>
      </c>
      <c r="F1950" t="s">
        <v>5279</v>
      </c>
      <c r="G1950" t="s">
        <v>5327</v>
      </c>
      <c r="H1950" t="s">
        <v>5352</v>
      </c>
      <c r="I1950" s="2">
        <v>12000</v>
      </c>
      <c r="J1950" s="2">
        <v>0</v>
      </c>
      <c r="K1950" s="2">
        <v>0</v>
      </c>
      <c r="L1950" s="3">
        <v>45842</v>
      </c>
      <c r="M1950" s="3">
        <v>45842</v>
      </c>
      <c r="N1950" s="3"/>
      <c r="O1950" t="s">
        <v>4</v>
      </c>
      <c r="P1950" t="s">
        <v>5285</v>
      </c>
      <c r="Q1950" s="4">
        <v>0.38045138888889002</v>
      </c>
      <c r="R1950" t="s">
        <v>5279</v>
      </c>
      <c r="S1950" t="s">
        <v>4</v>
      </c>
      <c r="T1950" t="s">
        <v>2610</v>
      </c>
      <c r="U1950" t="s">
        <v>10</v>
      </c>
      <c r="V1950" s="5">
        <v>0</v>
      </c>
      <c r="W1950" s="5">
        <v>0</v>
      </c>
      <c r="X1950" s="2">
        <v>0</v>
      </c>
      <c r="Y1950" t="s">
        <v>4</v>
      </c>
      <c r="Z1950" t="s">
        <v>4</v>
      </c>
      <c r="AA1950" t="s">
        <v>4</v>
      </c>
      <c r="AB1950" t="s">
        <v>4</v>
      </c>
    </row>
    <row r="1951" spans="1:28" hidden="1" x14ac:dyDescent="0.2">
      <c r="A1951" t="s">
        <v>2251</v>
      </c>
      <c r="B1951" t="s">
        <v>4</v>
      </c>
      <c r="C1951" t="s">
        <v>4</v>
      </c>
      <c r="D1951" t="s">
        <v>4</v>
      </c>
      <c r="E1951" t="s">
        <v>4</v>
      </c>
      <c r="F1951" t="s">
        <v>5279</v>
      </c>
      <c r="G1951" t="s">
        <v>5283</v>
      </c>
      <c r="H1951" t="s">
        <v>5353</v>
      </c>
      <c r="I1951" s="5">
        <v>0</v>
      </c>
      <c r="J1951" s="5">
        <v>0</v>
      </c>
      <c r="K1951" s="5">
        <v>0</v>
      </c>
      <c r="L1951" s="3"/>
      <c r="M1951" s="3"/>
      <c r="N1951" s="3"/>
      <c r="O1951" t="s">
        <v>4</v>
      </c>
      <c r="P1951" t="s">
        <v>5285</v>
      </c>
      <c r="Q1951" s="4">
        <v>0.45747685185185</v>
      </c>
      <c r="R1951" t="s">
        <v>4</v>
      </c>
      <c r="S1951" t="s">
        <v>4</v>
      </c>
      <c r="T1951" t="s">
        <v>2256</v>
      </c>
      <c r="U1951" t="s">
        <v>4</v>
      </c>
      <c r="V1951" s="5">
        <v>0</v>
      </c>
      <c r="W1951" s="5">
        <v>0</v>
      </c>
      <c r="X1951" s="2">
        <v>0</v>
      </c>
      <c r="Y1951" t="s">
        <v>4</v>
      </c>
      <c r="Z1951" t="s">
        <v>4</v>
      </c>
      <c r="AA1951" t="s">
        <v>4</v>
      </c>
      <c r="AB1951" t="s">
        <v>4</v>
      </c>
    </row>
    <row r="1952" spans="1:28" hidden="1" x14ac:dyDescent="0.2">
      <c r="A1952" t="s">
        <v>1645</v>
      </c>
      <c r="B1952" t="s">
        <v>2</v>
      </c>
      <c r="C1952" t="s">
        <v>3</v>
      </c>
      <c r="D1952" t="s">
        <v>4</v>
      </c>
      <c r="E1952" t="s">
        <v>4</v>
      </c>
      <c r="F1952" t="s">
        <v>5279</v>
      </c>
      <c r="G1952" t="s">
        <v>5327</v>
      </c>
      <c r="H1952" t="s">
        <v>5354</v>
      </c>
      <c r="I1952" s="2">
        <v>1557</v>
      </c>
      <c r="J1952" s="2">
        <v>0</v>
      </c>
      <c r="K1952" s="2">
        <v>0</v>
      </c>
      <c r="L1952" s="3">
        <v>44763</v>
      </c>
      <c r="M1952" s="3">
        <v>45348</v>
      </c>
      <c r="N1952" s="3">
        <v>45348</v>
      </c>
      <c r="O1952" t="s">
        <v>4</v>
      </c>
      <c r="P1952" t="s">
        <v>5285</v>
      </c>
      <c r="Q1952" s="4">
        <v>0.70218749999999996</v>
      </c>
      <c r="R1952" t="s">
        <v>5279</v>
      </c>
      <c r="S1952" t="s">
        <v>4</v>
      </c>
      <c r="T1952" t="s">
        <v>5355</v>
      </c>
      <c r="U1952" t="s">
        <v>4</v>
      </c>
      <c r="V1952" s="5">
        <v>0</v>
      </c>
      <c r="W1952" s="5">
        <v>0</v>
      </c>
      <c r="X1952" s="2">
        <v>0</v>
      </c>
      <c r="Y1952" t="s">
        <v>4</v>
      </c>
      <c r="Z1952" t="s">
        <v>4</v>
      </c>
      <c r="AA1952" t="s">
        <v>4</v>
      </c>
      <c r="AB1952" t="s">
        <v>4</v>
      </c>
    </row>
    <row r="1953" spans="1:28" hidden="1" x14ac:dyDescent="0.2">
      <c r="A1953" t="s">
        <v>1679</v>
      </c>
      <c r="B1953" t="s">
        <v>2</v>
      </c>
      <c r="C1953" t="s">
        <v>3</v>
      </c>
      <c r="D1953" t="s">
        <v>4</v>
      </c>
      <c r="E1953" t="s">
        <v>4</v>
      </c>
      <c r="F1953" t="s">
        <v>5279</v>
      </c>
      <c r="G1953" t="s">
        <v>5327</v>
      </c>
      <c r="H1953" t="s">
        <v>5354</v>
      </c>
      <c r="I1953" s="2">
        <v>89</v>
      </c>
      <c r="J1953" s="2">
        <v>0</v>
      </c>
      <c r="K1953" s="2">
        <v>0</v>
      </c>
      <c r="L1953" s="3">
        <v>45629</v>
      </c>
      <c r="M1953" s="3">
        <v>45849</v>
      </c>
      <c r="N1953" s="3">
        <v>45849</v>
      </c>
      <c r="O1953" t="s">
        <v>4</v>
      </c>
      <c r="P1953" t="s">
        <v>5285</v>
      </c>
      <c r="Q1953" s="4">
        <v>0.70218749999999996</v>
      </c>
      <c r="R1953" t="s">
        <v>5279</v>
      </c>
      <c r="S1953" t="s">
        <v>4</v>
      </c>
      <c r="T1953" t="s">
        <v>5356</v>
      </c>
      <c r="U1953" t="s">
        <v>4</v>
      </c>
      <c r="V1953" s="5">
        <v>0</v>
      </c>
      <c r="W1953" s="5">
        <v>0</v>
      </c>
      <c r="X1953" s="2">
        <v>0</v>
      </c>
      <c r="Y1953" t="s">
        <v>4</v>
      </c>
      <c r="Z1953" t="s">
        <v>4</v>
      </c>
      <c r="AA1953" t="s">
        <v>4</v>
      </c>
      <c r="AB1953" t="s">
        <v>4</v>
      </c>
    </row>
    <row r="1954" spans="1:28" hidden="1" x14ac:dyDescent="0.2">
      <c r="A1954" t="s">
        <v>2251</v>
      </c>
      <c r="B1954" t="s">
        <v>4</v>
      </c>
      <c r="C1954" t="s">
        <v>4</v>
      </c>
      <c r="D1954" t="s">
        <v>4</v>
      </c>
      <c r="E1954" t="s">
        <v>4</v>
      </c>
      <c r="F1954" t="s">
        <v>5279</v>
      </c>
      <c r="G1954" t="s">
        <v>5283</v>
      </c>
      <c r="H1954" t="s">
        <v>5357</v>
      </c>
      <c r="I1954" s="5">
        <v>0</v>
      </c>
      <c r="J1954" s="5">
        <v>0</v>
      </c>
      <c r="K1954" s="5">
        <v>0</v>
      </c>
      <c r="L1954" s="3"/>
      <c r="M1954" s="3"/>
      <c r="N1954" s="3"/>
      <c r="O1954" t="s">
        <v>4</v>
      </c>
      <c r="P1954" t="s">
        <v>5285</v>
      </c>
      <c r="Q1954" s="4">
        <v>0.53469907407407002</v>
      </c>
      <c r="R1954" t="s">
        <v>4</v>
      </c>
      <c r="S1954" t="s">
        <v>4</v>
      </c>
      <c r="T1954" t="s">
        <v>2256</v>
      </c>
      <c r="U1954" t="s">
        <v>4</v>
      </c>
      <c r="V1954" s="5">
        <v>0</v>
      </c>
      <c r="W1954" s="5">
        <v>0</v>
      </c>
      <c r="X1954" s="2">
        <v>0</v>
      </c>
      <c r="Y1954" t="s">
        <v>4</v>
      </c>
      <c r="Z1954" t="s">
        <v>4</v>
      </c>
      <c r="AA1954" t="s">
        <v>4</v>
      </c>
      <c r="AB1954" t="s">
        <v>4</v>
      </c>
    </row>
    <row r="1955" spans="1:28" hidden="1" x14ac:dyDescent="0.2">
      <c r="A1955" t="s">
        <v>2251</v>
      </c>
      <c r="B1955" t="s">
        <v>4</v>
      </c>
      <c r="C1955" t="s">
        <v>4</v>
      </c>
      <c r="D1955" t="s">
        <v>4</v>
      </c>
      <c r="E1955" t="s">
        <v>4</v>
      </c>
      <c r="F1955" t="s">
        <v>5279</v>
      </c>
      <c r="G1955" t="s">
        <v>5283</v>
      </c>
      <c r="H1955" t="s">
        <v>5358</v>
      </c>
      <c r="I1955" s="5">
        <v>0</v>
      </c>
      <c r="J1955" s="5">
        <v>0</v>
      </c>
      <c r="K1955" s="5">
        <v>0</v>
      </c>
      <c r="L1955" s="3"/>
      <c r="M1955" s="3"/>
      <c r="N1955" s="3"/>
      <c r="O1955" t="s">
        <v>4</v>
      </c>
      <c r="P1955" t="s">
        <v>5285</v>
      </c>
      <c r="Q1955" s="4">
        <v>0.89440972222222004</v>
      </c>
      <c r="R1955" t="s">
        <v>4</v>
      </c>
      <c r="S1955" t="s">
        <v>4</v>
      </c>
      <c r="T1955" t="s">
        <v>2256</v>
      </c>
      <c r="U1955" t="s">
        <v>4</v>
      </c>
      <c r="V1955" s="5">
        <v>0</v>
      </c>
      <c r="W1955" s="5">
        <v>0</v>
      </c>
      <c r="X1955" s="2">
        <v>0</v>
      </c>
      <c r="Y1955" t="s">
        <v>4</v>
      </c>
      <c r="Z1955" t="s">
        <v>4</v>
      </c>
      <c r="AA1955" t="s">
        <v>4</v>
      </c>
      <c r="AB1955" t="s">
        <v>4</v>
      </c>
    </row>
    <row r="1956" spans="1:28" hidden="1" x14ac:dyDescent="0.2">
      <c r="A1956" t="s">
        <v>2251</v>
      </c>
      <c r="B1956" t="s">
        <v>4</v>
      </c>
      <c r="C1956" t="s">
        <v>4</v>
      </c>
      <c r="D1956" t="s">
        <v>4</v>
      </c>
      <c r="E1956" t="s">
        <v>4</v>
      </c>
      <c r="F1956" t="s">
        <v>5279</v>
      </c>
      <c r="G1956" t="s">
        <v>5283</v>
      </c>
      <c r="H1956" t="s">
        <v>5359</v>
      </c>
      <c r="I1956" s="5">
        <v>0</v>
      </c>
      <c r="J1956" s="5">
        <v>0</v>
      </c>
      <c r="K1956" s="5">
        <v>0</v>
      </c>
      <c r="L1956" s="3"/>
      <c r="M1956" s="3"/>
      <c r="N1956" s="3"/>
      <c r="O1956" t="s">
        <v>4</v>
      </c>
      <c r="P1956" t="s">
        <v>5285</v>
      </c>
      <c r="Q1956" s="4">
        <v>0</v>
      </c>
      <c r="R1956" t="s">
        <v>4</v>
      </c>
      <c r="S1956" t="s">
        <v>4</v>
      </c>
      <c r="T1956" t="s">
        <v>2256</v>
      </c>
      <c r="U1956" t="s">
        <v>4</v>
      </c>
      <c r="V1956" s="5">
        <v>0</v>
      </c>
      <c r="W1956" s="5">
        <v>0</v>
      </c>
      <c r="X1956" s="2">
        <v>0</v>
      </c>
      <c r="Y1956" t="s">
        <v>4</v>
      </c>
      <c r="Z1956" t="s">
        <v>4</v>
      </c>
      <c r="AA1956" t="s">
        <v>4</v>
      </c>
      <c r="AB1956" t="s">
        <v>4</v>
      </c>
    </row>
    <row r="1957" spans="1:28" hidden="1" x14ac:dyDescent="0.2">
      <c r="A1957" t="s">
        <v>1955</v>
      </c>
      <c r="B1957" t="s">
        <v>2</v>
      </c>
      <c r="C1957" t="s">
        <v>3</v>
      </c>
      <c r="D1957" t="s">
        <v>4</v>
      </c>
      <c r="E1957" t="s">
        <v>4</v>
      </c>
      <c r="F1957" t="s">
        <v>5279</v>
      </c>
      <c r="G1957" t="s">
        <v>5327</v>
      </c>
      <c r="H1957" t="s">
        <v>5360</v>
      </c>
      <c r="I1957" s="2">
        <v>17100</v>
      </c>
      <c r="J1957" s="2">
        <v>0</v>
      </c>
      <c r="K1957" s="2">
        <v>0</v>
      </c>
      <c r="L1957" s="3">
        <v>45834</v>
      </c>
      <c r="M1957" s="3">
        <v>45839</v>
      </c>
      <c r="N1957" s="3">
        <v>45839</v>
      </c>
      <c r="O1957" t="s">
        <v>4</v>
      </c>
      <c r="P1957" t="s">
        <v>5285</v>
      </c>
      <c r="Q1957" s="4">
        <v>0.38074074074073999</v>
      </c>
      <c r="R1957" t="s">
        <v>5279</v>
      </c>
      <c r="S1957" t="s">
        <v>4</v>
      </c>
      <c r="T1957" t="s">
        <v>2817</v>
      </c>
      <c r="U1957" t="s">
        <v>5282</v>
      </c>
      <c r="V1957" s="5">
        <v>0</v>
      </c>
      <c r="W1957" s="5">
        <v>0</v>
      </c>
      <c r="X1957" s="2">
        <v>0</v>
      </c>
      <c r="Y1957" t="s">
        <v>4</v>
      </c>
      <c r="Z1957" t="s">
        <v>4</v>
      </c>
      <c r="AA1957" t="s">
        <v>4</v>
      </c>
      <c r="AB1957" t="s">
        <v>4</v>
      </c>
    </row>
    <row r="1958" spans="1:28" hidden="1" x14ac:dyDescent="0.2">
      <c r="A1958" t="s">
        <v>1648</v>
      </c>
      <c r="B1958" t="s">
        <v>2</v>
      </c>
      <c r="C1958" t="s">
        <v>3</v>
      </c>
      <c r="D1958" t="s">
        <v>4</v>
      </c>
      <c r="E1958" t="s">
        <v>4</v>
      </c>
      <c r="F1958" t="s">
        <v>5279</v>
      </c>
      <c r="G1958" t="s">
        <v>5327</v>
      </c>
      <c r="H1958" t="s">
        <v>5361</v>
      </c>
      <c r="I1958" s="2">
        <v>958</v>
      </c>
      <c r="J1958" s="2">
        <v>0</v>
      </c>
      <c r="K1958" s="2">
        <v>0</v>
      </c>
      <c r="L1958" s="3">
        <v>44936</v>
      </c>
      <c r="M1958" s="3">
        <v>45726</v>
      </c>
      <c r="N1958" s="3">
        <v>45726</v>
      </c>
      <c r="O1958" t="s">
        <v>4</v>
      </c>
      <c r="P1958" t="s">
        <v>5285</v>
      </c>
      <c r="Q1958" s="4">
        <v>0.57755787037036999</v>
      </c>
      <c r="R1958" t="s">
        <v>5279</v>
      </c>
      <c r="S1958" t="s">
        <v>4</v>
      </c>
      <c r="T1958" t="s">
        <v>5362</v>
      </c>
      <c r="U1958" t="s">
        <v>4</v>
      </c>
      <c r="V1958" s="5">
        <v>0</v>
      </c>
      <c r="W1958" s="5">
        <v>0</v>
      </c>
      <c r="X1958" s="2">
        <v>0</v>
      </c>
      <c r="Y1958" t="s">
        <v>4</v>
      </c>
      <c r="Z1958" t="s">
        <v>4</v>
      </c>
      <c r="AA1958" t="s">
        <v>4</v>
      </c>
      <c r="AB1958" t="s">
        <v>4</v>
      </c>
    </row>
    <row r="1959" spans="1:28" hidden="1" x14ac:dyDescent="0.2">
      <c r="A1959" t="s">
        <v>1659</v>
      </c>
      <c r="B1959" t="s">
        <v>2</v>
      </c>
      <c r="C1959" t="s">
        <v>3</v>
      </c>
      <c r="D1959" t="s">
        <v>4</v>
      </c>
      <c r="E1959" t="s">
        <v>4</v>
      </c>
      <c r="F1959" t="s">
        <v>5279</v>
      </c>
      <c r="G1959" t="s">
        <v>5327</v>
      </c>
      <c r="H1959" t="s">
        <v>5361</v>
      </c>
      <c r="I1959" s="2">
        <v>636</v>
      </c>
      <c r="J1959" s="2">
        <v>0</v>
      </c>
      <c r="K1959" s="2">
        <v>0</v>
      </c>
      <c r="L1959" s="3">
        <v>45608</v>
      </c>
      <c r="M1959" s="3">
        <v>45831</v>
      </c>
      <c r="N1959" s="3">
        <v>45831</v>
      </c>
      <c r="O1959" t="s">
        <v>4</v>
      </c>
      <c r="P1959" t="s">
        <v>5285</v>
      </c>
      <c r="Q1959" s="4">
        <v>0.57755787037036999</v>
      </c>
      <c r="R1959" t="s">
        <v>5279</v>
      </c>
      <c r="S1959" t="s">
        <v>4</v>
      </c>
      <c r="T1959" t="s">
        <v>5363</v>
      </c>
      <c r="U1959" t="s">
        <v>10</v>
      </c>
      <c r="V1959" s="5">
        <v>0</v>
      </c>
      <c r="W1959" s="5">
        <v>0</v>
      </c>
      <c r="X1959" s="2">
        <v>0</v>
      </c>
      <c r="Y1959" t="s">
        <v>4</v>
      </c>
      <c r="Z1959" t="s">
        <v>4</v>
      </c>
      <c r="AA1959" t="s">
        <v>4</v>
      </c>
      <c r="AB1959" t="s">
        <v>4</v>
      </c>
    </row>
    <row r="1960" spans="1:28" hidden="1" x14ac:dyDescent="0.2">
      <c r="A1960" t="s">
        <v>1588</v>
      </c>
      <c r="B1960" t="s">
        <v>2</v>
      </c>
      <c r="C1960" t="s">
        <v>3</v>
      </c>
      <c r="D1960" t="s">
        <v>4</v>
      </c>
      <c r="E1960" t="s">
        <v>4</v>
      </c>
      <c r="F1960" t="s">
        <v>5279</v>
      </c>
      <c r="G1960" t="s">
        <v>5327</v>
      </c>
      <c r="H1960" t="s">
        <v>5364</v>
      </c>
      <c r="I1960" s="2">
        <v>1090</v>
      </c>
      <c r="J1960" s="2">
        <v>0</v>
      </c>
      <c r="K1960" s="2">
        <v>0</v>
      </c>
      <c r="L1960" s="3">
        <v>45653</v>
      </c>
      <c r="M1960" s="3">
        <v>45805</v>
      </c>
      <c r="N1960" s="3">
        <v>45805</v>
      </c>
      <c r="O1960" t="s">
        <v>4</v>
      </c>
      <c r="P1960" t="s">
        <v>5285</v>
      </c>
      <c r="Q1960" s="4">
        <v>0.55285879629629997</v>
      </c>
      <c r="R1960" t="s">
        <v>5279</v>
      </c>
      <c r="S1960" t="s">
        <v>4</v>
      </c>
      <c r="T1960" t="s">
        <v>5293</v>
      </c>
      <c r="U1960" t="s">
        <v>10</v>
      </c>
      <c r="V1960" s="5">
        <v>0</v>
      </c>
      <c r="W1960" s="5">
        <v>0</v>
      </c>
      <c r="X1960" s="2">
        <v>0</v>
      </c>
      <c r="Y1960" t="s">
        <v>4</v>
      </c>
      <c r="Z1960" t="s">
        <v>4</v>
      </c>
      <c r="AA1960" t="s">
        <v>4</v>
      </c>
      <c r="AB1960" t="s">
        <v>4</v>
      </c>
    </row>
    <row r="1961" spans="1:28" hidden="1" x14ac:dyDescent="0.2">
      <c r="A1961" t="s">
        <v>2251</v>
      </c>
      <c r="B1961" t="s">
        <v>4</v>
      </c>
      <c r="C1961" t="s">
        <v>4</v>
      </c>
      <c r="D1961" t="s">
        <v>4</v>
      </c>
      <c r="E1961" t="s">
        <v>4</v>
      </c>
      <c r="F1961" t="s">
        <v>5279</v>
      </c>
      <c r="G1961" t="s">
        <v>5327</v>
      </c>
      <c r="H1961" t="s">
        <v>5365</v>
      </c>
      <c r="I1961" s="5">
        <v>0</v>
      </c>
      <c r="J1961" s="5">
        <v>0</v>
      </c>
      <c r="K1961" s="5">
        <v>0</v>
      </c>
      <c r="L1961" s="3"/>
      <c r="M1961" s="3"/>
      <c r="N1961" s="3"/>
      <c r="O1961" t="s">
        <v>4</v>
      </c>
      <c r="P1961" t="s">
        <v>5285</v>
      </c>
      <c r="Q1961" s="4">
        <v>0.58729166666666999</v>
      </c>
      <c r="R1961" t="s">
        <v>4</v>
      </c>
      <c r="S1961" t="s">
        <v>4</v>
      </c>
      <c r="T1961" t="s">
        <v>2256</v>
      </c>
      <c r="U1961" t="s">
        <v>4</v>
      </c>
      <c r="V1961" s="5">
        <v>0</v>
      </c>
      <c r="W1961" s="5">
        <v>0</v>
      </c>
      <c r="X1961" s="2">
        <v>0</v>
      </c>
      <c r="Y1961" t="s">
        <v>4</v>
      </c>
      <c r="Z1961" t="s">
        <v>4</v>
      </c>
      <c r="AA1961" t="s">
        <v>4</v>
      </c>
      <c r="AB1961" t="s">
        <v>4</v>
      </c>
    </row>
    <row r="1962" spans="1:28" hidden="1" x14ac:dyDescent="0.2">
      <c r="A1962" t="s">
        <v>1716</v>
      </c>
      <c r="B1962" t="s">
        <v>2</v>
      </c>
      <c r="C1962" t="s">
        <v>3</v>
      </c>
      <c r="D1962" t="s">
        <v>4</v>
      </c>
      <c r="E1962" t="s">
        <v>4</v>
      </c>
      <c r="F1962" t="s">
        <v>5279</v>
      </c>
      <c r="G1962" t="s">
        <v>5327</v>
      </c>
      <c r="H1962" t="s">
        <v>5366</v>
      </c>
      <c r="I1962" s="2">
        <v>376</v>
      </c>
      <c r="J1962" s="2">
        <v>0</v>
      </c>
      <c r="K1962" s="2">
        <v>0</v>
      </c>
      <c r="L1962" s="3">
        <v>45822</v>
      </c>
      <c r="M1962" s="3">
        <v>45831</v>
      </c>
      <c r="N1962" s="3">
        <v>45831</v>
      </c>
      <c r="O1962" t="s">
        <v>4</v>
      </c>
      <c r="P1962" t="s">
        <v>5285</v>
      </c>
      <c r="Q1962" s="4">
        <v>0.65657407407406998</v>
      </c>
      <c r="R1962" t="s">
        <v>5279</v>
      </c>
      <c r="S1962" t="s">
        <v>4</v>
      </c>
      <c r="T1962" t="s">
        <v>3122</v>
      </c>
      <c r="U1962" t="s">
        <v>10</v>
      </c>
      <c r="V1962" s="5">
        <v>0</v>
      </c>
      <c r="W1962" s="5">
        <v>0</v>
      </c>
      <c r="X1962" s="2">
        <v>0</v>
      </c>
      <c r="Y1962" t="s">
        <v>4</v>
      </c>
      <c r="Z1962" t="s">
        <v>4</v>
      </c>
      <c r="AA1962" t="s">
        <v>4</v>
      </c>
      <c r="AB1962" t="s">
        <v>4</v>
      </c>
    </row>
    <row r="1963" spans="1:28" hidden="1" x14ac:dyDescent="0.2">
      <c r="A1963" t="s">
        <v>1783</v>
      </c>
      <c r="B1963" t="s">
        <v>2</v>
      </c>
      <c r="C1963" t="s">
        <v>3</v>
      </c>
      <c r="D1963" t="s">
        <v>4</v>
      </c>
      <c r="E1963" t="s">
        <v>4</v>
      </c>
      <c r="F1963" t="s">
        <v>5279</v>
      </c>
      <c r="G1963" t="s">
        <v>5327</v>
      </c>
      <c r="H1963" t="s">
        <v>5367</v>
      </c>
      <c r="I1963" s="2">
        <v>3000</v>
      </c>
      <c r="J1963" s="2">
        <v>0</v>
      </c>
      <c r="K1963" s="2">
        <v>0</v>
      </c>
      <c r="L1963" s="3">
        <v>45653</v>
      </c>
      <c r="M1963" s="3">
        <v>45857</v>
      </c>
      <c r="N1963" s="3">
        <v>45857</v>
      </c>
      <c r="O1963" t="s">
        <v>4</v>
      </c>
      <c r="P1963" t="s">
        <v>5285</v>
      </c>
      <c r="Q1963" s="4">
        <v>0.50682870370370003</v>
      </c>
      <c r="R1963" t="s">
        <v>5279</v>
      </c>
      <c r="S1963" t="s">
        <v>4</v>
      </c>
      <c r="T1963" t="s">
        <v>5293</v>
      </c>
      <c r="U1963" t="s">
        <v>10</v>
      </c>
      <c r="V1963" s="5">
        <v>0</v>
      </c>
      <c r="W1963" s="5">
        <v>0</v>
      </c>
      <c r="X1963" s="2">
        <v>0</v>
      </c>
      <c r="Y1963" t="s">
        <v>4</v>
      </c>
      <c r="Z1963" t="s">
        <v>4</v>
      </c>
      <c r="AA1963" t="s">
        <v>4</v>
      </c>
      <c r="AB1963" t="s">
        <v>4</v>
      </c>
    </row>
    <row r="1964" spans="1:28" hidden="1" x14ac:dyDescent="0.2">
      <c r="A1964" t="s">
        <v>1609</v>
      </c>
      <c r="B1964" t="s">
        <v>2</v>
      </c>
      <c r="C1964" t="s">
        <v>3</v>
      </c>
      <c r="D1964" t="s">
        <v>4</v>
      </c>
      <c r="E1964" t="s">
        <v>4</v>
      </c>
      <c r="F1964" t="s">
        <v>5279</v>
      </c>
      <c r="G1964" t="s">
        <v>5327</v>
      </c>
      <c r="H1964" t="s">
        <v>5368</v>
      </c>
      <c r="I1964" s="2">
        <v>4000</v>
      </c>
      <c r="J1964" s="2">
        <v>0</v>
      </c>
      <c r="K1964" s="2">
        <v>0</v>
      </c>
      <c r="L1964" s="3">
        <v>45791</v>
      </c>
      <c r="M1964" s="3">
        <v>45846</v>
      </c>
      <c r="N1964" s="3"/>
      <c r="O1964" t="s">
        <v>4</v>
      </c>
      <c r="P1964" t="s">
        <v>5285</v>
      </c>
      <c r="Q1964" s="4">
        <v>0.97773148148148004</v>
      </c>
      <c r="R1964" t="s">
        <v>5279</v>
      </c>
      <c r="S1964" t="s">
        <v>4</v>
      </c>
      <c r="T1964" t="s">
        <v>3485</v>
      </c>
      <c r="U1964" t="s">
        <v>5282</v>
      </c>
      <c r="V1964" s="5">
        <v>0</v>
      </c>
      <c r="W1964" s="5">
        <v>0</v>
      </c>
      <c r="X1964" s="2">
        <v>0</v>
      </c>
      <c r="Y1964" t="s">
        <v>4</v>
      </c>
      <c r="Z1964" t="s">
        <v>4</v>
      </c>
      <c r="AA1964" t="s">
        <v>4</v>
      </c>
      <c r="AB1964" t="s">
        <v>4</v>
      </c>
    </row>
    <row r="1965" spans="1:28" hidden="1" x14ac:dyDescent="0.2">
      <c r="A1965" t="s">
        <v>1662</v>
      </c>
      <c r="B1965" t="s">
        <v>2</v>
      </c>
      <c r="C1965" t="s">
        <v>3</v>
      </c>
      <c r="D1965" t="s">
        <v>4</v>
      </c>
      <c r="E1965" t="s">
        <v>4</v>
      </c>
      <c r="F1965" t="s">
        <v>5279</v>
      </c>
      <c r="G1965" t="s">
        <v>5327</v>
      </c>
      <c r="H1965" t="s">
        <v>5368</v>
      </c>
      <c r="I1965" s="2">
        <v>1400</v>
      </c>
      <c r="J1965" s="2">
        <v>0</v>
      </c>
      <c r="K1965" s="2">
        <v>0</v>
      </c>
      <c r="L1965" s="3">
        <v>45653</v>
      </c>
      <c r="M1965" s="3">
        <v>45844</v>
      </c>
      <c r="N1965" s="3">
        <v>45844</v>
      </c>
      <c r="O1965" t="s">
        <v>4</v>
      </c>
      <c r="P1965" t="s">
        <v>5285</v>
      </c>
      <c r="Q1965" s="4">
        <v>0.97773148148148004</v>
      </c>
      <c r="R1965" t="s">
        <v>5279</v>
      </c>
      <c r="S1965" t="s">
        <v>4</v>
      </c>
      <c r="T1965" t="s">
        <v>5293</v>
      </c>
      <c r="U1965" t="s">
        <v>10</v>
      </c>
      <c r="V1965" s="5">
        <v>0</v>
      </c>
      <c r="W1965" s="5">
        <v>0</v>
      </c>
      <c r="X1965" s="2">
        <v>0</v>
      </c>
      <c r="Y1965" t="s">
        <v>4</v>
      </c>
      <c r="Z1965" t="s">
        <v>4</v>
      </c>
      <c r="AA1965" t="s">
        <v>4</v>
      </c>
      <c r="AB1965" t="s">
        <v>4</v>
      </c>
    </row>
    <row r="1966" spans="1:28" hidden="1" x14ac:dyDescent="0.2">
      <c r="A1966" t="s">
        <v>1737</v>
      </c>
      <c r="B1966" t="s">
        <v>2</v>
      </c>
      <c r="C1966" t="s">
        <v>3</v>
      </c>
      <c r="D1966" t="s">
        <v>4</v>
      </c>
      <c r="E1966" t="s">
        <v>4</v>
      </c>
      <c r="F1966" t="s">
        <v>5279</v>
      </c>
      <c r="G1966" t="s">
        <v>5283</v>
      </c>
      <c r="H1966" t="s">
        <v>5369</v>
      </c>
      <c r="I1966" s="2">
        <v>900</v>
      </c>
      <c r="J1966" s="2">
        <v>0</v>
      </c>
      <c r="K1966" s="2">
        <v>0</v>
      </c>
      <c r="L1966" s="3">
        <v>45737</v>
      </c>
      <c r="M1966" s="3">
        <v>45836</v>
      </c>
      <c r="N1966" s="3"/>
      <c r="O1966" t="s">
        <v>4</v>
      </c>
      <c r="P1966" t="s">
        <v>5285</v>
      </c>
      <c r="Q1966" s="4">
        <v>0.82659722222221998</v>
      </c>
      <c r="R1966" t="s">
        <v>5279</v>
      </c>
      <c r="S1966" t="s">
        <v>4</v>
      </c>
      <c r="T1966" t="s">
        <v>4397</v>
      </c>
      <c r="U1966" t="s">
        <v>10</v>
      </c>
      <c r="V1966" s="5">
        <v>0</v>
      </c>
      <c r="W1966" s="5">
        <v>0</v>
      </c>
      <c r="X1966" s="2">
        <v>0</v>
      </c>
      <c r="Y1966" t="s">
        <v>2351</v>
      </c>
      <c r="Z1966" t="s">
        <v>2351</v>
      </c>
      <c r="AA1966" t="s">
        <v>2351</v>
      </c>
      <c r="AB1966" t="s">
        <v>2351</v>
      </c>
    </row>
    <row r="1967" spans="1:28" hidden="1" x14ac:dyDescent="0.2">
      <c r="A1967" t="s">
        <v>2251</v>
      </c>
      <c r="B1967" t="s">
        <v>4</v>
      </c>
      <c r="C1967" t="s">
        <v>4</v>
      </c>
      <c r="D1967" t="s">
        <v>4</v>
      </c>
      <c r="E1967" t="s">
        <v>4</v>
      </c>
      <c r="F1967" t="s">
        <v>5279</v>
      </c>
      <c r="G1967" t="s">
        <v>5327</v>
      </c>
      <c r="H1967" t="s">
        <v>5370</v>
      </c>
      <c r="I1967" s="5">
        <v>0</v>
      </c>
      <c r="J1967" s="5">
        <v>0</v>
      </c>
      <c r="K1967" s="5">
        <v>0</v>
      </c>
      <c r="L1967" s="3"/>
      <c r="M1967" s="3"/>
      <c r="N1967" s="3"/>
      <c r="O1967" t="s">
        <v>4</v>
      </c>
      <c r="P1967" t="s">
        <v>5285</v>
      </c>
      <c r="Q1967" s="4">
        <v>0.9237962962963</v>
      </c>
      <c r="R1967" t="s">
        <v>4</v>
      </c>
      <c r="S1967" t="s">
        <v>4</v>
      </c>
      <c r="T1967" t="s">
        <v>2256</v>
      </c>
      <c r="U1967" t="s">
        <v>4</v>
      </c>
      <c r="V1967" s="5">
        <v>0</v>
      </c>
      <c r="W1967" s="5">
        <v>0</v>
      </c>
      <c r="X1967" s="2">
        <v>0</v>
      </c>
      <c r="Y1967" t="s">
        <v>4</v>
      </c>
      <c r="Z1967" t="s">
        <v>4</v>
      </c>
      <c r="AA1967" t="s">
        <v>4</v>
      </c>
      <c r="AB1967" t="s">
        <v>4</v>
      </c>
    </row>
    <row r="1968" spans="1:28" hidden="1" x14ac:dyDescent="0.2">
      <c r="A1968" t="s">
        <v>2251</v>
      </c>
      <c r="B1968" t="s">
        <v>4</v>
      </c>
      <c r="C1968" t="s">
        <v>4</v>
      </c>
      <c r="D1968" t="s">
        <v>4</v>
      </c>
      <c r="E1968" t="s">
        <v>4</v>
      </c>
      <c r="F1968" t="s">
        <v>5279</v>
      </c>
      <c r="G1968" t="s">
        <v>5283</v>
      </c>
      <c r="H1968" t="s">
        <v>5371</v>
      </c>
      <c r="I1968" s="5">
        <v>0</v>
      </c>
      <c r="J1968" s="5">
        <v>0</v>
      </c>
      <c r="K1968" s="5">
        <v>0</v>
      </c>
      <c r="L1968" s="3"/>
      <c r="M1968" s="3"/>
      <c r="N1968" s="3"/>
      <c r="O1968" t="s">
        <v>4</v>
      </c>
      <c r="P1968" t="s">
        <v>5285</v>
      </c>
      <c r="Q1968" s="4">
        <v>0.89440972222222004</v>
      </c>
      <c r="R1968" t="s">
        <v>4</v>
      </c>
      <c r="S1968" t="s">
        <v>4</v>
      </c>
      <c r="T1968" t="s">
        <v>2256</v>
      </c>
      <c r="U1968" t="s">
        <v>4</v>
      </c>
      <c r="V1968" s="5">
        <v>0</v>
      </c>
      <c r="W1968" s="5">
        <v>0</v>
      </c>
      <c r="X1968" s="2">
        <v>0</v>
      </c>
      <c r="Y1968" t="s">
        <v>4</v>
      </c>
      <c r="Z1968" t="s">
        <v>4</v>
      </c>
      <c r="AA1968" t="s">
        <v>4</v>
      </c>
      <c r="AB1968" t="s">
        <v>4</v>
      </c>
    </row>
    <row r="1969" spans="1:28" hidden="1" x14ac:dyDescent="0.2">
      <c r="A1969" t="s">
        <v>1636</v>
      </c>
      <c r="B1969" t="s">
        <v>2</v>
      </c>
      <c r="C1969" t="s">
        <v>3</v>
      </c>
      <c r="D1969" t="s">
        <v>4</v>
      </c>
      <c r="E1969" t="s">
        <v>4</v>
      </c>
      <c r="F1969" t="s">
        <v>5279</v>
      </c>
      <c r="G1969" t="s">
        <v>5283</v>
      </c>
      <c r="H1969" t="s">
        <v>5372</v>
      </c>
      <c r="I1969" s="2">
        <v>1733</v>
      </c>
      <c r="J1969" s="2">
        <v>0</v>
      </c>
      <c r="K1969" s="2">
        <v>0</v>
      </c>
      <c r="L1969" s="3">
        <v>45653</v>
      </c>
      <c r="M1969" s="3">
        <v>45722</v>
      </c>
      <c r="N1969" s="3">
        <v>45722</v>
      </c>
      <c r="O1969" t="s">
        <v>4</v>
      </c>
      <c r="P1969" t="s">
        <v>5285</v>
      </c>
      <c r="Q1969" s="4">
        <v>0.96456018518519004</v>
      </c>
      <c r="R1969" t="s">
        <v>5279</v>
      </c>
      <c r="S1969" t="s">
        <v>4</v>
      </c>
      <c r="T1969" t="s">
        <v>5293</v>
      </c>
      <c r="U1969" t="s">
        <v>10</v>
      </c>
      <c r="V1969" s="5">
        <v>0</v>
      </c>
      <c r="W1969" s="5">
        <v>0</v>
      </c>
      <c r="X1969" s="2">
        <v>0</v>
      </c>
      <c r="Y1969" t="s">
        <v>4</v>
      </c>
      <c r="Z1969" t="s">
        <v>4</v>
      </c>
      <c r="AA1969" t="s">
        <v>4</v>
      </c>
      <c r="AB1969" t="s">
        <v>4</v>
      </c>
    </row>
    <row r="1970" spans="1:28" hidden="1" x14ac:dyDescent="0.2">
      <c r="A1970" t="s">
        <v>1770</v>
      </c>
      <c r="B1970" t="s">
        <v>2</v>
      </c>
      <c r="C1970" t="s">
        <v>3</v>
      </c>
      <c r="D1970" t="s">
        <v>4</v>
      </c>
      <c r="E1970" t="s">
        <v>4</v>
      </c>
      <c r="F1970" t="s">
        <v>5279</v>
      </c>
      <c r="G1970" t="s">
        <v>5283</v>
      </c>
      <c r="H1970" t="s">
        <v>5373</v>
      </c>
      <c r="I1970" s="2">
        <v>2760</v>
      </c>
      <c r="J1970" s="2">
        <v>0</v>
      </c>
      <c r="K1970" s="2">
        <v>0</v>
      </c>
      <c r="L1970" s="3">
        <v>45653</v>
      </c>
      <c r="M1970" s="3">
        <v>45832</v>
      </c>
      <c r="N1970" s="3">
        <v>45832</v>
      </c>
      <c r="O1970" t="s">
        <v>4</v>
      </c>
      <c r="P1970" t="s">
        <v>5285</v>
      </c>
      <c r="Q1970" s="4">
        <v>0.50682870370370003</v>
      </c>
      <c r="R1970" t="s">
        <v>5279</v>
      </c>
      <c r="S1970" t="s">
        <v>4</v>
      </c>
      <c r="T1970" t="s">
        <v>5293</v>
      </c>
      <c r="U1970" t="s">
        <v>10</v>
      </c>
      <c r="V1970" s="5">
        <v>0</v>
      </c>
      <c r="W1970" s="5">
        <v>0</v>
      </c>
      <c r="X1970" s="2">
        <v>0</v>
      </c>
      <c r="Y1970" t="s">
        <v>4</v>
      </c>
      <c r="Z1970" t="s">
        <v>4</v>
      </c>
      <c r="AA1970" t="s">
        <v>4</v>
      </c>
      <c r="AB1970" t="s">
        <v>4</v>
      </c>
    </row>
    <row r="1971" spans="1:28" hidden="1" x14ac:dyDescent="0.2">
      <c r="A1971" t="s">
        <v>1684</v>
      </c>
      <c r="B1971" t="s">
        <v>2</v>
      </c>
      <c r="C1971" t="s">
        <v>3</v>
      </c>
      <c r="D1971" t="s">
        <v>4</v>
      </c>
      <c r="E1971" t="s">
        <v>4</v>
      </c>
      <c r="F1971" t="s">
        <v>5279</v>
      </c>
      <c r="G1971" t="s">
        <v>5283</v>
      </c>
      <c r="H1971" t="s">
        <v>5373</v>
      </c>
      <c r="I1971" s="2">
        <v>1400</v>
      </c>
      <c r="J1971" s="2">
        <v>0</v>
      </c>
      <c r="K1971" s="2">
        <v>0</v>
      </c>
      <c r="L1971" s="3">
        <v>45751</v>
      </c>
      <c r="M1971" s="3">
        <v>45857</v>
      </c>
      <c r="N1971" s="3">
        <v>45857</v>
      </c>
      <c r="O1971" t="s">
        <v>4</v>
      </c>
      <c r="P1971" t="s">
        <v>5285</v>
      </c>
      <c r="Q1971" s="4">
        <v>0.50682870370370003</v>
      </c>
      <c r="R1971" t="s">
        <v>5279</v>
      </c>
      <c r="S1971" t="s">
        <v>4</v>
      </c>
      <c r="T1971" t="s">
        <v>5374</v>
      </c>
      <c r="U1971" t="s">
        <v>10</v>
      </c>
      <c r="V1971" s="5">
        <v>0</v>
      </c>
      <c r="W1971" s="5">
        <v>0</v>
      </c>
      <c r="X1971" s="2">
        <v>0</v>
      </c>
      <c r="Y1971" t="s">
        <v>4</v>
      </c>
      <c r="Z1971" t="s">
        <v>4</v>
      </c>
      <c r="AA1971" t="s">
        <v>4</v>
      </c>
      <c r="AB1971" t="s">
        <v>4</v>
      </c>
    </row>
    <row r="1972" spans="1:28" hidden="1" x14ac:dyDescent="0.2">
      <c r="A1972" t="s">
        <v>1614</v>
      </c>
      <c r="B1972" t="s">
        <v>2</v>
      </c>
      <c r="C1972" t="s">
        <v>3</v>
      </c>
      <c r="D1972" t="s">
        <v>4</v>
      </c>
      <c r="E1972" t="s">
        <v>4</v>
      </c>
      <c r="F1972" t="s">
        <v>5279</v>
      </c>
      <c r="G1972" t="s">
        <v>5283</v>
      </c>
      <c r="H1972" t="s">
        <v>5373</v>
      </c>
      <c r="I1972" s="2">
        <v>287</v>
      </c>
      <c r="J1972" s="2">
        <v>0</v>
      </c>
      <c r="K1972" s="2">
        <v>0</v>
      </c>
      <c r="L1972" s="3">
        <v>45831</v>
      </c>
      <c r="M1972" s="3">
        <v>45831</v>
      </c>
      <c r="N1972" s="3">
        <v>45831</v>
      </c>
      <c r="O1972" t="s">
        <v>4</v>
      </c>
      <c r="P1972" t="s">
        <v>5285</v>
      </c>
      <c r="Q1972" s="4">
        <v>0.50682870370370003</v>
      </c>
      <c r="R1972" t="s">
        <v>5279</v>
      </c>
      <c r="S1972" t="s">
        <v>4</v>
      </c>
      <c r="T1972" t="s">
        <v>3984</v>
      </c>
      <c r="U1972" t="s">
        <v>10</v>
      </c>
      <c r="V1972" s="5">
        <v>0</v>
      </c>
      <c r="W1972" s="5">
        <v>0</v>
      </c>
      <c r="X1972" s="2">
        <v>0</v>
      </c>
      <c r="Y1972" t="s">
        <v>4</v>
      </c>
      <c r="Z1972" t="s">
        <v>4</v>
      </c>
      <c r="AA1972" t="s">
        <v>4</v>
      </c>
      <c r="AB1972" t="s">
        <v>4</v>
      </c>
    </row>
    <row r="1973" spans="1:28" hidden="1" x14ac:dyDescent="0.2">
      <c r="A1973" t="s">
        <v>2251</v>
      </c>
      <c r="B1973" t="s">
        <v>4</v>
      </c>
      <c r="C1973" t="s">
        <v>4</v>
      </c>
      <c r="D1973" t="s">
        <v>4</v>
      </c>
      <c r="E1973" t="s">
        <v>4</v>
      </c>
      <c r="F1973" t="s">
        <v>5279</v>
      </c>
      <c r="G1973" t="s">
        <v>5327</v>
      </c>
      <c r="H1973" t="s">
        <v>5375</v>
      </c>
      <c r="I1973" s="5">
        <v>0</v>
      </c>
      <c r="J1973" s="5">
        <v>0</v>
      </c>
      <c r="K1973" s="5">
        <v>0</v>
      </c>
      <c r="L1973" s="3"/>
      <c r="M1973" s="3"/>
      <c r="N1973" s="3"/>
      <c r="O1973" t="s">
        <v>4</v>
      </c>
      <c r="P1973" t="s">
        <v>5285</v>
      </c>
      <c r="Q1973" s="4">
        <v>0.59998842592593005</v>
      </c>
      <c r="R1973" t="s">
        <v>4</v>
      </c>
      <c r="S1973" t="s">
        <v>4</v>
      </c>
      <c r="T1973" t="s">
        <v>2256</v>
      </c>
      <c r="U1973" t="s">
        <v>4</v>
      </c>
      <c r="V1973" s="5">
        <v>0</v>
      </c>
      <c r="W1973" s="5">
        <v>0</v>
      </c>
      <c r="X1973" s="2">
        <v>0</v>
      </c>
      <c r="Y1973" t="s">
        <v>4</v>
      </c>
      <c r="Z1973" t="s">
        <v>4</v>
      </c>
      <c r="AA1973" t="s">
        <v>4</v>
      </c>
      <c r="AB1973" t="s">
        <v>4</v>
      </c>
    </row>
    <row r="1974" spans="1:28" hidden="1" x14ac:dyDescent="0.2">
      <c r="A1974" t="s">
        <v>1621</v>
      </c>
      <c r="B1974" t="s">
        <v>2</v>
      </c>
      <c r="C1974" t="s">
        <v>3</v>
      </c>
      <c r="D1974" t="s">
        <v>4</v>
      </c>
      <c r="E1974" t="s">
        <v>4</v>
      </c>
      <c r="F1974" t="s">
        <v>5279</v>
      </c>
      <c r="G1974" t="s">
        <v>5327</v>
      </c>
      <c r="H1974" t="s">
        <v>5376</v>
      </c>
      <c r="I1974" s="2">
        <v>3540</v>
      </c>
      <c r="J1974" s="2">
        <v>0</v>
      </c>
      <c r="K1974" s="2">
        <v>0</v>
      </c>
      <c r="L1974" s="3">
        <v>45849</v>
      </c>
      <c r="M1974" s="3">
        <v>45849</v>
      </c>
      <c r="N1974" s="3"/>
      <c r="O1974" t="s">
        <v>4</v>
      </c>
      <c r="P1974" t="s">
        <v>5285</v>
      </c>
      <c r="Q1974" s="4">
        <v>0.47664351851851999</v>
      </c>
      <c r="R1974" t="s">
        <v>5279</v>
      </c>
      <c r="S1974" t="s">
        <v>4</v>
      </c>
      <c r="T1974" t="s">
        <v>2321</v>
      </c>
      <c r="U1974" t="s">
        <v>5282</v>
      </c>
      <c r="V1974" s="5">
        <v>0</v>
      </c>
      <c r="W1974" s="5">
        <v>0</v>
      </c>
      <c r="X1974" s="2">
        <v>0</v>
      </c>
      <c r="Y1974" t="s">
        <v>4</v>
      </c>
      <c r="Z1974" t="s">
        <v>4</v>
      </c>
      <c r="AA1974" t="s">
        <v>4</v>
      </c>
      <c r="AB1974" t="s">
        <v>4</v>
      </c>
    </row>
    <row r="1975" spans="1:28" hidden="1" x14ac:dyDescent="0.2">
      <c r="A1975" t="s">
        <v>1955</v>
      </c>
      <c r="B1975" t="s">
        <v>2</v>
      </c>
      <c r="C1975" t="s">
        <v>3</v>
      </c>
      <c r="D1975" t="s">
        <v>4</v>
      </c>
      <c r="E1975" t="s">
        <v>4</v>
      </c>
      <c r="F1975" t="s">
        <v>5279</v>
      </c>
      <c r="G1975" t="s">
        <v>5327</v>
      </c>
      <c r="H1975" t="s">
        <v>5377</v>
      </c>
      <c r="I1975" s="2">
        <v>18000</v>
      </c>
      <c r="J1975" s="2">
        <v>0</v>
      </c>
      <c r="K1975" s="2">
        <v>0</v>
      </c>
      <c r="L1975" s="3">
        <v>45839</v>
      </c>
      <c r="M1975" s="3">
        <v>45839</v>
      </c>
      <c r="N1975" s="3">
        <v>45839</v>
      </c>
      <c r="O1975" t="s">
        <v>4</v>
      </c>
      <c r="P1975" t="s">
        <v>5285</v>
      </c>
      <c r="Q1975" s="4">
        <v>0.38478009259259</v>
      </c>
      <c r="R1975" t="s">
        <v>5279</v>
      </c>
      <c r="S1975" t="s">
        <v>4</v>
      </c>
      <c r="T1975" t="s">
        <v>2312</v>
      </c>
      <c r="U1975" t="s">
        <v>5282</v>
      </c>
      <c r="V1975" s="5">
        <v>0</v>
      </c>
      <c r="W1975" s="5">
        <v>0</v>
      </c>
      <c r="X1975" s="2">
        <v>0</v>
      </c>
      <c r="Y1975" t="s">
        <v>4</v>
      </c>
      <c r="Z1975" t="s">
        <v>4</v>
      </c>
      <c r="AA1975" t="s">
        <v>4</v>
      </c>
      <c r="AB1975" t="s">
        <v>4</v>
      </c>
    </row>
    <row r="1976" spans="1:28" hidden="1" x14ac:dyDescent="0.2">
      <c r="A1976" t="s">
        <v>1630</v>
      </c>
      <c r="B1976" t="s">
        <v>2</v>
      </c>
      <c r="C1976" t="s">
        <v>3</v>
      </c>
      <c r="D1976" t="s">
        <v>4</v>
      </c>
      <c r="E1976" t="s">
        <v>4</v>
      </c>
      <c r="F1976" t="s">
        <v>5279</v>
      </c>
      <c r="G1976" t="s">
        <v>5327</v>
      </c>
      <c r="H1976" t="s">
        <v>5378</v>
      </c>
      <c r="I1976" s="2">
        <v>1369</v>
      </c>
      <c r="J1976" s="2">
        <v>0</v>
      </c>
      <c r="K1976" s="2">
        <v>0</v>
      </c>
      <c r="L1976" s="3">
        <v>45653</v>
      </c>
      <c r="M1976" s="3">
        <v>45831</v>
      </c>
      <c r="N1976" s="3">
        <v>45831</v>
      </c>
      <c r="O1976" t="s">
        <v>4</v>
      </c>
      <c r="P1976" t="s">
        <v>5285</v>
      </c>
      <c r="Q1976" s="4">
        <v>0.55829861111111001</v>
      </c>
      <c r="R1976" t="s">
        <v>5279</v>
      </c>
      <c r="S1976" t="s">
        <v>4</v>
      </c>
      <c r="T1976" t="s">
        <v>5293</v>
      </c>
      <c r="U1976" t="s">
        <v>10</v>
      </c>
      <c r="V1976" s="5">
        <v>0</v>
      </c>
      <c r="W1976" s="5">
        <v>0</v>
      </c>
      <c r="X1976" s="2">
        <v>0</v>
      </c>
      <c r="Y1976" t="s">
        <v>4</v>
      </c>
      <c r="Z1976" t="s">
        <v>4</v>
      </c>
      <c r="AA1976" t="s">
        <v>4</v>
      </c>
      <c r="AB1976" t="s">
        <v>4</v>
      </c>
    </row>
    <row r="1977" spans="1:28" hidden="1" x14ac:dyDescent="0.2">
      <c r="A1977" t="s">
        <v>1722</v>
      </c>
      <c r="B1977" t="s">
        <v>2</v>
      </c>
      <c r="C1977" t="s">
        <v>3</v>
      </c>
      <c r="D1977" t="s">
        <v>4</v>
      </c>
      <c r="E1977" t="s">
        <v>4</v>
      </c>
      <c r="F1977" t="s">
        <v>5279</v>
      </c>
      <c r="G1977" t="s">
        <v>5327</v>
      </c>
      <c r="H1977" t="s">
        <v>5379</v>
      </c>
      <c r="I1977" s="2">
        <v>6000</v>
      </c>
      <c r="J1977" s="2">
        <v>0</v>
      </c>
      <c r="K1977" s="2">
        <v>0</v>
      </c>
      <c r="L1977" s="3">
        <v>45842</v>
      </c>
      <c r="M1977" s="3">
        <v>45849</v>
      </c>
      <c r="N1977" s="3">
        <v>45849</v>
      </c>
      <c r="O1977" t="s">
        <v>4</v>
      </c>
      <c r="P1977" t="s">
        <v>5285</v>
      </c>
      <c r="Q1977" s="4">
        <v>0.56015046296296001</v>
      </c>
      <c r="R1977" t="s">
        <v>5279</v>
      </c>
      <c r="S1977" t="s">
        <v>4</v>
      </c>
      <c r="T1977" t="s">
        <v>2610</v>
      </c>
      <c r="U1977" t="s">
        <v>10</v>
      </c>
      <c r="V1977" s="5">
        <v>0</v>
      </c>
      <c r="W1977" s="5">
        <v>0</v>
      </c>
      <c r="X1977" s="2">
        <v>0</v>
      </c>
      <c r="Y1977" t="s">
        <v>4</v>
      </c>
      <c r="Z1977" t="s">
        <v>4</v>
      </c>
      <c r="AA1977" t="s">
        <v>4</v>
      </c>
      <c r="AB1977" t="s">
        <v>4</v>
      </c>
    </row>
    <row r="1978" spans="1:28" hidden="1" x14ac:dyDescent="0.2">
      <c r="A1978" t="s">
        <v>1664</v>
      </c>
      <c r="B1978" t="s">
        <v>2</v>
      </c>
      <c r="C1978" t="s">
        <v>3</v>
      </c>
      <c r="D1978" t="s">
        <v>4</v>
      </c>
      <c r="E1978" t="s">
        <v>4</v>
      </c>
      <c r="F1978" t="s">
        <v>5279</v>
      </c>
      <c r="G1978" t="s">
        <v>5327</v>
      </c>
      <c r="H1978" t="s">
        <v>5379</v>
      </c>
      <c r="I1978" s="2">
        <v>1400</v>
      </c>
      <c r="J1978" s="2">
        <v>0</v>
      </c>
      <c r="K1978" s="2">
        <v>0</v>
      </c>
      <c r="L1978" s="3">
        <v>45805</v>
      </c>
      <c r="M1978" s="3">
        <v>45855</v>
      </c>
      <c r="N1978" s="3">
        <v>45855</v>
      </c>
      <c r="O1978" t="s">
        <v>4</v>
      </c>
      <c r="P1978" t="s">
        <v>5285</v>
      </c>
      <c r="Q1978" s="4">
        <v>0.56015046296296001</v>
      </c>
      <c r="R1978" t="s">
        <v>5279</v>
      </c>
      <c r="S1978" t="s">
        <v>4</v>
      </c>
      <c r="T1978" t="s">
        <v>3377</v>
      </c>
      <c r="U1978" t="s">
        <v>10</v>
      </c>
      <c r="V1978" s="5">
        <v>0</v>
      </c>
      <c r="W1978" s="5">
        <v>0</v>
      </c>
      <c r="X1978" s="2">
        <v>0</v>
      </c>
      <c r="Y1978" t="s">
        <v>4</v>
      </c>
      <c r="Z1978" t="s">
        <v>4</v>
      </c>
      <c r="AA1978" t="s">
        <v>4</v>
      </c>
      <c r="AB1978" t="s">
        <v>4</v>
      </c>
    </row>
    <row r="1979" spans="1:28" hidden="1" x14ac:dyDescent="0.2">
      <c r="A1979" t="s">
        <v>2251</v>
      </c>
      <c r="B1979" t="s">
        <v>4</v>
      </c>
      <c r="C1979" t="s">
        <v>4</v>
      </c>
      <c r="D1979" t="s">
        <v>4</v>
      </c>
      <c r="E1979" t="s">
        <v>4</v>
      </c>
      <c r="F1979" t="s">
        <v>5279</v>
      </c>
      <c r="G1979" t="s">
        <v>5327</v>
      </c>
      <c r="H1979" t="s">
        <v>5380</v>
      </c>
      <c r="I1979" s="5">
        <v>0</v>
      </c>
      <c r="J1979" s="5">
        <v>0</v>
      </c>
      <c r="K1979" s="5">
        <v>0</v>
      </c>
      <c r="L1979" s="3"/>
      <c r="M1979" s="3"/>
      <c r="N1979" s="3"/>
      <c r="O1979" t="s">
        <v>4</v>
      </c>
      <c r="P1979" t="s">
        <v>5285</v>
      </c>
      <c r="Q1979" s="4">
        <v>0.94037037037036997</v>
      </c>
      <c r="R1979" t="s">
        <v>4</v>
      </c>
      <c r="S1979" t="s">
        <v>4</v>
      </c>
      <c r="T1979" t="s">
        <v>2256</v>
      </c>
      <c r="U1979" t="s">
        <v>4</v>
      </c>
      <c r="V1979" s="5">
        <v>0</v>
      </c>
      <c r="W1979" s="5">
        <v>0</v>
      </c>
      <c r="X1979" s="2">
        <v>0</v>
      </c>
      <c r="Y1979" t="s">
        <v>4</v>
      </c>
      <c r="Z1979" t="s">
        <v>4</v>
      </c>
      <c r="AA1979" t="s">
        <v>4</v>
      </c>
      <c r="AB1979" t="s">
        <v>4</v>
      </c>
    </row>
    <row r="1980" spans="1:28" hidden="1" x14ac:dyDescent="0.2">
      <c r="A1980" t="s">
        <v>2251</v>
      </c>
      <c r="B1980" t="s">
        <v>4</v>
      </c>
      <c r="C1980" t="s">
        <v>4</v>
      </c>
      <c r="D1980" t="s">
        <v>4</v>
      </c>
      <c r="E1980" t="s">
        <v>4</v>
      </c>
      <c r="F1980" t="s">
        <v>5279</v>
      </c>
      <c r="G1980" t="s">
        <v>5327</v>
      </c>
      <c r="H1980" t="s">
        <v>5381</v>
      </c>
      <c r="I1980" s="5">
        <v>0</v>
      </c>
      <c r="J1980" s="5">
        <v>0</v>
      </c>
      <c r="K1980" s="5">
        <v>0</v>
      </c>
      <c r="L1980" s="3"/>
      <c r="M1980" s="3"/>
      <c r="N1980" s="3"/>
      <c r="O1980" t="s">
        <v>4</v>
      </c>
      <c r="P1980" t="s">
        <v>5285</v>
      </c>
      <c r="Q1980" s="4">
        <v>0.89432870370369999</v>
      </c>
      <c r="R1980" t="s">
        <v>4</v>
      </c>
      <c r="S1980" t="s">
        <v>4</v>
      </c>
      <c r="T1980" t="s">
        <v>2256</v>
      </c>
      <c r="U1980" t="s">
        <v>4</v>
      </c>
      <c r="V1980" s="5">
        <v>0</v>
      </c>
      <c r="W1980" s="5">
        <v>0</v>
      </c>
      <c r="X1980" s="2">
        <v>0</v>
      </c>
      <c r="Y1980" t="s">
        <v>4</v>
      </c>
      <c r="Z1980" t="s">
        <v>4</v>
      </c>
      <c r="AA1980" t="s">
        <v>4</v>
      </c>
      <c r="AB1980" t="s">
        <v>4</v>
      </c>
    </row>
    <row r="1981" spans="1:28" hidden="1" x14ac:dyDescent="0.2">
      <c r="A1981" t="s">
        <v>1669</v>
      </c>
      <c r="B1981" t="s">
        <v>2</v>
      </c>
      <c r="C1981" t="s">
        <v>3</v>
      </c>
      <c r="D1981" t="s">
        <v>4</v>
      </c>
      <c r="E1981" t="s">
        <v>4</v>
      </c>
      <c r="F1981" t="s">
        <v>5279</v>
      </c>
      <c r="G1981" t="s">
        <v>5283</v>
      </c>
      <c r="H1981" t="s">
        <v>5382</v>
      </c>
      <c r="I1981" s="2">
        <v>724</v>
      </c>
      <c r="J1981" s="2">
        <v>0</v>
      </c>
      <c r="K1981" s="2">
        <v>0</v>
      </c>
      <c r="L1981" s="3">
        <v>45653</v>
      </c>
      <c r="M1981" s="3">
        <v>45836</v>
      </c>
      <c r="N1981" s="3">
        <v>45836</v>
      </c>
      <c r="O1981" t="s">
        <v>4</v>
      </c>
      <c r="P1981" t="s">
        <v>5285</v>
      </c>
      <c r="Q1981" s="4">
        <v>0.53204861111111001</v>
      </c>
      <c r="R1981" t="s">
        <v>5279</v>
      </c>
      <c r="S1981" t="s">
        <v>4</v>
      </c>
      <c r="T1981" t="s">
        <v>5293</v>
      </c>
      <c r="U1981" t="s">
        <v>10</v>
      </c>
      <c r="V1981" s="5">
        <v>0</v>
      </c>
      <c r="W1981" s="5">
        <v>0</v>
      </c>
      <c r="X1981" s="2">
        <v>0</v>
      </c>
      <c r="Y1981" t="s">
        <v>4</v>
      </c>
      <c r="Z1981" t="s">
        <v>4</v>
      </c>
      <c r="AA1981" t="s">
        <v>4</v>
      </c>
      <c r="AB1981" t="s">
        <v>4</v>
      </c>
    </row>
    <row r="1982" spans="1:28" hidden="1" x14ac:dyDescent="0.2">
      <c r="A1982" t="s">
        <v>1955</v>
      </c>
      <c r="B1982" t="s">
        <v>2</v>
      </c>
      <c r="C1982" t="s">
        <v>3</v>
      </c>
      <c r="D1982" t="s">
        <v>4</v>
      </c>
      <c r="E1982" t="s">
        <v>4</v>
      </c>
      <c r="F1982" t="s">
        <v>5279</v>
      </c>
      <c r="G1982" t="s">
        <v>5327</v>
      </c>
      <c r="H1982" t="s">
        <v>5383</v>
      </c>
      <c r="I1982" s="2">
        <v>18000</v>
      </c>
      <c r="J1982" s="2">
        <v>0</v>
      </c>
      <c r="K1982" s="2">
        <v>0</v>
      </c>
      <c r="L1982" s="3">
        <v>45839</v>
      </c>
      <c r="M1982" s="3">
        <v>45839</v>
      </c>
      <c r="N1982" s="3">
        <v>45839</v>
      </c>
      <c r="O1982" t="s">
        <v>4</v>
      </c>
      <c r="P1982" t="s">
        <v>5285</v>
      </c>
      <c r="Q1982" s="4">
        <v>0.38826388888889002</v>
      </c>
      <c r="R1982" t="s">
        <v>5279</v>
      </c>
      <c r="S1982" t="s">
        <v>4</v>
      </c>
      <c r="T1982" t="s">
        <v>2312</v>
      </c>
      <c r="U1982" t="s">
        <v>5282</v>
      </c>
      <c r="V1982" s="5">
        <v>0</v>
      </c>
      <c r="W1982" s="5">
        <v>0</v>
      </c>
      <c r="X1982" s="2">
        <v>0</v>
      </c>
      <c r="Y1982" t="s">
        <v>4</v>
      </c>
      <c r="Z1982" t="s">
        <v>4</v>
      </c>
      <c r="AA1982" t="s">
        <v>4</v>
      </c>
      <c r="AB1982" t="s">
        <v>4</v>
      </c>
    </row>
    <row r="1983" spans="1:28" hidden="1" x14ac:dyDescent="0.2">
      <c r="A1983" t="s">
        <v>1722</v>
      </c>
      <c r="B1983" t="s">
        <v>2</v>
      </c>
      <c r="C1983" t="s">
        <v>3</v>
      </c>
      <c r="D1983" t="s">
        <v>4</v>
      </c>
      <c r="E1983" t="s">
        <v>4</v>
      </c>
      <c r="F1983" t="s">
        <v>5279</v>
      </c>
      <c r="G1983" t="s">
        <v>5283</v>
      </c>
      <c r="H1983" t="s">
        <v>5384</v>
      </c>
      <c r="I1983" s="2">
        <v>9600</v>
      </c>
      <c r="J1983" s="2">
        <v>0</v>
      </c>
      <c r="K1983" s="2">
        <v>0</v>
      </c>
      <c r="L1983" s="3">
        <v>45842</v>
      </c>
      <c r="M1983" s="3">
        <v>45842</v>
      </c>
      <c r="N1983" s="3"/>
      <c r="O1983" t="s">
        <v>4</v>
      </c>
      <c r="P1983" t="s">
        <v>5285</v>
      </c>
      <c r="Q1983" s="4">
        <v>0.37077546296295999</v>
      </c>
      <c r="R1983" t="s">
        <v>5279</v>
      </c>
      <c r="S1983" t="s">
        <v>4</v>
      </c>
      <c r="T1983" t="s">
        <v>2610</v>
      </c>
      <c r="U1983" t="s">
        <v>10</v>
      </c>
      <c r="V1983" s="5">
        <v>0</v>
      </c>
      <c r="W1983" s="5">
        <v>0</v>
      </c>
      <c r="X1983" s="2">
        <v>0</v>
      </c>
      <c r="Y1983" t="s">
        <v>4</v>
      </c>
      <c r="Z1983" t="s">
        <v>4</v>
      </c>
      <c r="AA1983" t="s">
        <v>4</v>
      </c>
      <c r="AB1983" t="s">
        <v>4</v>
      </c>
    </row>
    <row r="1984" spans="1:28" hidden="1" x14ac:dyDescent="0.2">
      <c r="A1984" t="s">
        <v>1650</v>
      </c>
      <c r="B1984" t="s">
        <v>2</v>
      </c>
      <c r="C1984" t="s">
        <v>3</v>
      </c>
      <c r="D1984" t="s">
        <v>4</v>
      </c>
      <c r="E1984" t="s">
        <v>4</v>
      </c>
      <c r="F1984" t="s">
        <v>5279</v>
      </c>
      <c r="G1984" t="s">
        <v>5283</v>
      </c>
      <c r="H1984" t="s">
        <v>5385</v>
      </c>
      <c r="I1984" s="2">
        <v>142</v>
      </c>
      <c r="J1984" s="2">
        <v>0</v>
      </c>
      <c r="K1984" s="2">
        <v>0</v>
      </c>
      <c r="L1984" s="3">
        <v>45659</v>
      </c>
      <c r="M1984" s="3">
        <v>45850</v>
      </c>
      <c r="N1984" s="3">
        <v>45850</v>
      </c>
      <c r="O1984" t="s">
        <v>4</v>
      </c>
      <c r="P1984" t="s">
        <v>5285</v>
      </c>
      <c r="Q1984" s="4">
        <v>0.89432870370369999</v>
      </c>
      <c r="R1984" t="s">
        <v>5279</v>
      </c>
      <c r="S1984" t="s">
        <v>4</v>
      </c>
      <c r="T1984" t="s">
        <v>5386</v>
      </c>
      <c r="U1984" t="s">
        <v>10</v>
      </c>
      <c r="V1984" s="5">
        <v>0</v>
      </c>
      <c r="W1984" s="5">
        <v>0</v>
      </c>
      <c r="X1984" s="2">
        <v>0</v>
      </c>
      <c r="Y1984" t="s">
        <v>4</v>
      </c>
      <c r="Z1984" t="s">
        <v>4</v>
      </c>
      <c r="AA1984" t="s">
        <v>4</v>
      </c>
      <c r="AB1984" t="s">
        <v>4</v>
      </c>
    </row>
    <row r="1985" spans="1:28" hidden="1" x14ac:dyDescent="0.2">
      <c r="A1985" t="s">
        <v>1652</v>
      </c>
      <c r="B1985" t="s">
        <v>2</v>
      </c>
      <c r="C1985" t="s">
        <v>3</v>
      </c>
      <c r="D1985" t="s">
        <v>4</v>
      </c>
      <c r="E1985" t="s">
        <v>4</v>
      </c>
      <c r="F1985" t="s">
        <v>5279</v>
      </c>
      <c r="G1985" t="s">
        <v>5283</v>
      </c>
      <c r="H1985" t="s">
        <v>5385</v>
      </c>
      <c r="I1985" s="2">
        <v>396</v>
      </c>
      <c r="J1985" s="2">
        <v>0</v>
      </c>
      <c r="K1985" s="2">
        <v>0</v>
      </c>
      <c r="L1985" s="3">
        <v>45659</v>
      </c>
      <c r="M1985" s="3">
        <v>45852</v>
      </c>
      <c r="N1985" s="3">
        <v>45722</v>
      </c>
      <c r="O1985" t="s">
        <v>4</v>
      </c>
      <c r="P1985" t="s">
        <v>5285</v>
      </c>
      <c r="Q1985" s="4">
        <v>0.89432870370369999</v>
      </c>
      <c r="R1985" t="s">
        <v>5279</v>
      </c>
      <c r="S1985" t="s">
        <v>4</v>
      </c>
      <c r="T1985" t="s">
        <v>5386</v>
      </c>
      <c r="U1985" t="s">
        <v>10</v>
      </c>
      <c r="V1985" s="5">
        <v>0</v>
      </c>
      <c r="W1985" s="5">
        <v>0</v>
      </c>
      <c r="X1985" s="2">
        <v>0</v>
      </c>
      <c r="Y1985" t="s">
        <v>4</v>
      </c>
      <c r="Z1985" t="s">
        <v>4</v>
      </c>
      <c r="AA1985" t="s">
        <v>4</v>
      </c>
      <c r="AB1985" t="s">
        <v>4</v>
      </c>
    </row>
    <row r="1986" spans="1:28" hidden="1" x14ac:dyDescent="0.2">
      <c r="A1986" t="s">
        <v>1681</v>
      </c>
      <c r="B1986" t="s">
        <v>2</v>
      </c>
      <c r="C1986" t="s">
        <v>3</v>
      </c>
      <c r="D1986" t="s">
        <v>4</v>
      </c>
      <c r="E1986" t="s">
        <v>4</v>
      </c>
      <c r="F1986" t="s">
        <v>5279</v>
      </c>
      <c r="G1986" t="s">
        <v>5283</v>
      </c>
      <c r="H1986" t="s">
        <v>5385</v>
      </c>
      <c r="I1986" s="2">
        <v>49</v>
      </c>
      <c r="J1986" s="2">
        <v>0</v>
      </c>
      <c r="K1986" s="2">
        <v>0</v>
      </c>
      <c r="L1986" s="3">
        <v>45659</v>
      </c>
      <c r="M1986" s="3">
        <v>45850</v>
      </c>
      <c r="N1986" s="3">
        <v>45850</v>
      </c>
      <c r="O1986" t="s">
        <v>4</v>
      </c>
      <c r="P1986" t="s">
        <v>5285</v>
      </c>
      <c r="Q1986" s="4">
        <v>0.89432870370369999</v>
      </c>
      <c r="R1986" t="s">
        <v>5279</v>
      </c>
      <c r="S1986" t="s">
        <v>4</v>
      </c>
      <c r="T1986" t="s">
        <v>5386</v>
      </c>
      <c r="U1986" t="s">
        <v>10</v>
      </c>
      <c r="V1986" s="5">
        <v>0</v>
      </c>
      <c r="W1986" s="5">
        <v>0</v>
      </c>
      <c r="X1986" s="2">
        <v>0</v>
      </c>
      <c r="Y1986" t="s">
        <v>4</v>
      </c>
      <c r="Z1986" t="s">
        <v>4</v>
      </c>
      <c r="AA1986" t="s">
        <v>4</v>
      </c>
      <c r="AB1986" t="s">
        <v>4</v>
      </c>
    </row>
    <row r="1987" spans="1:28" hidden="1" x14ac:dyDescent="0.2">
      <c r="A1987" t="s">
        <v>411</v>
      </c>
      <c r="B1987" t="s">
        <v>2</v>
      </c>
      <c r="C1987" t="s">
        <v>3</v>
      </c>
      <c r="D1987" t="s">
        <v>4</v>
      </c>
      <c r="E1987" t="s">
        <v>4</v>
      </c>
      <c r="F1987" t="s">
        <v>5279</v>
      </c>
      <c r="G1987" t="s">
        <v>5283</v>
      </c>
      <c r="H1987" t="s">
        <v>5385</v>
      </c>
      <c r="I1987" s="2">
        <v>945</v>
      </c>
      <c r="J1987" s="2">
        <v>0</v>
      </c>
      <c r="K1987" s="2">
        <v>0</v>
      </c>
      <c r="L1987" s="3">
        <v>45790</v>
      </c>
      <c r="M1987" s="3">
        <v>45859</v>
      </c>
      <c r="N1987" s="3">
        <v>45844</v>
      </c>
      <c r="O1987" t="s">
        <v>4</v>
      </c>
      <c r="P1987" t="s">
        <v>5285</v>
      </c>
      <c r="Q1987" s="4">
        <v>0.89432870370369999</v>
      </c>
      <c r="R1987" t="s">
        <v>5279</v>
      </c>
      <c r="S1987" t="s">
        <v>4</v>
      </c>
      <c r="T1987" t="s">
        <v>5108</v>
      </c>
      <c r="U1987" t="s">
        <v>10</v>
      </c>
      <c r="V1987" s="5">
        <v>0</v>
      </c>
      <c r="W1987" s="5">
        <v>0</v>
      </c>
      <c r="X1987" s="2">
        <v>0</v>
      </c>
      <c r="Y1987" t="s">
        <v>4</v>
      </c>
      <c r="Z1987" t="s">
        <v>4</v>
      </c>
      <c r="AA1987" t="s">
        <v>4</v>
      </c>
      <c r="AB1987" t="s">
        <v>4</v>
      </c>
    </row>
    <row r="1988" spans="1:28" hidden="1" x14ac:dyDescent="0.2">
      <c r="A1988" t="s">
        <v>1677</v>
      </c>
      <c r="B1988" t="s">
        <v>2</v>
      </c>
      <c r="C1988" t="s">
        <v>3</v>
      </c>
      <c r="D1988" t="s">
        <v>4</v>
      </c>
      <c r="E1988" t="s">
        <v>4</v>
      </c>
      <c r="F1988" t="s">
        <v>5279</v>
      </c>
      <c r="G1988" t="s">
        <v>5283</v>
      </c>
      <c r="H1988" t="s">
        <v>5387</v>
      </c>
      <c r="I1988" s="2">
        <v>254</v>
      </c>
      <c r="J1988" s="2">
        <v>0</v>
      </c>
      <c r="K1988" s="2">
        <v>0</v>
      </c>
      <c r="L1988" s="3">
        <v>45653</v>
      </c>
      <c r="M1988" s="3">
        <v>45849</v>
      </c>
      <c r="N1988" s="3">
        <v>45849</v>
      </c>
      <c r="O1988" t="s">
        <v>4</v>
      </c>
      <c r="P1988" t="s">
        <v>5285</v>
      </c>
      <c r="Q1988" s="4">
        <v>0.55825231481480997</v>
      </c>
      <c r="R1988" t="s">
        <v>5279</v>
      </c>
      <c r="S1988" t="s">
        <v>4</v>
      </c>
      <c r="T1988" t="s">
        <v>5293</v>
      </c>
      <c r="U1988" t="s">
        <v>10</v>
      </c>
      <c r="V1988" s="5">
        <v>0</v>
      </c>
      <c r="W1988" s="5">
        <v>0</v>
      </c>
      <c r="X1988" s="2">
        <v>0</v>
      </c>
      <c r="Y1988" t="s">
        <v>4</v>
      </c>
      <c r="Z1988" t="s">
        <v>4</v>
      </c>
      <c r="AA1988" t="s">
        <v>4</v>
      </c>
      <c r="AB1988" t="s">
        <v>4</v>
      </c>
    </row>
    <row r="1989" spans="1:28" hidden="1" x14ac:dyDescent="0.2">
      <c r="A1989" t="s">
        <v>1618</v>
      </c>
      <c r="B1989" t="s">
        <v>2</v>
      </c>
      <c r="C1989" t="s">
        <v>3</v>
      </c>
      <c r="D1989" t="s">
        <v>4</v>
      </c>
      <c r="E1989" t="s">
        <v>4</v>
      </c>
      <c r="F1989" t="s">
        <v>5279</v>
      </c>
      <c r="G1989" t="s">
        <v>5283</v>
      </c>
      <c r="H1989" t="s">
        <v>5387</v>
      </c>
      <c r="I1989" s="2">
        <v>179</v>
      </c>
      <c r="J1989" s="2">
        <v>0</v>
      </c>
      <c r="K1989" s="2">
        <v>0</v>
      </c>
      <c r="L1989" s="3">
        <v>45815</v>
      </c>
      <c r="M1989" s="3">
        <v>45847</v>
      </c>
      <c r="N1989" s="3">
        <v>45845</v>
      </c>
      <c r="O1989" t="s">
        <v>4</v>
      </c>
      <c r="P1989" t="s">
        <v>5285</v>
      </c>
      <c r="Q1989" s="4">
        <v>0.55825231481480997</v>
      </c>
      <c r="R1989" t="s">
        <v>5279</v>
      </c>
      <c r="S1989" t="s">
        <v>4</v>
      </c>
      <c r="T1989" t="s">
        <v>5291</v>
      </c>
      <c r="U1989" t="s">
        <v>5282</v>
      </c>
      <c r="V1989" s="5">
        <v>0</v>
      </c>
      <c r="W1989" s="5">
        <v>0</v>
      </c>
      <c r="X1989" s="2">
        <v>0</v>
      </c>
      <c r="Y1989" t="s">
        <v>4</v>
      </c>
      <c r="Z1989" t="s">
        <v>4</v>
      </c>
      <c r="AA1989" t="s">
        <v>4</v>
      </c>
      <c r="AB1989" t="s">
        <v>4</v>
      </c>
    </row>
    <row r="1990" spans="1:28" hidden="1" x14ac:dyDescent="0.2">
      <c r="A1990" t="s">
        <v>1627</v>
      </c>
      <c r="B1990" t="s">
        <v>2</v>
      </c>
      <c r="C1990" t="s">
        <v>3</v>
      </c>
      <c r="D1990" t="s">
        <v>4</v>
      </c>
      <c r="E1990" t="s">
        <v>4</v>
      </c>
      <c r="F1990" t="s">
        <v>5279</v>
      </c>
      <c r="G1990" t="s">
        <v>5327</v>
      </c>
      <c r="H1990" t="s">
        <v>5388</v>
      </c>
      <c r="I1990" s="2">
        <v>1000</v>
      </c>
      <c r="J1990" s="2">
        <v>0</v>
      </c>
      <c r="K1990" s="2">
        <v>0</v>
      </c>
      <c r="L1990" s="3">
        <v>45489</v>
      </c>
      <c r="M1990" s="3">
        <v>45850</v>
      </c>
      <c r="N1990" s="3">
        <v>45850</v>
      </c>
      <c r="O1990" t="s">
        <v>4</v>
      </c>
      <c r="P1990" t="s">
        <v>5285</v>
      </c>
      <c r="Q1990" s="4">
        <v>0.90087962962962997</v>
      </c>
      <c r="R1990" t="s">
        <v>5279</v>
      </c>
      <c r="S1990" t="s">
        <v>4</v>
      </c>
      <c r="T1990" t="s">
        <v>5318</v>
      </c>
      <c r="U1990" t="s">
        <v>4</v>
      </c>
      <c r="V1990" s="5">
        <v>0</v>
      </c>
      <c r="W1990" s="5">
        <v>0</v>
      </c>
      <c r="X1990" s="2">
        <v>0</v>
      </c>
      <c r="Y1990" t="s">
        <v>4</v>
      </c>
      <c r="Z1990" t="s">
        <v>4</v>
      </c>
      <c r="AA1990" t="s">
        <v>4</v>
      </c>
      <c r="AB1990" t="s">
        <v>4</v>
      </c>
    </row>
    <row r="1991" spans="1:28" hidden="1" x14ac:dyDescent="0.2">
      <c r="A1991" t="s">
        <v>1737</v>
      </c>
      <c r="B1991" t="s">
        <v>2</v>
      </c>
      <c r="C1991" t="s">
        <v>3</v>
      </c>
      <c r="D1991" t="s">
        <v>4</v>
      </c>
      <c r="E1991" t="s">
        <v>4</v>
      </c>
      <c r="F1991" t="s">
        <v>5279</v>
      </c>
      <c r="G1991" t="s">
        <v>5327</v>
      </c>
      <c r="H1991" t="s">
        <v>5389</v>
      </c>
      <c r="I1991" s="2">
        <v>1900</v>
      </c>
      <c r="J1991" s="2">
        <v>0</v>
      </c>
      <c r="K1991" s="2">
        <v>0</v>
      </c>
      <c r="L1991" s="3">
        <v>45737</v>
      </c>
      <c r="M1991" s="3">
        <v>45805</v>
      </c>
      <c r="N1991" s="3"/>
      <c r="O1991" t="s">
        <v>4</v>
      </c>
      <c r="P1991" t="s">
        <v>5285</v>
      </c>
      <c r="Q1991" s="4">
        <v>0.98599537037036999</v>
      </c>
      <c r="R1991" t="s">
        <v>5279</v>
      </c>
      <c r="S1991" t="s">
        <v>4</v>
      </c>
      <c r="T1991" t="s">
        <v>4397</v>
      </c>
      <c r="U1991" t="s">
        <v>10</v>
      </c>
      <c r="V1991" s="5">
        <v>0</v>
      </c>
      <c r="W1991" s="5">
        <v>0</v>
      </c>
      <c r="X1991" s="2">
        <v>0</v>
      </c>
      <c r="Y1991" t="s">
        <v>2351</v>
      </c>
      <c r="Z1991" t="s">
        <v>2351</v>
      </c>
      <c r="AA1991" t="s">
        <v>2351</v>
      </c>
      <c r="AB1991" t="s">
        <v>2351</v>
      </c>
    </row>
    <row r="1992" spans="1:28" hidden="1" x14ac:dyDescent="0.2">
      <c r="A1992" t="s">
        <v>1734</v>
      </c>
      <c r="B1992" t="s">
        <v>2</v>
      </c>
      <c r="C1992" t="s">
        <v>3</v>
      </c>
      <c r="D1992" t="s">
        <v>4</v>
      </c>
      <c r="E1992" t="s">
        <v>4</v>
      </c>
      <c r="F1992" t="s">
        <v>5279</v>
      </c>
      <c r="G1992" t="s">
        <v>5327</v>
      </c>
      <c r="H1992" t="s">
        <v>5390</v>
      </c>
      <c r="I1992" s="2">
        <v>5000</v>
      </c>
      <c r="J1992" s="2">
        <v>0</v>
      </c>
      <c r="K1992" s="2">
        <v>0</v>
      </c>
      <c r="L1992" s="3">
        <v>45677</v>
      </c>
      <c r="M1992" s="3">
        <v>45851</v>
      </c>
      <c r="N1992" s="3"/>
      <c r="O1992" t="s">
        <v>4</v>
      </c>
      <c r="P1992" t="s">
        <v>5285</v>
      </c>
      <c r="Q1992" s="4">
        <v>0.65725694444444005</v>
      </c>
      <c r="R1992" t="s">
        <v>5279</v>
      </c>
      <c r="S1992" t="s">
        <v>4</v>
      </c>
      <c r="T1992" t="s">
        <v>5391</v>
      </c>
      <c r="U1992" t="s">
        <v>10</v>
      </c>
      <c r="V1992" s="5">
        <v>0</v>
      </c>
      <c r="W1992" s="5">
        <v>0</v>
      </c>
      <c r="X1992" s="2">
        <v>0</v>
      </c>
      <c r="Y1992" t="s">
        <v>4</v>
      </c>
      <c r="Z1992" t="s">
        <v>4</v>
      </c>
      <c r="AA1992" t="s">
        <v>4</v>
      </c>
      <c r="AB1992" t="s">
        <v>4</v>
      </c>
    </row>
    <row r="1993" spans="1:28" hidden="1" x14ac:dyDescent="0.2">
      <c r="A1993" t="s">
        <v>1659</v>
      </c>
      <c r="B1993" t="s">
        <v>2</v>
      </c>
      <c r="C1993" t="s">
        <v>3</v>
      </c>
      <c r="D1993" t="s">
        <v>4</v>
      </c>
      <c r="E1993" t="s">
        <v>4</v>
      </c>
      <c r="F1993" t="s">
        <v>5279</v>
      </c>
      <c r="G1993" t="s">
        <v>5327</v>
      </c>
      <c r="H1993" t="s">
        <v>5390</v>
      </c>
      <c r="I1993" s="2">
        <v>763</v>
      </c>
      <c r="J1993" s="2">
        <v>0</v>
      </c>
      <c r="K1993" s="2">
        <v>0</v>
      </c>
      <c r="L1993" s="3">
        <v>45653</v>
      </c>
      <c r="M1993" s="3">
        <v>45841</v>
      </c>
      <c r="N1993" s="3">
        <v>45841</v>
      </c>
      <c r="O1993" t="s">
        <v>4</v>
      </c>
      <c r="P1993" t="s">
        <v>5285</v>
      </c>
      <c r="Q1993" s="4">
        <v>0.65725694444444005</v>
      </c>
      <c r="R1993" t="s">
        <v>5279</v>
      </c>
      <c r="S1993" t="s">
        <v>4</v>
      </c>
      <c r="T1993" t="s">
        <v>5293</v>
      </c>
      <c r="U1993" t="s">
        <v>10</v>
      </c>
      <c r="V1993" s="5">
        <v>0</v>
      </c>
      <c r="W1993" s="5">
        <v>0</v>
      </c>
      <c r="X1993" s="2">
        <v>0</v>
      </c>
      <c r="Y1993" t="s">
        <v>4</v>
      </c>
      <c r="Z1993" t="s">
        <v>4</v>
      </c>
      <c r="AA1993" t="s">
        <v>4</v>
      </c>
      <c r="AB1993" t="s">
        <v>4</v>
      </c>
    </row>
    <row r="1994" spans="1:28" hidden="1" x14ac:dyDescent="0.2">
      <c r="A1994" t="s">
        <v>1787</v>
      </c>
      <c r="B1994" t="s">
        <v>2</v>
      </c>
      <c r="C1994" t="s">
        <v>3</v>
      </c>
      <c r="D1994" t="s">
        <v>4</v>
      </c>
      <c r="E1994" t="s">
        <v>4</v>
      </c>
      <c r="F1994" t="s">
        <v>5279</v>
      </c>
      <c r="G1994" t="s">
        <v>5327</v>
      </c>
      <c r="H1994" t="s">
        <v>5392</v>
      </c>
      <c r="I1994" s="2">
        <v>1000</v>
      </c>
      <c r="J1994" s="2">
        <v>0</v>
      </c>
      <c r="K1994" s="2">
        <v>0</v>
      </c>
      <c r="L1994" s="3">
        <v>45790</v>
      </c>
      <c r="M1994" s="3">
        <v>45859</v>
      </c>
      <c r="N1994" s="3">
        <v>45859</v>
      </c>
      <c r="O1994" t="s">
        <v>4</v>
      </c>
      <c r="P1994" t="s">
        <v>5285</v>
      </c>
      <c r="Q1994" s="4">
        <v>0.87585648148147999</v>
      </c>
      <c r="R1994" t="s">
        <v>5279</v>
      </c>
      <c r="S1994" t="s">
        <v>4</v>
      </c>
      <c r="T1994" t="s">
        <v>5108</v>
      </c>
      <c r="U1994" t="s">
        <v>10</v>
      </c>
      <c r="V1994" s="5">
        <v>0</v>
      </c>
      <c r="W1994" s="5">
        <v>0</v>
      </c>
      <c r="X1994" s="2">
        <v>0</v>
      </c>
      <c r="Y1994" t="s">
        <v>4</v>
      </c>
      <c r="Z1994" t="s">
        <v>4</v>
      </c>
      <c r="AA1994" t="s">
        <v>4</v>
      </c>
      <c r="AB1994" t="s">
        <v>4</v>
      </c>
    </row>
    <row r="1995" spans="1:28" hidden="1" x14ac:dyDescent="0.2">
      <c r="A1995" t="s">
        <v>343</v>
      </c>
      <c r="B1995" t="s">
        <v>2</v>
      </c>
      <c r="C1995" t="s">
        <v>3</v>
      </c>
      <c r="D1995" t="s">
        <v>4</v>
      </c>
      <c r="E1995" t="s">
        <v>4</v>
      </c>
      <c r="F1995" t="s">
        <v>5279</v>
      </c>
      <c r="G1995" t="s">
        <v>5327</v>
      </c>
      <c r="H1995" t="s">
        <v>5393</v>
      </c>
      <c r="I1995" s="2">
        <v>835</v>
      </c>
      <c r="J1995" s="2">
        <v>0</v>
      </c>
      <c r="K1995" s="2">
        <v>0</v>
      </c>
      <c r="L1995" s="3">
        <v>45742</v>
      </c>
      <c r="M1995" s="3">
        <v>45843</v>
      </c>
      <c r="N1995" s="3">
        <v>45831</v>
      </c>
      <c r="O1995" t="s">
        <v>4</v>
      </c>
      <c r="P1995" t="s">
        <v>5285</v>
      </c>
      <c r="Q1995" s="4">
        <v>0.57563657407406998</v>
      </c>
      <c r="R1995" t="s">
        <v>5279</v>
      </c>
      <c r="S1995" t="s">
        <v>4</v>
      </c>
      <c r="T1995" t="s">
        <v>3620</v>
      </c>
      <c r="U1995" t="s">
        <v>10</v>
      </c>
      <c r="V1995" s="5">
        <v>0</v>
      </c>
      <c r="W1995" s="5">
        <v>0</v>
      </c>
      <c r="X1995" s="2">
        <v>0</v>
      </c>
      <c r="Y1995" t="s">
        <v>4</v>
      </c>
      <c r="Z1995" t="s">
        <v>4</v>
      </c>
      <c r="AA1995" t="s">
        <v>4</v>
      </c>
      <c r="AB1995" t="s">
        <v>4</v>
      </c>
    </row>
    <row r="1996" spans="1:28" hidden="1" x14ac:dyDescent="0.2">
      <c r="A1996" t="s">
        <v>1599</v>
      </c>
      <c r="B1996" t="s">
        <v>2</v>
      </c>
      <c r="C1996" t="s">
        <v>3</v>
      </c>
      <c r="D1996" t="s">
        <v>4</v>
      </c>
      <c r="E1996" t="s">
        <v>4</v>
      </c>
      <c r="F1996" t="s">
        <v>5279</v>
      </c>
      <c r="G1996" t="s">
        <v>5327</v>
      </c>
      <c r="H1996" t="s">
        <v>5394</v>
      </c>
      <c r="I1996" s="2">
        <v>720</v>
      </c>
      <c r="J1996" s="2">
        <v>0</v>
      </c>
      <c r="K1996" s="2">
        <v>0</v>
      </c>
      <c r="L1996" s="3">
        <v>45653</v>
      </c>
      <c r="M1996" s="3">
        <v>45850</v>
      </c>
      <c r="N1996" s="3">
        <v>45850</v>
      </c>
      <c r="O1996" t="s">
        <v>4</v>
      </c>
      <c r="P1996" t="s">
        <v>5285</v>
      </c>
      <c r="Q1996" s="4">
        <v>0.90089120370370002</v>
      </c>
      <c r="R1996" t="s">
        <v>5279</v>
      </c>
      <c r="S1996" t="s">
        <v>4</v>
      </c>
      <c r="T1996" t="s">
        <v>5293</v>
      </c>
      <c r="U1996" t="s">
        <v>10</v>
      </c>
      <c r="V1996" s="5">
        <v>0</v>
      </c>
      <c r="W1996" s="5">
        <v>0</v>
      </c>
      <c r="X1996" s="2">
        <v>0</v>
      </c>
      <c r="Y1996" t="s">
        <v>4</v>
      </c>
      <c r="Z1996" t="s">
        <v>4</v>
      </c>
      <c r="AA1996" t="s">
        <v>4</v>
      </c>
      <c r="AB1996" t="s">
        <v>4</v>
      </c>
    </row>
    <row r="1997" spans="1:28" hidden="1" x14ac:dyDescent="0.2">
      <c r="A1997" t="s">
        <v>1722</v>
      </c>
      <c r="B1997" t="s">
        <v>2</v>
      </c>
      <c r="C1997" t="s">
        <v>3</v>
      </c>
      <c r="D1997" t="s">
        <v>4</v>
      </c>
      <c r="E1997" t="s">
        <v>4</v>
      </c>
      <c r="F1997" t="s">
        <v>5279</v>
      </c>
      <c r="G1997" t="s">
        <v>5327</v>
      </c>
      <c r="H1997" t="s">
        <v>5395</v>
      </c>
      <c r="I1997" s="2">
        <v>8400</v>
      </c>
      <c r="J1997" s="2">
        <v>0</v>
      </c>
      <c r="K1997" s="2">
        <v>0</v>
      </c>
      <c r="L1997" s="3">
        <v>45849</v>
      </c>
      <c r="M1997" s="3">
        <v>45849</v>
      </c>
      <c r="N1997" s="3"/>
      <c r="O1997" t="s">
        <v>4</v>
      </c>
      <c r="P1997" t="s">
        <v>5285</v>
      </c>
      <c r="Q1997" s="4">
        <v>0.49041666666667</v>
      </c>
      <c r="R1997" t="s">
        <v>5279</v>
      </c>
      <c r="S1997" t="s">
        <v>4</v>
      </c>
      <c r="T1997" t="s">
        <v>2321</v>
      </c>
      <c r="U1997" t="s">
        <v>10</v>
      </c>
      <c r="V1997" s="5">
        <v>0</v>
      </c>
      <c r="W1997" s="5">
        <v>0</v>
      </c>
      <c r="X1997" s="2">
        <v>0</v>
      </c>
      <c r="Y1997" t="s">
        <v>4</v>
      </c>
      <c r="Z1997" t="s">
        <v>4</v>
      </c>
      <c r="AA1997" t="s">
        <v>4</v>
      </c>
      <c r="AB1997" t="s">
        <v>4</v>
      </c>
    </row>
    <row r="1998" spans="1:28" hidden="1" x14ac:dyDescent="0.2">
      <c r="A1998" t="s">
        <v>1704</v>
      </c>
      <c r="B1998" t="s">
        <v>2</v>
      </c>
      <c r="C1998" t="s">
        <v>3</v>
      </c>
      <c r="D1998" t="s">
        <v>4</v>
      </c>
      <c r="E1998" t="s">
        <v>4</v>
      </c>
      <c r="F1998" t="s">
        <v>5279</v>
      </c>
      <c r="G1998" t="s">
        <v>5283</v>
      </c>
      <c r="H1998" t="s">
        <v>5396</v>
      </c>
      <c r="I1998" s="2">
        <v>1400</v>
      </c>
      <c r="J1998" s="2">
        <v>0</v>
      </c>
      <c r="K1998" s="2">
        <v>0</v>
      </c>
      <c r="L1998" s="3">
        <v>45688</v>
      </c>
      <c r="M1998" s="3">
        <v>45851</v>
      </c>
      <c r="N1998" s="3">
        <v>45851</v>
      </c>
      <c r="O1998" t="s">
        <v>4</v>
      </c>
      <c r="P1998" t="s">
        <v>5285</v>
      </c>
      <c r="Q1998" s="4">
        <v>0.35177083333332998</v>
      </c>
      <c r="R1998" t="s">
        <v>5279</v>
      </c>
      <c r="S1998" t="s">
        <v>4</v>
      </c>
      <c r="T1998" t="s">
        <v>5397</v>
      </c>
      <c r="U1998" t="s">
        <v>10</v>
      </c>
      <c r="V1998" s="5">
        <v>0</v>
      </c>
      <c r="W1998" s="5">
        <v>0</v>
      </c>
      <c r="X1998" s="2">
        <v>0</v>
      </c>
      <c r="Y1998" t="s">
        <v>4</v>
      </c>
      <c r="Z1998" t="s">
        <v>4</v>
      </c>
      <c r="AA1998" t="s">
        <v>4</v>
      </c>
      <c r="AB1998" t="s">
        <v>4</v>
      </c>
    </row>
    <row r="1999" spans="1:28" hidden="1" x14ac:dyDescent="0.2">
      <c r="A1999" t="s">
        <v>1643</v>
      </c>
      <c r="B1999" t="s">
        <v>2</v>
      </c>
      <c r="C1999" t="s">
        <v>3</v>
      </c>
      <c r="D1999" t="s">
        <v>4</v>
      </c>
      <c r="E1999" t="s">
        <v>4</v>
      </c>
      <c r="F1999" t="s">
        <v>5279</v>
      </c>
      <c r="G1999" t="s">
        <v>5327</v>
      </c>
      <c r="H1999" t="s">
        <v>5398</v>
      </c>
      <c r="I1999" s="2">
        <v>581</v>
      </c>
      <c r="J1999" s="2">
        <v>0</v>
      </c>
      <c r="K1999" s="2">
        <v>0</v>
      </c>
      <c r="L1999" s="3">
        <v>45756</v>
      </c>
      <c r="M1999" s="3">
        <v>45859</v>
      </c>
      <c r="N1999" s="3">
        <v>45858</v>
      </c>
      <c r="O1999" t="s">
        <v>4</v>
      </c>
      <c r="P1999" t="s">
        <v>5285</v>
      </c>
      <c r="Q1999" s="4">
        <v>0.87584490740740994</v>
      </c>
      <c r="R1999" t="s">
        <v>5279</v>
      </c>
      <c r="S1999" t="s">
        <v>4</v>
      </c>
      <c r="T1999" t="s">
        <v>4765</v>
      </c>
      <c r="U1999" t="s">
        <v>10</v>
      </c>
      <c r="V1999" s="5">
        <v>0</v>
      </c>
      <c r="W1999" s="5">
        <v>0</v>
      </c>
      <c r="X1999" s="2">
        <v>0</v>
      </c>
      <c r="Y1999" t="s">
        <v>4</v>
      </c>
      <c r="Z1999" t="s">
        <v>4</v>
      </c>
      <c r="AA1999" t="s">
        <v>4</v>
      </c>
      <c r="AB1999" t="s">
        <v>4</v>
      </c>
    </row>
    <row r="2000" spans="1:28" hidden="1" x14ac:dyDescent="0.2">
      <c r="A2000" t="s">
        <v>357</v>
      </c>
      <c r="B2000" t="s">
        <v>2</v>
      </c>
      <c r="C2000" t="s">
        <v>3</v>
      </c>
      <c r="D2000" t="s">
        <v>4</v>
      </c>
      <c r="E2000" t="s">
        <v>4</v>
      </c>
      <c r="F2000" t="s">
        <v>5279</v>
      </c>
      <c r="G2000" t="s">
        <v>5327</v>
      </c>
      <c r="H2000" t="s">
        <v>5398</v>
      </c>
      <c r="I2000" s="2">
        <v>1794</v>
      </c>
      <c r="J2000" s="2">
        <v>0</v>
      </c>
      <c r="K2000" s="2">
        <v>0</v>
      </c>
      <c r="L2000" s="3">
        <v>45747</v>
      </c>
      <c r="M2000" s="3">
        <v>45857</v>
      </c>
      <c r="N2000" s="3">
        <v>45855</v>
      </c>
      <c r="O2000" t="s">
        <v>4</v>
      </c>
      <c r="P2000" t="s">
        <v>5285</v>
      </c>
      <c r="Q2000" s="4">
        <v>0.87584490740740994</v>
      </c>
      <c r="R2000" t="s">
        <v>5279</v>
      </c>
      <c r="S2000" t="s">
        <v>4</v>
      </c>
      <c r="T2000" t="s">
        <v>2616</v>
      </c>
      <c r="U2000" t="s">
        <v>10</v>
      </c>
      <c r="V2000" s="5">
        <v>0</v>
      </c>
      <c r="W2000" s="5">
        <v>0</v>
      </c>
      <c r="X2000" s="2">
        <v>0</v>
      </c>
      <c r="Y2000" t="s">
        <v>4</v>
      </c>
      <c r="Z2000" t="s">
        <v>4</v>
      </c>
      <c r="AA2000" t="s">
        <v>4</v>
      </c>
      <c r="AB2000" t="s">
        <v>4</v>
      </c>
    </row>
    <row r="2001" spans="1:28" hidden="1" x14ac:dyDescent="0.2">
      <c r="A2001" t="s">
        <v>2251</v>
      </c>
      <c r="B2001" t="s">
        <v>4</v>
      </c>
      <c r="C2001" t="s">
        <v>4</v>
      </c>
      <c r="D2001" t="s">
        <v>4</v>
      </c>
      <c r="E2001" t="s">
        <v>4</v>
      </c>
      <c r="F2001" t="s">
        <v>5279</v>
      </c>
      <c r="G2001" t="s">
        <v>5283</v>
      </c>
      <c r="H2001" t="s">
        <v>5399</v>
      </c>
      <c r="I2001" s="5">
        <v>0</v>
      </c>
      <c r="J2001" s="5">
        <v>0</v>
      </c>
      <c r="K2001" s="5">
        <v>0</v>
      </c>
      <c r="L2001" s="3"/>
      <c r="M2001" s="3"/>
      <c r="N2001" s="3"/>
      <c r="O2001" t="s">
        <v>4</v>
      </c>
      <c r="P2001" t="s">
        <v>5285</v>
      </c>
      <c r="Q2001" s="4">
        <v>0.84016203703703995</v>
      </c>
      <c r="R2001" t="s">
        <v>4</v>
      </c>
      <c r="S2001" t="s">
        <v>4</v>
      </c>
      <c r="T2001" t="s">
        <v>2256</v>
      </c>
      <c r="U2001" t="s">
        <v>4</v>
      </c>
      <c r="V2001" s="5">
        <v>0</v>
      </c>
      <c r="W2001" s="5">
        <v>0</v>
      </c>
      <c r="X2001" s="2">
        <v>0</v>
      </c>
      <c r="Y2001" t="s">
        <v>4</v>
      </c>
      <c r="Z2001" t="s">
        <v>4</v>
      </c>
      <c r="AA2001" t="s">
        <v>4</v>
      </c>
      <c r="AB2001" t="s">
        <v>4</v>
      </c>
    </row>
    <row r="2002" spans="1:28" hidden="1" x14ac:dyDescent="0.2">
      <c r="A2002" t="s">
        <v>2251</v>
      </c>
      <c r="B2002" t="s">
        <v>4</v>
      </c>
      <c r="C2002" t="s">
        <v>4</v>
      </c>
      <c r="D2002" t="s">
        <v>4</v>
      </c>
      <c r="E2002" t="s">
        <v>4</v>
      </c>
      <c r="F2002" t="s">
        <v>5279</v>
      </c>
      <c r="G2002" t="s">
        <v>5283</v>
      </c>
      <c r="H2002" t="s">
        <v>5400</v>
      </c>
      <c r="I2002" s="5">
        <v>0</v>
      </c>
      <c r="J2002" s="5">
        <v>0</v>
      </c>
      <c r="K2002" s="5">
        <v>0</v>
      </c>
      <c r="L2002" s="3"/>
      <c r="M2002" s="3"/>
      <c r="N2002" s="3"/>
      <c r="O2002" t="s">
        <v>4</v>
      </c>
      <c r="P2002" t="s">
        <v>5285</v>
      </c>
      <c r="Q2002" s="4">
        <v>0</v>
      </c>
      <c r="R2002" t="s">
        <v>4</v>
      </c>
      <c r="S2002" t="s">
        <v>4</v>
      </c>
      <c r="T2002" t="s">
        <v>2256</v>
      </c>
      <c r="U2002" t="s">
        <v>4</v>
      </c>
      <c r="V2002" s="5">
        <v>0</v>
      </c>
      <c r="W2002" s="5">
        <v>0</v>
      </c>
      <c r="X2002" s="2">
        <v>0</v>
      </c>
      <c r="Y2002" t="s">
        <v>4</v>
      </c>
      <c r="Z2002" t="s">
        <v>4</v>
      </c>
      <c r="AA2002" t="s">
        <v>4</v>
      </c>
      <c r="AB2002" t="s">
        <v>4</v>
      </c>
    </row>
    <row r="2003" spans="1:28" hidden="1" x14ac:dyDescent="0.2">
      <c r="A2003" t="s">
        <v>1621</v>
      </c>
      <c r="B2003" t="s">
        <v>2</v>
      </c>
      <c r="C2003" t="s">
        <v>3</v>
      </c>
      <c r="D2003" t="s">
        <v>4</v>
      </c>
      <c r="E2003" t="s">
        <v>4</v>
      </c>
      <c r="F2003" t="s">
        <v>5279</v>
      </c>
      <c r="G2003" t="s">
        <v>5283</v>
      </c>
      <c r="H2003" t="s">
        <v>5401</v>
      </c>
      <c r="I2003" s="2">
        <v>1600</v>
      </c>
      <c r="J2003" s="2">
        <v>0</v>
      </c>
      <c r="K2003" s="2">
        <v>0</v>
      </c>
      <c r="L2003" s="3">
        <v>45849</v>
      </c>
      <c r="M2003" s="3">
        <v>45849</v>
      </c>
      <c r="N2003" s="3">
        <v>45849</v>
      </c>
      <c r="O2003" t="s">
        <v>4</v>
      </c>
      <c r="P2003" t="s">
        <v>5285</v>
      </c>
      <c r="Q2003" s="4">
        <v>0.95848379629629998</v>
      </c>
      <c r="R2003" t="s">
        <v>5279</v>
      </c>
      <c r="S2003" t="s">
        <v>4</v>
      </c>
      <c r="T2003" t="s">
        <v>2321</v>
      </c>
      <c r="U2003" t="s">
        <v>5282</v>
      </c>
      <c r="V2003" s="5">
        <v>0</v>
      </c>
      <c r="W2003" s="5">
        <v>0</v>
      </c>
      <c r="X2003" s="2">
        <v>0</v>
      </c>
      <c r="Y2003" t="s">
        <v>4</v>
      </c>
      <c r="Z2003" t="s">
        <v>4</v>
      </c>
      <c r="AA2003" t="s">
        <v>4</v>
      </c>
      <c r="AB2003" t="s">
        <v>4</v>
      </c>
    </row>
    <row r="2004" spans="1:28" hidden="1" x14ac:dyDescent="0.2">
      <c r="A2004" t="s">
        <v>1797</v>
      </c>
      <c r="B2004" t="s">
        <v>2</v>
      </c>
      <c r="C2004" t="s">
        <v>3</v>
      </c>
      <c r="D2004" t="s">
        <v>4</v>
      </c>
      <c r="E2004" t="s">
        <v>4</v>
      </c>
      <c r="F2004" t="s">
        <v>5279</v>
      </c>
      <c r="G2004" t="s">
        <v>5283</v>
      </c>
      <c r="H2004" t="s">
        <v>5401</v>
      </c>
      <c r="I2004" s="2">
        <v>500</v>
      </c>
      <c r="J2004" s="2">
        <v>0</v>
      </c>
      <c r="K2004" s="2">
        <v>0</v>
      </c>
      <c r="L2004" s="3">
        <v>45673</v>
      </c>
      <c r="M2004" s="3">
        <v>45859</v>
      </c>
      <c r="N2004" s="3">
        <v>45841</v>
      </c>
      <c r="O2004" t="s">
        <v>4</v>
      </c>
      <c r="P2004" t="s">
        <v>5285</v>
      </c>
      <c r="Q2004" s="4">
        <v>0.95848379629629998</v>
      </c>
      <c r="R2004" t="s">
        <v>5279</v>
      </c>
      <c r="S2004" t="s">
        <v>4</v>
      </c>
      <c r="T2004" t="s">
        <v>3353</v>
      </c>
      <c r="U2004" t="s">
        <v>10</v>
      </c>
      <c r="V2004" s="5">
        <v>0</v>
      </c>
      <c r="W2004" s="5">
        <v>0</v>
      </c>
      <c r="X2004" s="2">
        <v>0</v>
      </c>
      <c r="Y2004" t="s">
        <v>4</v>
      </c>
      <c r="Z2004" t="s">
        <v>4</v>
      </c>
      <c r="AA2004" t="s">
        <v>4</v>
      </c>
      <c r="AB2004" t="s">
        <v>4</v>
      </c>
    </row>
    <row r="2005" spans="1:28" hidden="1" x14ac:dyDescent="0.2">
      <c r="A2005" t="s">
        <v>1800</v>
      </c>
      <c r="B2005" t="s">
        <v>2</v>
      </c>
      <c r="C2005" t="s">
        <v>3</v>
      </c>
      <c r="D2005" t="s">
        <v>4</v>
      </c>
      <c r="E2005" t="s">
        <v>4</v>
      </c>
      <c r="F2005" t="s">
        <v>5279</v>
      </c>
      <c r="G2005" t="s">
        <v>5283</v>
      </c>
      <c r="H2005" t="s">
        <v>5401</v>
      </c>
      <c r="I2005" s="2">
        <v>1000</v>
      </c>
      <c r="J2005" s="2">
        <v>0</v>
      </c>
      <c r="K2005" s="2">
        <v>0</v>
      </c>
      <c r="L2005" s="3">
        <v>45805</v>
      </c>
      <c r="M2005" s="3">
        <v>45855</v>
      </c>
      <c r="N2005" s="3">
        <v>45855</v>
      </c>
      <c r="O2005" t="s">
        <v>4</v>
      </c>
      <c r="P2005" t="s">
        <v>5285</v>
      </c>
      <c r="Q2005" s="4">
        <v>0.95848379629629998</v>
      </c>
      <c r="R2005" t="s">
        <v>5279</v>
      </c>
      <c r="S2005" t="s">
        <v>4</v>
      </c>
      <c r="T2005" t="s">
        <v>3377</v>
      </c>
      <c r="U2005" t="s">
        <v>10</v>
      </c>
      <c r="V2005" s="5">
        <v>0</v>
      </c>
      <c r="W2005" s="5">
        <v>0</v>
      </c>
      <c r="X2005" s="2">
        <v>0</v>
      </c>
      <c r="Y2005" t="s">
        <v>4</v>
      </c>
      <c r="Z2005" t="s">
        <v>4</v>
      </c>
      <c r="AA2005" t="s">
        <v>4</v>
      </c>
      <c r="AB2005" t="s">
        <v>4</v>
      </c>
    </row>
    <row r="2006" spans="1:28" hidden="1" x14ac:dyDescent="0.2">
      <c r="A2006" t="s">
        <v>354</v>
      </c>
      <c r="B2006" t="s">
        <v>2</v>
      </c>
      <c r="C2006" t="s">
        <v>3</v>
      </c>
      <c r="D2006" t="s">
        <v>4</v>
      </c>
      <c r="E2006" t="s">
        <v>4</v>
      </c>
      <c r="F2006" t="s">
        <v>5279</v>
      </c>
      <c r="G2006" t="s">
        <v>5327</v>
      </c>
      <c r="H2006" t="s">
        <v>5402</v>
      </c>
      <c r="I2006" s="2">
        <v>2600</v>
      </c>
      <c r="J2006" s="2">
        <v>0</v>
      </c>
      <c r="K2006" s="2">
        <v>0</v>
      </c>
      <c r="L2006" s="3">
        <v>45747</v>
      </c>
      <c r="M2006" s="3">
        <v>45855</v>
      </c>
      <c r="N2006" s="3">
        <v>45855</v>
      </c>
      <c r="O2006" t="s">
        <v>4</v>
      </c>
      <c r="P2006" t="s">
        <v>5285</v>
      </c>
      <c r="Q2006" s="4">
        <v>0.72537037037037</v>
      </c>
      <c r="R2006" t="s">
        <v>5279</v>
      </c>
      <c r="S2006" t="s">
        <v>4</v>
      </c>
      <c r="T2006" t="s">
        <v>2616</v>
      </c>
      <c r="U2006" t="s">
        <v>10</v>
      </c>
      <c r="V2006" s="5">
        <v>0</v>
      </c>
      <c r="W2006" s="5">
        <v>0</v>
      </c>
      <c r="X2006" s="2">
        <v>0</v>
      </c>
      <c r="Y2006" t="s">
        <v>4</v>
      </c>
      <c r="Z2006" t="s">
        <v>4</v>
      </c>
      <c r="AA2006" t="s">
        <v>4</v>
      </c>
      <c r="AB2006" t="s">
        <v>4</v>
      </c>
    </row>
    <row r="2007" spans="1:28" hidden="1" x14ac:dyDescent="0.2">
      <c r="A2007" t="s">
        <v>338</v>
      </c>
      <c r="B2007" t="s">
        <v>2</v>
      </c>
      <c r="C2007" t="s">
        <v>3</v>
      </c>
      <c r="D2007" t="s">
        <v>4</v>
      </c>
      <c r="E2007" t="s">
        <v>4</v>
      </c>
      <c r="F2007" t="s">
        <v>5279</v>
      </c>
      <c r="G2007" t="s">
        <v>5327</v>
      </c>
      <c r="H2007" t="s">
        <v>5403</v>
      </c>
      <c r="I2007" s="2">
        <v>175</v>
      </c>
      <c r="J2007" s="2">
        <v>0</v>
      </c>
      <c r="K2007" s="2">
        <v>0</v>
      </c>
      <c r="L2007" s="3">
        <v>45831</v>
      </c>
      <c r="M2007" s="3">
        <v>45831</v>
      </c>
      <c r="N2007" s="3"/>
      <c r="O2007" t="s">
        <v>4</v>
      </c>
      <c r="P2007" t="s">
        <v>5285</v>
      </c>
      <c r="Q2007" s="4">
        <v>0.51653935185184996</v>
      </c>
      <c r="R2007" t="s">
        <v>5279</v>
      </c>
      <c r="S2007" t="s">
        <v>4</v>
      </c>
      <c r="T2007" t="s">
        <v>3984</v>
      </c>
      <c r="U2007" t="s">
        <v>10</v>
      </c>
      <c r="V2007" s="5">
        <v>0</v>
      </c>
      <c r="W2007" s="5">
        <v>0</v>
      </c>
      <c r="X2007" s="2">
        <v>0</v>
      </c>
      <c r="Y2007" t="s">
        <v>4</v>
      </c>
      <c r="Z2007" t="s">
        <v>4</v>
      </c>
      <c r="AA2007" t="s">
        <v>4</v>
      </c>
      <c r="AB2007" t="s">
        <v>4</v>
      </c>
    </row>
    <row r="2008" spans="1:28" hidden="1" x14ac:dyDescent="0.2">
      <c r="A2008" t="s">
        <v>2213</v>
      </c>
      <c r="B2008" t="s">
        <v>2</v>
      </c>
      <c r="C2008" t="s">
        <v>3</v>
      </c>
      <c r="D2008" t="s">
        <v>4</v>
      </c>
      <c r="E2008" t="s">
        <v>4</v>
      </c>
      <c r="F2008" t="s">
        <v>5279</v>
      </c>
      <c r="G2008" t="s">
        <v>5327</v>
      </c>
      <c r="H2008" t="s">
        <v>5403</v>
      </c>
      <c r="I2008" s="2">
        <v>1200</v>
      </c>
      <c r="J2008" s="2">
        <v>0</v>
      </c>
      <c r="K2008" s="2">
        <v>0</v>
      </c>
      <c r="L2008" s="3">
        <v>45777</v>
      </c>
      <c r="M2008" s="3">
        <v>45848</v>
      </c>
      <c r="N2008" s="3">
        <v>45848</v>
      </c>
      <c r="O2008" t="s">
        <v>4</v>
      </c>
      <c r="P2008" t="s">
        <v>5285</v>
      </c>
      <c r="Q2008" s="4">
        <v>0.51653935185184996</v>
      </c>
      <c r="R2008" t="s">
        <v>5279</v>
      </c>
      <c r="S2008" t="s">
        <v>4</v>
      </c>
      <c r="T2008" t="s">
        <v>5299</v>
      </c>
      <c r="U2008" t="s">
        <v>10</v>
      </c>
      <c r="V2008" s="5">
        <v>0</v>
      </c>
      <c r="W2008" s="5">
        <v>0</v>
      </c>
      <c r="X2008" s="2">
        <v>0</v>
      </c>
      <c r="Y2008" t="s">
        <v>4</v>
      </c>
      <c r="Z2008" t="s">
        <v>4</v>
      </c>
      <c r="AA2008" t="s">
        <v>4</v>
      </c>
      <c r="AB2008" t="s">
        <v>4</v>
      </c>
    </row>
    <row r="2009" spans="1:28" hidden="1" x14ac:dyDescent="0.2">
      <c r="A2009" t="s">
        <v>1780</v>
      </c>
      <c r="B2009" t="s">
        <v>2</v>
      </c>
      <c r="C2009" t="s">
        <v>3</v>
      </c>
      <c r="D2009" t="s">
        <v>4</v>
      </c>
      <c r="E2009" t="s">
        <v>4</v>
      </c>
      <c r="F2009" t="s">
        <v>5279</v>
      </c>
      <c r="G2009" t="s">
        <v>5327</v>
      </c>
      <c r="H2009" t="s">
        <v>5404</v>
      </c>
      <c r="I2009" s="2">
        <v>500</v>
      </c>
      <c r="J2009" s="2">
        <v>0</v>
      </c>
      <c r="K2009" s="2">
        <v>0</v>
      </c>
      <c r="L2009" s="3">
        <v>45840</v>
      </c>
      <c r="M2009" s="3">
        <v>45849</v>
      </c>
      <c r="N2009" s="3">
        <v>45849</v>
      </c>
      <c r="O2009" t="s">
        <v>4</v>
      </c>
      <c r="P2009" t="s">
        <v>5285</v>
      </c>
      <c r="Q2009" s="4">
        <v>0.70101851851852004</v>
      </c>
      <c r="R2009" t="s">
        <v>5279</v>
      </c>
      <c r="S2009" t="s">
        <v>4</v>
      </c>
      <c r="T2009" t="s">
        <v>2766</v>
      </c>
      <c r="U2009" t="s">
        <v>10</v>
      </c>
      <c r="V2009" s="5">
        <v>0</v>
      </c>
      <c r="W2009" s="5">
        <v>0</v>
      </c>
      <c r="X2009" s="2">
        <v>0</v>
      </c>
      <c r="Y2009" t="s">
        <v>4</v>
      </c>
      <c r="Z2009" t="s">
        <v>4</v>
      </c>
      <c r="AA2009" t="s">
        <v>4</v>
      </c>
      <c r="AB2009" t="s">
        <v>4</v>
      </c>
    </row>
    <row r="2010" spans="1:28" hidden="1" x14ac:dyDescent="0.2">
      <c r="A2010" t="s">
        <v>1698</v>
      </c>
      <c r="B2010" t="s">
        <v>2</v>
      </c>
      <c r="C2010" t="s">
        <v>3</v>
      </c>
      <c r="D2010" t="s">
        <v>4</v>
      </c>
      <c r="E2010" t="s">
        <v>4</v>
      </c>
      <c r="F2010" t="s">
        <v>5279</v>
      </c>
      <c r="G2010" t="s">
        <v>5327</v>
      </c>
      <c r="H2010" t="s">
        <v>5404</v>
      </c>
      <c r="I2010" s="2">
        <v>2400</v>
      </c>
      <c r="J2010" s="2">
        <v>0</v>
      </c>
      <c r="K2010" s="2">
        <v>0</v>
      </c>
      <c r="L2010" s="3">
        <v>45840</v>
      </c>
      <c r="M2010" s="3">
        <v>45854</v>
      </c>
      <c r="N2010" s="3">
        <v>45853</v>
      </c>
      <c r="O2010" t="s">
        <v>4</v>
      </c>
      <c r="P2010" t="s">
        <v>5285</v>
      </c>
      <c r="Q2010" s="4">
        <v>0.70101851851852004</v>
      </c>
      <c r="R2010" t="s">
        <v>5279</v>
      </c>
      <c r="S2010" t="s">
        <v>4</v>
      </c>
      <c r="T2010" t="s">
        <v>2766</v>
      </c>
      <c r="U2010" t="s">
        <v>5282</v>
      </c>
      <c r="V2010" s="5">
        <v>0</v>
      </c>
      <c r="W2010" s="5">
        <v>0</v>
      </c>
      <c r="X2010" s="2">
        <v>0</v>
      </c>
      <c r="Y2010" t="s">
        <v>4</v>
      </c>
      <c r="Z2010" t="s">
        <v>4</v>
      </c>
      <c r="AA2010" t="s">
        <v>4</v>
      </c>
      <c r="AB2010" t="s">
        <v>4</v>
      </c>
    </row>
    <row r="2011" spans="1:28" hidden="1" x14ac:dyDescent="0.2">
      <c r="A2011" t="s">
        <v>2251</v>
      </c>
      <c r="B2011" t="s">
        <v>4</v>
      </c>
      <c r="C2011" t="s">
        <v>4</v>
      </c>
      <c r="D2011" t="s">
        <v>4</v>
      </c>
      <c r="E2011" t="s">
        <v>4</v>
      </c>
      <c r="F2011" t="s">
        <v>5279</v>
      </c>
      <c r="G2011" t="s">
        <v>5327</v>
      </c>
      <c r="H2011" t="s">
        <v>5405</v>
      </c>
      <c r="I2011" s="5">
        <v>0</v>
      </c>
      <c r="J2011" s="5">
        <v>0</v>
      </c>
      <c r="K2011" s="5">
        <v>0</v>
      </c>
      <c r="L2011" s="3"/>
      <c r="M2011" s="3"/>
      <c r="N2011" s="3"/>
      <c r="O2011" t="s">
        <v>4</v>
      </c>
      <c r="P2011" t="s">
        <v>5285</v>
      </c>
      <c r="Q2011" s="4">
        <v>0.66528935185185001</v>
      </c>
      <c r="R2011" t="s">
        <v>4</v>
      </c>
      <c r="S2011" t="s">
        <v>4</v>
      </c>
      <c r="T2011" t="s">
        <v>2256</v>
      </c>
      <c r="U2011" t="s">
        <v>4</v>
      </c>
      <c r="V2011" s="5">
        <v>0</v>
      </c>
      <c r="W2011" s="5">
        <v>0</v>
      </c>
      <c r="X2011" s="2">
        <v>0</v>
      </c>
      <c r="Y2011" t="s">
        <v>4</v>
      </c>
      <c r="Z2011" t="s">
        <v>4</v>
      </c>
      <c r="AA2011" t="s">
        <v>4</v>
      </c>
      <c r="AB2011" t="s">
        <v>4</v>
      </c>
    </row>
    <row r="2012" spans="1:28" hidden="1" x14ac:dyDescent="0.2">
      <c r="A2012" t="s">
        <v>2251</v>
      </c>
      <c r="B2012" t="s">
        <v>4</v>
      </c>
      <c r="C2012" t="s">
        <v>4</v>
      </c>
      <c r="D2012" t="s">
        <v>4</v>
      </c>
      <c r="E2012" t="s">
        <v>4</v>
      </c>
      <c r="F2012" t="s">
        <v>5279</v>
      </c>
      <c r="G2012" t="s">
        <v>5327</v>
      </c>
      <c r="H2012" t="s">
        <v>5406</v>
      </c>
      <c r="I2012" s="5">
        <v>0</v>
      </c>
      <c r="J2012" s="5">
        <v>0</v>
      </c>
      <c r="K2012" s="5">
        <v>0</v>
      </c>
      <c r="L2012" s="3"/>
      <c r="M2012" s="3"/>
      <c r="N2012" s="3"/>
      <c r="O2012" t="s">
        <v>4</v>
      </c>
      <c r="P2012" t="s">
        <v>5285</v>
      </c>
      <c r="Q2012" s="4">
        <v>0</v>
      </c>
      <c r="R2012" t="s">
        <v>4</v>
      </c>
      <c r="S2012" t="s">
        <v>4</v>
      </c>
      <c r="T2012" t="s">
        <v>2256</v>
      </c>
      <c r="U2012" t="s">
        <v>4</v>
      </c>
      <c r="V2012" s="5">
        <v>0</v>
      </c>
      <c r="W2012" s="5">
        <v>0</v>
      </c>
      <c r="X2012" s="2">
        <v>0</v>
      </c>
      <c r="Y2012" t="s">
        <v>4</v>
      </c>
      <c r="Z2012" t="s">
        <v>4</v>
      </c>
      <c r="AA2012" t="s">
        <v>4</v>
      </c>
      <c r="AB2012" t="s">
        <v>4</v>
      </c>
    </row>
    <row r="2013" spans="1:28" hidden="1" x14ac:dyDescent="0.2">
      <c r="A2013" t="s">
        <v>1725</v>
      </c>
      <c r="B2013" t="s">
        <v>2</v>
      </c>
      <c r="C2013" t="s">
        <v>3</v>
      </c>
      <c r="D2013" t="s">
        <v>4</v>
      </c>
      <c r="E2013" t="s">
        <v>4</v>
      </c>
      <c r="F2013" t="s">
        <v>5279</v>
      </c>
      <c r="G2013" t="s">
        <v>5327</v>
      </c>
      <c r="H2013" t="s">
        <v>5407</v>
      </c>
      <c r="I2013" s="2">
        <v>237</v>
      </c>
      <c r="J2013" s="2">
        <v>0</v>
      </c>
      <c r="K2013" s="2">
        <v>0</v>
      </c>
      <c r="L2013" s="3">
        <v>45805</v>
      </c>
      <c r="M2013" s="3">
        <v>45836</v>
      </c>
      <c r="N2013" s="3">
        <v>45836</v>
      </c>
      <c r="O2013" t="s">
        <v>4</v>
      </c>
      <c r="P2013" t="s">
        <v>5285</v>
      </c>
      <c r="Q2013" s="4">
        <v>0.65577546296295997</v>
      </c>
      <c r="R2013" t="s">
        <v>5279</v>
      </c>
      <c r="S2013" t="s">
        <v>4</v>
      </c>
      <c r="T2013" t="s">
        <v>3377</v>
      </c>
      <c r="U2013" t="s">
        <v>10</v>
      </c>
      <c r="V2013" s="5">
        <v>0</v>
      </c>
      <c r="W2013" s="5">
        <v>0</v>
      </c>
      <c r="X2013" s="2">
        <v>0</v>
      </c>
      <c r="Y2013" t="s">
        <v>4</v>
      </c>
      <c r="Z2013" t="s">
        <v>4</v>
      </c>
      <c r="AA2013" t="s">
        <v>4</v>
      </c>
      <c r="AB2013" t="s">
        <v>4</v>
      </c>
    </row>
    <row r="2014" spans="1:28" hidden="1" x14ac:dyDescent="0.2">
      <c r="A2014" t="s">
        <v>2251</v>
      </c>
      <c r="B2014" t="s">
        <v>4</v>
      </c>
      <c r="C2014" t="s">
        <v>4</v>
      </c>
      <c r="D2014" t="s">
        <v>4</v>
      </c>
      <c r="E2014" t="s">
        <v>4</v>
      </c>
      <c r="F2014" t="s">
        <v>5279</v>
      </c>
      <c r="G2014" t="s">
        <v>5327</v>
      </c>
      <c r="H2014" t="s">
        <v>5408</v>
      </c>
      <c r="I2014" s="5">
        <v>0</v>
      </c>
      <c r="J2014" s="5">
        <v>0</v>
      </c>
      <c r="K2014" s="5">
        <v>0</v>
      </c>
      <c r="L2014" s="3"/>
      <c r="M2014" s="3"/>
      <c r="N2014" s="3"/>
      <c r="O2014" t="s">
        <v>4</v>
      </c>
      <c r="P2014" t="s">
        <v>5285</v>
      </c>
      <c r="Q2014" s="4">
        <v>0.87584490740740994</v>
      </c>
      <c r="R2014" t="s">
        <v>4</v>
      </c>
      <c r="S2014" t="s">
        <v>4</v>
      </c>
      <c r="T2014" t="s">
        <v>2256</v>
      </c>
      <c r="U2014" t="s">
        <v>4</v>
      </c>
      <c r="V2014" s="5">
        <v>0</v>
      </c>
      <c r="W2014" s="5">
        <v>0</v>
      </c>
      <c r="X2014" s="2">
        <v>0</v>
      </c>
      <c r="Y2014" t="s">
        <v>4</v>
      </c>
      <c r="Z2014" t="s">
        <v>4</v>
      </c>
      <c r="AA2014" t="s">
        <v>4</v>
      </c>
      <c r="AB2014" t="s">
        <v>4</v>
      </c>
    </row>
    <row r="2015" spans="1:28" hidden="1" x14ac:dyDescent="0.2">
      <c r="A2015" t="s">
        <v>2251</v>
      </c>
      <c r="B2015" t="s">
        <v>4</v>
      </c>
      <c r="C2015" t="s">
        <v>4</v>
      </c>
      <c r="D2015" t="s">
        <v>4</v>
      </c>
      <c r="E2015" t="s">
        <v>4</v>
      </c>
      <c r="F2015" t="s">
        <v>5279</v>
      </c>
      <c r="G2015" t="s">
        <v>5283</v>
      </c>
      <c r="H2015" t="s">
        <v>5409</v>
      </c>
      <c r="I2015" s="5">
        <v>0</v>
      </c>
      <c r="J2015" s="5">
        <v>0</v>
      </c>
      <c r="K2015" s="5">
        <v>0</v>
      </c>
      <c r="L2015" s="3"/>
      <c r="M2015" s="3"/>
      <c r="N2015" s="3"/>
      <c r="O2015" t="s">
        <v>4</v>
      </c>
      <c r="P2015" t="s">
        <v>5285</v>
      </c>
      <c r="Q2015" s="4">
        <v>0.70144675925926003</v>
      </c>
      <c r="R2015" t="s">
        <v>4</v>
      </c>
      <c r="S2015" t="s">
        <v>4</v>
      </c>
      <c r="T2015" t="s">
        <v>2256</v>
      </c>
      <c r="U2015" t="s">
        <v>4</v>
      </c>
      <c r="V2015" s="5">
        <v>0</v>
      </c>
      <c r="W2015" s="5">
        <v>0</v>
      </c>
      <c r="X2015" s="2">
        <v>0</v>
      </c>
      <c r="Y2015" t="s">
        <v>4</v>
      </c>
      <c r="Z2015" t="s">
        <v>4</v>
      </c>
      <c r="AA2015" t="s">
        <v>4</v>
      </c>
      <c r="AB2015" t="s">
        <v>4</v>
      </c>
    </row>
    <row r="2016" spans="1:28" hidden="1" x14ac:dyDescent="0.2">
      <c r="A2016" t="s">
        <v>987</v>
      </c>
      <c r="B2016" t="s">
        <v>2</v>
      </c>
      <c r="C2016" t="s">
        <v>3</v>
      </c>
      <c r="D2016" t="s">
        <v>4</v>
      </c>
      <c r="E2016" t="s">
        <v>4</v>
      </c>
      <c r="F2016" t="s">
        <v>5279</v>
      </c>
      <c r="G2016" t="s">
        <v>5280</v>
      </c>
      <c r="H2016" t="s">
        <v>5410</v>
      </c>
      <c r="I2016" s="2">
        <v>75000</v>
      </c>
      <c r="J2016" s="2">
        <v>0</v>
      </c>
      <c r="K2016" s="2">
        <v>0</v>
      </c>
      <c r="L2016" s="3">
        <v>44950</v>
      </c>
      <c r="M2016" s="3">
        <v>45859</v>
      </c>
      <c r="N2016" s="3">
        <v>45681</v>
      </c>
      <c r="O2016" t="s">
        <v>4</v>
      </c>
      <c r="P2016" t="s">
        <v>20</v>
      </c>
      <c r="Q2016" s="4">
        <v>0.82228009259259005</v>
      </c>
      <c r="R2016" t="s">
        <v>5279</v>
      </c>
      <c r="S2016" t="s">
        <v>4</v>
      </c>
      <c r="T2016" t="s">
        <v>2266</v>
      </c>
      <c r="U2016" t="s">
        <v>10</v>
      </c>
      <c r="V2016" s="5">
        <v>0</v>
      </c>
      <c r="W2016" s="5">
        <v>0</v>
      </c>
      <c r="X2016" s="2">
        <v>0</v>
      </c>
      <c r="Y2016" t="s">
        <v>4</v>
      </c>
      <c r="Z2016" t="s">
        <v>4</v>
      </c>
      <c r="AA2016" t="s">
        <v>4</v>
      </c>
      <c r="AB2016" t="s">
        <v>4</v>
      </c>
    </row>
    <row r="2017" spans="1:28" hidden="1" x14ac:dyDescent="0.2">
      <c r="A2017" t="s">
        <v>998</v>
      </c>
      <c r="B2017" t="s">
        <v>2</v>
      </c>
      <c r="C2017" t="s">
        <v>3</v>
      </c>
      <c r="D2017" t="s">
        <v>4</v>
      </c>
      <c r="E2017" t="s">
        <v>4</v>
      </c>
      <c r="F2017" t="s">
        <v>5279</v>
      </c>
      <c r="G2017" t="s">
        <v>5280</v>
      </c>
      <c r="H2017" t="s">
        <v>5410</v>
      </c>
      <c r="I2017" s="2">
        <v>300000</v>
      </c>
      <c r="J2017" s="2">
        <v>0</v>
      </c>
      <c r="K2017" s="2">
        <v>0</v>
      </c>
      <c r="L2017" s="3">
        <v>45506</v>
      </c>
      <c r="M2017" s="3">
        <v>45857</v>
      </c>
      <c r="N2017" s="3">
        <v>45848</v>
      </c>
      <c r="O2017" t="s">
        <v>4</v>
      </c>
      <c r="P2017" t="s">
        <v>20</v>
      </c>
      <c r="Q2017" s="4">
        <v>0.82228009259259005</v>
      </c>
      <c r="R2017" t="s">
        <v>5279</v>
      </c>
      <c r="S2017" t="s">
        <v>4</v>
      </c>
      <c r="T2017" t="s">
        <v>3059</v>
      </c>
      <c r="U2017" t="s">
        <v>4</v>
      </c>
      <c r="V2017" s="5">
        <v>0</v>
      </c>
      <c r="W2017" s="5">
        <v>0</v>
      </c>
      <c r="X2017" s="2">
        <v>0</v>
      </c>
      <c r="Y2017" t="s">
        <v>4</v>
      </c>
      <c r="Z2017" t="s">
        <v>4</v>
      </c>
      <c r="AA2017" t="s">
        <v>4</v>
      </c>
      <c r="AB2017" t="s">
        <v>4</v>
      </c>
    </row>
    <row r="2018" spans="1:28" hidden="1" x14ac:dyDescent="0.2">
      <c r="A2018" t="s">
        <v>983</v>
      </c>
      <c r="B2018" t="s">
        <v>2</v>
      </c>
      <c r="C2018" t="s">
        <v>3</v>
      </c>
      <c r="D2018" t="s">
        <v>4</v>
      </c>
      <c r="E2018" t="s">
        <v>4</v>
      </c>
      <c r="F2018" t="s">
        <v>5279</v>
      </c>
      <c r="G2018" t="s">
        <v>5280</v>
      </c>
      <c r="H2018" t="s">
        <v>5410</v>
      </c>
      <c r="I2018" s="2">
        <v>603000</v>
      </c>
      <c r="J2018" s="2">
        <v>0</v>
      </c>
      <c r="K2018" s="2">
        <v>0</v>
      </c>
      <c r="L2018" s="3">
        <v>45789</v>
      </c>
      <c r="M2018" s="3">
        <v>45852</v>
      </c>
      <c r="N2018" s="3">
        <v>45848</v>
      </c>
      <c r="O2018" t="s">
        <v>4</v>
      </c>
      <c r="P2018" t="s">
        <v>20</v>
      </c>
      <c r="Q2018" s="4">
        <v>0.82228009259259005</v>
      </c>
      <c r="R2018" t="s">
        <v>5279</v>
      </c>
      <c r="S2018" t="s">
        <v>4</v>
      </c>
      <c r="T2018" t="s">
        <v>3787</v>
      </c>
      <c r="U2018" t="s">
        <v>4</v>
      </c>
      <c r="V2018" s="5">
        <v>0</v>
      </c>
      <c r="W2018" s="5">
        <v>0</v>
      </c>
      <c r="X2018" s="2">
        <v>0</v>
      </c>
      <c r="Y2018" t="s">
        <v>4</v>
      </c>
      <c r="Z2018" t="s">
        <v>4</v>
      </c>
      <c r="AA2018" t="s">
        <v>4</v>
      </c>
      <c r="AB2018" t="s">
        <v>4</v>
      </c>
    </row>
    <row r="2019" spans="1:28" hidden="1" x14ac:dyDescent="0.2">
      <c r="A2019" t="s">
        <v>1006</v>
      </c>
      <c r="B2019" t="s">
        <v>2</v>
      </c>
      <c r="C2019" t="s">
        <v>3</v>
      </c>
      <c r="D2019" t="s">
        <v>4</v>
      </c>
      <c r="E2019" t="s">
        <v>4</v>
      </c>
      <c r="F2019" t="s">
        <v>5279</v>
      </c>
      <c r="G2019" t="s">
        <v>5280</v>
      </c>
      <c r="H2019" t="s">
        <v>5410</v>
      </c>
      <c r="I2019" s="2">
        <v>100000</v>
      </c>
      <c r="J2019" s="2">
        <v>0</v>
      </c>
      <c r="K2019" s="2">
        <v>0</v>
      </c>
      <c r="L2019" s="3">
        <v>45450</v>
      </c>
      <c r="M2019" s="3">
        <v>45848</v>
      </c>
      <c r="N2019" s="3">
        <v>45848</v>
      </c>
      <c r="O2019" t="s">
        <v>4</v>
      </c>
      <c r="P2019" t="s">
        <v>20</v>
      </c>
      <c r="Q2019" s="4">
        <v>0.82228009259259005</v>
      </c>
      <c r="R2019" t="s">
        <v>5279</v>
      </c>
      <c r="S2019" t="s">
        <v>4</v>
      </c>
      <c r="T2019" t="s">
        <v>5411</v>
      </c>
      <c r="U2019" t="s">
        <v>4</v>
      </c>
      <c r="V2019" s="5">
        <v>0</v>
      </c>
      <c r="W2019" s="5">
        <v>0</v>
      </c>
      <c r="X2019" s="2">
        <v>0</v>
      </c>
      <c r="Y2019" t="s">
        <v>4</v>
      </c>
      <c r="Z2019" t="s">
        <v>4</v>
      </c>
      <c r="AA2019" t="s">
        <v>4</v>
      </c>
      <c r="AB2019" t="s">
        <v>4</v>
      </c>
    </row>
    <row r="2020" spans="1:28" hidden="1" x14ac:dyDescent="0.2">
      <c r="A2020" t="s">
        <v>1002</v>
      </c>
      <c r="B2020" t="s">
        <v>2</v>
      </c>
      <c r="C2020" t="s">
        <v>3</v>
      </c>
      <c r="D2020" t="s">
        <v>4</v>
      </c>
      <c r="E2020" t="s">
        <v>4</v>
      </c>
      <c r="F2020" t="s">
        <v>5279</v>
      </c>
      <c r="G2020" t="s">
        <v>5280</v>
      </c>
      <c r="H2020" t="s">
        <v>5410</v>
      </c>
      <c r="I2020" s="2">
        <v>209000</v>
      </c>
      <c r="J2020" s="2">
        <v>0</v>
      </c>
      <c r="K2020" s="2">
        <v>0</v>
      </c>
      <c r="L2020" s="3">
        <v>45427</v>
      </c>
      <c r="M2020" s="3">
        <v>45842</v>
      </c>
      <c r="N2020" s="3">
        <v>45800</v>
      </c>
      <c r="O2020" t="s">
        <v>4</v>
      </c>
      <c r="P2020" t="s">
        <v>20</v>
      </c>
      <c r="Q2020" s="4">
        <v>0.82228009259259005</v>
      </c>
      <c r="R2020" t="s">
        <v>5279</v>
      </c>
      <c r="S2020" t="s">
        <v>4</v>
      </c>
      <c r="T2020" t="s">
        <v>2</v>
      </c>
      <c r="U2020" t="s">
        <v>4</v>
      </c>
      <c r="V2020" s="5">
        <v>0</v>
      </c>
      <c r="W2020" s="5">
        <v>0</v>
      </c>
      <c r="X2020" s="2">
        <v>0</v>
      </c>
      <c r="Y2020" t="s">
        <v>4</v>
      </c>
      <c r="Z2020" t="s">
        <v>4</v>
      </c>
      <c r="AA2020" t="s">
        <v>4</v>
      </c>
      <c r="AB2020" t="s">
        <v>4</v>
      </c>
    </row>
    <row r="2021" spans="1:28" hidden="1" x14ac:dyDescent="0.2">
      <c r="A2021" t="s">
        <v>371</v>
      </c>
      <c r="B2021" t="s">
        <v>2</v>
      </c>
      <c r="C2021" t="s">
        <v>3</v>
      </c>
      <c r="D2021" t="s">
        <v>4</v>
      </c>
      <c r="E2021" t="s">
        <v>4</v>
      </c>
      <c r="F2021" t="s">
        <v>5412</v>
      </c>
      <c r="G2021" t="s">
        <v>5413</v>
      </c>
      <c r="H2021" t="s">
        <v>5414</v>
      </c>
      <c r="I2021" s="2">
        <v>840</v>
      </c>
      <c r="J2021" s="2">
        <v>0</v>
      </c>
      <c r="K2021" s="2">
        <v>0</v>
      </c>
      <c r="L2021" s="3">
        <v>45843</v>
      </c>
      <c r="M2021" s="3">
        <v>45843</v>
      </c>
      <c r="N2021" s="3"/>
      <c r="O2021" t="s">
        <v>5415</v>
      </c>
      <c r="P2021" t="s">
        <v>5416</v>
      </c>
      <c r="Q2021" s="4">
        <v>0.53063657407407006</v>
      </c>
      <c r="R2021" t="s">
        <v>5412</v>
      </c>
      <c r="S2021" t="s">
        <v>4</v>
      </c>
      <c r="T2021" t="s">
        <v>2783</v>
      </c>
      <c r="U2021" t="s">
        <v>5417</v>
      </c>
      <c r="V2021" s="5">
        <v>0</v>
      </c>
      <c r="W2021" s="5">
        <v>0</v>
      </c>
      <c r="X2021" s="2">
        <v>0</v>
      </c>
      <c r="Y2021" t="s">
        <v>4</v>
      </c>
      <c r="Z2021" t="s">
        <v>4</v>
      </c>
      <c r="AA2021" t="s">
        <v>4</v>
      </c>
      <c r="AB2021" t="s">
        <v>4</v>
      </c>
    </row>
    <row r="2022" spans="1:28" hidden="1" x14ac:dyDescent="0.2">
      <c r="A2022" t="s">
        <v>371</v>
      </c>
      <c r="B2022" t="s">
        <v>2</v>
      </c>
      <c r="C2022" t="s">
        <v>3</v>
      </c>
      <c r="D2022" t="s">
        <v>4</v>
      </c>
      <c r="E2022" t="s">
        <v>4</v>
      </c>
      <c r="F2022" t="s">
        <v>5412</v>
      </c>
      <c r="G2022" t="s">
        <v>5413</v>
      </c>
      <c r="H2022" t="s">
        <v>5414</v>
      </c>
      <c r="I2022" s="2">
        <v>844</v>
      </c>
      <c r="J2022" s="2">
        <v>0</v>
      </c>
      <c r="K2022" s="2">
        <v>0</v>
      </c>
      <c r="L2022" s="3">
        <v>45843</v>
      </c>
      <c r="M2022" s="3">
        <v>45843</v>
      </c>
      <c r="N2022" s="3"/>
      <c r="O2022" t="s">
        <v>5418</v>
      </c>
      <c r="P2022" t="s">
        <v>5416</v>
      </c>
      <c r="Q2022" s="4">
        <v>0.53063657407407006</v>
      </c>
      <c r="R2022" t="s">
        <v>5412</v>
      </c>
      <c r="S2022" t="s">
        <v>4</v>
      </c>
      <c r="T2022" t="s">
        <v>2783</v>
      </c>
      <c r="U2022" t="s">
        <v>5417</v>
      </c>
      <c r="V2022" s="5">
        <v>0</v>
      </c>
      <c r="W2022" s="5">
        <v>0</v>
      </c>
      <c r="X2022" s="2">
        <v>0</v>
      </c>
      <c r="Y2022" t="s">
        <v>4</v>
      </c>
      <c r="Z2022" t="s">
        <v>4</v>
      </c>
      <c r="AA2022" t="s">
        <v>4</v>
      </c>
      <c r="AB2022" t="s">
        <v>4</v>
      </c>
    </row>
    <row r="2023" spans="1:28" hidden="1" x14ac:dyDescent="0.2">
      <c r="A2023" t="s">
        <v>371</v>
      </c>
      <c r="B2023" t="s">
        <v>2</v>
      </c>
      <c r="C2023" t="s">
        <v>3</v>
      </c>
      <c r="D2023" t="s">
        <v>4</v>
      </c>
      <c r="E2023" t="s">
        <v>4</v>
      </c>
      <c r="F2023" t="s">
        <v>5412</v>
      </c>
      <c r="G2023" t="s">
        <v>5413</v>
      </c>
      <c r="H2023" t="s">
        <v>5414</v>
      </c>
      <c r="I2023" s="2">
        <v>848</v>
      </c>
      <c r="J2023" s="2">
        <v>0</v>
      </c>
      <c r="K2023" s="2">
        <v>0</v>
      </c>
      <c r="L2023" s="3">
        <v>45843</v>
      </c>
      <c r="M2023" s="3">
        <v>45843</v>
      </c>
      <c r="N2023" s="3"/>
      <c r="O2023" t="s">
        <v>5419</v>
      </c>
      <c r="P2023" t="s">
        <v>5416</v>
      </c>
      <c r="Q2023" s="4">
        <v>0.53063657407407006</v>
      </c>
      <c r="R2023" t="s">
        <v>5412</v>
      </c>
      <c r="S2023" t="s">
        <v>4</v>
      </c>
      <c r="T2023" t="s">
        <v>2783</v>
      </c>
      <c r="U2023" t="s">
        <v>5417</v>
      </c>
      <c r="V2023" s="5">
        <v>0</v>
      </c>
      <c r="W2023" s="5">
        <v>0</v>
      </c>
      <c r="X2023" s="2">
        <v>0</v>
      </c>
      <c r="Y2023" t="s">
        <v>4</v>
      </c>
      <c r="Z2023" t="s">
        <v>4</v>
      </c>
      <c r="AA2023" t="s">
        <v>4</v>
      </c>
      <c r="AB2023" t="s">
        <v>4</v>
      </c>
    </row>
    <row r="2024" spans="1:28" hidden="1" x14ac:dyDescent="0.2">
      <c r="A2024" t="s">
        <v>371</v>
      </c>
      <c r="B2024" t="s">
        <v>2</v>
      </c>
      <c r="C2024" t="s">
        <v>3</v>
      </c>
      <c r="D2024" t="s">
        <v>4</v>
      </c>
      <c r="E2024" t="s">
        <v>4</v>
      </c>
      <c r="F2024" t="s">
        <v>5412</v>
      </c>
      <c r="G2024" t="s">
        <v>5413</v>
      </c>
      <c r="H2024" t="s">
        <v>5414</v>
      </c>
      <c r="I2024" s="2">
        <v>862</v>
      </c>
      <c r="J2024" s="2">
        <v>0</v>
      </c>
      <c r="K2024" s="2">
        <v>0</v>
      </c>
      <c r="L2024" s="3">
        <v>45843</v>
      </c>
      <c r="M2024" s="3">
        <v>45843</v>
      </c>
      <c r="N2024" s="3"/>
      <c r="O2024" t="s">
        <v>5420</v>
      </c>
      <c r="P2024" t="s">
        <v>5416</v>
      </c>
      <c r="Q2024" s="4">
        <v>0.53063657407407006</v>
      </c>
      <c r="R2024" t="s">
        <v>5412</v>
      </c>
      <c r="S2024" t="s">
        <v>4</v>
      </c>
      <c r="T2024" t="s">
        <v>2783</v>
      </c>
      <c r="U2024" t="s">
        <v>5417</v>
      </c>
      <c r="V2024" s="5">
        <v>0</v>
      </c>
      <c r="W2024" s="5">
        <v>0</v>
      </c>
      <c r="X2024" s="2">
        <v>0</v>
      </c>
      <c r="Y2024" t="s">
        <v>4</v>
      </c>
      <c r="Z2024" t="s">
        <v>4</v>
      </c>
      <c r="AA2024" t="s">
        <v>4</v>
      </c>
      <c r="AB2024" t="s">
        <v>4</v>
      </c>
    </row>
    <row r="2025" spans="1:28" hidden="1" x14ac:dyDescent="0.2">
      <c r="A2025" t="s">
        <v>1409</v>
      </c>
      <c r="B2025" t="s">
        <v>2</v>
      </c>
      <c r="C2025" t="s">
        <v>3</v>
      </c>
      <c r="D2025" t="s">
        <v>4</v>
      </c>
      <c r="E2025" t="s">
        <v>4</v>
      </c>
      <c r="F2025" t="s">
        <v>5412</v>
      </c>
      <c r="G2025" t="s">
        <v>5413</v>
      </c>
      <c r="H2025" t="s">
        <v>5414</v>
      </c>
      <c r="I2025" s="2">
        <v>1781</v>
      </c>
      <c r="J2025" s="2">
        <v>0</v>
      </c>
      <c r="K2025" s="2">
        <v>0</v>
      </c>
      <c r="L2025" s="3">
        <v>45854</v>
      </c>
      <c r="M2025" s="3">
        <v>45854</v>
      </c>
      <c r="N2025" s="3"/>
      <c r="O2025" t="s">
        <v>5421</v>
      </c>
      <c r="P2025" t="s">
        <v>5416</v>
      </c>
      <c r="Q2025" s="4">
        <v>0.53063657407407006</v>
      </c>
      <c r="R2025" t="s">
        <v>5412</v>
      </c>
      <c r="S2025" t="s">
        <v>4</v>
      </c>
      <c r="T2025" t="s">
        <v>2299</v>
      </c>
      <c r="U2025" t="s">
        <v>5417</v>
      </c>
      <c r="V2025" s="5">
        <v>0</v>
      </c>
      <c r="W2025" s="5">
        <v>0</v>
      </c>
      <c r="X2025" s="2">
        <v>0</v>
      </c>
      <c r="Y2025" t="s">
        <v>4</v>
      </c>
      <c r="Z2025" t="s">
        <v>4</v>
      </c>
      <c r="AA2025" t="s">
        <v>4</v>
      </c>
      <c r="AB2025" t="s">
        <v>4</v>
      </c>
    </row>
    <row r="2026" spans="1:28" hidden="1" x14ac:dyDescent="0.2">
      <c r="A2026" t="s">
        <v>1409</v>
      </c>
      <c r="B2026" t="s">
        <v>2</v>
      </c>
      <c r="C2026" t="s">
        <v>3</v>
      </c>
      <c r="D2026" t="s">
        <v>4</v>
      </c>
      <c r="E2026" t="s">
        <v>4</v>
      </c>
      <c r="F2026" t="s">
        <v>5412</v>
      </c>
      <c r="G2026" t="s">
        <v>5413</v>
      </c>
      <c r="H2026" t="s">
        <v>5414</v>
      </c>
      <c r="I2026" s="2">
        <v>1781</v>
      </c>
      <c r="J2026" s="2">
        <v>0</v>
      </c>
      <c r="K2026" s="2">
        <v>0</v>
      </c>
      <c r="L2026" s="3">
        <v>45854</v>
      </c>
      <c r="M2026" s="3">
        <v>45854</v>
      </c>
      <c r="N2026" s="3"/>
      <c r="O2026" t="s">
        <v>5422</v>
      </c>
      <c r="P2026" t="s">
        <v>5416</v>
      </c>
      <c r="Q2026" s="4">
        <v>0.53063657407407006</v>
      </c>
      <c r="R2026" t="s">
        <v>5412</v>
      </c>
      <c r="S2026" t="s">
        <v>4</v>
      </c>
      <c r="T2026" t="s">
        <v>2299</v>
      </c>
      <c r="U2026" t="s">
        <v>5417</v>
      </c>
      <c r="V2026" s="5">
        <v>0</v>
      </c>
      <c r="W2026" s="5">
        <v>0</v>
      </c>
      <c r="X2026" s="2">
        <v>0</v>
      </c>
      <c r="Y2026" t="s">
        <v>4</v>
      </c>
      <c r="Z2026" t="s">
        <v>4</v>
      </c>
      <c r="AA2026" t="s">
        <v>4</v>
      </c>
      <c r="AB2026" t="s">
        <v>4</v>
      </c>
    </row>
    <row r="2027" spans="1:28" hidden="1" x14ac:dyDescent="0.2">
      <c r="A2027" t="s">
        <v>1409</v>
      </c>
      <c r="B2027" t="s">
        <v>2</v>
      </c>
      <c r="C2027" t="s">
        <v>3</v>
      </c>
      <c r="D2027" t="s">
        <v>4</v>
      </c>
      <c r="E2027" t="s">
        <v>4</v>
      </c>
      <c r="F2027" t="s">
        <v>5412</v>
      </c>
      <c r="G2027" t="s">
        <v>5413</v>
      </c>
      <c r="H2027" t="s">
        <v>5414</v>
      </c>
      <c r="I2027" s="2">
        <v>1684</v>
      </c>
      <c r="J2027" s="2">
        <v>0</v>
      </c>
      <c r="K2027" s="2">
        <v>0</v>
      </c>
      <c r="L2027" s="3">
        <v>45854</v>
      </c>
      <c r="M2027" s="3">
        <v>45854</v>
      </c>
      <c r="N2027" s="3"/>
      <c r="O2027" t="s">
        <v>5423</v>
      </c>
      <c r="P2027" t="s">
        <v>5416</v>
      </c>
      <c r="Q2027" s="4">
        <v>0.53063657407407006</v>
      </c>
      <c r="R2027" t="s">
        <v>5412</v>
      </c>
      <c r="S2027" t="s">
        <v>4</v>
      </c>
      <c r="T2027" t="s">
        <v>2299</v>
      </c>
      <c r="U2027" t="s">
        <v>5417</v>
      </c>
      <c r="V2027" s="5">
        <v>0</v>
      </c>
      <c r="W2027" s="5">
        <v>0</v>
      </c>
      <c r="X2027" s="2">
        <v>0</v>
      </c>
      <c r="Y2027" t="s">
        <v>4</v>
      </c>
      <c r="Z2027" t="s">
        <v>4</v>
      </c>
      <c r="AA2027" t="s">
        <v>4</v>
      </c>
      <c r="AB2027" t="s">
        <v>4</v>
      </c>
    </row>
    <row r="2028" spans="1:28" hidden="1" x14ac:dyDescent="0.2">
      <c r="A2028" t="s">
        <v>1409</v>
      </c>
      <c r="B2028" t="s">
        <v>2</v>
      </c>
      <c r="C2028" t="s">
        <v>3</v>
      </c>
      <c r="D2028" t="s">
        <v>4</v>
      </c>
      <c r="E2028" t="s">
        <v>4</v>
      </c>
      <c r="F2028" t="s">
        <v>5412</v>
      </c>
      <c r="G2028" t="s">
        <v>5413</v>
      </c>
      <c r="H2028" t="s">
        <v>5414</v>
      </c>
      <c r="I2028" s="2">
        <v>1466</v>
      </c>
      <c r="J2028" s="2">
        <v>0</v>
      </c>
      <c r="K2028" s="2">
        <v>0</v>
      </c>
      <c r="L2028" s="3">
        <v>45854</v>
      </c>
      <c r="M2028" s="3">
        <v>45854</v>
      </c>
      <c r="N2028" s="3"/>
      <c r="O2028" t="s">
        <v>5424</v>
      </c>
      <c r="P2028" t="s">
        <v>5416</v>
      </c>
      <c r="Q2028" s="4">
        <v>0.53063657407407006</v>
      </c>
      <c r="R2028" t="s">
        <v>5412</v>
      </c>
      <c r="S2028" t="s">
        <v>4</v>
      </c>
      <c r="T2028" t="s">
        <v>2299</v>
      </c>
      <c r="U2028" t="s">
        <v>5417</v>
      </c>
      <c r="V2028" s="5">
        <v>0</v>
      </c>
      <c r="W2028" s="5">
        <v>0</v>
      </c>
      <c r="X2028" s="2">
        <v>0</v>
      </c>
      <c r="Y2028" t="s">
        <v>4</v>
      </c>
      <c r="Z2028" t="s">
        <v>4</v>
      </c>
      <c r="AA2028" t="s">
        <v>4</v>
      </c>
      <c r="AB2028" t="s">
        <v>4</v>
      </c>
    </row>
    <row r="2029" spans="1:28" hidden="1" x14ac:dyDescent="0.2">
      <c r="A2029" t="s">
        <v>1409</v>
      </c>
      <c r="B2029" t="s">
        <v>2</v>
      </c>
      <c r="C2029" t="s">
        <v>3</v>
      </c>
      <c r="D2029" t="s">
        <v>4</v>
      </c>
      <c r="E2029" t="s">
        <v>4</v>
      </c>
      <c r="F2029" t="s">
        <v>5412</v>
      </c>
      <c r="G2029" t="s">
        <v>5413</v>
      </c>
      <c r="H2029" t="s">
        <v>5414</v>
      </c>
      <c r="I2029" s="2">
        <v>1673</v>
      </c>
      <c r="J2029" s="2">
        <v>0</v>
      </c>
      <c r="K2029" s="2">
        <v>0</v>
      </c>
      <c r="L2029" s="3">
        <v>45854</v>
      </c>
      <c r="M2029" s="3">
        <v>45854</v>
      </c>
      <c r="N2029" s="3"/>
      <c r="O2029" t="s">
        <v>5425</v>
      </c>
      <c r="P2029" t="s">
        <v>5416</v>
      </c>
      <c r="Q2029" s="4">
        <v>0.53063657407407006</v>
      </c>
      <c r="R2029" t="s">
        <v>5412</v>
      </c>
      <c r="S2029" t="s">
        <v>4</v>
      </c>
      <c r="T2029" t="s">
        <v>2299</v>
      </c>
      <c r="U2029" t="s">
        <v>5417</v>
      </c>
      <c r="V2029" s="5">
        <v>0</v>
      </c>
      <c r="W2029" s="5">
        <v>0</v>
      </c>
      <c r="X2029" s="2">
        <v>0</v>
      </c>
      <c r="Y2029" t="s">
        <v>4</v>
      </c>
      <c r="Z2029" t="s">
        <v>4</v>
      </c>
      <c r="AA2029" t="s">
        <v>4</v>
      </c>
      <c r="AB2029" t="s">
        <v>4</v>
      </c>
    </row>
    <row r="2030" spans="1:28" hidden="1" x14ac:dyDescent="0.2">
      <c r="A2030" t="s">
        <v>1409</v>
      </c>
      <c r="B2030" t="s">
        <v>2</v>
      </c>
      <c r="C2030" t="s">
        <v>3</v>
      </c>
      <c r="D2030" t="s">
        <v>4</v>
      </c>
      <c r="E2030" t="s">
        <v>4</v>
      </c>
      <c r="F2030" t="s">
        <v>5412</v>
      </c>
      <c r="G2030" t="s">
        <v>5413</v>
      </c>
      <c r="H2030" t="s">
        <v>5414</v>
      </c>
      <c r="I2030" s="2">
        <v>1775</v>
      </c>
      <c r="J2030" s="2">
        <v>0</v>
      </c>
      <c r="K2030" s="2">
        <v>0</v>
      </c>
      <c r="L2030" s="3">
        <v>45854</v>
      </c>
      <c r="M2030" s="3">
        <v>45854</v>
      </c>
      <c r="N2030" s="3"/>
      <c r="O2030" t="s">
        <v>5426</v>
      </c>
      <c r="P2030" t="s">
        <v>5416</v>
      </c>
      <c r="Q2030" s="4">
        <v>0.53063657407407006</v>
      </c>
      <c r="R2030" t="s">
        <v>5412</v>
      </c>
      <c r="S2030" t="s">
        <v>4</v>
      </c>
      <c r="T2030" t="s">
        <v>2299</v>
      </c>
      <c r="U2030" t="s">
        <v>5417</v>
      </c>
      <c r="V2030" s="5">
        <v>0</v>
      </c>
      <c r="W2030" s="5">
        <v>0</v>
      </c>
      <c r="X2030" s="2">
        <v>0</v>
      </c>
      <c r="Y2030" t="s">
        <v>4</v>
      </c>
      <c r="Z2030" t="s">
        <v>4</v>
      </c>
      <c r="AA2030" t="s">
        <v>4</v>
      </c>
      <c r="AB2030" t="s">
        <v>4</v>
      </c>
    </row>
    <row r="2031" spans="1:28" hidden="1" x14ac:dyDescent="0.2">
      <c r="A2031" t="s">
        <v>1409</v>
      </c>
      <c r="B2031" t="s">
        <v>2</v>
      </c>
      <c r="C2031" t="s">
        <v>3</v>
      </c>
      <c r="D2031" t="s">
        <v>4</v>
      </c>
      <c r="E2031" t="s">
        <v>4</v>
      </c>
      <c r="F2031" t="s">
        <v>5412</v>
      </c>
      <c r="G2031" t="s">
        <v>5413</v>
      </c>
      <c r="H2031" t="s">
        <v>5414</v>
      </c>
      <c r="I2031" s="2">
        <v>1781</v>
      </c>
      <c r="J2031" s="2">
        <v>0</v>
      </c>
      <c r="K2031" s="2">
        <v>0</v>
      </c>
      <c r="L2031" s="3">
        <v>45854</v>
      </c>
      <c r="M2031" s="3">
        <v>45854</v>
      </c>
      <c r="N2031" s="3"/>
      <c r="O2031" t="s">
        <v>5427</v>
      </c>
      <c r="P2031" t="s">
        <v>5416</v>
      </c>
      <c r="Q2031" s="4">
        <v>0.53063657407407006</v>
      </c>
      <c r="R2031" t="s">
        <v>5412</v>
      </c>
      <c r="S2031" t="s">
        <v>4</v>
      </c>
      <c r="T2031" t="s">
        <v>2299</v>
      </c>
      <c r="U2031" t="s">
        <v>5417</v>
      </c>
      <c r="V2031" s="5">
        <v>0</v>
      </c>
      <c r="W2031" s="5">
        <v>0</v>
      </c>
      <c r="X2031" s="2">
        <v>0</v>
      </c>
      <c r="Y2031" t="s">
        <v>4</v>
      </c>
      <c r="Z2031" t="s">
        <v>4</v>
      </c>
      <c r="AA2031" t="s">
        <v>4</v>
      </c>
      <c r="AB2031" t="s">
        <v>4</v>
      </c>
    </row>
    <row r="2032" spans="1:28" hidden="1" x14ac:dyDescent="0.2">
      <c r="A2032" t="s">
        <v>1409</v>
      </c>
      <c r="B2032" t="s">
        <v>2</v>
      </c>
      <c r="C2032" t="s">
        <v>3</v>
      </c>
      <c r="D2032" t="s">
        <v>4</v>
      </c>
      <c r="E2032" t="s">
        <v>4</v>
      </c>
      <c r="F2032" t="s">
        <v>5412</v>
      </c>
      <c r="G2032" t="s">
        <v>5413</v>
      </c>
      <c r="H2032" t="s">
        <v>5414</v>
      </c>
      <c r="I2032" s="2">
        <v>1527</v>
      </c>
      <c r="J2032" s="2">
        <v>0</v>
      </c>
      <c r="K2032" s="2">
        <v>0</v>
      </c>
      <c r="L2032" s="3">
        <v>45854</v>
      </c>
      <c r="M2032" s="3">
        <v>45854</v>
      </c>
      <c r="N2032" s="3"/>
      <c r="O2032" t="s">
        <v>5428</v>
      </c>
      <c r="P2032" t="s">
        <v>5416</v>
      </c>
      <c r="Q2032" s="4">
        <v>0.53063657407407006</v>
      </c>
      <c r="R2032" t="s">
        <v>5412</v>
      </c>
      <c r="S2032" t="s">
        <v>4</v>
      </c>
      <c r="T2032" t="s">
        <v>2299</v>
      </c>
      <c r="U2032" t="s">
        <v>5417</v>
      </c>
      <c r="V2032" s="5">
        <v>0</v>
      </c>
      <c r="W2032" s="5">
        <v>0</v>
      </c>
      <c r="X2032" s="2">
        <v>0</v>
      </c>
      <c r="Y2032" t="s">
        <v>4</v>
      </c>
      <c r="Z2032" t="s">
        <v>4</v>
      </c>
      <c r="AA2032" t="s">
        <v>4</v>
      </c>
      <c r="AB2032" t="s">
        <v>4</v>
      </c>
    </row>
    <row r="2033" spans="1:28" hidden="1" x14ac:dyDescent="0.2">
      <c r="A2033" t="s">
        <v>1409</v>
      </c>
      <c r="B2033" t="s">
        <v>2</v>
      </c>
      <c r="C2033" t="s">
        <v>3</v>
      </c>
      <c r="D2033" t="s">
        <v>4</v>
      </c>
      <c r="E2033" t="s">
        <v>4</v>
      </c>
      <c r="F2033" t="s">
        <v>5412</v>
      </c>
      <c r="G2033" t="s">
        <v>5413</v>
      </c>
      <c r="H2033" t="s">
        <v>5414</v>
      </c>
      <c r="I2033" s="2">
        <v>1684</v>
      </c>
      <c r="J2033" s="2">
        <v>0</v>
      </c>
      <c r="K2033" s="2">
        <v>0</v>
      </c>
      <c r="L2033" s="3">
        <v>45854</v>
      </c>
      <c r="M2033" s="3">
        <v>45854</v>
      </c>
      <c r="N2033" s="3"/>
      <c r="O2033" t="s">
        <v>5429</v>
      </c>
      <c r="P2033" t="s">
        <v>5416</v>
      </c>
      <c r="Q2033" s="4">
        <v>0.53063657407407006</v>
      </c>
      <c r="R2033" t="s">
        <v>5412</v>
      </c>
      <c r="S2033" t="s">
        <v>4</v>
      </c>
      <c r="T2033" t="s">
        <v>2299</v>
      </c>
      <c r="U2033" t="s">
        <v>5417</v>
      </c>
      <c r="V2033" s="5">
        <v>0</v>
      </c>
      <c r="W2033" s="5">
        <v>0</v>
      </c>
      <c r="X2033" s="2">
        <v>0</v>
      </c>
      <c r="Y2033" t="s">
        <v>4</v>
      </c>
      <c r="Z2033" t="s">
        <v>4</v>
      </c>
      <c r="AA2033" t="s">
        <v>4</v>
      </c>
      <c r="AB2033" t="s">
        <v>4</v>
      </c>
    </row>
    <row r="2034" spans="1:28" hidden="1" x14ac:dyDescent="0.2">
      <c r="A2034" t="s">
        <v>1409</v>
      </c>
      <c r="B2034" t="s">
        <v>2</v>
      </c>
      <c r="C2034" t="s">
        <v>3</v>
      </c>
      <c r="D2034" t="s">
        <v>4</v>
      </c>
      <c r="E2034" t="s">
        <v>4</v>
      </c>
      <c r="F2034" t="s">
        <v>5412</v>
      </c>
      <c r="G2034" t="s">
        <v>5413</v>
      </c>
      <c r="H2034" t="s">
        <v>5414</v>
      </c>
      <c r="I2034" s="2">
        <v>1684</v>
      </c>
      <c r="J2034" s="2">
        <v>0</v>
      </c>
      <c r="K2034" s="2">
        <v>0</v>
      </c>
      <c r="L2034" s="3">
        <v>45854</v>
      </c>
      <c r="M2034" s="3">
        <v>45854</v>
      </c>
      <c r="N2034" s="3"/>
      <c r="O2034" t="s">
        <v>5430</v>
      </c>
      <c r="P2034" t="s">
        <v>5416</v>
      </c>
      <c r="Q2034" s="4">
        <v>0.53063657407407006</v>
      </c>
      <c r="R2034" t="s">
        <v>5412</v>
      </c>
      <c r="S2034" t="s">
        <v>4</v>
      </c>
      <c r="T2034" t="s">
        <v>2299</v>
      </c>
      <c r="U2034" t="s">
        <v>5417</v>
      </c>
      <c r="V2034" s="5">
        <v>0</v>
      </c>
      <c r="W2034" s="5">
        <v>0</v>
      </c>
      <c r="X2034" s="2">
        <v>0</v>
      </c>
      <c r="Y2034" t="s">
        <v>4</v>
      </c>
      <c r="Z2034" t="s">
        <v>4</v>
      </c>
      <c r="AA2034" t="s">
        <v>4</v>
      </c>
      <c r="AB2034" t="s">
        <v>4</v>
      </c>
    </row>
    <row r="2035" spans="1:28" hidden="1" x14ac:dyDescent="0.2">
      <c r="A2035" t="s">
        <v>379</v>
      </c>
      <c r="B2035" t="s">
        <v>2</v>
      </c>
      <c r="C2035" t="s">
        <v>3</v>
      </c>
      <c r="D2035" t="s">
        <v>4</v>
      </c>
      <c r="E2035" t="s">
        <v>4</v>
      </c>
      <c r="F2035" t="s">
        <v>5412</v>
      </c>
      <c r="G2035" t="s">
        <v>5431</v>
      </c>
      <c r="H2035" t="s">
        <v>5432</v>
      </c>
      <c r="I2035" s="2">
        <v>1250</v>
      </c>
      <c r="J2035" s="2">
        <v>0</v>
      </c>
      <c r="K2035" s="2">
        <v>0</v>
      </c>
      <c r="L2035" s="3">
        <v>45792</v>
      </c>
      <c r="M2035" s="3">
        <v>45792</v>
      </c>
      <c r="N2035" s="3"/>
      <c r="O2035" t="s">
        <v>5433</v>
      </c>
      <c r="P2035" t="s">
        <v>5434</v>
      </c>
      <c r="Q2035" s="4">
        <v>0.39837962962963003</v>
      </c>
      <c r="R2035" t="s">
        <v>5412</v>
      </c>
      <c r="S2035" t="s">
        <v>4</v>
      </c>
      <c r="T2035" t="s">
        <v>5435</v>
      </c>
      <c r="U2035" t="s">
        <v>5417</v>
      </c>
      <c r="V2035" s="5">
        <v>0</v>
      </c>
      <c r="W2035" s="5">
        <v>0</v>
      </c>
      <c r="X2035" s="2">
        <v>0</v>
      </c>
      <c r="Y2035" t="s">
        <v>4</v>
      </c>
      <c r="Z2035" t="s">
        <v>4</v>
      </c>
      <c r="AA2035" t="s">
        <v>4</v>
      </c>
      <c r="AB2035" t="s">
        <v>4</v>
      </c>
    </row>
    <row r="2036" spans="1:28" hidden="1" x14ac:dyDescent="0.2">
      <c r="A2036" t="s">
        <v>1415</v>
      </c>
      <c r="B2036" t="s">
        <v>2</v>
      </c>
      <c r="C2036" t="s">
        <v>3</v>
      </c>
      <c r="D2036" t="s">
        <v>4</v>
      </c>
      <c r="E2036" t="s">
        <v>4</v>
      </c>
      <c r="F2036" t="s">
        <v>5412</v>
      </c>
      <c r="G2036" t="s">
        <v>5431</v>
      </c>
      <c r="H2036" t="s">
        <v>5432</v>
      </c>
      <c r="I2036" s="2">
        <v>1177</v>
      </c>
      <c r="J2036" s="2">
        <v>0</v>
      </c>
      <c r="K2036" s="2">
        <v>0</v>
      </c>
      <c r="L2036" s="3">
        <v>45807</v>
      </c>
      <c r="M2036" s="3">
        <v>45807</v>
      </c>
      <c r="N2036" s="3"/>
      <c r="O2036" t="s">
        <v>5436</v>
      </c>
      <c r="P2036" t="s">
        <v>5434</v>
      </c>
      <c r="Q2036" s="4">
        <v>0.39837962962963003</v>
      </c>
      <c r="R2036" t="s">
        <v>5412</v>
      </c>
      <c r="S2036" t="s">
        <v>4</v>
      </c>
      <c r="T2036" t="s">
        <v>3482</v>
      </c>
      <c r="U2036" t="s">
        <v>5417</v>
      </c>
      <c r="V2036" s="5">
        <v>0</v>
      </c>
      <c r="W2036" s="5">
        <v>0</v>
      </c>
      <c r="X2036" s="2">
        <v>0</v>
      </c>
      <c r="Y2036" t="s">
        <v>4</v>
      </c>
      <c r="Z2036" t="s">
        <v>4</v>
      </c>
      <c r="AA2036" t="s">
        <v>4</v>
      </c>
      <c r="AB2036" t="s">
        <v>4</v>
      </c>
    </row>
    <row r="2037" spans="1:28" hidden="1" x14ac:dyDescent="0.2">
      <c r="A2037" t="s">
        <v>1415</v>
      </c>
      <c r="B2037" t="s">
        <v>2</v>
      </c>
      <c r="C2037" t="s">
        <v>3</v>
      </c>
      <c r="D2037" t="s">
        <v>4</v>
      </c>
      <c r="E2037" t="s">
        <v>4</v>
      </c>
      <c r="F2037" t="s">
        <v>5412</v>
      </c>
      <c r="G2037" t="s">
        <v>5431</v>
      </c>
      <c r="H2037" t="s">
        <v>5432</v>
      </c>
      <c r="I2037" s="2">
        <v>1196</v>
      </c>
      <c r="J2037" s="2">
        <v>0</v>
      </c>
      <c r="K2037" s="2">
        <v>0</v>
      </c>
      <c r="L2037" s="3">
        <v>45807</v>
      </c>
      <c r="M2037" s="3">
        <v>45807</v>
      </c>
      <c r="N2037" s="3"/>
      <c r="O2037" t="s">
        <v>5437</v>
      </c>
      <c r="P2037" t="s">
        <v>5434</v>
      </c>
      <c r="Q2037" s="4">
        <v>0.39837962962963003</v>
      </c>
      <c r="R2037" t="s">
        <v>5412</v>
      </c>
      <c r="S2037" t="s">
        <v>4</v>
      </c>
      <c r="T2037" t="s">
        <v>3482</v>
      </c>
      <c r="U2037" t="s">
        <v>5417</v>
      </c>
      <c r="V2037" s="5">
        <v>0</v>
      </c>
      <c r="W2037" s="5">
        <v>0</v>
      </c>
      <c r="X2037" s="2">
        <v>0</v>
      </c>
      <c r="Y2037" t="s">
        <v>4</v>
      </c>
      <c r="Z2037" t="s">
        <v>4</v>
      </c>
      <c r="AA2037" t="s">
        <v>4</v>
      </c>
      <c r="AB2037" t="s">
        <v>4</v>
      </c>
    </row>
    <row r="2038" spans="1:28" hidden="1" x14ac:dyDescent="0.2">
      <c r="A2038" t="s">
        <v>1415</v>
      </c>
      <c r="B2038" t="s">
        <v>2</v>
      </c>
      <c r="C2038" t="s">
        <v>3</v>
      </c>
      <c r="D2038" t="s">
        <v>4</v>
      </c>
      <c r="E2038" t="s">
        <v>4</v>
      </c>
      <c r="F2038" t="s">
        <v>5412</v>
      </c>
      <c r="G2038" t="s">
        <v>5431</v>
      </c>
      <c r="H2038" t="s">
        <v>5432</v>
      </c>
      <c r="I2038" s="2">
        <v>1898</v>
      </c>
      <c r="J2038" s="2">
        <v>0</v>
      </c>
      <c r="K2038" s="2">
        <v>0</v>
      </c>
      <c r="L2038" s="3">
        <v>45807</v>
      </c>
      <c r="M2038" s="3">
        <v>45807</v>
      </c>
      <c r="N2038" s="3"/>
      <c r="O2038" t="s">
        <v>5438</v>
      </c>
      <c r="P2038" t="s">
        <v>5434</v>
      </c>
      <c r="Q2038" s="4">
        <v>0.39837962962963003</v>
      </c>
      <c r="R2038" t="s">
        <v>5412</v>
      </c>
      <c r="S2038" t="s">
        <v>4</v>
      </c>
      <c r="T2038" t="s">
        <v>3482</v>
      </c>
      <c r="U2038" t="s">
        <v>5417</v>
      </c>
      <c r="V2038" s="5">
        <v>0</v>
      </c>
      <c r="W2038" s="5">
        <v>0</v>
      </c>
      <c r="X2038" s="2">
        <v>0</v>
      </c>
      <c r="Y2038" t="s">
        <v>4</v>
      </c>
      <c r="Z2038" t="s">
        <v>4</v>
      </c>
      <c r="AA2038" t="s">
        <v>4</v>
      </c>
      <c r="AB2038" t="s">
        <v>4</v>
      </c>
    </row>
    <row r="2039" spans="1:28" hidden="1" x14ac:dyDescent="0.2">
      <c r="A2039" t="s">
        <v>1415</v>
      </c>
      <c r="B2039" t="s">
        <v>2</v>
      </c>
      <c r="C2039" t="s">
        <v>3</v>
      </c>
      <c r="D2039" t="s">
        <v>4</v>
      </c>
      <c r="E2039" t="s">
        <v>4</v>
      </c>
      <c r="F2039" t="s">
        <v>5412</v>
      </c>
      <c r="G2039" t="s">
        <v>5431</v>
      </c>
      <c r="H2039" t="s">
        <v>5432</v>
      </c>
      <c r="I2039" s="2">
        <v>1198</v>
      </c>
      <c r="J2039" s="2">
        <v>0</v>
      </c>
      <c r="K2039" s="2">
        <v>0</v>
      </c>
      <c r="L2039" s="3">
        <v>45807</v>
      </c>
      <c r="M2039" s="3">
        <v>45807</v>
      </c>
      <c r="N2039" s="3"/>
      <c r="O2039" t="s">
        <v>5439</v>
      </c>
      <c r="P2039" t="s">
        <v>5434</v>
      </c>
      <c r="Q2039" s="4">
        <v>0.39837962962963003</v>
      </c>
      <c r="R2039" t="s">
        <v>5412</v>
      </c>
      <c r="S2039" t="s">
        <v>4</v>
      </c>
      <c r="T2039" t="s">
        <v>3482</v>
      </c>
      <c r="U2039" t="s">
        <v>5417</v>
      </c>
      <c r="V2039" s="5">
        <v>0</v>
      </c>
      <c r="W2039" s="5">
        <v>0</v>
      </c>
      <c r="X2039" s="2">
        <v>0</v>
      </c>
      <c r="Y2039" t="s">
        <v>4</v>
      </c>
      <c r="Z2039" t="s">
        <v>4</v>
      </c>
      <c r="AA2039" t="s">
        <v>4</v>
      </c>
      <c r="AB2039" t="s">
        <v>4</v>
      </c>
    </row>
    <row r="2040" spans="1:28" hidden="1" x14ac:dyDescent="0.2">
      <c r="A2040" t="s">
        <v>1415</v>
      </c>
      <c r="B2040" t="s">
        <v>2</v>
      </c>
      <c r="C2040" t="s">
        <v>3</v>
      </c>
      <c r="D2040" t="s">
        <v>4</v>
      </c>
      <c r="E2040" t="s">
        <v>4</v>
      </c>
      <c r="F2040" t="s">
        <v>5412</v>
      </c>
      <c r="G2040" t="s">
        <v>5431</v>
      </c>
      <c r="H2040" t="s">
        <v>5432</v>
      </c>
      <c r="I2040" s="2">
        <v>1177</v>
      </c>
      <c r="J2040" s="2">
        <v>0</v>
      </c>
      <c r="K2040" s="2">
        <v>0</v>
      </c>
      <c r="L2040" s="3">
        <v>45807</v>
      </c>
      <c r="M2040" s="3">
        <v>45807</v>
      </c>
      <c r="N2040" s="3"/>
      <c r="O2040" t="s">
        <v>5440</v>
      </c>
      <c r="P2040" t="s">
        <v>5434</v>
      </c>
      <c r="Q2040" s="4">
        <v>0.39837962962963003</v>
      </c>
      <c r="R2040" t="s">
        <v>5412</v>
      </c>
      <c r="S2040" t="s">
        <v>4</v>
      </c>
      <c r="T2040" t="s">
        <v>3482</v>
      </c>
      <c r="U2040" t="s">
        <v>5417</v>
      </c>
      <c r="V2040" s="5">
        <v>0</v>
      </c>
      <c r="W2040" s="5">
        <v>0</v>
      </c>
      <c r="X2040" s="2">
        <v>0</v>
      </c>
      <c r="Y2040" t="s">
        <v>4</v>
      </c>
      <c r="Z2040" t="s">
        <v>4</v>
      </c>
      <c r="AA2040" t="s">
        <v>4</v>
      </c>
      <c r="AB2040" t="s">
        <v>4</v>
      </c>
    </row>
    <row r="2041" spans="1:28" hidden="1" x14ac:dyDescent="0.2">
      <c r="A2041" t="s">
        <v>1415</v>
      </c>
      <c r="B2041" t="s">
        <v>2</v>
      </c>
      <c r="C2041" t="s">
        <v>3</v>
      </c>
      <c r="D2041" t="s">
        <v>4</v>
      </c>
      <c r="E2041" t="s">
        <v>4</v>
      </c>
      <c r="F2041" t="s">
        <v>5412</v>
      </c>
      <c r="G2041" t="s">
        <v>5431</v>
      </c>
      <c r="H2041" t="s">
        <v>5432</v>
      </c>
      <c r="I2041" s="2">
        <v>1908</v>
      </c>
      <c r="J2041" s="2">
        <v>0</v>
      </c>
      <c r="K2041" s="2">
        <v>0</v>
      </c>
      <c r="L2041" s="3">
        <v>45807</v>
      </c>
      <c r="M2041" s="3">
        <v>45807</v>
      </c>
      <c r="N2041" s="3"/>
      <c r="O2041" t="s">
        <v>5441</v>
      </c>
      <c r="P2041" t="s">
        <v>5434</v>
      </c>
      <c r="Q2041" s="4">
        <v>0.39837962962963003</v>
      </c>
      <c r="R2041" t="s">
        <v>5412</v>
      </c>
      <c r="S2041" t="s">
        <v>4</v>
      </c>
      <c r="T2041" t="s">
        <v>3482</v>
      </c>
      <c r="U2041" t="s">
        <v>5417</v>
      </c>
      <c r="V2041" s="5">
        <v>0</v>
      </c>
      <c r="W2041" s="5">
        <v>0</v>
      </c>
      <c r="X2041" s="2">
        <v>0</v>
      </c>
      <c r="Y2041" t="s">
        <v>4</v>
      </c>
      <c r="Z2041" t="s">
        <v>4</v>
      </c>
      <c r="AA2041" t="s">
        <v>4</v>
      </c>
      <c r="AB2041" t="s">
        <v>4</v>
      </c>
    </row>
    <row r="2042" spans="1:28" hidden="1" x14ac:dyDescent="0.2">
      <c r="A2042" t="s">
        <v>1415</v>
      </c>
      <c r="B2042" t="s">
        <v>2</v>
      </c>
      <c r="C2042" t="s">
        <v>3</v>
      </c>
      <c r="D2042" t="s">
        <v>4</v>
      </c>
      <c r="E2042" t="s">
        <v>4</v>
      </c>
      <c r="F2042" t="s">
        <v>5412</v>
      </c>
      <c r="G2042" t="s">
        <v>5431</v>
      </c>
      <c r="H2042" t="s">
        <v>5432</v>
      </c>
      <c r="I2042" s="2">
        <v>1207</v>
      </c>
      <c r="J2042" s="2">
        <v>0</v>
      </c>
      <c r="K2042" s="2">
        <v>0</v>
      </c>
      <c r="L2042" s="3">
        <v>45807</v>
      </c>
      <c r="M2042" s="3">
        <v>45807</v>
      </c>
      <c r="N2042" s="3"/>
      <c r="O2042" t="s">
        <v>5442</v>
      </c>
      <c r="P2042" t="s">
        <v>5434</v>
      </c>
      <c r="Q2042" s="4">
        <v>0.39837962962963003</v>
      </c>
      <c r="R2042" t="s">
        <v>5412</v>
      </c>
      <c r="S2042" t="s">
        <v>4</v>
      </c>
      <c r="T2042" t="s">
        <v>3482</v>
      </c>
      <c r="U2042" t="s">
        <v>5417</v>
      </c>
      <c r="V2042" s="5">
        <v>0</v>
      </c>
      <c r="W2042" s="5">
        <v>0</v>
      </c>
      <c r="X2042" s="2">
        <v>0</v>
      </c>
      <c r="Y2042" t="s">
        <v>4</v>
      </c>
      <c r="Z2042" t="s">
        <v>4</v>
      </c>
      <c r="AA2042" t="s">
        <v>4</v>
      </c>
      <c r="AB2042" t="s">
        <v>4</v>
      </c>
    </row>
    <row r="2043" spans="1:28" hidden="1" x14ac:dyDescent="0.2">
      <c r="A2043" t="s">
        <v>1415</v>
      </c>
      <c r="B2043" t="s">
        <v>2</v>
      </c>
      <c r="C2043" t="s">
        <v>3</v>
      </c>
      <c r="D2043" t="s">
        <v>4</v>
      </c>
      <c r="E2043" t="s">
        <v>4</v>
      </c>
      <c r="F2043" t="s">
        <v>5412</v>
      </c>
      <c r="G2043" t="s">
        <v>5431</v>
      </c>
      <c r="H2043" t="s">
        <v>5432</v>
      </c>
      <c r="I2043" s="2">
        <v>1177</v>
      </c>
      <c r="J2043" s="2">
        <v>0</v>
      </c>
      <c r="K2043" s="2">
        <v>0</v>
      </c>
      <c r="L2043" s="3">
        <v>45807</v>
      </c>
      <c r="M2043" s="3">
        <v>45807</v>
      </c>
      <c r="N2043" s="3"/>
      <c r="O2043" t="s">
        <v>5443</v>
      </c>
      <c r="P2043" t="s">
        <v>5434</v>
      </c>
      <c r="Q2043" s="4">
        <v>0.39837962962963003</v>
      </c>
      <c r="R2043" t="s">
        <v>5412</v>
      </c>
      <c r="S2043" t="s">
        <v>4</v>
      </c>
      <c r="T2043" t="s">
        <v>3482</v>
      </c>
      <c r="U2043" t="s">
        <v>5417</v>
      </c>
      <c r="V2043" s="5">
        <v>0</v>
      </c>
      <c r="W2043" s="5">
        <v>0</v>
      </c>
      <c r="X2043" s="2">
        <v>0</v>
      </c>
      <c r="Y2043" t="s">
        <v>4</v>
      </c>
      <c r="Z2043" t="s">
        <v>4</v>
      </c>
      <c r="AA2043" t="s">
        <v>4</v>
      </c>
      <c r="AB2043" t="s">
        <v>4</v>
      </c>
    </row>
    <row r="2044" spans="1:28" hidden="1" x14ac:dyDescent="0.2">
      <c r="A2044" t="s">
        <v>1415</v>
      </c>
      <c r="B2044" t="s">
        <v>2</v>
      </c>
      <c r="C2044" t="s">
        <v>3</v>
      </c>
      <c r="D2044" t="s">
        <v>4</v>
      </c>
      <c r="E2044" t="s">
        <v>4</v>
      </c>
      <c r="F2044" t="s">
        <v>5412</v>
      </c>
      <c r="G2044" t="s">
        <v>5431</v>
      </c>
      <c r="H2044" t="s">
        <v>5432</v>
      </c>
      <c r="I2044" s="2">
        <v>1177</v>
      </c>
      <c r="J2044" s="2">
        <v>0</v>
      </c>
      <c r="K2044" s="2">
        <v>0</v>
      </c>
      <c r="L2044" s="3">
        <v>45807</v>
      </c>
      <c r="M2044" s="3">
        <v>45807</v>
      </c>
      <c r="N2044" s="3"/>
      <c r="O2044" t="s">
        <v>5444</v>
      </c>
      <c r="P2044" t="s">
        <v>5434</v>
      </c>
      <c r="Q2044" s="4">
        <v>0.39837962962963003</v>
      </c>
      <c r="R2044" t="s">
        <v>5412</v>
      </c>
      <c r="S2044" t="s">
        <v>4</v>
      </c>
      <c r="T2044" t="s">
        <v>3482</v>
      </c>
      <c r="U2044" t="s">
        <v>5417</v>
      </c>
      <c r="V2044" s="5">
        <v>0</v>
      </c>
      <c r="W2044" s="5">
        <v>0</v>
      </c>
      <c r="X2044" s="2">
        <v>0</v>
      </c>
      <c r="Y2044" t="s">
        <v>4</v>
      </c>
      <c r="Z2044" t="s">
        <v>4</v>
      </c>
      <c r="AA2044" t="s">
        <v>4</v>
      </c>
      <c r="AB2044" t="s">
        <v>4</v>
      </c>
    </row>
    <row r="2045" spans="1:28" hidden="1" x14ac:dyDescent="0.2">
      <c r="A2045" t="s">
        <v>1421</v>
      </c>
      <c r="B2045" t="s">
        <v>2</v>
      </c>
      <c r="C2045" t="s">
        <v>3</v>
      </c>
      <c r="D2045" t="s">
        <v>4</v>
      </c>
      <c r="E2045" t="s">
        <v>4</v>
      </c>
      <c r="F2045" t="s">
        <v>5412</v>
      </c>
      <c r="G2045" t="s">
        <v>5431</v>
      </c>
      <c r="H2045" t="s">
        <v>5432</v>
      </c>
      <c r="I2045" s="2">
        <v>3016</v>
      </c>
      <c r="J2045" s="2">
        <v>0</v>
      </c>
      <c r="K2045" s="2">
        <v>0</v>
      </c>
      <c r="L2045" s="3">
        <v>45858</v>
      </c>
      <c r="M2045" s="3">
        <v>45858</v>
      </c>
      <c r="N2045" s="3"/>
      <c r="O2045" t="s">
        <v>5445</v>
      </c>
      <c r="P2045" t="s">
        <v>5434</v>
      </c>
      <c r="Q2045" s="4">
        <v>0.39837962962963003</v>
      </c>
      <c r="R2045" t="s">
        <v>5412</v>
      </c>
      <c r="S2045" t="s">
        <v>4</v>
      </c>
      <c r="T2045" t="s">
        <v>2337</v>
      </c>
      <c r="U2045" t="s">
        <v>5417</v>
      </c>
      <c r="V2045" s="5">
        <v>0</v>
      </c>
      <c r="W2045" s="5">
        <v>0</v>
      </c>
      <c r="X2045" s="2">
        <v>0</v>
      </c>
      <c r="Y2045" t="s">
        <v>4</v>
      </c>
      <c r="Z2045" t="s">
        <v>4</v>
      </c>
      <c r="AA2045" t="s">
        <v>4</v>
      </c>
      <c r="AB2045" t="s">
        <v>4</v>
      </c>
    </row>
    <row r="2046" spans="1:28" hidden="1" x14ac:dyDescent="0.2">
      <c r="A2046" t="s">
        <v>1421</v>
      </c>
      <c r="B2046" t="s">
        <v>2</v>
      </c>
      <c r="C2046" t="s">
        <v>3</v>
      </c>
      <c r="D2046" t="s">
        <v>4</v>
      </c>
      <c r="E2046" t="s">
        <v>4</v>
      </c>
      <c r="F2046" t="s">
        <v>5412</v>
      </c>
      <c r="G2046" t="s">
        <v>5431</v>
      </c>
      <c r="H2046" t="s">
        <v>5432</v>
      </c>
      <c r="I2046" s="2">
        <v>1346</v>
      </c>
      <c r="J2046" s="2">
        <v>0</v>
      </c>
      <c r="K2046" s="2">
        <v>0</v>
      </c>
      <c r="L2046" s="3">
        <v>45858</v>
      </c>
      <c r="M2046" s="3">
        <v>45858</v>
      </c>
      <c r="N2046" s="3"/>
      <c r="O2046" t="s">
        <v>5446</v>
      </c>
      <c r="P2046" t="s">
        <v>5434</v>
      </c>
      <c r="Q2046" s="4">
        <v>0.39837962962963003</v>
      </c>
      <c r="R2046" t="s">
        <v>5412</v>
      </c>
      <c r="S2046" t="s">
        <v>4</v>
      </c>
      <c r="T2046" t="s">
        <v>2337</v>
      </c>
      <c r="U2046" t="s">
        <v>5417</v>
      </c>
      <c r="V2046" s="5">
        <v>0</v>
      </c>
      <c r="W2046" s="5">
        <v>0</v>
      </c>
      <c r="X2046" s="2">
        <v>0</v>
      </c>
      <c r="Y2046" t="s">
        <v>4</v>
      </c>
      <c r="Z2046" t="s">
        <v>4</v>
      </c>
      <c r="AA2046" t="s">
        <v>4</v>
      </c>
      <c r="AB2046" t="s">
        <v>4</v>
      </c>
    </row>
    <row r="2047" spans="1:28" hidden="1" x14ac:dyDescent="0.2">
      <c r="A2047" t="s">
        <v>1418</v>
      </c>
      <c r="B2047" t="s">
        <v>2</v>
      </c>
      <c r="C2047" t="s">
        <v>3</v>
      </c>
      <c r="D2047" t="s">
        <v>4</v>
      </c>
      <c r="E2047" t="s">
        <v>4</v>
      </c>
      <c r="F2047" t="s">
        <v>5412</v>
      </c>
      <c r="G2047" t="s">
        <v>5431</v>
      </c>
      <c r="H2047" t="s">
        <v>5432</v>
      </c>
      <c r="I2047" s="2">
        <v>1998</v>
      </c>
      <c r="J2047" s="2">
        <v>0</v>
      </c>
      <c r="K2047" s="2">
        <v>0</v>
      </c>
      <c r="L2047" s="3">
        <v>45858</v>
      </c>
      <c r="M2047" s="3">
        <v>45858</v>
      </c>
      <c r="N2047" s="3"/>
      <c r="O2047" t="s">
        <v>5445</v>
      </c>
      <c r="P2047" t="s">
        <v>5434</v>
      </c>
      <c r="Q2047" s="4">
        <v>0.39837962962963003</v>
      </c>
      <c r="R2047" t="s">
        <v>5412</v>
      </c>
      <c r="S2047" t="s">
        <v>4</v>
      </c>
      <c r="T2047" t="s">
        <v>2337</v>
      </c>
      <c r="U2047" t="s">
        <v>5417</v>
      </c>
      <c r="V2047" s="5">
        <v>0</v>
      </c>
      <c r="W2047" s="5">
        <v>0</v>
      </c>
      <c r="X2047" s="2">
        <v>0</v>
      </c>
      <c r="Y2047" t="s">
        <v>4</v>
      </c>
      <c r="Z2047" t="s">
        <v>4</v>
      </c>
      <c r="AA2047" t="s">
        <v>4</v>
      </c>
      <c r="AB2047" t="s">
        <v>4</v>
      </c>
    </row>
    <row r="2048" spans="1:28" hidden="1" x14ac:dyDescent="0.2">
      <c r="A2048" t="s">
        <v>1412</v>
      </c>
      <c r="B2048" t="s">
        <v>2</v>
      </c>
      <c r="C2048" t="s">
        <v>3</v>
      </c>
      <c r="D2048" t="s">
        <v>4</v>
      </c>
      <c r="E2048" t="s">
        <v>4</v>
      </c>
      <c r="F2048" t="s">
        <v>5412</v>
      </c>
      <c r="G2048" t="s">
        <v>5431</v>
      </c>
      <c r="H2048" t="s">
        <v>5432</v>
      </c>
      <c r="I2048" s="2">
        <v>1368</v>
      </c>
      <c r="J2048" s="2">
        <v>0</v>
      </c>
      <c r="K2048" s="2">
        <v>0</v>
      </c>
      <c r="L2048" s="3">
        <v>45843</v>
      </c>
      <c r="M2048" s="3">
        <v>45843</v>
      </c>
      <c r="N2048" s="3"/>
      <c r="O2048" t="s">
        <v>5447</v>
      </c>
      <c r="P2048" t="s">
        <v>5434</v>
      </c>
      <c r="Q2048" s="4">
        <v>0.39837962962963003</v>
      </c>
      <c r="R2048" t="s">
        <v>5412</v>
      </c>
      <c r="S2048" t="s">
        <v>4</v>
      </c>
      <c r="T2048" t="s">
        <v>2783</v>
      </c>
      <c r="U2048" t="s">
        <v>5417</v>
      </c>
      <c r="V2048" s="5">
        <v>0</v>
      </c>
      <c r="W2048" s="5">
        <v>0</v>
      </c>
      <c r="X2048" s="2">
        <v>0</v>
      </c>
      <c r="Y2048" t="s">
        <v>4</v>
      </c>
      <c r="Z2048" t="s">
        <v>4</v>
      </c>
      <c r="AA2048" t="s">
        <v>4</v>
      </c>
      <c r="AB2048" t="s">
        <v>4</v>
      </c>
    </row>
    <row r="2049" spans="1:28" hidden="1" x14ac:dyDescent="0.2">
      <c r="A2049" t="s">
        <v>1412</v>
      </c>
      <c r="B2049" t="s">
        <v>2</v>
      </c>
      <c r="C2049" t="s">
        <v>3</v>
      </c>
      <c r="D2049" t="s">
        <v>4</v>
      </c>
      <c r="E2049" t="s">
        <v>4</v>
      </c>
      <c r="F2049" t="s">
        <v>5412</v>
      </c>
      <c r="G2049" t="s">
        <v>5431</v>
      </c>
      <c r="H2049" t="s">
        <v>5432</v>
      </c>
      <c r="I2049" s="2">
        <v>1365</v>
      </c>
      <c r="J2049" s="2">
        <v>0</v>
      </c>
      <c r="K2049" s="2">
        <v>0</v>
      </c>
      <c r="L2049" s="3">
        <v>45843</v>
      </c>
      <c r="M2049" s="3">
        <v>45843</v>
      </c>
      <c r="N2049" s="3"/>
      <c r="O2049" t="s">
        <v>5448</v>
      </c>
      <c r="P2049" t="s">
        <v>5434</v>
      </c>
      <c r="Q2049" s="4">
        <v>0.39837962962963003</v>
      </c>
      <c r="R2049" t="s">
        <v>5412</v>
      </c>
      <c r="S2049" t="s">
        <v>4</v>
      </c>
      <c r="T2049" t="s">
        <v>2783</v>
      </c>
      <c r="U2049" t="s">
        <v>5417</v>
      </c>
      <c r="V2049" s="5">
        <v>0</v>
      </c>
      <c r="W2049" s="5">
        <v>0</v>
      </c>
      <c r="X2049" s="2">
        <v>0</v>
      </c>
      <c r="Y2049" t="s">
        <v>4</v>
      </c>
      <c r="Z2049" t="s">
        <v>4</v>
      </c>
      <c r="AA2049" t="s">
        <v>4</v>
      </c>
      <c r="AB2049" t="s">
        <v>4</v>
      </c>
    </row>
    <row r="2050" spans="1:28" hidden="1" x14ac:dyDescent="0.2">
      <c r="A2050" t="s">
        <v>1412</v>
      </c>
      <c r="B2050" t="s">
        <v>2</v>
      </c>
      <c r="C2050" t="s">
        <v>3</v>
      </c>
      <c r="D2050" t="s">
        <v>4</v>
      </c>
      <c r="E2050" t="s">
        <v>4</v>
      </c>
      <c r="F2050" t="s">
        <v>5412</v>
      </c>
      <c r="G2050" t="s">
        <v>5431</v>
      </c>
      <c r="H2050" t="s">
        <v>5432</v>
      </c>
      <c r="I2050" s="2">
        <v>1443</v>
      </c>
      <c r="J2050" s="2">
        <v>0</v>
      </c>
      <c r="K2050" s="2">
        <v>0</v>
      </c>
      <c r="L2050" s="3">
        <v>45843</v>
      </c>
      <c r="M2050" s="3">
        <v>45843</v>
      </c>
      <c r="N2050" s="3"/>
      <c r="O2050" t="s">
        <v>5449</v>
      </c>
      <c r="P2050" t="s">
        <v>5434</v>
      </c>
      <c r="Q2050" s="4">
        <v>0.39837962962963003</v>
      </c>
      <c r="R2050" t="s">
        <v>5412</v>
      </c>
      <c r="S2050" t="s">
        <v>4</v>
      </c>
      <c r="T2050" t="s">
        <v>2783</v>
      </c>
      <c r="U2050" t="s">
        <v>5417</v>
      </c>
      <c r="V2050" s="5">
        <v>0</v>
      </c>
      <c r="W2050" s="5">
        <v>0</v>
      </c>
      <c r="X2050" s="2">
        <v>0</v>
      </c>
      <c r="Y2050" t="s">
        <v>4</v>
      </c>
      <c r="Z2050" t="s">
        <v>4</v>
      </c>
      <c r="AA2050" t="s">
        <v>4</v>
      </c>
      <c r="AB2050" t="s">
        <v>4</v>
      </c>
    </row>
    <row r="2051" spans="1:28" hidden="1" x14ac:dyDescent="0.2">
      <c r="A2051" t="s">
        <v>1412</v>
      </c>
      <c r="B2051" t="s">
        <v>2</v>
      </c>
      <c r="C2051" t="s">
        <v>3</v>
      </c>
      <c r="D2051" t="s">
        <v>4</v>
      </c>
      <c r="E2051" t="s">
        <v>4</v>
      </c>
      <c r="F2051" t="s">
        <v>5412</v>
      </c>
      <c r="G2051" t="s">
        <v>5431</v>
      </c>
      <c r="H2051" t="s">
        <v>5432</v>
      </c>
      <c r="I2051" s="2">
        <v>1385</v>
      </c>
      <c r="J2051" s="2">
        <v>0</v>
      </c>
      <c r="K2051" s="2">
        <v>0</v>
      </c>
      <c r="L2051" s="3">
        <v>45854</v>
      </c>
      <c r="M2051" s="3">
        <v>45854</v>
      </c>
      <c r="N2051" s="3"/>
      <c r="O2051" t="s">
        <v>5450</v>
      </c>
      <c r="P2051" t="s">
        <v>5434</v>
      </c>
      <c r="Q2051" s="4">
        <v>0.39837962962963003</v>
      </c>
      <c r="R2051" t="s">
        <v>5412</v>
      </c>
      <c r="S2051" t="s">
        <v>4</v>
      </c>
      <c r="T2051" t="s">
        <v>2299</v>
      </c>
      <c r="U2051" t="s">
        <v>5417</v>
      </c>
      <c r="V2051" s="5">
        <v>0</v>
      </c>
      <c r="W2051" s="5">
        <v>0</v>
      </c>
      <c r="X2051" s="2">
        <v>0</v>
      </c>
      <c r="Y2051" t="s">
        <v>4</v>
      </c>
      <c r="Z2051" t="s">
        <v>4</v>
      </c>
      <c r="AA2051" t="s">
        <v>4</v>
      </c>
      <c r="AB2051" t="s">
        <v>4</v>
      </c>
    </row>
    <row r="2052" spans="1:28" hidden="1" x14ac:dyDescent="0.2">
      <c r="A2052" t="s">
        <v>1412</v>
      </c>
      <c r="B2052" t="s">
        <v>2</v>
      </c>
      <c r="C2052" t="s">
        <v>3</v>
      </c>
      <c r="D2052" t="s">
        <v>4</v>
      </c>
      <c r="E2052" t="s">
        <v>4</v>
      </c>
      <c r="F2052" t="s">
        <v>5412</v>
      </c>
      <c r="G2052" t="s">
        <v>5431</v>
      </c>
      <c r="H2052" t="s">
        <v>5432</v>
      </c>
      <c r="I2052" s="2">
        <v>1443</v>
      </c>
      <c r="J2052" s="2">
        <v>0</v>
      </c>
      <c r="K2052" s="2">
        <v>0</v>
      </c>
      <c r="L2052" s="3">
        <v>45854</v>
      </c>
      <c r="M2052" s="3">
        <v>45854</v>
      </c>
      <c r="N2052" s="3"/>
      <c r="O2052" t="s">
        <v>5451</v>
      </c>
      <c r="P2052" t="s">
        <v>5434</v>
      </c>
      <c r="Q2052" s="4">
        <v>0.39837962962963003</v>
      </c>
      <c r="R2052" t="s">
        <v>5412</v>
      </c>
      <c r="S2052" t="s">
        <v>4</v>
      </c>
      <c r="T2052" t="s">
        <v>2299</v>
      </c>
      <c r="U2052" t="s">
        <v>5417</v>
      </c>
      <c r="V2052" s="5">
        <v>0</v>
      </c>
      <c r="W2052" s="5">
        <v>0</v>
      </c>
      <c r="X2052" s="2">
        <v>0</v>
      </c>
      <c r="Y2052" t="s">
        <v>4</v>
      </c>
      <c r="Z2052" t="s">
        <v>4</v>
      </c>
      <c r="AA2052" t="s">
        <v>4</v>
      </c>
      <c r="AB2052" t="s">
        <v>4</v>
      </c>
    </row>
    <row r="2053" spans="1:28" hidden="1" x14ac:dyDescent="0.2">
      <c r="A2053" t="s">
        <v>1203</v>
      </c>
      <c r="B2053" t="s">
        <v>2</v>
      </c>
      <c r="C2053" t="s">
        <v>3</v>
      </c>
      <c r="D2053" t="s">
        <v>4</v>
      </c>
      <c r="E2053" t="s">
        <v>4</v>
      </c>
      <c r="F2053" t="s">
        <v>208</v>
      </c>
      <c r="G2053" t="s">
        <v>209</v>
      </c>
      <c r="H2053" t="s">
        <v>5452</v>
      </c>
      <c r="I2053" s="2">
        <v>290</v>
      </c>
      <c r="J2053" s="2">
        <v>0</v>
      </c>
      <c r="K2053" s="2">
        <v>0</v>
      </c>
      <c r="L2053" s="3">
        <v>45497</v>
      </c>
      <c r="M2053" s="3">
        <v>45752</v>
      </c>
      <c r="N2053" s="3">
        <v>45752</v>
      </c>
      <c r="O2053" t="s">
        <v>4</v>
      </c>
      <c r="P2053" t="s">
        <v>20</v>
      </c>
      <c r="Q2053" s="4">
        <v>0.33953703703704002</v>
      </c>
      <c r="R2053" t="s">
        <v>208</v>
      </c>
      <c r="S2053" t="s">
        <v>4</v>
      </c>
      <c r="T2053" t="s">
        <v>5453</v>
      </c>
      <c r="U2053" t="s">
        <v>10</v>
      </c>
      <c r="V2053" s="5">
        <v>0</v>
      </c>
      <c r="W2053" s="5">
        <v>0</v>
      </c>
      <c r="X2053" s="2">
        <v>0</v>
      </c>
      <c r="Y2053" t="s">
        <v>4</v>
      </c>
      <c r="Z2053" t="s">
        <v>4</v>
      </c>
      <c r="AA2053" t="s">
        <v>4</v>
      </c>
      <c r="AB2053" t="s">
        <v>4</v>
      </c>
    </row>
    <row r="2054" spans="1:28" hidden="1" x14ac:dyDescent="0.2">
      <c r="A2054" t="s">
        <v>1199</v>
      </c>
      <c r="B2054" t="s">
        <v>2</v>
      </c>
      <c r="C2054" t="s">
        <v>3</v>
      </c>
      <c r="D2054" t="s">
        <v>4</v>
      </c>
      <c r="E2054" t="s">
        <v>4</v>
      </c>
      <c r="F2054" t="s">
        <v>208</v>
      </c>
      <c r="G2054" t="s">
        <v>209</v>
      </c>
      <c r="H2054" t="s">
        <v>5454</v>
      </c>
      <c r="I2054" s="2">
        <v>365</v>
      </c>
      <c r="J2054" s="2">
        <v>0</v>
      </c>
      <c r="K2054" s="2">
        <v>0</v>
      </c>
      <c r="L2054" s="3">
        <v>45692</v>
      </c>
      <c r="M2054" s="3">
        <v>45826</v>
      </c>
      <c r="N2054" s="3">
        <v>45826</v>
      </c>
      <c r="O2054" t="s">
        <v>4</v>
      </c>
      <c r="P2054" t="s">
        <v>20</v>
      </c>
      <c r="Q2054" s="4">
        <v>0.96243055555556001</v>
      </c>
      <c r="R2054" t="s">
        <v>208</v>
      </c>
      <c r="S2054" t="s">
        <v>4</v>
      </c>
      <c r="T2054" t="s">
        <v>3661</v>
      </c>
      <c r="U2054" t="s">
        <v>10</v>
      </c>
      <c r="V2054" s="5">
        <v>0</v>
      </c>
      <c r="W2054" s="5">
        <v>0</v>
      </c>
      <c r="X2054" s="2">
        <v>0</v>
      </c>
      <c r="Y2054" t="s">
        <v>4</v>
      </c>
      <c r="Z2054" t="s">
        <v>4</v>
      </c>
      <c r="AA2054" t="s">
        <v>4</v>
      </c>
      <c r="AB2054" t="s">
        <v>4</v>
      </c>
    </row>
    <row r="2055" spans="1:28" hidden="1" x14ac:dyDescent="0.2">
      <c r="A2055" t="s">
        <v>1207</v>
      </c>
      <c r="B2055" t="s">
        <v>2</v>
      </c>
      <c r="C2055" t="s">
        <v>3</v>
      </c>
      <c r="D2055" t="s">
        <v>4</v>
      </c>
      <c r="E2055" t="s">
        <v>4</v>
      </c>
      <c r="F2055" t="s">
        <v>208</v>
      </c>
      <c r="G2055" t="s">
        <v>209</v>
      </c>
      <c r="H2055" t="s">
        <v>5455</v>
      </c>
      <c r="I2055" s="2">
        <v>342</v>
      </c>
      <c r="J2055" s="2">
        <v>0</v>
      </c>
      <c r="K2055" s="2">
        <v>0</v>
      </c>
      <c r="L2055" s="3">
        <v>45587</v>
      </c>
      <c r="M2055" s="3">
        <v>45811</v>
      </c>
      <c r="N2055" s="3">
        <v>45811</v>
      </c>
      <c r="O2055" t="s">
        <v>4</v>
      </c>
      <c r="P2055" t="s">
        <v>20</v>
      </c>
      <c r="Q2055" s="4">
        <v>0.37476851851852</v>
      </c>
      <c r="R2055" t="s">
        <v>208</v>
      </c>
      <c r="S2055" t="s">
        <v>4</v>
      </c>
      <c r="T2055" t="s">
        <v>5456</v>
      </c>
      <c r="U2055" t="s">
        <v>10</v>
      </c>
      <c r="V2055" s="5">
        <v>0</v>
      </c>
      <c r="W2055" s="5">
        <v>0</v>
      </c>
      <c r="X2055" s="2">
        <v>0</v>
      </c>
      <c r="Y2055" t="s">
        <v>4</v>
      </c>
      <c r="Z2055" t="s">
        <v>4</v>
      </c>
      <c r="AA2055" t="s">
        <v>4</v>
      </c>
      <c r="AB2055" t="s">
        <v>4</v>
      </c>
    </row>
    <row r="2056" spans="1:28" hidden="1" x14ac:dyDescent="0.2">
      <c r="A2056" t="s">
        <v>1211</v>
      </c>
      <c r="B2056" t="s">
        <v>2</v>
      </c>
      <c r="C2056" t="s">
        <v>3</v>
      </c>
      <c r="D2056" t="s">
        <v>4</v>
      </c>
      <c r="E2056" t="s">
        <v>4</v>
      </c>
      <c r="F2056" t="s">
        <v>208</v>
      </c>
      <c r="G2056" t="s">
        <v>209</v>
      </c>
      <c r="H2056" t="s">
        <v>5457</v>
      </c>
      <c r="I2056" s="2">
        <v>74</v>
      </c>
      <c r="J2056" s="2">
        <v>0</v>
      </c>
      <c r="K2056" s="2">
        <v>0</v>
      </c>
      <c r="L2056" s="3">
        <v>45832</v>
      </c>
      <c r="M2056" s="3">
        <v>45859</v>
      </c>
      <c r="N2056" s="3">
        <v>45859</v>
      </c>
      <c r="O2056" t="s">
        <v>4</v>
      </c>
      <c r="P2056" t="s">
        <v>20</v>
      </c>
      <c r="Q2056" s="4">
        <v>0.58119212962962996</v>
      </c>
      <c r="R2056" t="s">
        <v>208</v>
      </c>
      <c r="S2056" t="s">
        <v>4</v>
      </c>
      <c r="T2056" t="s">
        <v>2665</v>
      </c>
      <c r="U2056" t="s">
        <v>10</v>
      </c>
      <c r="V2056" s="5">
        <v>0</v>
      </c>
      <c r="W2056" s="5">
        <v>0</v>
      </c>
      <c r="X2056" s="2">
        <v>0</v>
      </c>
      <c r="Y2056" t="s">
        <v>4</v>
      </c>
      <c r="Z2056" t="s">
        <v>4</v>
      </c>
      <c r="AA2056" t="s">
        <v>4</v>
      </c>
      <c r="AB2056" t="s">
        <v>4</v>
      </c>
    </row>
    <row r="2057" spans="1:28" hidden="1" x14ac:dyDescent="0.2">
      <c r="A2057" t="s">
        <v>2251</v>
      </c>
      <c r="B2057" t="s">
        <v>4</v>
      </c>
      <c r="C2057" t="s">
        <v>4</v>
      </c>
      <c r="D2057" t="s">
        <v>4</v>
      </c>
      <c r="E2057" t="s">
        <v>4</v>
      </c>
      <c r="F2057" t="s">
        <v>208</v>
      </c>
      <c r="G2057" t="s">
        <v>209</v>
      </c>
      <c r="H2057" t="s">
        <v>5458</v>
      </c>
      <c r="I2057" s="5">
        <v>0</v>
      </c>
      <c r="J2057" s="5">
        <v>0</v>
      </c>
      <c r="K2057" s="5">
        <v>0</v>
      </c>
      <c r="L2057" s="3"/>
      <c r="M2057" s="3"/>
      <c r="N2057" s="3"/>
      <c r="O2057" t="s">
        <v>4</v>
      </c>
      <c r="P2057" t="s">
        <v>9</v>
      </c>
      <c r="Q2057" s="4">
        <v>0.70577546296296001</v>
      </c>
      <c r="R2057" t="s">
        <v>4</v>
      </c>
      <c r="S2057" t="s">
        <v>4</v>
      </c>
      <c r="T2057" t="s">
        <v>2256</v>
      </c>
      <c r="U2057" t="s">
        <v>4</v>
      </c>
      <c r="V2057" s="5">
        <v>0</v>
      </c>
      <c r="W2057" s="5">
        <v>0</v>
      </c>
      <c r="X2057" s="2">
        <v>0</v>
      </c>
      <c r="Y2057" t="s">
        <v>4</v>
      </c>
      <c r="Z2057" t="s">
        <v>4</v>
      </c>
      <c r="AA2057" t="s">
        <v>4</v>
      </c>
      <c r="AB2057" t="s">
        <v>4</v>
      </c>
    </row>
    <row r="2058" spans="1:28" hidden="1" x14ac:dyDescent="0.2">
      <c r="A2058" t="s">
        <v>2251</v>
      </c>
      <c r="B2058" t="s">
        <v>4</v>
      </c>
      <c r="C2058" t="s">
        <v>4</v>
      </c>
      <c r="D2058" t="s">
        <v>4</v>
      </c>
      <c r="E2058" t="s">
        <v>4</v>
      </c>
      <c r="F2058" t="s">
        <v>208</v>
      </c>
      <c r="G2058" t="s">
        <v>209</v>
      </c>
      <c r="H2058" t="s">
        <v>5459</v>
      </c>
      <c r="I2058" s="5">
        <v>0</v>
      </c>
      <c r="J2058" s="5">
        <v>0</v>
      </c>
      <c r="K2058" s="5">
        <v>0</v>
      </c>
      <c r="L2058" s="3"/>
      <c r="M2058" s="3"/>
      <c r="N2058" s="3"/>
      <c r="O2058" t="s">
        <v>4</v>
      </c>
      <c r="P2058" t="s">
        <v>9</v>
      </c>
      <c r="Q2058" s="4">
        <v>0.65855324074073995</v>
      </c>
      <c r="R2058" t="s">
        <v>4</v>
      </c>
      <c r="S2058" t="s">
        <v>4</v>
      </c>
      <c r="T2058" t="s">
        <v>2256</v>
      </c>
      <c r="U2058" t="s">
        <v>4</v>
      </c>
      <c r="V2058" s="5">
        <v>0</v>
      </c>
      <c r="W2058" s="5">
        <v>0</v>
      </c>
      <c r="X2058" s="2">
        <v>0</v>
      </c>
      <c r="Y2058" t="s">
        <v>4</v>
      </c>
      <c r="Z2058" t="s">
        <v>4</v>
      </c>
      <c r="AA2058" t="s">
        <v>4</v>
      </c>
      <c r="AB2058" t="s">
        <v>4</v>
      </c>
    </row>
    <row r="2059" spans="1:28" hidden="1" x14ac:dyDescent="0.2">
      <c r="A2059" t="s">
        <v>1553</v>
      </c>
      <c r="B2059" t="s">
        <v>2</v>
      </c>
      <c r="C2059" t="s">
        <v>3</v>
      </c>
      <c r="D2059" t="s">
        <v>4</v>
      </c>
      <c r="E2059" t="s">
        <v>4</v>
      </c>
      <c r="F2059" t="s">
        <v>208</v>
      </c>
      <c r="G2059" t="s">
        <v>209</v>
      </c>
      <c r="H2059" t="s">
        <v>5460</v>
      </c>
      <c r="I2059" s="2">
        <v>330</v>
      </c>
      <c r="J2059" s="2">
        <v>0</v>
      </c>
      <c r="K2059" s="2">
        <v>0</v>
      </c>
      <c r="L2059" s="3">
        <v>45850</v>
      </c>
      <c r="M2059" s="3">
        <v>45851</v>
      </c>
      <c r="N2059" s="3">
        <v>45851</v>
      </c>
      <c r="O2059" t="s">
        <v>4</v>
      </c>
      <c r="P2059" t="s">
        <v>20</v>
      </c>
      <c r="Q2059" s="4">
        <v>0.41068287037036999</v>
      </c>
      <c r="R2059" t="s">
        <v>208</v>
      </c>
      <c r="S2059" t="s">
        <v>4</v>
      </c>
      <c r="T2059" t="s">
        <v>2680</v>
      </c>
      <c r="U2059" t="s">
        <v>10</v>
      </c>
      <c r="V2059" s="5">
        <v>0</v>
      </c>
      <c r="W2059" s="5">
        <v>0</v>
      </c>
      <c r="X2059" s="2">
        <v>0</v>
      </c>
      <c r="Y2059" t="s">
        <v>4</v>
      </c>
      <c r="Z2059" t="s">
        <v>4</v>
      </c>
      <c r="AA2059" t="s">
        <v>4</v>
      </c>
      <c r="AB2059" t="s">
        <v>4</v>
      </c>
    </row>
    <row r="2060" spans="1:28" hidden="1" x14ac:dyDescent="0.2">
      <c r="A2060" t="s">
        <v>1528</v>
      </c>
      <c r="B2060" t="s">
        <v>2</v>
      </c>
      <c r="C2060" t="s">
        <v>3</v>
      </c>
      <c r="D2060" t="s">
        <v>4</v>
      </c>
      <c r="E2060" t="s">
        <v>4</v>
      </c>
      <c r="F2060" t="s">
        <v>208</v>
      </c>
      <c r="G2060" t="s">
        <v>209</v>
      </c>
      <c r="H2060" t="s">
        <v>5461</v>
      </c>
      <c r="I2060" s="2">
        <v>321</v>
      </c>
      <c r="J2060" s="2">
        <v>0</v>
      </c>
      <c r="K2060" s="2">
        <v>0</v>
      </c>
      <c r="L2060" s="3">
        <v>45604</v>
      </c>
      <c r="M2060" s="3">
        <v>45793</v>
      </c>
      <c r="N2060" s="3">
        <v>45793</v>
      </c>
      <c r="O2060" t="s">
        <v>4</v>
      </c>
      <c r="P2060" t="s">
        <v>20</v>
      </c>
      <c r="Q2060" s="4">
        <v>0.63836805555555998</v>
      </c>
      <c r="R2060" t="s">
        <v>208</v>
      </c>
      <c r="S2060" t="s">
        <v>4</v>
      </c>
      <c r="T2060" t="s">
        <v>5462</v>
      </c>
      <c r="U2060" t="s">
        <v>10</v>
      </c>
      <c r="V2060" s="5">
        <v>0</v>
      </c>
      <c r="W2060" s="5">
        <v>0</v>
      </c>
      <c r="X2060" s="2">
        <v>0</v>
      </c>
      <c r="Y2060" t="s">
        <v>4</v>
      </c>
      <c r="Z2060" t="s">
        <v>4</v>
      </c>
      <c r="AA2060" t="s">
        <v>4</v>
      </c>
      <c r="AB2060" t="s">
        <v>4</v>
      </c>
    </row>
    <row r="2061" spans="1:28" hidden="1" x14ac:dyDescent="0.2">
      <c r="A2061" t="s">
        <v>482</v>
      </c>
      <c r="B2061" t="s">
        <v>2</v>
      </c>
      <c r="C2061" t="s">
        <v>3</v>
      </c>
      <c r="D2061" t="s">
        <v>4</v>
      </c>
      <c r="E2061" t="s">
        <v>4</v>
      </c>
      <c r="F2061" t="s">
        <v>208</v>
      </c>
      <c r="G2061" t="s">
        <v>209</v>
      </c>
      <c r="H2061" t="s">
        <v>5463</v>
      </c>
      <c r="I2061" s="2">
        <v>2464</v>
      </c>
      <c r="J2061" s="2">
        <v>0</v>
      </c>
      <c r="K2061" s="2">
        <v>0</v>
      </c>
      <c r="L2061" s="3">
        <v>45849</v>
      </c>
      <c r="M2061" s="3">
        <v>45853</v>
      </c>
      <c r="N2061" s="3">
        <v>45853</v>
      </c>
      <c r="O2061" t="s">
        <v>4</v>
      </c>
      <c r="P2061" t="s">
        <v>20</v>
      </c>
      <c r="Q2061" s="4">
        <v>0.81697916666667003</v>
      </c>
      <c r="R2061" t="s">
        <v>208</v>
      </c>
      <c r="S2061" t="s">
        <v>4</v>
      </c>
      <c r="T2061" t="s">
        <v>2321</v>
      </c>
      <c r="U2061" t="s">
        <v>10</v>
      </c>
      <c r="V2061" s="5">
        <v>0</v>
      </c>
      <c r="W2061" s="5">
        <v>0</v>
      </c>
      <c r="X2061" s="2">
        <v>0</v>
      </c>
      <c r="Y2061" t="s">
        <v>4</v>
      </c>
      <c r="Z2061" t="s">
        <v>4</v>
      </c>
      <c r="AA2061" t="s">
        <v>4</v>
      </c>
      <c r="AB2061" t="s">
        <v>4</v>
      </c>
    </row>
    <row r="2062" spans="1:28" hidden="1" x14ac:dyDescent="0.2">
      <c r="A2062" t="s">
        <v>404</v>
      </c>
      <c r="B2062" t="s">
        <v>2</v>
      </c>
      <c r="C2062" t="s">
        <v>3</v>
      </c>
      <c r="D2062" t="s">
        <v>4</v>
      </c>
      <c r="E2062" t="s">
        <v>4</v>
      </c>
      <c r="F2062" t="s">
        <v>208</v>
      </c>
      <c r="G2062" t="s">
        <v>209</v>
      </c>
      <c r="H2062" t="s">
        <v>5464</v>
      </c>
      <c r="I2062" s="2">
        <v>1848</v>
      </c>
      <c r="J2062" s="2">
        <v>0</v>
      </c>
      <c r="K2062" s="2">
        <v>0</v>
      </c>
      <c r="L2062" s="3">
        <v>45859</v>
      </c>
      <c r="M2062" s="3">
        <v>45859</v>
      </c>
      <c r="N2062" s="3">
        <v>45859</v>
      </c>
      <c r="O2062" t="s">
        <v>4</v>
      </c>
      <c r="P2062" t="s">
        <v>9</v>
      </c>
      <c r="Q2062" s="4">
        <v>0.67898148148147996</v>
      </c>
      <c r="R2062" t="s">
        <v>208</v>
      </c>
      <c r="S2062" t="s">
        <v>4</v>
      </c>
      <c r="T2062" t="s">
        <v>2261</v>
      </c>
      <c r="U2062" t="s">
        <v>10</v>
      </c>
      <c r="V2062" s="5">
        <v>0</v>
      </c>
      <c r="W2062" s="5">
        <v>0</v>
      </c>
      <c r="X2062" s="2">
        <v>0</v>
      </c>
      <c r="Y2062" t="s">
        <v>4</v>
      </c>
      <c r="Z2062" t="s">
        <v>4</v>
      </c>
      <c r="AA2062" t="s">
        <v>4</v>
      </c>
      <c r="AB2062" t="s">
        <v>4</v>
      </c>
    </row>
    <row r="2063" spans="1:28" hidden="1" x14ac:dyDescent="0.2">
      <c r="A2063" t="s">
        <v>1334</v>
      </c>
      <c r="B2063" t="s">
        <v>2</v>
      </c>
      <c r="C2063" t="s">
        <v>3</v>
      </c>
      <c r="D2063" t="s">
        <v>4</v>
      </c>
      <c r="E2063" t="s">
        <v>4</v>
      </c>
      <c r="F2063" t="s">
        <v>208</v>
      </c>
      <c r="G2063" t="s">
        <v>209</v>
      </c>
      <c r="H2063" t="s">
        <v>5465</v>
      </c>
      <c r="I2063" s="2">
        <v>900</v>
      </c>
      <c r="J2063" s="2">
        <v>0</v>
      </c>
      <c r="K2063" s="2">
        <v>0</v>
      </c>
      <c r="L2063" s="3">
        <v>45850</v>
      </c>
      <c r="M2063" s="3">
        <v>45854</v>
      </c>
      <c r="N2063" s="3">
        <v>45854</v>
      </c>
      <c r="O2063" t="s">
        <v>4</v>
      </c>
      <c r="P2063" t="s">
        <v>20</v>
      </c>
      <c r="Q2063" s="4">
        <v>0.43524305555555998</v>
      </c>
      <c r="R2063" t="s">
        <v>208</v>
      </c>
      <c r="S2063" t="s">
        <v>4</v>
      </c>
      <c r="T2063" t="s">
        <v>2680</v>
      </c>
      <c r="U2063" t="s">
        <v>10</v>
      </c>
      <c r="V2063" s="5">
        <v>0</v>
      </c>
      <c r="W2063" s="5">
        <v>0</v>
      </c>
      <c r="X2063" s="2">
        <v>0</v>
      </c>
      <c r="Y2063" t="s">
        <v>4</v>
      </c>
      <c r="Z2063" t="s">
        <v>4</v>
      </c>
      <c r="AA2063" t="s">
        <v>4</v>
      </c>
      <c r="AB2063" t="s">
        <v>4</v>
      </c>
    </row>
    <row r="2064" spans="1:28" hidden="1" x14ac:dyDescent="0.2">
      <c r="A2064" t="s">
        <v>1337</v>
      </c>
      <c r="B2064" t="s">
        <v>2</v>
      </c>
      <c r="C2064" t="s">
        <v>3</v>
      </c>
      <c r="D2064" t="s">
        <v>4</v>
      </c>
      <c r="E2064" t="s">
        <v>4</v>
      </c>
      <c r="F2064" t="s">
        <v>208</v>
      </c>
      <c r="G2064" t="s">
        <v>209</v>
      </c>
      <c r="H2064" t="s">
        <v>5466</v>
      </c>
      <c r="I2064" s="2">
        <v>1350</v>
      </c>
      <c r="J2064" s="2">
        <v>0</v>
      </c>
      <c r="K2064" s="2">
        <v>0</v>
      </c>
      <c r="L2064" s="3">
        <v>45856</v>
      </c>
      <c r="M2064" s="3">
        <v>45856</v>
      </c>
      <c r="N2064" s="3">
        <v>45856</v>
      </c>
      <c r="O2064" t="s">
        <v>4</v>
      </c>
      <c r="P2064" t="s">
        <v>20</v>
      </c>
      <c r="Q2064" s="4">
        <v>0.53769675925925997</v>
      </c>
      <c r="R2064" t="s">
        <v>208</v>
      </c>
      <c r="S2064" t="s">
        <v>4</v>
      </c>
      <c r="T2064" t="s">
        <v>2260</v>
      </c>
      <c r="U2064" t="s">
        <v>10</v>
      </c>
      <c r="V2064" s="5">
        <v>0</v>
      </c>
      <c r="W2064" s="5">
        <v>0</v>
      </c>
      <c r="X2064" s="2">
        <v>0</v>
      </c>
      <c r="Y2064" t="s">
        <v>4</v>
      </c>
      <c r="Z2064" t="s">
        <v>4</v>
      </c>
      <c r="AA2064" t="s">
        <v>4</v>
      </c>
      <c r="AB2064" t="s">
        <v>4</v>
      </c>
    </row>
    <row r="2065" spans="1:28" hidden="1" x14ac:dyDescent="0.2">
      <c r="A2065" t="s">
        <v>2251</v>
      </c>
      <c r="B2065" t="s">
        <v>4</v>
      </c>
      <c r="C2065" t="s">
        <v>4</v>
      </c>
      <c r="D2065" t="s">
        <v>4</v>
      </c>
      <c r="E2065" t="s">
        <v>4</v>
      </c>
      <c r="F2065" t="s">
        <v>208</v>
      </c>
      <c r="G2065" t="s">
        <v>209</v>
      </c>
      <c r="H2065" t="s">
        <v>5467</v>
      </c>
      <c r="I2065" s="5">
        <v>0</v>
      </c>
      <c r="J2065" s="5">
        <v>0</v>
      </c>
      <c r="K2065" s="5">
        <v>0</v>
      </c>
      <c r="L2065" s="3"/>
      <c r="M2065" s="3"/>
      <c r="N2065" s="3"/>
      <c r="O2065" t="s">
        <v>4</v>
      </c>
      <c r="P2065" t="s">
        <v>9</v>
      </c>
      <c r="Q2065" s="4">
        <v>0.70400462962962995</v>
      </c>
      <c r="R2065" t="s">
        <v>4</v>
      </c>
      <c r="S2065" t="s">
        <v>4</v>
      </c>
      <c r="T2065" t="s">
        <v>2256</v>
      </c>
      <c r="U2065" t="s">
        <v>4</v>
      </c>
      <c r="V2065" s="5">
        <v>0</v>
      </c>
      <c r="W2065" s="5">
        <v>0</v>
      </c>
      <c r="X2065" s="2">
        <v>0</v>
      </c>
      <c r="Y2065" t="s">
        <v>4</v>
      </c>
      <c r="Z2065" t="s">
        <v>4</v>
      </c>
      <c r="AA2065" t="s">
        <v>4</v>
      </c>
      <c r="AB2065" t="s">
        <v>4</v>
      </c>
    </row>
    <row r="2066" spans="1:28" hidden="1" x14ac:dyDescent="0.2">
      <c r="A2066" t="s">
        <v>2251</v>
      </c>
      <c r="B2066" t="s">
        <v>4</v>
      </c>
      <c r="C2066" t="s">
        <v>4</v>
      </c>
      <c r="D2066" t="s">
        <v>4</v>
      </c>
      <c r="E2066" t="s">
        <v>4</v>
      </c>
      <c r="F2066" t="s">
        <v>208</v>
      </c>
      <c r="G2066" t="s">
        <v>209</v>
      </c>
      <c r="H2066" t="s">
        <v>5468</v>
      </c>
      <c r="I2066" s="5">
        <v>0</v>
      </c>
      <c r="J2066" s="5">
        <v>0</v>
      </c>
      <c r="K2066" s="5">
        <v>0</v>
      </c>
      <c r="L2066" s="3"/>
      <c r="M2066" s="3"/>
      <c r="N2066" s="3"/>
      <c r="O2066" t="s">
        <v>4</v>
      </c>
      <c r="P2066" t="s">
        <v>9</v>
      </c>
      <c r="Q2066" s="4">
        <v>0.66451388888888996</v>
      </c>
      <c r="R2066" t="s">
        <v>4</v>
      </c>
      <c r="S2066" t="s">
        <v>4</v>
      </c>
      <c r="T2066" t="s">
        <v>2256</v>
      </c>
      <c r="U2066" t="s">
        <v>4</v>
      </c>
      <c r="V2066" s="5">
        <v>0</v>
      </c>
      <c r="W2066" s="5">
        <v>0</v>
      </c>
      <c r="X2066" s="2">
        <v>0</v>
      </c>
      <c r="Y2066" t="s">
        <v>4</v>
      </c>
      <c r="Z2066" t="s">
        <v>4</v>
      </c>
      <c r="AA2066" t="s">
        <v>4</v>
      </c>
      <c r="AB2066" t="s">
        <v>4</v>
      </c>
    </row>
    <row r="2067" spans="1:28" hidden="1" x14ac:dyDescent="0.2">
      <c r="A2067" t="s">
        <v>1861</v>
      </c>
      <c r="B2067" t="s">
        <v>2</v>
      </c>
      <c r="C2067" t="s">
        <v>3</v>
      </c>
      <c r="D2067" t="s">
        <v>4</v>
      </c>
      <c r="E2067" t="s">
        <v>4</v>
      </c>
      <c r="F2067" t="s">
        <v>208</v>
      </c>
      <c r="G2067" t="s">
        <v>209</v>
      </c>
      <c r="H2067" t="s">
        <v>5469</v>
      </c>
      <c r="I2067" s="2">
        <v>2990</v>
      </c>
      <c r="J2067" s="2">
        <v>0</v>
      </c>
      <c r="K2067" s="2">
        <v>0</v>
      </c>
      <c r="L2067" s="3">
        <v>45850</v>
      </c>
      <c r="M2067" s="3">
        <v>45858</v>
      </c>
      <c r="N2067" s="3">
        <v>45850</v>
      </c>
      <c r="O2067" t="s">
        <v>4</v>
      </c>
      <c r="P2067" t="s">
        <v>20</v>
      </c>
      <c r="Q2067" s="4">
        <v>0.63167824074073997</v>
      </c>
      <c r="R2067" t="s">
        <v>208</v>
      </c>
      <c r="S2067" t="s">
        <v>4</v>
      </c>
      <c r="T2067" t="s">
        <v>2680</v>
      </c>
      <c r="U2067" t="s">
        <v>10</v>
      </c>
      <c r="V2067" s="5">
        <v>0</v>
      </c>
      <c r="W2067" s="5">
        <v>0</v>
      </c>
      <c r="X2067" s="2">
        <v>0</v>
      </c>
      <c r="Y2067" t="s">
        <v>4</v>
      </c>
      <c r="Z2067" t="s">
        <v>4</v>
      </c>
      <c r="AA2067" t="s">
        <v>4</v>
      </c>
      <c r="AB2067" t="s">
        <v>4</v>
      </c>
    </row>
    <row r="2068" spans="1:28" hidden="1" x14ac:dyDescent="0.2">
      <c r="A2068" t="s">
        <v>2076</v>
      </c>
      <c r="B2068" t="s">
        <v>2</v>
      </c>
      <c r="C2068" t="s">
        <v>3</v>
      </c>
      <c r="D2068" t="s">
        <v>4</v>
      </c>
      <c r="E2068" t="s">
        <v>4</v>
      </c>
      <c r="F2068" t="s">
        <v>208</v>
      </c>
      <c r="G2068" t="s">
        <v>209</v>
      </c>
      <c r="H2068" t="s">
        <v>5470</v>
      </c>
      <c r="I2068" s="2">
        <v>750</v>
      </c>
      <c r="J2068" s="2">
        <v>0</v>
      </c>
      <c r="K2068" s="2">
        <v>0</v>
      </c>
      <c r="L2068" s="3">
        <v>45858</v>
      </c>
      <c r="M2068" s="3">
        <v>45860</v>
      </c>
      <c r="N2068" s="3"/>
      <c r="O2068" t="s">
        <v>4</v>
      </c>
      <c r="P2068" t="s">
        <v>20</v>
      </c>
      <c r="Q2068" s="4">
        <v>0.47378472222222001</v>
      </c>
      <c r="R2068" t="s">
        <v>208</v>
      </c>
      <c r="S2068" t="s">
        <v>4</v>
      </c>
      <c r="T2068" t="s">
        <v>2337</v>
      </c>
      <c r="U2068" t="s">
        <v>10</v>
      </c>
      <c r="V2068" s="5">
        <v>0</v>
      </c>
      <c r="W2068" s="5">
        <v>0</v>
      </c>
      <c r="X2068" s="2">
        <v>0</v>
      </c>
      <c r="Y2068" t="s">
        <v>4</v>
      </c>
      <c r="Z2068" t="s">
        <v>4</v>
      </c>
      <c r="AA2068" t="s">
        <v>4</v>
      </c>
      <c r="AB2068" t="s">
        <v>4</v>
      </c>
    </row>
    <row r="2069" spans="1:28" hidden="1" x14ac:dyDescent="0.2">
      <c r="A2069" t="s">
        <v>2251</v>
      </c>
      <c r="B2069" t="s">
        <v>4</v>
      </c>
      <c r="C2069" t="s">
        <v>4</v>
      </c>
      <c r="D2069" t="s">
        <v>4</v>
      </c>
      <c r="E2069" t="s">
        <v>4</v>
      </c>
      <c r="F2069" t="s">
        <v>208</v>
      </c>
      <c r="G2069" t="s">
        <v>209</v>
      </c>
      <c r="H2069" t="s">
        <v>5471</v>
      </c>
      <c r="I2069" s="5">
        <v>0</v>
      </c>
      <c r="J2069" s="5">
        <v>0</v>
      </c>
      <c r="K2069" s="5">
        <v>0</v>
      </c>
      <c r="L2069" s="3"/>
      <c r="M2069" s="3"/>
      <c r="N2069" s="3"/>
      <c r="O2069" t="s">
        <v>4</v>
      </c>
      <c r="P2069" t="s">
        <v>9</v>
      </c>
      <c r="Q2069" s="4">
        <v>0.39164351851851997</v>
      </c>
      <c r="R2069" t="s">
        <v>4</v>
      </c>
      <c r="S2069" t="s">
        <v>4</v>
      </c>
      <c r="T2069" t="s">
        <v>2256</v>
      </c>
      <c r="U2069" t="s">
        <v>4</v>
      </c>
      <c r="V2069" s="5">
        <v>0</v>
      </c>
      <c r="W2069" s="5">
        <v>0</v>
      </c>
      <c r="X2069" s="2">
        <v>0</v>
      </c>
      <c r="Y2069" t="s">
        <v>4</v>
      </c>
      <c r="Z2069" t="s">
        <v>4</v>
      </c>
      <c r="AA2069" t="s">
        <v>4</v>
      </c>
      <c r="AB2069" t="s">
        <v>4</v>
      </c>
    </row>
    <row r="2070" spans="1:28" hidden="1" x14ac:dyDescent="0.2">
      <c r="A2070" t="s">
        <v>2251</v>
      </c>
      <c r="B2070" t="s">
        <v>4</v>
      </c>
      <c r="C2070" t="s">
        <v>4</v>
      </c>
      <c r="D2070" t="s">
        <v>4</v>
      </c>
      <c r="E2070" t="s">
        <v>4</v>
      </c>
      <c r="F2070" t="s">
        <v>208</v>
      </c>
      <c r="G2070" t="s">
        <v>209</v>
      </c>
      <c r="H2070" t="s">
        <v>5472</v>
      </c>
      <c r="I2070" s="5">
        <v>0</v>
      </c>
      <c r="J2070" s="5">
        <v>0</v>
      </c>
      <c r="K2070" s="5">
        <v>0</v>
      </c>
      <c r="L2070" s="3"/>
      <c r="M2070" s="3"/>
      <c r="N2070" s="3"/>
      <c r="O2070" t="s">
        <v>4</v>
      </c>
      <c r="P2070" t="s">
        <v>20</v>
      </c>
      <c r="Q2070" s="4">
        <v>0.39255787037036999</v>
      </c>
      <c r="R2070" t="s">
        <v>4</v>
      </c>
      <c r="S2070" t="s">
        <v>4</v>
      </c>
      <c r="T2070" t="s">
        <v>2256</v>
      </c>
      <c r="U2070" t="s">
        <v>4</v>
      </c>
      <c r="V2070" s="5">
        <v>0</v>
      </c>
      <c r="W2070" s="5">
        <v>0</v>
      </c>
      <c r="X2070" s="2">
        <v>0</v>
      </c>
      <c r="Y2070" t="s">
        <v>4</v>
      </c>
      <c r="Z2070" t="s">
        <v>4</v>
      </c>
      <c r="AA2070" t="s">
        <v>4</v>
      </c>
      <c r="AB2070" t="s">
        <v>4</v>
      </c>
    </row>
    <row r="2071" spans="1:28" hidden="1" x14ac:dyDescent="0.2">
      <c r="A2071" t="s">
        <v>665</v>
      </c>
      <c r="B2071" t="s">
        <v>2</v>
      </c>
      <c r="C2071" t="s">
        <v>3</v>
      </c>
      <c r="D2071" t="s">
        <v>4</v>
      </c>
      <c r="E2071" t="s">
        <v>4</v>
      </c>
      <c r="F2071" t="s">
        <v>208</v>
      </c>
      <c r="G2071" t="s">
        <v>209</v>
      </c>
      <c r="H2071" t="s">
        <v>5473</v>
      </c>
      <c r="I2071" s="2">
        <v>351</v>
      </c>
      <c r="J2071" s="2">
        <v>0</v>
      </c>
      <c r="K2071" s="2">
        <v>0</v>
      </c>
      <c r="L2071" s="3">
        <v>45831</v>
      </c>
      <c r="M2071" s="3">
        <v>45832</v>
      </c>
      <c r="N2071" s="3">
        <v>45832</v>
      </c>
      <c r="O2071" t="s">
        <v>4</v>
      </c>
      <c r="P2071" t="s">
        <v>20</v>
      </c>
      <c r="Q2071" s="4">
        <v>0.80431712962962998</v>
      </c>
      <c r="R2071" t="s">
        <v>208</v>
      </c>
      <c r="S2071" t="s">
        <v>4</v>
      </c>
      <c r="T2071" t="s">
        <v>3984</v>
      </c>
      <c r="U2071" t="s">
        <v>10</v>
      </c>
      <c r="V2071" s="5">
        <v>0</v>
      </c>
      <c r="W2071" s="5">
        <v>0</v>
      </c>
      <c r="X2071" s="2">
        <v>0</v>
      </c>
      <c r="Y2071" t="s">
        <v>4</v>
      </c>
      <c r="Z2071" t="s">
        <v>4</v>
      </c>
      <c r="AA2071" t="s">
        <v>4</v>
      </c>
      <c r="AB2071" t="s">
        <v>4</v>
      </c>
    </row>
    <row r="2072" spans="1:28" hidden="1" x14ac:dyDescent="0.2">
      <c r="A2072" t="s">
        <v>614</v>
      </c>
      <c r="B2072" t="s">
        <v>2</v>
      </c>
      <c r="C2072" t="s">
        <v>3</v>
      </c>
      <c r="D2072" t="s">
        <v>4</v>
      </c>
      <c r="E2072" t="s">
        <v>4</v>
      </c>
      <c r="F2072" t="s">
        <v>208</v>
      </c>
      <c r="G2072" t="s">
        <v>209</v>
      </c>
      <c r="H2072" t="s">
        <v>5474</v>
      </c>
      <c r="I2072" s="2">
        <v>526</v>
      </c>
      <c r="J2072" s="2">
        <v>0</v>
      </c>
      <c r="K2072" s="2">
        <v>0</v>
      </c>
      <c r="L2072" s="3">
        <v>45670</v>
      </c>
      <c r="M2072" s="3">
        <v>45728</v>
      </c>
      <c r="N2072" s="3"/>
      <c r="O2072" t="s">
        <v>4</v>
      </c>
      <c r="P2072" t="s">
        <v>20</v>
      </c>
      <c r="Q2072" s="4">
        <v>0.92302083333332996</v>
      </c>
      <c r="R2072" t="s">
        <v>208</v>
      </c>
      <c r="S2072" t="s">
        <v>4</v>
      </c>
      <c r="T2072" t="s">
        <v>2977</v>
      </c>
      <c r="U2072" t="s">
        <v>10</v>
      </c>
      <c r="V2072" s="5">
        <v>0</v>
      </c>
      <c r="W2072" s="5">
        <v>0</v>
      </c>
      <c r="X2072" s="2">
        <v>0</v>
      </c>
      <c r="Y2072" t="s">
        <v>4</v>
      </c>
      <c r="Z2072" t="s">
        <v>4</v>
      </c>
      <c r="AA2072" t="s">
        <v>4</v>
      </c>
      <c r="AB2072" t="s">
        <v>4</v>
      </c>
    </row>
    <row r="2073" spans="1:28" hidden="1" x14ac:dyDescent="0.2">
      <c r="A2073" t="s">
        <v>2251</v>
      </c>
      <c r="B2073" t="s">
        <v>4</v>
      </c>
      <c r="C2073" t="s">
        <v>4</v>
      </c>
      <c r="D2073" t="s">
        <v>4</v>
      </c>
      <c r="E2073" t="s">
        <v>4</v>
      </c>
      <c r="F2073" t="s">
        <v>208</v>
      </c>
      <c r="G2073" t="s">
        <v>209</v>
      </c>
      <c r="H2073" t="s">
        <v>5475</v>
      </c>
      <c r="I2073" s="5">
        <v>0</v>
      </c>
      <c r="J2073" s="5">
        <v>0</v>
      </c>
      <c r="K2073" s="5">
        <v>0</v>
      </c>
      <c r="L2073" s="3"/>
      <c r="M2073" s="3"/>
      <c r="N2073" s="3"/>
      <c r="O2073" t="s">
        <v>4</v>
      </c>
      <c r="P2073" t="s">
        <v>9</v>
      </c>
      <c r="Q2073" s="4">
        <v>0.72938657407407004</v>
      </c>
      <c r="R2073" t="s">
        <v>4</v>
      </c>
      <c r="S2073" t="s">
        <v>4</v>
      </c>
      <c r="T2073" t="s">
        <v>2256</v>
      </c>
      <c r="U2073" t="s">
        <v>4</v>
      </c>
      <c r="V2073" s="5">
        <v>0</v>
      </c>
      <c r="W2073" s="5">
        <v>0</v>
      </c>
      <c r="X2073" s="2">
        <v>0</v>
      </c>
      <c r="Y2073" t="s">
        <v>4</v>
      </c>
      <c r="Z2073" t="s">
        <v>4</v>
      </c>
      <c r="AA2073" t="s">
        <v>4</v>
      </c>
      <c r="AB2073" t="s">
        <v>4</v>
      </c>
    </row>
    <row r="2074" spans="1:28" hidden="1" x14ac:dyDescent="0.2">
      <c r="A2074" t="s">
        <v>2251</v>
      </c>
      <c r="B2074" t="s">
        <v>4</v>
      </c>
      <c r="C2074" t="s">
        <v>4</v>
      </c>
      <c r="D2074" t="s">
        <v>4</v>
      </c>
      <c r="E2074" t="s">
        <v>4</v>
      </c>
      <c r="F2074" t="s">
        <v>208</v>
      </c>
      <c r="G2074" t="s">
        <v>209</v>
      </c>
      <c r="H2074" t="s">
        <v>5476</v>
      </c>
      <c r="I2074" s="5">
        <v>0</v>
      </c>
      <c r="J2074" s="5">
        <v>0</v>
      </c>
      <c r="K2074" s="5">
        <v>0</v>
      </c>
      <c r="L2074" s="3"/>
      <c r="M2074" s="3"/>
      <c r="N2074" s="3"/>
      <c r="O2074" t="s">
        <v>4</v>
      </c>
      <c r="P2074" t="s">
        <v>9</v>
      </c>
      <c r="Q2074" s="4">
        <v>0.56765046296295996</v>
      </c>
      <c r="R2074" t="s">
        <v>4</v>
      </c>
      <c r="S2074" t="s">
        <v>4</v>
      </c>
      <c r="T2074" t="s">
        <v>2256</v>
      </c>
      <c r="U2074" t="s">
        <v>4</v>
      </c>
      <c r="V2074" s="5">
        <v>0</v>
      </c>
      <c r="W2074" s="5">
        <v>0</v>
      </c>
      <c r="X2074" s="2">
        <v>0</v>
      </c>
      <c r="Y2074" t="s">
        <v>4</v>
      </c>
      <c r="Z2074" t="s">
        <v>4</v>
      </c>
      <c r="AA2074" t="s">
        <v>4</v>
      </c>
      <c r="AB2074" t="s">
        <v>4</v>
      </c>
    </row>
    <row r="2075" spans="1:28" hidden="1" x14ac:dyDescent="0.2">
      <c r="A2075" t="s">
        <v>1884</v>
      </c>
      <c r="B2075" t="s">
        <v>2</v>
      </c>
      <c r="C2075" t="s">
        <v>3</v>
      </c>
      <c r="D2075" t="s">
        <v>4</v>
      </c>
      <c r="E2075" t="s">
        <v>4</v>
      </c>
      <c r="F2075" t="s">
        <v>208</v>
      </c>
      <c r="G2075" t="s">
        <v>209</v>
      </c>
      <c r="H2075" t="s">
        <v>5477</v>
      </c>
      <c r="I2075" s="2">
        <v>1824</v>
      </c>
      <c r="J2075" s="2">
        <v>0</v>
      </c>
      <c r="K2075" s="2">
        <v>0</v>
      </c>
      <c r="L2075" s="3">
        <v>45857</v>
      </c>
      <c r="M2075" s="3">
        <v>45859</v>
      </c>
      <c r="N2075" s="3"/>
      <c r="O2075" t="s">
        <v>4</v>
      </c>
      <c r="P2075" t="s">
        <v>20</v>
      </c>
      <c r="Q2075" s="4">
        <v>0.54232638888888995</v>
      </c>
      <c r="R2075" t="s">
        <v>208</v>
      </c>
      <c r="S2075" t="s">
        <v>4</v>
      </c>
      <c r="T2075" t="s">
        <v>2262</v>
      </c>
      <c r="U2075" t="s">
        <v>10</v>
      </c>
      <c r="V2075" s="5">
        <v>0</v>
      </c>
      <c r="W2075" s="5">
        <v>0</v>
      </c>
      <c r="X2075" s="2">
        <v>0</v>
      </c>
      <c r="Y2075" t="s">
        <v>4</v>
      </c>
      <c r="Z2075" t="s">
        <v>4</v>
      </c>
      <c r="AA2075" t="s">
        <v>4</v>
      </c>
      <c r="AB2075" t="s">
        <v>4</v>
      </c>
    </row>
    <row r="2076" spans="1:28" hidden="1" x14ac:dyDescent="0.2">
      <c r="A2076" t="s">
        <v>975</v>
      </c>
      <c r="B2076" t="s">
        <v>2</v>
      </c>
      <c r="C2076" t="s">
        <v>3</v>
      </c>
      <c r="D2076" t="s">
        <v>4</v>
      </c>
      <c r="E2076" t="s">
        <v>4</v>
      </c>
      <c r="F2076" t="s">
        <v>208</v>
      </c>
      <c r="G2076" t="s">
        <v>209</v>
      </c>
      <c r="H2076" t="s">
        <v>5478</v>
      </c>
      <c r="I2076" s="2">
        <v>10180</v>
      </c>
      <c r="J2076" s="2">
        <v>0</v>
      </c>
      <c r="K2076" s="2">
        <v>0</v>
      </c>
      <c r="L2076" s="3">
        <v>45848</v>
      </c>
      <c r="M2076" s="3">
        <v>45859</v>
      </c>
      <c r="N2076" s="3">
        <v>45856</v>
      </c>
      <c r="O2076" t="s">
        <v>4</v>
      </c>
      <c r="P2076" t="s">
        <v>20</v>
      </c>
      <c r="Q2076" s="4">
        <v>0.67696759259258998</v>
      </c>
      <c r="R2076" t="s">
        <v>208</v>
      </c>
      <c r="S2076" t="s">
        <v>4</v>
      </c>
      <c r="T2076" t="s">
        <v>2580</v>
      </c>
      <c r="U2076" t="s">
        <v>10</v>
      </c>
      <c r="V2076" s="5">
        <v>0</v>
      </c>
      <c r="W2076" s="5">
        <v>0</v>
      </c>
      <c r="X2076" s="2">
        <v>0</v>
      </c>
      <c r="Y2076" t="s">
        <v>4</v>
      </c>
      <c r="Z2076" t="s">
        <v>4</v>
      </c>
      <c r="AA2076" t="s">
        <v>4</v>
      </c>
      <c r="AB2076" t="s">
        <v>4</v>
      </c>
    </row>
    <row r="2077" spans="1:28" hidden="1" x14ac:dyDescent="0.2">
      <c r="A2077" t="s">
        <v>2092</v>
      </c>
      <c r="B2077" t="s">
        <v>2</v>
      </c>
      <c r="C2077" t="s">
        <v>3</v>
      </c>
      <c r="D2077" t="s">
        <v>4</v>
      </c>
      <c r="E2077" t="s">
        <v>4</v>
      </c>
      <c r="F2077" t="s">
        <v>208</v>
      </c>
      <c r="G2077" t="s">
        <v>209</v>
      </c>
      <c r="H2077" t="s">
        <v>5479</v>
      </c>
      <c r="I2077" s="2">
        <v>4000</v>
      </c>
      <c r="J2077" s="2">
        <v>0</v>
      </c>
      <c r="K2077" s="2">
        <v>0</v>
      </c>
      <c r="L2077" s="3">
        <v>45859</v>
      </c>
      <c r="M2077" s="3">
        <v>45860</v>
      </c>
      <c r="N2077" s="3"/>
      <c r="O2077" t="s">
        <v>4</v>
      </c>
      <c r="P2077" t="s">
        <v>20</v>
      </c>
      <c r="Q2077" s="4">
        <v>0.33615740740741001</v>
      </c>
      <c r="R2077" t="s">
        <v>208</v>
      </c>
      <c r="S2077" t="s">
        <v>4</v>
      </c>
      <c r="T2077" t="s">
        <v>2261</v>
      </c>
      <c r="U2077" t="s">
        <v>10</v>
      </c>
      <c r="V2077" s="5">
        <v>0</v>
      </c>
      <c r="W2077" s="5">
        <v>0</v>
      </c>
      <c r="X2077" s="2">
        <v>0</v>
      </c>
      <c r="Y2077" t="s">
        <v>4</v>
      </c>
      <c r="Z2077" t="s">
        <v>4</v>
      </c>
      <c r="AA2077" t="s">
        <v>4</v>
      </c>
      <c r="AB2077" t="s">
        <v>4</v>
      </c>
    </row>
    <row r="2078" spans="1:28" hidden="1" x14ac:dyDescent="0.2">
      <c r="A2078" t="s">
        <v>2251</v>
      </c>
      <c r="B2078" t="s">
        <v>4</v>
      </c>
      <c r="C2078" t="s">
        <v>4</v>
      </c>
      <c r="D2078" t="s">
        <v>4</v>
      </c>
      <c r="E2078" t="s">
        <v>4</v>
      </c>
      <c r="F2078" t="s">
        <v>208</v>
      </c>
      <c r="G2078" t="s">
        <v>209</v>
      </c>
      <c r="H2078" t="s">
        <v>5480</v>
      </c>
      <c r="I2078" s="5">
        <v>0</v>
      </c>
      <c r="J2078" s="5">
        <v>0</v>
      </c>
      <c r="K2078" s="5">
        <v>0</v>
      </c>
      <c r="L2078" s="3"/>
      <c r="M2078" s="3"/>
      <c r="N2078" s="3"/>
      <c r="O2078" t="s">
        <v>4</v>
      </c>
      <c r="P2078" t="s">
        <v>20</v>
      </c>
      <c r="Q2078" s="4">
        <v>0.92333333333333001</v>
      </c>
      <c r="R2078" t="s">
        <v>4</v>
      </c>
      <c r="S2078" t="s">
        <v>4</v>
      </c>
      <c r="T2078" t="s">
        <v>2256</v>
      </c>
      <c r="U2078" t="s">
        <v>4</v>
      </c>
      <c r="V2078" s="5">
        <v>0</v>
      </c>
      <c r="W2078" s="5">
        <v>0</v>
      </c>
      <c r="X2078" s="2">
        <v>0</v>
      </c>
      <c r="Y2078" t="s">
        <v>4</v>
      </c>
      <c r="Z2078" t="s">
        <v>4</v>
      </c>
      <c r="AA2078" t="s">
        <v>4</v>
      </c>
      <c r="AB2078" t="s">
        <v>4</v>
      </c>
    </row>
    <row r="2079" spans="1:28" hidden="1" x14ac:dyDescent="0.2">
      <c r="A2079" t="s">
        <v>2251</v>
      </c>
      <c r="B2079" t="s">
        <v>4</v>
      </c>
      <c r="C2079" t="s">
        <v>4</v>
      </c>
      <c r="D2079" t="s">
        <v>4</v>
      </c>
      <c r="E2079" t="s">
        <v>4</v>
      </c>
      <c r="F2079" t="s">
        <v>208</v>
      </c>
      <c r="G2079" t="s">
        <v>209</v>
      </c>
      <c r="H2079" t="s">
        <v>5481</v>
      </c>
      <c r="I2079" s="5">
        <v>0</v>
      </c>
      <c r="J2079" s="5">
        <v>0</v>
      </c>
      <c r="K2079" s="5">
        <v>0</v>
      </c>
      <c r="L2079" s="3"/>
      <c r="M2079" s="3"/>
      <c r="N2079" s="3"/>
      <c r="O2079" t="s">
        <v>4</v>
      </c>
      <c r="P2079" t="s">
        <v>20</v>
      </c>
      <c r="Q2079" s="4">
        <v>0.54350694444444003</v>
      </c>
      <c r="R2079" t="s">
        <v>4</v>
      </c>
      <c r="S2079" t="s">
        <v>4</v>
      </c>
      <c r="T2079" t="s">
        <v>2256</v>
      </c>
      <c r="U2079" t="s">
        <v>4</v>
      </c>
      <c r="V2079" s="5">
        <v>0</v>
      </c>
      <c r="W2079" s="5">
        <v>0</v>
      </c>
      <c r="X2079" s="2">
        <v>0</v>
      </c>
      <c r="Y2079" t="s">
        <v>4</v>
      </c>
      <c r="Z2079" t="s">
        <v>4</v>
      </c>
      <c r="AA2079" t="s">
        <v>4</v>
      </c>
      <c r="AB2079" t="s">
        <v>4</v>
      </c>
    </row>
    <row r="2080" spans="1:28" hidden="1" x14ac:dyDescent="0.2">
      <c r="A2080" t="s">
        <v>2251</v>
      </c>
      <c r="B2080" t="s">
        <v>4</v>
      </c>
      <c r="C2080" t="s">
        <v>4</v>
      </c>
      <c r="D2080" t="s">
        <v>4</v>
      </c>
      <c r="E2080" t="s">
        <v>4</v>
      </c>
      <c r="F2080" t="s">
        <v>208</v>
      </c>
      <c r="G2080" t="s">
        <v>209</v>
      </c>
      <c r="H2080" t="s">
        <v>5482</v>
      </c>
      <c r="I2080" s="5">
        <v>0</v>
      </c>
      <c r="J2080" s="5">
        <v>0</v>
      </c>
      <c r="K2080" s="5">
        <v>0</v>
      </c>
      <c r="L2080" s="3"/>
      <c r="M2080" s="3"/>
      <c r="N2080" s="3"/>
      <c r="O2080" t="s">
        <v>4</v>
      </c>
      <c r="P2080" t="s">
        <v>20</v>
      </c>
      <c r="Q2080" s="4">
        <v>0.54692129629630004</v>
      </c>
      <c r="R2080" t="s">
        <v>4</v>
      </c>
      <c r="S2080" t="s">
        <v>4</v>
      </c>
      <c r="T2080" t="s">
        <v>2256</v>
      </c>
      <c r="U2080" t="s">
        <v>4</v>
      </c>
      <c r="V2080" s="5">
        <v>0</v>
      </c>
      <c r="W2080" s="5">
        <v>0</v>
      </c>
      <c r="X2080" s="2">
        <v>0</v>
      </c>
      <c r="Y2080" t="s">
        <v>4</v>
      </c>
      <c r="Z2080" t="s">
        <v>4</v>
      </c>
      <c r="AA2080" t="s">
        <v>4</v>
      </c>
      <c r="AB2080" t="s">
        <v>4</v>
      </c>
    </row>
    <row r="2081" spans="1:28" hidden="1" x14ac:dyDescent="0.2">
      <c r="A2081" t="s">
        <v>2030</v>
      </c>
      <c r="B2081" t="s">
        <v>2</v>
      </c>
      <c r="C2081" t="s">
        <v>3</v>
      </c>
      <c r="D2081" t="s">
        <v>4</v>
      </c>
      <c r="E2081" t="s">
        <v>4</v>
      </c>
      <c r="F2081" t="s">
        <v>208</v>
      </c>
      <c r="G2081" t="s">
        <v>209</v>
      </c>
      <c r="H2081" t="s">
        <v>5483</v>
      </c>
      <c r="I2081" s="2">
        <v>420</v>
      </c>
      <c r="J2081" s="2">
        <v>0</v>
      </c>
      <c r="K2081" s="2">
        <v>0</v>
      </c>
      <c r="L2081" s="3">
        <v>45856</v>
      </c>
      <c r="M2081" s="3">
        <v>45858</v>
      </c>
      <c r="N2081" s="3"/>
      <c r="O2081" t="s">
        <v>4</v>
      </c>
      <c r="P2081" t="s">
        <v>9</v>
      </c>
      <c r="Q2081" s="4">
        <v>0.66934027777778005</v>
      </c>
      <c r="R2081" t="s">
        <v>208</v>
      </c>
      <c r="S2081" t="s">
        <v>4</v>
      </c>
      <c r="T2081" t="s">
        <v>2260</v>
      </c>
      <c r="U2081" t="s">
        <v>10</v>
      </c>
      <c r="V2081" s="5">
        <v>0</v>
      </c>
      <c r="W2081" s="5">
        <v>0</v>
      </c>
      <c r="X2081" s="2">
        <v>0</v>
      </c>
      <c r="Y2081" t="s">
        <v>4</v>
      </c>
      <c r="Z2081" t="s">
        <v>4</v>
      </c>
      <c r="AA2081" t="s">
        <v>4</v>
      </c>
      <c r="AB2081" t="s">
        <v>4</v>
      </c>
    </row>
    <row r="2082" spans="1:28" hidden="1" x14ac:dyDescent="0.2">
      <c r="A2082" t="s">
        <v>268</v>
      </c>
      <c r="B2082" t="s">
        <v>2</v>
      </c>
      <c r="C2082" t="s">
        <v>3</v>
      </c>
      <c r="D2082" t="s">
        <v>4</v>
      </c>
      <c r="E2082" t="s">
        <v>4</v>
      </c>
      <c r="F2082" t="s">
        <v>208</v>
      </c>
      <c r="G2082" t="s">
        <v>209</v>
      </c>
      <c r="H2082" t="s">
        <v>5484</v>
      </c>
      <c r="I2082" s="2">
        <v>328</v>
      </c>
      <c r="J2082" s="2">
        <v>902</v>
      </c>
      <c r="K2082" s="2">
        <v>902</v>
      </c>
      <c r="L2082" s="3">
        <v>45859</v>
      </c>
      <c r="M2082" s="3">
        <v>45860</v>
      </c>
      <c r="N2082" s="3">
        <v>45859</v>
      </c>
      <c r="O2082" t="s">
        <v>4</v>
      </c>
      <c r="P2082" t="s">
        <v>9</v>
      </c>
      <c r="Q2082" s="4">
        <v>0.45267361111110999</v>
      </c>
      <c r="R2082" t="s">
        <v>208</v>
      </c>
      <c r="S2082" t="s">
        <v>4</v>
      </c>
      <c r="T2082" t="s">
        <v>2261</v>
      </c>
      <c r="U2082" t="s">
        <v>10</v>
      </c>
      <c r="V2082" s="5">
        <v>0</v>
      </c>
      <c r="W2082" s="5">
        <v>0</v>
      </c>
      <c r="X2082" s="2">
        <v>0</v>
      </c>
      <c r="Y2082" t="s">
        <v>4</v>
      </c>
      <c r="Z2082" t="s">
        <v>4</v>
      </c>
      <c r="AA2082" t="s">
        <v>4</v>
      </c>
      <c r="AB2082" t="s">
        <v>4</v>
      </c>
    </row>
    <row r="2083" spans="1:28" hidden="1" x14ac:dyDescent="0.2">
      <c r="A2083" t="s">
        <v>1359</v>
      </c>
      <c r="B2083" t="s">
        <v>2</v>
      </c>
      <c r="C2083" t="s">
        <v>3</v>
      </c>
      <c r="D2083" t="s">
        <v>4</v>
      </c>
      <c r="E2083" t="s">
        <v>4</v>
      </c>
      <c r="F2083" t="s">
        <v>208</v>
      </c>
      <c r="G2083" t="s">
        <v>209</v>
      </c>
      <c r="H2083" t="s">
        <v>5485</v>
      </c>
      <c r="I2083" s="2">
        <v>1500</v>
      </c>
      <c r="J2083" s="2">
        <v>0</v>
      </c>
      <c r="K2083" s="2">
        <v>0</v>
      </c>
      <c r="L2083" s="3">
        <v>45858</v>
      </c>
      <c r="M2083" s="3">
        <v>45860</v>
      </c>
      <c r="N2083" s="3">
        <v>45858</v>
      </c>
      <c r="O2083" t="s">
        <v>4</v>
      </c>
      <c r="P2083" t="s">
        <v>20</v>
      </c>
      <c r="Q2083" s="4">
        <v>0.33878472222222</v>
      </c>
      <c r="R2083" t="s">
        <v>208</v>
      </c>
      <c r="S2083" t="s">
        <v>4</v>
      </c>
      <c r="T2083" t="s">
        <v>2337</v>
      </c>
      <c r="U2083" t="s">
        <v>10</v>
      </c>
      <c r="V2083" s="5">
        <v>0</v>
      </c>
      <c r="W2083" s="5">
        <v>0</v>
      </c>
      <c r="X2083" s="2">
        <v>0</v>
      </c>
      <c r="Y2083" t="s">
        <v>4</v>
      </c>
      <c r="Z2083" t="s">
        <v>4</v>
      </c>
      <c r="AA2083" t="s">
        <v>4</v>
      </c>
      <c r="AB2083" t="s">
        <v>4</v>
      </c>
    </row>
    <row r="2084" spans="1:28" hidden="1" x14ac:dyDescent="0.2">
      <c r="A2084" t="s">
        <v>389</v>
      </c>
      <c r="B2084" t="s">
        <v>2</v>
      </c>
      <c r="C2084" t="s">
        <v>3</v>
      </c>
      <c r="D2084" t="s">
        <v>4</v>
      </c>
      <c r="E2084" t="s">
        <v>4</v>
      </c>
      <c r="F2084" t="s">
        <v>208</v>
      </c>
      <c r="G2084" t="s">
        <v>209</v>
      </c>
      <c r="H2084" t="s">
        <v>5486</v>
      </c>
      <c r="I2084" s="2">
        <v>753</v>
      </c>
      <c r="J2084" s="2">
        <v>0</v>
      </c>
      <c r="K2084" s="2">
        <v>0</v>
      </c>
      <c r="L2084" s="3">
        <v>45858</v>
      </c>
      <c r="M2084" s="3">
        <v>45858</v>
      </c>
      <c r="N2084" s="3">
        <v>45858</v>
      </c>
      <c r="O2084" t="s">
        <v>4</v>
      </c>
      <c r="P2084" t="s">
        <v>20</v>
      </c>
      <c r="Q2084" s="4">
        <v>0.56054398148147999</v>
      </c>
      <c r="R2084" t="s">
        <v>208</v>
      </c>
      <c r="S2084" t="s">
        <v>4</v>
      </c>
      <c r="T2084" t="s">
        <v>2337</v>
      </c>
      <c r="U2084" t="s">
        <v>10</v>
      </c>
      <c r="V2084" s="5">
        <v>0</v>
      </c>
      <c r="W2084" s="5">
        <v>0</v>
      </c>
      <c r="X2084" s="2">
        <v>0</v>
      </c>
      <c r="Y2084" t="s">
        <v>4</v>
      </c>
      <c r="Z2084" t="s">
        <v>4</v>
      </c>
      <c r="AA2084" t="s">
        <v>4</v>
      </c>
      <c r="AB2084" t="s">
        <v>4</v>
      </c>
    </row>
    <row r="2085" spans="1:28" hidden="1" x14ac:dyDescent="0.2">
      <c r="A2085" t="s">
        <v>1175</v>
      </c>
      <c r="B2085" t="s">
        <v>2</v>
      </c>
      <c r="C2085" t="s">
        <v>3</v>
      </c>
      <c r="D2085" t="s">
        <v>4</v>
      </c>
      <c r="E2085" t="s">
        <v>4</v>
      </c>
      <c r="F2085" t="s">
        <v>208</v>
      </c>
      <c r="G2085" t="s">
        <v>209</v>
      </c>
      <c r="H2085" t="s">
        <v>5487</v>
      </c>
      <c r="I2085" s="2">
        <v>763</v>
      </c>
      <c r="J2085" s="2">
        <v>0</v>
      </c>
      <c r="K2085" s="2">
        <v>0</v>
      </c>
      <c r="L2085" s="3">
        <v>45852</v>
      </c>
      <c r="M2085" s="3">
        <v>45852</v>
      </c>
      <c r="N2085" s="3"/>
      <c r="O2085" t="s">
        <v>4</v>
      </c>
      <c r="P2085" t="s">
        <v>20</v>
      </c>
      <c r="Q2085" s="4">
        <v>0.4252662037037</v>
      </c>
      <c r="R2085" t="s">
        <v>208</v>
      </c>
      <c r="S2085" t="s">
        <v>4</v>
      </c>
      <c r="T2085" t="s">
        <v>2669</v>
      </c>
      <c r="U2085" t="s">
        <v>10</v>
      </c>
      <c r="V2085" s="5">
        <v>0</v>
      </c>
      <c r="W2085" s="5">
        <v>0</v>
      </c>
      <c r="X2085" s="2">
        <v>0</v>
      </c>
      <c r="Y2085" t="s">
        <v>4</v>
      </c>
      <c r="Z2085" t="s">
        <v>4</v>
      </c>
      <c r="AA2085" t="s">
        <v>4</v>
      </c>
      <c r="AB2085" t="s">
        <v>4</v>
      </c>
    </row>
    <row r="2086" spans="1:28" hidden="1" x14ac:dyDescent="0.2">
      <c r="A2086" t="s">
        <v>1178</v>
      </c>
      <c r="B2086" t="s">
        <v>2</v>
      </c>
      <c r="C2086" t="s">
        <v>3</v>
      </c>
      <c r="D2086" t="s">
        <v>4</v>
      </c>
      <c r="E2086" t="s">
        <v>4</v>
      </c>
      <c r="F2086" t="s">
        <v>208</v>
      </c>
      <c r="G2086" t="s">
        <v>209</v>
      </c>
      <c r="H2086" t="s">
        <v>5488</v>
      </c>
      <c r="I2086" s="2">
        <v>1200</v>
      </c>
      <c r="J2086" s="2">
        <v>0</v>
      </c>
      <c r="K2086" s="2">
        <v>0</v>
      </c>
      <c r="L2086" s="3">
        <v>45797</v>
      </c>
      <c r="M2086" s="3">
        <v>45852</v>
      </c>
      <c r="N2086" s="3">
        <v>45851</v>
      </c>
      <c r="O2086" t="s">
        <v>4</v>
      </c>
      <c r="P2086" t="s">
        <v>20</v>
      </c>
      <c r="Q2086" s="4">
        <v>0.35353009259259</v>
      </c>
      <c r="R2086" t="s">
        <v>208</v>
      </c>
      <c r="S2086" t="s">
        <v>4</v>
      </c>
      <c r="T2086" t="s">
        <v>5489</v>
      </c>
      <c r="U2086" t="s">
        <v>10</v>
      </c>
      <c r="V2086" s="5">
        <v>0</v>
      </c>
      <c r="W2086" s="5">
        <v>0</v>
      </c>
      <c r="X2086" s="2">
        <v>0</v>
      </c>
      <c r="Y2086" t="s">
        <v>4</v>
      </c>
      <c r="Z2086" t="s">
        <v>4</v>
      </c>
      <c r="AA2086" t="s">
        <v>4</v>
      </c>
      <c r="AB2086" t="s">
        <v>4</v>
      </c>
    </row>
    <row r="2087" spans="1:28" hidden="1" x14ac:dyDescent="0.2">
      <c r="A2087" t="s">
        <v>623</v>
      </c>
      <c r="B2087" t="s">
        <v>2</v>
      </c>
      <c r="C2087" t="s">
        <v>3</v>
      </c>
      <c r="D2087" t="s">
        <v>4</v>
      </c>
      <c r="E2087" t="s">
        <v>4</v>
      </c>
      <c r="F2087" t="s">
        <v>208</v>
      </c>
      <c r="G2087" t="s">
        <v>209</v>
      </c>
      <c r="H2087" t="s">
        <v>5490</v>
      </c>
      <c r="I2087" s="2">
        <v>4620</v>
      </c>
      <c r="J2087" s="2">
        <v>0</v>
      </c>
      <c r="K2087" s="2">
        <v>0</v>
      </c>
      <c r="L2087" s="3">
        <v>45858</v>
      </c>
      <c r="M2087" s="3">
        <v>45860</v>
      </c>
      <c r="N2087" s="3"/>
      <c r="O2087" t="s">
        <v>4</v>
      </c>
      <c r="P2087" t="s">
        <v>20</v>
      </c>
      <c r="Q2087" s="4">
        <v>0.33615740740741001</v>
      </c>
      <c r="R2087" t="s">
        <v>208</v>
      </c>
      <c r="S2087" t="s">
        <v>4</v>
      </c>
      <c r="T2087" t="s">
        <v>2337</v>
      </c>
      <c r="U2087" t="s">
        <v>10</v>
      </c>
      <c r="V2087" s="5">
        <v>0</v>
      </c>
      <c r="W2087" s="5">
        <v>0</v>
      </c>
      <c r="X2087" s="2">
        <v>0</v>
      </c>
      <c r="Y2087" t="s">
        <v>4</v>
      </c>
      <c r="Z2087" t="s">
        <v>4</v>
      </c>
      <c r="AA2087" t="s">
        <v>4</v>
      </c>
      <c r="AB2087" t="s">
        <v>4</v>
      </c>
    </row>
    <row r="2088" spans="1:28" hidden="1" x14ac:dyDescent="0.2">
      <c r="A2088" t="s">
        <v>2251</v>
      </c>
      <c r="B2088" t="s">
        <v>4</v>
      </c>
      <c r="C2088" t="s">
        <v>4</v>
      </c>
      <c r="D2088" t="s">
        <v>4</v>
      </c>
      <c r="E2088" t="s">
        <v>4</v>
      </c>
      <c r="F2088" t="s">
        <v>208</v>
      </c>
      <c r="G2088" t="s">
        <v>209</v>
      </c>
      <c r="H2088" t="s">
        <v>5491</v>
      </c>
      <c r="I2088" s="5">
        <v>0</v>
      </c>
      <c r="J2088" s="5">
        <v>0</v>
      </c>
      <c r="K2088" s="5">
        <v>0</v>
      </c>
      <c r="L2088" s="3"/>
      <c r="M2088" s="3"/>
      <c r="N2088" s="3"/>
      <c r="O2088" t="s">
        <v>4</v>
      </c>
      <c r="P2088" t="s">
        <v>20</v>
      </c>
      <c r="Q2088" s="4">
        <v>0.54777777777778003</v>
      </c>
      <c r="R2088" t="s">
        <v>4</v>
      </c>
      <c r="S2088" t="s">
        <v>4</v>
      </c>
      <c r="T2088" t="s">
        <v>2256</v>
      </c>
      <c r="U2088" t="s">
        <v>4</v>
      </c>
      <c r="V2088" s="5">
        <v>0</v>
      </c>
      <c r="W2088" s="5">
        <v>0</v>
      </c>
      <c r="X2088" s="2">
        <v>0</v>
      </c>
      <c r="Y2088" t="s">
        <v>4</v>
      </c>
      <c r="Z2088" t="s">
        <v>4</v>
      </c>
      <c r="AA2088" t="s">
        <v>4</v>
      </c>
      <c r="AB2088" t="s">
        <v>4</v>
      </c>
    </row>
    <row r="2089" spans="1:28" hidden="1" x14ac:dyDescent="0.2">
      <c r="A2089" t="s">
        <v>822</v>
      </c>
      <c r="B2089" t="s">
        <v>2</v>
      </c>
      <c r="C2089" t="s">
        <v>3</v>
      </c>
      <c r="D2089" t="s">
        <v>4</v>
      </c>
      <c r="E2089" t="s">
        <v>4</v>
      </c>
      <c r="F2089" t="s">
        <v>208</v>
      </c>
      <c r="G2089" t="s">
        <v>209</v>
      </c>
      <c r="H2089" t="s">
        <v>5492</v>
      </c>
      <c r="I2089" s="2">
        <v>1080</v>
      </c>
      <c r="J2089" s="2">
        <v>0</v>
      </c>
      <c r="K2089" s="2">
        <v>0</v>
      </c>
      <c r="L2089" s="3">
        <v>45858</v>
      </c>
      <c r="M2089" s="3">
        <v>45860</v>
      </c>
      <c r="N2089" s="3">
        <v>45859</v>
      </c>
      <c r="O2089" t="s">
        <v>4</v>
      </c>
      <c r="P2089" t="s">
        <v>20</v>
      </c>
      <c r="Q2089" s="4">
        <v>0.45567129629629999</v>
      </c>
      <c r="R2089" t="s">
        <v>208</v>
      </c>
      <c r="S2089" t="s">
        <v>4</v>
      </c>
      <c r="T2089" t="s">
        <v>2337</v>
      </c>
      <c r="U2089" t="s">
        <v>10</v>
      </c>
      <c r="V2089" s="5">
        <v>0</v>
      </c>
      <c r="W2089" s="5">
        <v>0</v>
      </c>
      <c r="X2089" s="2">
        <v>0</v>
      </c>
      <c r="Y2089" t="s">
        <v>4</v>
      </c>
      <c r="Z2089" t="s">
        <v>4</v>
      </c>
      <c r="AA2089" t="s">
        <v>4</v>
      </c>
      <c r="AB2089" t="s">
        <v>4</v>
      </c>
    </row>
    <row r="2090" spans="1:28" hidden="1" x14ac:dyDescent="0.2">
      <c r="A2090" t="s">
        <v>296</v>
      </c>
      <c r="B2090" t="s">
        <v>2</v>
      </c>
      <c r="C2090" t="s">
        <v>3</v>
      </c>
      <c r="D2090" t="s">
        <v>4</v>
      </c>
      <c r="E2090" t="s">
        <v>4</v>
      </c>
      <c r="F2090" t="s">
        <v>208</v>
      </c>
      <c r="G2090" t="s">
        <v>209</v>
      </c>
      <c r="H2090" t="s">
        <v>5493</v>
      </c>
      <c r="I2090" s="2">
        <v>595</v>
      </c>
      <c r="J2090" s="2">
        <v>0</v>
      </c>
      <c r="K2090" s="2">
        <v>0</v>
      </c>
      <c r="L2090" s="3">
        <v>45860</v>
      </c>
      <c r="M2090" s="3">
        <v>45860</v>
      </c>
      <c r="N2090" s="3">
        <v>45860</v>
      </c>
      <c r="O2090" t="s">
        <v>4</v>
      </c>
      <c r="P2090" t="s">
        <v>20</v>
      </c>
      <c r="Q2090" s="4">
        <v>0.37531249999999999</v>
      </c>
      <c r="R2090" t="s">
        <v>208</v>
      </c>
      <c r="S2090" t="s">
        <v>4</v>
      </c>
      <c r="T2090" t="s">
        <v>2256</v>
      </c>
      <c r="U2090" t="s">
        <v>10</v>
      </c>
      <c r="V2090" s="5">
        <v>0</v>
      </c>
      <c r="W2090" s="5">
        <v>0</v>
      </c>
      <c r="X2090" s="2">
        <v>0</v>
      </c>
      <c r="Y2090" t="s">
        <v>4</v>
      </c>
      <c r="Z2090" t="s">
        <v>4</v>
      </c>
      <c r="AA2090" t="s">
        <v>4</v>
      </c>
      <c r="AB2090" t="s">
        <v>4</v>
      </c>
    </row>
    <row r="2091" spans="1:28" hidden="1" x14ac:dyDescent="0.2">
      <c r="A2091" t="s">
        <v>1916</v>
      </c>
      <c r="B2091" t="s">
        <v>2</v>
      </c>
      <c r="C2091" t="s">
        <v>3</v>
      </c>
      <c r="D2091" t="s">
        <v>4</v>
      </c>
      <c r="E2091" t="s">
        <v>4</v>
      </c>
      <c r="F2091" t="s">
        <v>208</v>
      </c>
      <c r="G2091" t="s">
        <v>209</v>
      </c>
      <c r="H2091" t="s">
        <v>5494</v>
      </c>
      <c r="I2091" s="2">
        <v>337</v>
      </c>
      <c r="J2091" s="2">
        <v>0</v>
      </c>
      <c r="K2091" s="2">
        <v>0</v>
      </c>
      <c r="L2091" s="3">
        <v>45849</v>
      </c>
      <c r="M2091" s="3">
        <v>45852</v>
      </c>
      <c r="N2091" s="3">
        <v>45852</v>
      </c>
      <c r="O2091" t="s">
        <v>4</v>
      </c>
      <c r="P2091" t="s">
        <v>20</v>
      </c>
      <c r="Q2091" s="4">
        <v>0.41502314814815</v>
      </c>
      <c r="R2091" t="s">
        <v>208</v>
      </c>
      <c r="S2091" t="s">
        <v>4</v>
      </c>
      <c r="T2091" t="s">
        <v>2321</v>
      </c>
      <c r="U2091" t="s">
        <v>10</v>
      </c>
      <c r="V2091" s="5">
        <v>0</v>
      </c>
      <c r="W2091" s="5">
        <v>0</v>
      </c>
      <c r="X2091" s="2">
        <v>0</v>
      </c>
      <c r="Y2091" t="s">
        <v>4</v>
      </c>
      <c r="Z2091" t="s">
        <v>4</v>
      </c>
      <c r="AA2091" t="s">
        <v>4</v>
      </c>
      <c r="AB2091" t="s">
        <v>4</v>
      </c>
    </row>
    <row r="2092" spans="1:28" hidden="1" x14ac:dyDescent="0.2">
      <c r="A2092" t="s">
        <v>1913</v>
      </c>
      <c r="B2092" t="s">
        <v>2</v>
      </c>
      <c r="C2092" t="s">
        <v>3</v>
      </c>
      <c r="D2092" t="s">
        <v>4</v>
      </c>
      <c r="E2092" t="s">
        <v>4</v>
      </c>
      <c r="F2092" t="s">
        <v>208</v>
      </c>
      <c r="G2092" t="s">
        <v>209</v>
      </c>
      <c r="H2092" t="s">
        <v>5495</v>
      </c>
      <c r="I2092" s="2">
        <v>370</v>
      </c>
      <c r="J2092" s="2">
        <v>0</v>
      </c>
      <c r="K2092" s="2">
        <v>0</v>
      </c>
      <c r="L2092" s="3">
        <v>45851</v>
      </c>
      <c r="M2092" s="3">
        <v>45852</v>
      </c>
      <c r="N2092" s="3">
        <v>45852</v>
      </c>
      <c r="O2092" t="s">
        <v>4</v>
      </c>
      <c r="P2092" t="s">
        <v>20</v>
      </c>
      <c r="Q2092" s="4">
        <v>0.89158564814815</v>
      </c>
      <c r="R2092" t="s">
        <v>208</v>
      </c>
      <c r="S2092" t="s">
        <v>4</v>
      </c>
      <c r="T2092" t="s">
        <v>2747</v>
      </c>
      <c r="U2092" t="s">
        <v>10</v>
      </c>
      <c r="V2092" s="5">
        <v>0</v>
      </c>
      <c r="W2092" s="5">
        <v>0</v>
      </c>
      <c r="X2092" s="2">
        <v>0</v>
      </c>
      <c r="Y2092" t="s">
        <v>4</v>
      </c>
      <c r="Z2092" t="s">
        <v>4</v>
      </c>
      <c r="AA2092" t="s">
        <v>4</v>
      </c>
      <c r="AB2092" t="s">
        <v>4</v>
      </c>
    </row>
    <row r="2093" spans="1:28" hidden="1" x14ac:dyDescent="0.2">
      <c r="A2093" t="s">
        <v>1181</v>
      </c>
      <c r="B2093" t="s">
        <v>2</v>
      </c>
      <c r="C2093" t="s">
        <v>3</v>
      </c>
      <c r="D2093" t="s">
        <v>4</v>
      </c>
      <c r="E2093" t="s">
        <v>4</v>
      </c>
      <c r="F2093" t="s">
        <v>208</v>
      </c>
      <c r="G2093" t="s">
        <v>209</v>
      </c>
      <c r="H2093" t="s">
        <v>5496</v>
      </c>
      <c r="I2093" s="2">
        <v>2184</v>
      </c>
      <c r="J2093" s="2">
        <v>40</v>
      </c>
      <c r="K2093" s="2">
        <v>0</v>
      </c>
      <c r="L2093" s="3">
        <v>45852</v>
      </c>
      <c r="M2093" s="3">
        <v>45853</v>
      </c>
      <c r="N2093" s="3">
        <v>45853</v>
      </c>
      <c r="O2093" t="s">
        <v>4</v>
      </c>
      <c r="P2093" t="s">
        <v>20</v>
      </c>
      <c r="Q2093" s="4">
        <v>0.91728009259259002</v>
      </c>
      <c r="R2093" t="s">
        <v>208</v>
      </c>
      <c r="S2093" t="s">
        <v>4</v>
      </c>
      <c r="T2093" t="s">
        <v>2669</v>
      </c>
      <c r="U2093" t="s">
        <v>10</v>
      </c>
      <c r="V2093" s="5">
        <v>0</v>
      </c>
      <c r="W2093" s="5">
        <v>0</v>
      </c>
      <c r="X2093" s="2">
        <v>0</v>
      </c>
      <c r="Y2093" t="s">
        <v>4</v>
      </c>
      <c r="Z2093" t="s">
        <v>4</v>
      </c>
      <c r="AA2093" t="s">
        <v>4</v>
      </c>
      <c r="AB2093" t="s">
        <v>4</v>
      </c>
    </row>
    <row r="2094" spans="1:28" hidden="1" x14ac:dyDescent="0.2">
      <c r="A2094" t="s">
        <v>2251</v>
      </c>
      <c r="B2094" t="s">
        <v>4</v>
      </c>
      <c r="C2094" t="s">
        <v>4</v>
      </c>
      <c r="D2094" t="s">
        <v>4</v>
      </c>
      <c r="E2094" t="s">
        <v>4</v>
      </c>
      <c r="F2094" t="s">
        <v>208</v>
      </c>
      <c r="G2094" t="s">
        <v>209</v>
      </c>
      <c r="H2094" t="s">
        <v>5497</v>
      </c>
      <c r="I2094" s="5">
        <v>0</v>
      </c>
      <c r="J2094" s="5">
        <v>0</v>
      </c>
      <c r="K2094" s="5">
        <v>0</v>
      </c>
      <c r="L2094" s="3"/>
      <c r="M2094" s="3"/>
      <c r="N2094" s="3"/>
      <c r="O2094" t="s">
        <v>4</v>
      </c>
      <c r="P2094" t="s">
        <v>20</v>
      </c>
      <c r="Q2094" s="4">
        <v>0.60253472222222004</v>
      </c>
      <c r="R2094" t="s">
        <v>4</v>
      </c>
      <c r="S2094" t="s">
        <v>4</v>
      </c>
      <c r="T2094" t="s">
        <v>2256</v>
      </c>
      <c r="U2094" t="s">
        <v>4</v>
      </c>
      <c r="V2094" s="5">
        <v>0</v>
      </c>
      <c r="W2094" s="5">
        <v>0</v>
      </c>
      <c r="X2094" s="2">
        <v>0</v>
      </c>
      <c r="Y2094" t="s">
        <v>4</v>
      </c>
      <c r="Z2094" t="s">
        <v>4</v>
      </c>
      <c r="AA2094" t="s">
        <v>4</v>
      </c>
      <c r="AB2094" t="s">
        <v>4</v>
      </c>
    </row>
    <row r="2095" spans="1:28" hidden="1" x14ac:dyDescent="0.2">
      <c r="A2095" t="s">
        <v>500</v>
      </c>
      <c r="B2095" t="s">
        <v>2</v>
      </c>
      <c r="C2095" t="s">
        <v>3</v>
      </c>
      <c r="D2095" t="s">
        <v>4</v>
      </c>
      <c r="E2095" t="s">
        <v>4</v>
      </c>
      <c r="F2095" t="s">
        <v>208</v>
      </c>
      <c r="G2095" t="s">
        <v>209</v>
      </c>
      <c r="H2095" t="s">
        <v>5498</v>
      </c>
      <c r="I2095" s="2">
        <v>144</v>
      </c>
      <c r="J2095" s="2">
        <v>0</v>
      </c>
      <c r="K2095" s="2">
        <v>0</v>
      </c>
      <c r="L2095" s="3">
        <v>45814</v>
      </c>
      <c r="M2095" s="3">
        <v>45852</v>
      </c>
      <c r="N2095" s="3">
        <v>45850</v>
      </c>
      <c r="O2095" t="s">
        <v>4</v>
      </c>
      <c r="P2095" t="s">
        <v>20</v>
      </c>
      <c r="Q2095" s="4">
        <v>0.38655092592592999</v>
      </c>
      <c r="R2095" t="s">
        <v>208</v>
      </c>
      <c r="S2095" t="s">
        <v>4</v>
      </c>
      <c r="T2095" t="s">
        <v>3062</v>
      </c>
      <c r="U2095" t="s">
        <v>35</v>
      </c>
      <c r="V2095" s="5">
        <v>0</v>
      </c>
      <c r="W2095" s="5">
        <v>0</v>
      </c>
      <c r="X2095" s="2">
        <v>0</v>
      </c>
      <c r="Y2095" t="s">
        <v>4</v>
      </c>
      <c r="Z2095" t="s">
        <v>4</v>
      </c>
      <c r="AA2095" t="s">
        <v>4</v>
      </c>
      <c r="AB2095" t="s">
        <v>4</v>
      </c>
    </row>
    <row r="2096" spans="1:28" hidden="1" x14ac:dyDescent="0.2">
      <c r="A2096" t="s">
        <v>488</v>
      </c>
      <c r="B2096" t="s">
        <v>2</v>
      </c>
      <c r="C2096" t="s">
        <v>3</v>
      </c>
      <c r="D2096" t="s">
        <v>4</v>
      </c>
      <c r="E2096" t="s">
        <v>4</v>
      </c>
      <c r="F2096" t="s">
        <v>208</v>
      </c>
      <c r="G2096" t="s">
        <v>209</v>
      </c>
      <c r="H2096" t="s">
        <v>5499</v>
      </c>
      <c r="I2096" s="2">
        <v>144</v>
      </c>
      <c r="J2096" s="2">
        <v>0</v>
      </c>
      <c r="K2096" s="2">
        <v>0</v>
      </c>
      <c r="L2096" s="3">
        <v>44923</v>
      </c>
      <c r="M2096" s="3">
        <v>45852</v>
      </c>
      <c r="N2096" s="3">
        <v>45852</v>
      </c>
      <c r="O2096" t="s">
        <v>4</v>
      </c>
      <c r="P2096" t="s">
        <v>20</v>
      </c>
      <c r="Q2096" s="4">
        <v>0.38655092592592999</v>
      </c>
      <c r="R2096" t="s">
        <v>208</v>
      </c>
      <c r="S2096" t="s">
        <v>4</v>
      </c>
      <c r="T2096" t="s">
        <v>5500</v>
      </c>
      <c r="U2096" t="s">
        <v>35</v>
      </c>
      <c r="V2096" s="5">
        <v>0</v>
      </c>
      <c r="W2096" s="5">
        <v>0</v>
      </c>
      <c r="X2096" s="2">
        <v>0</v>
      </c>
      <c r="Y2096" t="s">
        <v>4</v>
      </c>
      <c r="Z2096" t="s">
        <v>4</v>
      </c>
      <c r="AA2096" t="s">
        <v>4</v>
      </c>
      <c r="AB2096" t="s">
        <v>4</v>
      </c>
    </row>
    <row r="2097" spans="1:28" hidden="1" x14ac:dyDescent="0.2">
      <c r="A2097" t="s">
        <v>1905</v>
      </c>
      <c r="B2097" t="s">
        <v>2</v>
      </c>
      <c r="C2097" t="s">
        <v>3</v>
      </c>
      <c r="D2097" t="s">
        <v>4</v>
      </c>
      <c r="E2097" t="s">
        <v>4</v>
      </c>
      <c r="F2097" t="s">
        <v>208</v>
      </c>
      <c r="G2097" t="s">
        <v>209</v>
      </c>
      <c r="H2097" t="s">
        <v>5501</v>
      </c>
      <c r="I2097" s="2">
        <v>2250</v>
      </c>
      <c r="J2097" s="2">
        <v>0</v>
      </c>
      <c r="K2097" s="2">
        <v>0</v>
      </c>
      <c r="L2097" s="3">
        <v>45859</v>
      </c>
      <c r="M2097" s="3">
        <v>45860</v>
      </c>
      <c r="N2097" s="3"/>
      <c r="O2097" t="s">
        <v>4</v>
      </c>
      <c r="P2097" t="s">
        <v>20</v>
      </c>
      <c r="Q2097" s="4">
        <v>0.50994212962963004</v>
      </c>
      <c r="R2097" t="s">
        <v>208</v>
      </c>
      <c r="S2097" t="s">
        <v>4</v>
      </c>
      <c r="T2097" t="s">
        <v>2261</v>
      </c>
      <c r="U2097" t="s">
        <v>10</v>
      </c>
      <c r="V2097" s="5">
        <v>0</v>
      </c>
      <c r="W2097" s="5">
        <v>0</v>
      </c>
      <c r="X2097" s="2">
        <v>0</v>
      </c>
      <c r="Y2097" t="s">
        <v>4</v>
      </c>
      <c r="Z2097" t="s">
        <v>4</v>
      </c>
      <c r="AA2097" t="s">
        <v>4</v>
      </c>
      <c r="AB2097" t="s">
        <v>4</v>
      </c>
    </row>
    <row r="2098" spans="1:28" hidden="1" x14ac:dyDescent="0.2">
      <c r="A2098" t="s">
        <v>467</v>
      </c>
      <c r="B2098" t="s">
        <v>2</v>
      </c>
      <c r="C2098" t="s">
        <v>3</v>
      </c>
      <c r="D2098" t="s">
        <v>4</v>
      </c>
      <c r="E2098" t="s">
        <v>4</v>
      </c>
      <c r="F2098" t="s">
        <v>208</v>
      </c>
      <c r="G2098" t="s">
        <v>209</v>
      </c>
      <c r="H2098" t="s">
        <v>5502</v>
      </c>
      <c r="I2098" s="2">
        <v>7200</v>
      </c>
      <c r="J2098" s="2">
        <v>0</v>
      </c>
      <c r="K2098" s="2">
        <v>0</v>
      </c>
      <c r="L2098" s="3">
        <v>45859</v>
      </c>
      <c r="M2098" s="3">
        <v>45860</v>
      </c>
      <c r="N2098" s="3">
        <v>45859</v>
      </c>
      <c r="O2098" t="s">
        <v>4</v>
      </c>
      <c r="P2098" t="s">
        <v>20</v>
      </c>
      <c r="Q2098" s="4">
        <v>0.34460648148147999</v>
      </c>
      <c r="R2098" t="s">
        <v>208</v>
      </c>
      <c r="S2098" t="s">
        <v>4</v>
      </c>
      <c r="T2098" t="s">
        <v>2261</v>
      </c>
      <c r="U2098" t="s">
        <v>10</v>
      </c>
      <c r="V2098" s="5">
        <v>0</v>
      </c>
      <c r="W2098" s="5">
        <v>0</v>
      </c>
      <c r="X2098" s="2">
        <v>0</v>
      </c>
      <c r="Y2098" t="s">
        <v>4</v>
      </c>
      <c r="Z2098" t="s">
        <v>4</v>
      </c>
      <c r="AA2098" t="s">
        <v>4</v>
      </c>
      <c r="AB2098" t="s">
        <v>4</v>
      </c>
    </row>
    <row r="2099" spans="1:28" hidden="1" x14ac:dyDescent="0.2">
      <c r="A2099" t="s">
        <v>1932</v>
      </c>
      <c r="B2099" t="s">
        <v>2</v>
      </c>
      <c r="C2099" t="s">
        <v>3</v>
      </c>
      <c r="D2099" t="s">
        <v>4</v>
      </c>
      <c r="E2099" t="s">
        <v>4</v>
      </c>
      <c r="F2099" t="s">
        <v>208</v>
      </c>
      <c r="G2099" t="s">
        <v>209</v>
      </c>
      <c r="H2099" t="s">
        <v>5503</v>
      </c>
      <c r="I2099" s="2">
        <v>374</v>
      </c>
      <c r="J2099" s="2">
        <v>0</v>
      </c>
      <c r="K2099" s="2">
        <v>0</v>
      </c>
      <c r="L2099" s="3">
        <v>45644</v>
      </c>
      <c r="M2099" s="3">
        <v>45644</v>
      </c>
      <c r="N2099" s="3">
        <v>45644</v>
      </c>
      <c r="O2099" t="s">
        <v>4</v>
      </c>
      <c r="P2099" t="s">
        <v>20</v>
      </c>
      <c r="Q2099" s="4">
        <v>0.81277777777778004</v>
      </c>
      <c r="R2099" t="s">
        <v>208</v>
      </c>
      <c r="S2099" t="s">
        <v>4</v>
      </c>
      <c r="T2099" t="s">
        <v>4178</v>
      </c>
      <c r="U2099" t="s">
        <v>10</v>
      </c>
      <c r="V2099" s="5">
        <v>0</v>
      </c>
      <c r="W2099" s="5">
        <v>0</v>
      </c>
      <c r="X2099" s="2">
        <v>0</v>
      </c>
      <c r="Y2099" t="s">
        <v>4</v>
      </c>
      <c r="Z2099" t="s">
        <v>4</v>
      </c>
      <c r="AA2099" t="s">
        <v>4</v>
      </c>
      <c r="AB2099" t="s">
        <v>4</v>
      </c>
    </row>
    <row r="2100" spans="1:28" hidden="1" x14ac:dyDescent="0.2">
      <c r="A2100" t="s">
        <v>1919</v>
      </c>
      <c r="B2100" t="s">
        <v>2</v>
      </c>
      <c r="C2100" t="s">
        <v>3</v>
      </c>
      <c r="D2100" t="s">
        <v>4</v>
      </c>
      <c r="E2100" t="s">
        <v>4</v>
      </c>
      <c r="F2100" t="s">
        <v>208</v>
      </c>
      <c r="G2100" t="s">
        <v>209</v>
      </c>
      <c r="H2100" t="s">
        <v>5504</v>
      </c>
      <c r="I2100" s="2">
        <v>166</v>
      </c>
      <c r="J2100" s="2">
        <v>0</v>
      </c>
      <c r="K2100" s="2">
        <v>0</v>
      </c>
      <c r="L2100" s="3">
        <v>45623</v>
      </c>
      <c r="M2100" s="3">
        <v>45644</v>
      </c>
      <c r="N2100" s="3">
        <v>45644</v>
      </c>
      <c r="O2100" t="s">
        <v>4</v>
      </c>
      <c r="P2100" t="s">
        <v>20</v>
      </c>
      <c r="Q2100" s="4">
        <v>0.80229166666666996</v>
      </c>
      <c r="R2100" t="s">
        <v>208</v>
      </c>
      <c r="S2100" t="s">
        <v>4</v>
      </c>
      <c r="T2100" t="s">
        <v>5505</v>
      </c>
      <c r="U2100" t="s">
        <v>10</v>
      </c>
      <c r="V2100" s="5">
        <v>0</v>
      </c>
      <c r="W2100" s="5">
        <v>0</v>
      </c>
      <c r="X2100" s="2">
        <v>0</v>
      </c>
      <c r="Y2100" t="s">
        <v>4</v>
      </c>
      <c r="Z2100" t="s">
        <v>4</v>
      </c>
      <c r="AA2100" t="s">
        <v>4</v>
      </c>
      <c r="AB2100" t="s">
        <v>4</v>
      </c>
    </row>
    <row r="2101" spans="1:28" hidden="1" x14ac:dyDescent="0.2">
      <c r="A2101" t="s">
        <v>1046</v>
      </c>
      <c r="B2101" t="s">
        <v>2</v>
      </c>
      <c r="C2101" t="s">
        <v>3</v>
      </c>
      <c r="D2101" t="s">
        <v>4</v>
      </c>
      <c r="E2101" t="s">
        <v>4</v>
      </c>
      <c r="F2101" t="s">
        <v>208</v>
      </c>
      <c r="G2101" t="s">
        <v>209</v>
      </c>
      <c r="H2101" t="s">
        <v>5506</v>
      </c>
      <c r="I2101" s="2">
        <v>1080</v>
      </c>
      <c r="J2101" s="2">
        <v>0</v>
      </c>
      <c r="K2101" s="2">
        <v>0</v>
      </c>
      <c r="L2101" s="3">
        <v>45854</v>
      </c>
      <c r="M2101" s="3">
        <v>45857</v>
      </c>
      <c r="N2101" s="3">
        <v>45854</v>
      </c>
      <c r="O2101" t="s">
        <v>4</v>
      </c>
      <c r="P2101" t="s">
        <v>20</v>
      </c>
      <c r="Q2101" s="4">
        <v>0.61589120370369999</v>
      </c>
      <c r="R2101" t="s">
        <v>208</v>
      </c>
      <c r="S2101" t="s">
        <v>4</v>
      </c>
      <c r="T2101" t="s">
        <v>2299</v>
      </c>
      <c r="U2101" t="s">
        <v>10</v>
      </c>
      <c r="V2101" s="5">
        <v>0</v>
      </c>
      <c r="W2101" s="5">
        <v>0</v>
      </c>
      <c r="X2101" s="2">
        <v>0</v>
      </c>
      <c r="Y2101" t="s">
        <v>4</v>
      </c>
      <c r="Z2101" t="s">
        <v>4</v>
      </c>
      <c r="AA2101" t="s">
        <v>4</v>
      </c>
      <c r="AB2101" t="s">
        <v>4</v>
      </c>
    </row>
    <row r="2102" spans="1:28" hidden="1" x14ac:dyDescent="0.2">
      <c r="A2102" t="s">
        <v>1028</v>
      </c>
      <c r="B2102" t="s">
        <v>2</v>
      </c>
      <c r="C2102" t="s">
        <v>3</v>
      </c>
      <c r="D2102" t="s">
        <v>4</v>
      </c>
      <c r="E2102" t="s">
        <v>4</v>
      </c>
      <c r="F2102" t="s">
        <v>208</v>
      </c>
      <c r="G2102" t="s">
        <v>209</v>
      </c>
      <c r="H2102" t="s">
        <v>5507</v>
      </c>
      <c r="I2102" s="2">
        <v>4320</v>
      </c>
      <c r="J2102" s="2">
        <v>0</v>
      </c>
      <c r="K2102" s="2">
        <v>0</v>
      </c>
      <c r="L2102" s="3">
        <v>45859</v>
      </c>
      <c r="M2102" s="3">
        <v>45860</v>
      </c>
      <c r="N2102" s="3">
        <v>45859</v>
      </c>
      <c r="O2102" t="s">
        <v>4</v>
      </c>
      <c r="P2102" t="s">
        <v>20</v>
      </c>
      <c r="Q2102" s="4">
        <v>0.33614583333332998</v>
      </c>
      <c r="R2102" t="s">
        <v>208</v>
      </c>
      <c r="S2102" t="s">
        <v>4</v>
      </c>
      <c r="T2102" t="s">
        <v>2261</v>
      </c>
      <c r="U2102" t="s">
        <v>10</v>
      </c>
      <c r="V2102" s="5">
        <v>0</v>
      </c>
      <c r="W2102" s="5">
        <v>0</v>
      </c>
      <c r="X2102" s="2">
        <v>0</v>
      </c>
      <c r="Y2102" t="s">
        <v>4</v>
      </c>
      <c r="Z2102" t="s">
        <v>4</v>
      </c>
      <c r="AA2102" t="s">
        <v>4</v>
      </c>
      <c r="AB2102" t="s">
        <v>4</v>
      </c>
    </row>
    <row r="2103" spans="1:28" hidden="1" x14ac:dyDescent="0.2">
      <c r="A2103" t="s">
        <v>2251</v>
      </c>
      <c r="B2103" t="s">
        <v>4</v>
      </c>
      <c r="C2103" t="s">
        <v>4</v>
      </c>
      <c r="D2103" t="s">
        <v>4</v>
      </c>
      <c r="E2103" t="s">
        <v>4</v>
      </c>
      <c r="F2103" t="s">
        <v>208</v>
      </c>
      <c r="G2103" t="s">
        <v>209</v>
      </c>
      <c r="H2103" t="s">
        <v>5508</v>
      </c>
      <c r="I2103" s="5">
        <v>0</v>
      </c>
      <c r="J2103" s="5">
        <v>0</v>
      </c>
      <c r="K2103" s="5">
        <v>0</v>
      </c>
      <c r="L2103" s="3"/>
      <c r="M2103" s="3"/>
      <c r="N2103" s="3"/>
      <c r="O2103" t="s">
        <v>4</v>
      </c>
      <c r="P2103" t="s">
        <v>20</v>
      </c>
      <c r="Q2103" s="4">
        <v>0.93635416666667004</v>
      </c>
      <c r="R2103" t="s">
        <v>4</v>
      </c>
      <c r="S2103" t="s">
        <v>4</v>
      </c>
      <c r="T2103" t="s">
        <v>2256</v>
      </c>
      <c r="U2103" t="s">
        <v>4</v>
      </c>
      <c r="V2103" s="5">
        <v>0</v>
      </c>
      <c r="W2103" s="5">
        <v>0</v>
      </c>
      <c r="X2103" s="2">
        <v>0</v>
      </c>
      <c r="Y2103" t="s">
        <v>4</v>
      </c>
      <c r="Z2103" t="s">
        <v>4</v>
      </c>
      <c r="AA2103" t="s">
        <v>4</v>
      </c>
      <c r="AB2103" t="s">
        <v>4</v>
      </c>
    </row>
    <row r="2104" spans="1:28" hidden="1" x14ac:dyDescent="0.2">
      <c r="A2104" t="s">
        <v>1851</v>
      </c>
      <c r="B2104" t="s">
        <v>2</v>
      </c>
      <c r="C2104" t="s">
        <v>3</v>
      </c>
      <c r="D2104" t="s">
        <v>4</v>
      </c>
      <c r="E2104" t="s">
        <v>4</v>
      </c>
      <c r="F2104" t="s">
        <v>208</v>
      </c>
      <c r="G2104" t="s">
        <v>209</v>
      </c>
      <c r="H2104" t="s">
        <v>5509</v>
      </c>
      <c r="I2104" s="2">
        <v>528</v>
      </c>
      <c r="J2104" s="2">
        <v>0</v>
      </c>
      <c r="K2104" s="2">
        <v>0</v>
      </c>
      <c r="L2104" s="3">
        <v>45828</v>
      </c>
      <c r="M2104" s="3">
        <v>45833</v>
      </c>
      <c r="N2104" s="3"/>
      <c r="O2104" t="s">
        <v>4</v>
      </c>
      <c r="P2104" t="s">
        <v>20</v>
      </c>
      <c r="Q2104" s="4">
        <v>0.34092592592593002</v>
      </c>
      <c r="R2104" t="s">
        <v>208</v>
      </c>
      <c r="S2104" t="s">
        <v>4</v>
      </c>
      <c r="T2104" t="s">
        <v>3742</v>
      </c>
      <c r="U2104" t="s">
        <v>10</v>
      </c>
      <c r="V2104" s="5">
        <v>0</v>
      </c>
      <c r="W2104" s="5">
        <v>0</v>
      </c>
      <c r="X2104" s="2">
        <v>0</v>
      </c>
      <c r="Y2104" t="s">
        <v>4</v>
      </c>
      <c r="Z2104" t="s">
        <v>4</v>
      </c>
      <c r="AA2104" t="s">
        <v>4</v>
      </c>
      <c r="AB2104" t="s">
        <v>4</v>
      </c>
    </row>
    <row r="2105" spans="1:28" hidden="1" x14ac:dyDescent="0.2">
      <c r="A2105" t="s">
        <v>518</v>
      </c>
      <c r="B2105" t="s">
        <v>2</v>
      </c>
      <c r="C2105" t="s">
        <v>3</v>
      </c>
      <c r="D2105" t="s">
        <v>4</v>
      </c>
      <c r="E2105" t="s">
        <v>4</v>
      </c>
      <c r="F2105" t="s">
        <v>208</v>
      </c>
      <c r="G2105" t="s">
        <v>209</v>
      </c>
      <c r="H2105" t="s">
        <v>5510</v>
      </c>
      <c r="I2105" s="2">
        <v>0</v>
      </c>
      <c r="J2105" s="2">
        <v>2000</v>
      </c>
      <c r="K2105" s="2">
        <v>2000</v>
      </c>
      <c r="L2105" s="3">
        <v>45860</v>
      </c>
      <c r="M2105" s="3">
        <v>45860</v>
      </c>
      <c r="N2105" s="3"/>
      <c r="O2105" t="s">
        <v>4</v>
      </c>
      <c r="P2105" t="s">
        <v>20</v>
      </c>
      <c r="Q2105" s="4">
        <v>0.51479166666666998</v>
      </c>
      <c r="R2105" t="s">
        <v>208</v>
      </c>
      <c r="S2105" t="s">
        <v>4</v>
      </c>
      <c r="T2105" t="s">
        <v>2256</v>
      </c>
      <c r="U2105" t="s">
        <v>10</v>
      </c>
      <c r="V2105" s="5">
        <v>0</v>
      </c>
      <c r="W2105" s="5">
        <v>0</v>
      </c>
      <c r="X2105" s="2">
        <v>0</v>
      </c>
      <c r="Y2105" t="s">
        <v>4</v>
      </c>
      <c r="Z2105" t="s">
        <v>4</v>
      </c>
      <c r="AA2105" t="s">
        <v>4</v>
      </c>
      <c r="AB2105" t="s">
        <v>4</v>
      </c>
    </row>
    <row r="2106" spans="1:28" hidden="1" x14ac:dyDescent="0.2">
      <c r="A2106" t="s">
        <v>1805</v>
      </c>
      <c r="B2106" t="s">
        <v>2</v>
      </c>
      <c r="C2106" t="s">
        <v>3</v>
      </c>
      <c r="D2106" t="s">
        <v>4</v>
      </c>
      <c r="E2106" t="s">
        <v>4</v>
      </c>
      <c r="F2106" t="s">
        <v>208</v>
      </c>
      <c r="G2106" t="s">
        <v>209</v>
      </c>
      <c r="H2106" t="s">
        <v>5511</v>
      </c>
      <c r="I2106" s="2">
        <v>2450</v>
      </c>
      <c r="J2106" s="2">
        <v>0</v>
      </c>
      <c r="K2106" s="2">
        <v>0</v>
      </c>
      <c r="L2106" s="3">
        <v>45858</v>
      </c>
      <c r="M2106" s="3">
        <v>45860</v>
      </c>
      <c r="N2106" s="3">
        <v>45858</v>
      </c>
      <c r="O2106" t="s">
        <v>4</v>
      </c>
      <c r="P2106" t="s">
        <v>20</v>
      </c>
      <c r="Q2106" s="4">
        <v>0.51313657407406998</v>
      </c>
      <c r="R2106" t="s">
        <v>208</v>
      </c>
      <c r="S2106" t="s">
        <v>4</v>
      </c>
      <c r="T2106" t="s">
        <v>2337</v>
      </c>
      <c r="U2106" t="s">
        <v>10</v>
      </c>
      <c r="V2106" s="5">
        <v>0</v>
      </c>
      <c r="W2106" s="5">
        <v>0</v>
      </c>
      <c r="X2106" s="2">
        <v>0</v>
      </c>
      <c r="Y2106" t="s">
        <v>4</v>
      </c>
      <c r="Z2106" t="s">
        <v>4</v>
      </c>
      <c r="AA2106" t="s">
        <v>4</v>
      </c>
      <c r="AB2106" t="s">
        <v>4</v>
      </c>
    </row>
    <row r="2107" spans="1:28" hidden="1" x14ac:dyDescent="0.2">
      <c r="A2107" t="s">
        <v>1922</v>
      </c>
      <c r="B2107" t="s">
        <v>2</v>
      </c>
      <c r="C2107" t="s">
        <v>3</v>
      </c>
      <c r="D2107" t="s">
        <v>4</v>
      </c>
      <c r="E2107" t="s">
        <v>4</v>
      </c>
      <c r="F2107" t="s">
        <v>208</v>
      </c>
      <c r="G2107" t="s">
        <v>209</v>
      </c>
      <c r="H2107" t="s">
        <v>5512</v>
      </c>
      <c r="I2107" s="2">
        <v>125</v>
      </c>
      <c r="J2107" s="2">
        <v>0</v>
      </c>
      <c r="K2107" s="2">
        <v>0</v>
      </c>
      <c r="L2107" s="3">
        <v>45854</v>
      </c>
      <c r="M2107" s="3">
        <v>45855</v>
      </c>
      <c r="N2107" s="3"/>
      <c r="O2107" t="s">
        <v>4</v>
      </c>
      <c r="P2107" t="s">
        <v>20</v>
      </c>
      <c r="Q2107" s="4">
        <v>0.55181712962963003</v>
      </c>
      <c r="R2107" t="s">
        <v>208</v>
      </c>
      <c r="S2107" t="s">
        <v>4</v>
      </c>
      <c r="T2107" t="s">
        <v>2299</v>
      </c>
      <c r="U2107" t="s">
        <v>10</v>
      </c>
      <c r="V2107" s="5">
        <v>0</v>
      </c>
      <c r="W2107" s="5">
        <v>0</v>
      </c>
      <c r="X2107" s="2">
        <v>0</v>
      </c>
      <c r="Y2107" t="s">
        <v>4</v>
      </c>
      <c r="Z2107" t="s">
        <v>4</v>
      </c>
      <c r="AA2107" t="s">
        <v>4</v>
      </c>
      <c r="AB2107" t="s">
        <v>4</v>
      </c>
    </row>
    <row r="2108" spans="1:28" hidden="1" x14ac:dyDescent="0.2">
      <c r="A2108" t="s">
        <v>2251</v>
      </c>
      <c r="B2108" t="s">
        <v>4</v>
      </c>
      <c r="C2108" t="s">
        <v>4</v>
      </c>
      <c r="D2108" t="s">
        <v>4</v>
      </c>
      <c r="E2108" t="s">
        <v>4</v>
      </c>
      <c r="F2108" t="s">
        <v>208</v>
      </c>
      <c r="G2108" t="s">
        <v>209</v>
      </c>
      <c r="H2108" t="s">
        <v>5513</v>
      </c>
      <c r="I2108" s="5">
        <v>0</v>
      </c>
      <c r="J2108" s="5">
        <v>0</v>
      </c>
      <c r="K2108" s="5">
        <v>0</v>
      </c>
      <c r="L2108" s="3"/>
      <c r="M2108" s="3"/>
      <c r="N2108" s="3"/>
      <c r="O2108" t="s">
        <v>4</v>
      </c>
      <c r="P2108" t="s">
        <v>20</v>
      </c>
      <c r="Q2108" s="4">
        <v>0.84091435185185004</v>
      </c>
      <c r="R2108" t="s">
        <v>4</v>
      </c>
      <c r="S2108" t="s">
        <v>4</v>
      </c>
      <c r="T2108" t="s">
        <v>2256</v>
      </c>
      <c r="U2108" t="s">
        <v>4</v>
      </c>
      <c r="V2108" s="5">
        <v>0</v>
      </c>
      <c r="W2108" s="5">
        <v>0</v>
      </c>
      <c r="X2108" s="2">
        <v>0</v>
      </c>
      <c r="Y2108" t="s">
        <v>4</v>
      </c>
      <c r="Z2108" t="s">
        <v>4</v>
      </c>
      <c r="AA2108" t="s">
        <v>4</v>
      </c>
      <c r="AB2108" t="s">
        <v>4</v>
      </c>
    </row>
    <row r="2109" spans="1:28" hidden="1" x14ac:dyDescent="0.2">
      <c r="A2109" t="s">
        <v>854</v>
      </c>
      <c r="B2109" t="s">
        <v>2</v>
      </c>
      <c r="C2109" t="s">
        <v>3</v>
      </c>
      <c r="D2109" t="s">
        <v>4</v>
      </c>
      <c r="E2109" t="s">
        <v>4</v>
      </c>
      <c r="F2109" t="s">
        <v>208</v>
      </c>
      <c r="G2109" t="s">
        <v>209</v>
      </c>
      <c r="H2109" t="s">
        <v>5514</v>
      </c>
      <c r="I2109" s="2">
        <v>26400</v>
      </c>
      <c r="J2109" s="2">
        <v>0</v>
      </c>
      <c r="K2109" s="2">
        <v>0</v>
      </c>
      <c r="L2109" s="3">
        <v>45859</v>
      </c>
      <c r="M2109" s="3">
        <v>45860</v>
      </c>
      <c r="N2109" s="3">
        <v>45859</v>
      </c>
      <c r="O2109" t="s">
        <v>4</v>
      </c>
      <c r="P2109" t="s">
        <v>20</v>
      </c>
      <c r="Q2109" s="4">
        <v>0.33614583333332998</v>
      </c>
      <c r="R2109" t="s">
        <v>208</v>
      </c>
      <c r="S2109" t="s">
        <v>4</v>
      </c>
      <c r="T2109" t="s">
        <v>2261</v>
      </c>
      <c r="U2109" t="s">
        <v>10</v>
      </c>
      <c r="V2109" s="5">
        <v>0</v>
      </c>
      <c r="W2109" s="5">
        <v>0</v>
      </c>
      <c r="X2109" s="2">
        <v>0</v>
      </c>
      <c r="Y2109" t="s">
        <v>4</v>
      </c>
      <c r="Z2109" t="s">
        <v>4</v>
      </c>
      <c r="AA2109" t="s">
        <v>4</v>
      </c>
      <c r="AB2109" t="s">
        <v>4</v>
      </c>
    </row>
    <row r="2110" spans="1:28" hidden="1" x14ac:dyDescent="0.2">
      <c r="A2110" t="s">
        <v>819</v>
      </c>
      <c r="B2110" t="s">
        <v>2</v>
      </c>
      <c r="C2110" t="s">
        <v>3</v>
      </c>
      <c r="D2110" t="s">
        <v>4</v>
      </c>
      <c r="E2110" t="s">
        <v>4</v>
      </c>
      <c r="F2110" t="s">
        <v>208</v>
      </c>
      <c r="G2110" t="s">
        <v>209</v>
      </c>
      <c r="H2110" t="s">
        <v>5515</v>
      </c>
      <c r="I2110" s="2">
        <v>1000</v>
      </c>
      <c r="J2110" s="2">
        <v>0</v>
      </c>
      <c r="K2110" s="2">
        <v>0</v>
      </c>
      <c r="L2110" s="3">
        <v>45623</v>
      </c>
      <c r="M2110" s="3">
        <v>45851</v>
      </c>
      <c r="N2110" s="3">
        <v>45850</v>
      </c>
      <c r="O2110" t="s">
        <v>4</v>
      </c>
      <c r="P2110" t="s">
        <v>20</v>
      </c>
      <c r="Q2110" s="4">
        <v>0.37585648148147999</v>
      </c>
      <c r="R2110" t="s">
        <v>208</v>
      </c>
      <c r="S2110" t="s">
        <v>4</v>
      </c>
      <c r="T2110" t="s">
        <v>5505</v>
      </c>
      <c r="U2110" t="s">
        <v>10</v>
      </c>
      <c r="V2110" s="5">
        <v>0</v>
      </c>
      <c r="W2110" s="5">
        <v>0</v>
      </c>
      <c r="X2110" s="2">
        <v>0</v>
      </c>
      <c r="Y2110" t="s">
        <v>4</v>
      </c>
      <c r="Z2110" t="s">
        <v>4</v>
      </c>
      <c r="AA2110" t="s">
        <v>4</v>
      </c>
      <c r="AB2110" t="s">
        <v>4</v>
      </c>
    </row>
    <row r="2111" spans="1:28" hidden="1" x14ac:dyDescent="0.2">
      <c r="A2111" t="s">
        <v>2251</v>
      </c>
      <c r="B2111" t="s">
        <v>4</v>
      </c>
      <c r="C2111" t="s">
        <v>4</v>
      </c>
      <c r="D2111" t="s">
        <v>4</v>
      </c>
      <c r="E2111" t="s">
        <v>4</v>
      </c>
      <c r="F2111" t="s">
        <v>208</v>
      </c>
      <c r="G2111" t="s">
        <v>209</v>
      </c>
      <c r="H2111" t="s">
        <v>5516</v>
      </c>
      <c r="I2111" s="5">
        <v>0</v>
      </c>
      <c r="J2111" s="5">
        <v>0</v>
      </c>
      <c r="K2111" s="5">
        <v>0</v>
      </c>
      <c r="L2111" s="3"/>
      <c r="M2111" s="3"/>
      <c r="N2111" s="3"/>
      <c r="O2111" t="s">
        <v>4</v>
      </c>
      <c r="P2111" t="s">
        <v>20</v>
      </c>
      <c r="Q2111" s="4">
        <v>0.70034722222222001</v>
      </c>
      <c r="R2111" t="s">
        <v>4</v>
      </c>
      <c r="S2111" t="s">
        <v>4</v>
      </c>
      <c r="T2111" t="s">
        <v>2256</v>
      </c>
      <c r="U2111" t="s">
        <v>4</v>
      </c>
      <c r="V2111" s="5">
        <v>0</v>
      </c>
      <c r="W2111" s="5">
        <v>0</v>
      </c>
      <c r="X2111" s="2">
        <v>0</v>
      </c>
      <c r="Y2111" t="s">
        <v>4</v>
      </c>
      <c r="Z2111" t="s">
        <v>4</v>
      </c>
      <c r="AA2111" t="s">
        <v>4</v>
      </c>
      <c r="AB2111" t="s">
        <v>4</v>
      </c>
    </row>
    <row r="2112" spans="1:28" hidden="1" x14ac:dyDescent="0.2">
      <c r="A2112" t="s">
        <v>1142</v>
      </c>
      <c r="B2112" t="s">
        <v>2</v>
      </c>
      <c r="C2112" t="s">
        <v>3</v>
      </c>
      <c r="D2112" t="s">
        <v>4</v>
      </c>
      <c r="E2112" t="s">
        <v>4</v>
      </c>
      <c r="F2112" t="s">
        <v>208</v>
      </c>
      <c r="G2112" t="s">
        <v>209</v>
      </c>
      <c r="H2112" t="s">
        <v>5517</v>
      </c>
      <c r="I2112" s="2">
        <v>410</v>
      </c>
      <c r="J2112" s="2">
        <v>0</v>
      </c>
      <c r="K2112" s="2">
        <v>0</v>
      </c>
      <c r="L2112" s="3">
        <v>45850</v>
      </c>
      <c r="M2112" s="3">
        <v>45852</v>
      </c>
      <c r="N2112" s="3">
        <v>45852</v>
      </c>
      <c r="O2112" t="s">
        <v>4</v>
      </c>
      <c r="P2112" t="s">
        <v>20</v>
      </c>
      <c r="Q2112" s="4">
        <v>0.46050925925926001</v>
      </c>
      <c r="R2112" t="s">
        <v>208</v>
      </c>
      <c r="S2112" t="s">
        <v>4</v>
      </c>
      <c r="T2112" t="s">
        <v>2680</v>
      </c>
      <c r="U2112" t="s">
        <v>10</v>
      </c>
      <c r="V2112" s="5">
        <v>0</v>
      </c>
      <c r="W2112" s="5">
        <v>0</v>
      </c>
      <c r="X2112" s="2">
        <v>0</v>
      </c>
      <c r="Y2112" t="s">
        <v>4</v>
      </c>
      <c r="Z2112" t="s">
        <v>4</v>
      </c>
      <c r="AA2112" t="s">
        <v>4</v>
      </c>
      <c r="AB2112" t="s">
        <v>4</v>
      </c>
    </row>
    <row r="2113" spans="1:28" hidden="1" x14ac:dyDescent="0.2">
      <c r="A2113" t="s">
        <v>2251</v>
      </c>
      <c r="B2113" t="s">
        <v>4</v>
      </c>
      <c r="C2113" t="s">
        <v>4</v>
      </c>
      <c r="D2113" t="s">
        <v>4</v>
      </c>
      <c r="E2113" t="s">
        <v>4</v>
      </c>
      <c r="F2113" t="s">
        <v>208</v>
      </c>
      <c r="G2113" t="s">
        <v>209</v>
      </c>
      <c r="H2113" t="s">
        <v>5518</v>
      </c>
      <c r="I2113" s="5">
        <v>0</v>
      </c>
      <c r="J2113" s="5">
        <v>0</v>
      </c>
      <c r="K2113" s="5">
        <v>0</v>
      </c>
      <c r="L2113" s="3"/>
      <c r="M2113" s="3"/>
      <c r="N2113" s="3"/>
      <c r="O2113" t="s">
        <v>4</v>
      </c>
      <c r="P2113" t="s">
        <v>9</v>
      </c>
      <c r="Q2113" s="4">
        <v>0.92981481481480999</v>
      </c>
      <c r="R2113" t="s">
        <v>4</v>
      </c>
      <c r="S2113" t="s">
        <v>4</v>
      </c>
      <c r="T2113" t="s">
        <v>2256</v>
      </c>
      <c r="U2113" t="s">
        <v>4</v>
      </c>
      <c r="V2113" s="5">
        <v>0</v>
      </c>
      <c r="W2113" s="5">
        <v>0</v>
      </c>
      <c r="X2113" s="2">
        <v>0</v>
      </c>
      <c r="Y2113" t="s">
        <v>4</v>
      </c>
      <c r="Z2113" t="s">
        <v>4</v>
      </c>
      <c r="AA2113" t="s">
        <v>4</v>
      </c>
      <c r="AB2113" t="s">
        <v>4</v>
      </c>
    </row>
    <row r="2114" spans="1:28" hidden="1" x14ac:dyDescent="0.2">
      <c r="A2114" t="s">
        <v>1809</v>
      </c>
      <c r="B2114" t="s">
        <v>2</v>
      </c>
      <c r="C2114" t="s">
        <v>3</v>
      </c>
      <c r="D2114" t="s">
        <v>4</v>
      </c>
      <c r="E2114" t="s">
        <v>4</v>
      </c>
      <c r="F2114" t="s">
        <v>208</v>
      </c>
      <c r="G2114" t="s">
        <v>209</v>
      </c>
      <c r="H2114" t="s">
        <v>5519</v>
      </c>
      <c r="I2114" s="2">
        <v>2450</v>
      </c>
      <c r="J2114" s="2">
        <v>0</v>
      </c>
      <c r="K2114" s="2">
        <v>0</v>
      </c>
      <c r="L2114" s="3">
        <v>45859</v>
      </c>
      <c r="M2114" s="3">
        <v>45860</v>
      </c>
      <c r="N2114" s="3">
        <v>45859</v>
      </c>
      <c r="O2114" t="s">
        <v>4</v>
      </c>
      <c r="P2114" t="s">
        <v>9</v>
      </c>
      <c r="Q2114" s="4">
        <v>0.51178240740740999</v>
      </c>
      <c r="R2114" t="s">
        <v>208</v>
      </c>
      <c r="S2114" t="s">
        <v>4</v>
      </c>
      <c r="T2114" t="s">
        <v>2261</v>
      </c>
      <c r="U2114" t="s">
        <v>10</v>
      </c>
      <c r="V2114" s="5">
        <v>0</v>
      </c>
      <c r="W2114" s="5">
        <v>0</v>
      </c>
      <c r="X2114" s="2">
        <v>0</v>
      </c>
      <c r="Y2114" t="s">
        <v>4</v>
      </c>
      <c r="Z2114" t="s">
        <v>4</v>
      </c>
      <c r="AA2114" t="s">
        <v>4</v>
      </c>
      <c r="AB2114" t="s">
        <v>4</v>
      </c>
    </row>
    <row r="2115" spans="1:28" hidden="1" x14ac:dyDescent="0.2">
      <c r="A2115" t="s">
        <v>1930</v>
      </c>
      <c r="B2115" t="s">
        <v>2</v>
      </c>
      <c r="C2115" t="s">
        <v>3</v>
      </c>
      <c r="D2115" t="s">
        <v>4</v>
      </c>
      <c r="E2115" t="s">
        <v>4</v>
      </c>
      <c r="F2115" t="s">
        <v>208</v>
      </c>
      <c r="G2115" t="s">
        <v>209</v>
      </c>
      <c r="H2115" t="s">
        <v>5520</v>
      </c>
      <c r="I2115" s="2">
        <v>252</v>
      </c>
      <c r="J2115" s="2">
        <v>0</v>
      </c>
      <c r="K2115" s="2">
        <v>0</v>
      </c>
      <c r="L2115" s="3">
        <v>45852</v>
      </c>
      <c r="M2115" s="3">
        <v>45852</v>
      </c>
      <c r="N2115" s="3">
        <v>45852</v>
      </c>
      <c r="O2115" t="s">
        <v>4</v>
      </c>
      <c r="P2115" t="s">
        <v>20</v>
      </c>
      <c r="Q2115" s="4">
        <v>0.58194444444444005</v>
      </c>
      <c r="R2115" t="s">
        <v>208</v>
      </c>
      <c r="S2115" t="s">
        <v>4</v>
      </c>
      <c r="T2115" t="s">
        <v>2669</v>
      </c>
      <c r="U2115" t="s">
        <v>10</v>
      </c>
      <c r="V2115" s="5">
        <v>0</v>
      </c>
      <c r="W2115" s="5">
        <v>0</v>
      </c>
      <c r="X2115" s="2">
        <v>0</v>
      </c>
      <c r="Y2115" t="s">
        <v>4</v>
      </c>
      <c r="Z2115" t="s">
        <v>4</v>
      </c>
      <c r="AA2115" t="s">
        <v>4</v>
      </c>
      <c r="AB2115" t="s">
        <v>4</v>
      </c>
    </row>
    <row r="2116" spans="1:28" hidden="1" x14ac:dyDescent="0.2">
      <c r="A2116" t="s">
        <v>2187</v>
      </c>
      <c r="B2116" t="s">
        <v>2</v>
      </c>
      <c r="C2116" t="s">
        <v>3</v>
      </c>
      <c r="D2116" t="s">
        <v>4</v>
      </c>
      <c r="E2116" t="s">
        <v>4</v>
      </c>
      <c r="F2116" t="s">
        <v>208</v>
      </c>
      <c r="G2116" t="s">
        <v>209</v>
      </c>
      <c r="H2116" t="s">
        <v>5521</v>
      </c>
      <c r="I2116" s="2">
        <v>208</v>
      </c>
      <c r="J2116" s="2">
        <v>0</v>
      </c>
      <c r="K2116" s="2">
        <v>0</v>
      </c>
      <c r="L2116" s="3">
        <v>45859</v>
      </c>
      <c r="M2116" s="3">
        <v>45859</v>
      </c>
      <c r="N2116" s="3">
        <v>45859</v>
      </c>
      <c r="O2116" t="s">
        <v>4</v>
      </c>
      <c r="P2116" t="s">
        <v>20</v>
      </c>
      <c r="Q2116" s="4">
        <v>0.89432870370369999</v>
      </c>
      <c r="R2116" t="s">
        <v>208</v>
      </c>
      <c r="S2116" t="s">
        <v>4</v>
      </c>
      <c r="T2116" t="s">
        <v>2261</v>
      </c>
      <c r="U2116" t="s">
        <v>10</v>
      </c>
      <c r="V2116" s="5">
        <v>0</v>
      </c>
      <c r="W2116" s="5">
        <v>0</v>
      </c>
      <c r="X2116" s="2">
        <v>0</v>
      </c>
      <c r="Y2116" t="s">
        <v>4</v>
      </c>
      <c r="Z2116" t="s">
        <v>4</v>
      </c>
      <c r="AA2116" t="s">
        <v>4</v>
      </c>
      <c r="AB2116" t="s">
        <v>4</v>
      </c>
    </row>
    <row r="2117" spans="1:28" hidden="1" x14ac:dyDescent="0.2">
      <c r="A2117" t="s">
        <v>808</v>
      </c>
      <c r="B2117" t="s">
        <v>2</v>
      </c>
      <c r="C2117" t="s">
        <v>3</v>
      </c>
      <c r="D2117" t="s">
        <v>4</v>
      </c>
      <c r="E2117" t="s">
        <v>4</v>
      </c>
      <c r="F2117" t="s">
        <v>208</v>
      </c>
      <c r="G2117" t="s">
        <v>209</v>
      </c>
      <c r="H2117" t="s">
        <v>5522</v>
      </c>
      <c r="I2117" s="2">
        <v>1000</v>
      </c>
      <c r="J2117" s="2">
        <v>0</v>
      </c>
      <c r="K2117" s="2">
        <v>0</v>
      </c>
      <c r="L2117" s="3">
        <v>45854</v>
      </c>
      <c r="M2117" s="3">
        <v>45859</v>
      </c>
      <c r="N2117" s="3">
        <v>45854</v>
      </c>
      <c r="O2117" t="s">
        <v>4</v>
      </c>
      <c r="P2117" t="s">
        <v>20</v>
      </c>
      <c r="Q2117" s="4">
        <v>0.78650462962962997</v>
      </c>
      <c r="R2117" t="s">
        <v>208</v>
      </c>
      <c r="S2117" t="s">
        <v>4</v>
      </c>
      <c r="T2117" t="s">
        <v>2299</v>
      </c>
      <c r="U2117" t="s">
        <v>10</v>
      </c>
      <c r="V2117" s="5">
        <v>0</v>
      </c>
      <c r="W2117" s="5">
        <v>0</v>
      </c>
      <c r="X2117" s="2">
        <v>0</v>
      </c>
      <c r="Y2117" t="s">
        <v>4</v>
      </c>
      <c r="Z2117" t="s">
        <v>4</v>
      </c>
      <c r="AA2117" t="s">
        <v>4</v>
      </c>
      <c r="AB2117" t="s">
        <v>4</v>
      </c>
    </row>
    <row r="2118" spans="1:28" hidden="1" x14ac:dyDescent="0.2">
      <c r="A2118" t="s">
        <v>2251</v>
      </c>
      <c r="B2118" t="s">
        <v>4</v>
      </c>
      <c r="C2118" t="s">
        <v>4</v>
      </c>
      <c r="D2118" t="s">
        <v>4</v>
      </c>
      <c r="E2118" t="s">
        <v>4</v>
      </c>
      <c r="F2118" t="s">
        <v>208</v>
      </c>
      <c r="G2118" t="s">
        <v>209</v>
      </c>
      <c r="H2118" t="s">
        <v>5523</v>
      </c>
      <c r="I2118" s="5">
        <v>0</v>
      </c>
      <c r="J2118" s="5">
        <v>0</v>
      </c>
      <c r="K2118" s="5">
        <v>0</v>
      </c>
      <c r="L2118" s="3"/>
      <c r="M2118" s="3"/>
      <c r="N2118" s="3"/>
      <c r="O2118" t="s">
        <v>4</v>
      </c>
      <c r="P2118" t="s">
        <v>20</v>
      </c>
      <c r="Q2118" s="4">
        <v>0.70576388888888997</v>
      </c>
      <c r="R2118" t="s">
        <v>4</v>
      </c>
      <c r="S2118" t="s">
        <v>4</v>
      </c>
      <c r="T2118" t="s">
        <v>2256</v>
      </c>
      <c r="U2118" t="s">
        <v>4</v>
      </c>
      <c r="V2118" s="5">
        <v>0</v>
      </c>
      <c r="W2118" s="5">
        <v>0</v>
      </c>
      <c r="X2118" s="2">
        <v>0</v>
      </c>
      <c r="Y2118" t="s">
        <v>4</v>
      </c>
      <c r="Z2118" t="s">
        <v>4</v>
      </c>
      <c r="AA2118" t="s">
        <v>4</v>
      </c>
      <c r="AB2118" t="s">
        <v>4</v>
      </c>
    </row>
    <row r="2119" spans="1:28" hidden="1" x14ac:dyDescent="0.2">
      <c r="A2119" t="s">
        <v>1952</v>
      </c>
      <c r="B2119" t="s">
        <v>2</v>
      </c>
      <c r="C2119" t="s">
        <v>3</v>
      </c>
      <c r="D2119" t="s">
        <v>4</v>
      </c>
      <c r="E2119" t="s">
        <v>4</v>
      </c>
      <c r="F2119" t="s">
        <v>208</v>
      </c>
      <c r="G2119" t="s">
        <v>209</v>
      </c>
      <c r="H2119" t="s">
        <v>5524</v>
      </c>
      <c r="I2119" s="2">
        <v>1200</v>
      </c>
      <c r="J2119" s="2">
        <v>0</v>
      </c>
      <c r="K2119" s="2">
        <v>0</v>
      </c>
      <c r="L2119" s="3">
        <v>45854</v>
      </c>
      <c r="M2119" s="3">
        <v>45856</v>
      </c>
      <c r="N2119" s="3"/>
      <c r="O2119" t="s">
        <v>4</v>
      </c>
      <c r="P2119" t="s">
        <v>20</v>
      </c>
      <c r="Q2119" s="4">
        <v>0.68438657407407</v>
      </c>
      <c r="R2119" t="s">
        <v>208</v>
      </c>
      <c r="S2119" t="s">
        <v>4</v>
      </c>
      <c r="T2119" t="s">
        <v>2299</v>
      </c>
      <c r="U2119" t="s">
        <v>10</v>
      </c>
      <c r="V2119" s="5">
        <v>0</v>
      </c>
      <c r="W2119" s="5">
        <v>0</v>
      </c>
      <c r="X2119" s="2">
        <v>0</v>
      </c>
      <c r="Y2119" t="s">
        <v>4</v>
      </c>
      <c r="Z2119" t="s">
        <v>4</v>
      </c>
      <c r="AA2119" t="s">
        <v>4</v>
      </c>
      <c r="AB2119" t="s">
        <v>4</v>
      </c>
    </row>
    <row r="2120" spans="1:28" hidden="1" x14ac:dyDescent="0.2">
      <c r="A2120" t="s">
        <v>2251</v>
      </c>
      <c r="B2120" t="s">
        <v>4</v>
      </c>
      <c r="C2120" t="s">
        <v>4</v>
      </c>
      <c r="D2120" t="s">
        <v>4</v>
      </c>
      <c r="E2120" t="s">
        <v>4</v>
      </c>
      <c r="F2120" t="s">
        <v>208</v>
      </c>
      <c r="G2120" t="s">
        <v>209</v>
      </c>
      <c r="H2120" t="s">
        <v>5525</v>
      </c>
      <c r="I2120" s="5">
        <v>0</v>
      </c>
      <c r="J2120" s="5">
        <v>0</v>
      </c>
      <c r="K2120" s="5">
        <v>0</v>
      </c>
      <c r="L2120" s="3"/>
      <c r="M2120" s="3"/>
      <c r="N2120" s="3"/>
      <c r="O2120" t="s">
        <v>4</v>
      </c>
      <c r="P2120" t="s">
        <v>20</v>
      </c>
      <c r="Q2120" s="4">
        <v>0.55038194444444</v>
      </c>
      <c r="R2120" t="s">
        <v>4</v>
      </c>
      <c r="S2120" t="s">
        <v>4</v>
      </c>
      <c r="T2120" t="s">
        <v>2256</v>
      </c>
      <c r="U2120" t="s">
        <v>4</v>
      </c>
      <c r="V2120" s="5">
        <v>0</v>
      </c>
      <c r="W2120" s="5">
        <v>0</v>
      </c>
      <c r="X2120" s="2">
        <v>0</v>
      </c>
      <c r="Y2120" t="s">
        <v>4</v>
      </c>
      <c r="Z2120" t="s">
        <v>4</v>
      </c>
      <c r="AA2120" t="s">
        <v>4</v>
      </c>
      <c r="AB2120" t="s">
        <v>4</v>
      </c>
    </row>
    <row r="2121" spans="1:28" hidden="1" x14ac:dyDescent="0.2">
      <c r="A2121" t="s">
        <v>2251</v>
      </c>
      <c r="B2121" t="s">
        <v>4</v>
      </c>
      <c r="C2121" t="s">
        <v>4</v>
      </c>
      <c r="D2121" t="s">
        <v>4</v>
      </c>
      <c r="E2121" t="s">
        <v>4</v>
      </c>
      <c r="F2121" t="s">
        <v>208</v>
      </c>
      <c r="G2121" t="s">
        <v>209</v>
      </c>
      <c r="H2121" t="s">
        <v>5526</v>
      </c>
      <c r="I2121" s="5">
        <v>0</v>
      </c>
      <c r="J2121" s="5">
        <v>0</v>
      </c>
      <c r="K2121" s="5">
        <v>0</v>
      </c>
      <c r="L2121" s="3"/>
      <c r="M2121" s="3"/>
      <c r="N2121" s="3"/>
      <c r="O2121" t="s">
        <v>4</v>
      </c>
      <c r="P2121" t="s">
        <v>9</v>
      </c>
      <c r="Q2121" s="4">
        <v>0.92737268518519</v>
      </c>
      <c r="R2121" t="s">
        <v>4</v>
      </c>
      <c r="S2121" t="s">
        <v>4</v>
      </c>
      <c r="T2121" t="s">
        <v>2256</v>
      </c>
      <c r="U2121" t="s">
        <v>4</v>
      </c>
      <c r="V2121" s="5">
        <v>0</v>
      </c>
      <c r="W2121" s="5">
        <v>0</v>
      </c>
      <c r="X2121" s="2">
        <v>0</v>
      </c>
      <c r="Y2121" t="s">
        <v>4</v>
      </c>
      <c r="Z2121" t="s">
        <v>4</v>
      </c>
      <c r="AA2121" t="s">
        <v>4</v>
      </c>
      <c r="AB2121" t="s">
        <v>4</v>
      </c>
    </row>
    <row r="2122" spans="1:28" hidden="1" x14ac:dyDescent="0.2">
      <c r="A2122" t="s">
        <v>2251</v>
      </c>
      <c r="B2122" t="s">
        <v>4</v>
      </c>
      <c r="C2122" t="s">
        <v>4</v>
      </c>
      <c r="D2122" t="s">
        <v>4</v>
      </c>
      <c r="E2122" t="s">
        <v>4</v>
      </c>
      <c r="F2122" t="s">
        <v>208</v>
      </c>
      <c r="G2122" t="s">
        <v>209</v>
      </c>
      <c r="H2122" t="s">
        <v>5527</v>
      </c>
      <c r="I2122" s="5">
        <v>0</v>
      </c>
      <c r="J2122" s="5">
        <v>0</v>
      </c>
      <c r="K2122" s="5">
        <v>0</v>
      </c>
      <c r="L2122" s="3"/>
      <c r="M2122" s="3"/>
      <c r="N2122" s="3"/>
      <c r="O2122" t="s">
        <v>4</v>
      </c>
      <c r="P2122" t="s">
        <v>9</v>
      </c>
      <c r="Q2122" s="4">
        <v>0.54196759259258998</v>
      </c>
      <c r="R2122" t="s">
        <v>4</v>
      </c>
      <c r="S2122" t="s">
        <v>4</v>
      </c>
      <c r="T2122" t="s">
        <v>2256</v>
      </c>
      <c r="U2122" t="s">
        <v>4</v>
      </c>
      <c r="V2122" s="5">
        <v>0</v>
      </c>
      <c r="W2122" s="5">
        <v>0</v>
      </c>
      <c r="X2122" s="2">
        <v>0</v>
      </c>
      <c r="Y2122" t="s">
        <v>4</v>
      </c>
      <c r="Z2122" t="s">
        <v>4</v>
      </c>
      <c r="AA2122" t="s">
        <v>4</v>
      </c>
      <c r="AB2122" t="s">
        <v>4</v>
      </c>
    </row>
    <row r="2123" spans="1:28" hidden="1" x14ac:dyDescent="0.2">
      <c r="A2123" t="s">
        <v>1547</v>
      </c>
      <c r="B2123" t="s">
        <v>2</v>
      </c>
      <c r="C2123" t="s">
        <v>3</v>
      </c>
      <c r="D2123" t="s">
        <v>4</v>
      </c>
      <c r="E2123" t="s">
        <v>4</v>
      </c>
      <c r="F2123" t="s">
        <v>208</v>
      </c>
      <c r="G2123" t="s">
        <v>209</v>
      </c>
      <c r="H2123" t="s">
        <v>5528</v>
      </c>
      <c r="I2123" s="2">
        <v>342</v>
      </c>
      <c r="J2123" s="2">
        <v>0</v>
      </c>
      <c r="K2123" s="2">
        <v>0</v>
      </c>
      <c r="L2123" s="3">
        <v>45849</v>
      </c>
      <c r="M2123" s="3">
        <v>45850</v>
      </c>
      <c r="N2123" s="3">
        <v>45850</v>
      </c>
      <c r="O2123" t="s">
        <v>4</v>
      </c>
      <c r="P2123" t="s">
        <v>20</v>
      </c>
      <c r="Q2123" s="4">
        <v>0.65364583333333004</v>
      </c>
      <c r="R2123" t="s">
        <v>208</v>
      </c>
      <c r="S2123" t="s">
        <v>4</v>
      </c>
      <c r="T2123" t="s">
        <v>2321</v>
      </c>
      <c r="U2123" t="s">
        <v>10</v>
      </c>
      <c r="V2123" s="5">
        <v>0</v>
      </c>
      <c r="W2123" s="5">
        <v>0</v>
      </c>
      <c r="X2123" s="2">
        <v>0</v>
      </c>
      <c r="Y2123" t="s">
        <v>4</v>
      </c>
      <c r="Z2123" t="s">
        <v>4</v>
      </c>
      <c r="AA2123" t="s">
        <v>4</v>
      </c>
      <c r="AB2123" t="s">
        <v>4</v>
      </c>
    </row>
    <row r="2124" spans="1:28" hidden="1" x14ac:dyDescent="0.2">
      <c r="A2124" t="s">
        <v>1535</v>
      </c>
      <c r="B2124" t="s">
        <v>2</v>
      </c>
      <c r="C2124" t="s">
        <v>3</v>
      </c>
      <c r="D2124" t="s">
        <v>4</v>
      </c>
      <c r="E2124" t="s">
        <v>4</v>
      </c>
      <c r="F2124" t="s">
        <v>208</v>
      </c>
      <c r="G2124" t="s">
        <v>209</v>
      </c>
      <c r="H2124" t="s">
        <v>5529</v>
      </c>
      <c r="I2124" s="2">
        <v>108</v>
      </c>
      <c r="J2124" s="2">
        <v>0</v>
      </c>
      <c r="K2124" s="2">
        <v>0</v>
      </c>
      <c r="L2124" s="3">
        <v>45851</v>
      </c>
      <c r="M2124" s="3">
        <v>45852</v>
      </c>
      <c r="N2124" s="3">
        <v>45852</v>
      </c>
      <c r="O2124" t="s">
        <v>4</v>
      </c>
      <c r="P2124" t="s">
        <v>20</v>
      </c>
      <c r="Q2124" s="4">
        <v>0.89967592592593004</v>
      </c>
      <c r="R2124" t="s">
        <v>208</v>
      </c>
      <c r="S2124" t="s">
        <v>4</v>
      </c>
      <c r="T2124" t="s">
        <v>2747</v>
      </c>
      <c r="U2124" t="s">
        <v>10</v>
      </c>
      <c r="V2124" s="5">
        <v>0</v>
      </c>
      <c r="W2124" s="5">
        <v>0</v>
      </c>
      <c r="X2124" s="2">
        <v>0</v>
      </c>
      <c r="Y2124" t="s">
        <v>4</v>
      </c>
      <c r="Z2124" t="s">
        <v>4</v>
      </c>
      <c r="AA2124" t="s">
        <v>4</v>
      </c>
      <c r="AB2124" t="s">
        <v>4</v>
      </c>
    </row>
    <row r="2125" spans="1:28" hidden="1" x14ac:dyDescent="0.2">
      <c r="A2125" t="s">
        <v>509</v>
      </c>
      <c r="B2125" t="s">
        <v>2</v>
      </c>
      <c r="C2125" t="s">
        <v>3</v>
      </c>
      <c r="D2125" t="s">
        <v>4</v>
      </c>
      <c r="E2125" t="s">
        <v>4</v>
      </c>
      <c r="F2125" t="s">
        <v>208</v>
      </c>
      <c r="G2125" t="s">
        <v>209</v>
      </c>
      <c r="H2125" t="s">
        <v>5530</v>
      </c>
      <c r="I2125" s="2">
        <v>400</v>
      </c>
      <c r="J2125" s="2">
        <v>0</v>
      </c>
      <c r="K2125" s="2">
        <v>0</v>
      </c>
      <c r="L2125" s="3">
        <v>45849</v>
      </c>
      <c r="M2125" s="3">
        <v>45849</v>
      </c>
      <c r="N2125" s="3"/>
      <c r="O2125" t="s">
        <v>4</v>
      </c>
      <c r="P2125" t="s">
        <v>20</v>
      </c>
      <c r="Q2125" s="4">
        <v>0.63564814814814996</v>
      </c>
      <c r="R2125" t="s">
        <v>208</v>
      </c>
      <c r="S2125" t="s">
        <v>4</v>
      </c>
      <c r="T2125" t="s">
        <v>2321</v>
      </c>
      <c r="U2125" t="s">
        <v>10</v>
      </c>
      <c r="V2125" s="5">
        <v>0</v>
      </c>
      <c r="W2125" s="5">
        <v>0</v>
      </c>
      <c r="X2125" s="2">
        <v>0</v>
      </c>
      <c r="Y2125" t="s">
        <v>4</v>
      </c>
      <c r="Z2125" t="s">
        <v>4</v>
      </c>
      <c r="AA2125" t="s">
        <v>4</v>
      </c>
      <c r="AB2125" t="s">
        <v>4</v>
      </c>
    </row>
    <row r="2126" spans="1:28" hidden="1" x14ac:dyDescent="0.2">
      <c r="A2126" t="s">
        <v>476</v>
      </c>
      <c r="B2126" t="s">
        <v>2</v>
      </c>
      <c r="C2126" t="s">
        <v>3</v>
      </c>
      <c r="D2126" t="s">
        <v>4</v>
      </c>
      <c r="E2126" t="s">
        <v>4</v>
      </c>
      <c r="F2126" t="s">
        <v>208</v>
      </c>
      <c r="G2126" t="s">
        <v>209</v>
      </c>
      <c r="H2126" t="s">
        <v>5531</v>
      </c>
      <c r="I2126" s="2">
        <v>840</v>
      </c>
      <c r="J2126" s="2">
        <v>0</v>
      </c>
      <c r="K2126" s="2">
        <v>0</v>
      </c>
      <c r="L2126" s="3">
        <v>45821</v>
      </c>
      <c r="M2126" s="3">
        <v>45847</v>
      </c>
      <c r="N2126" s="3">
        <v>45847</v>
      </c>
      <c r="O2126" t="s">
        <v>4</v>
      </c>
      <c r="P2126" t="s">
        <v>20</v>
      </c>
      <c r="Q2126" s="4">
        <v>0.68391203703703995</v>
      </c>
      <c r="R2126" t="s">
        <v>208</v>
      </c>
      <c r="S2126" t="s">
        <v>4</v>
      </c>
      <c r="T2126" t="s">
        <v>4228</v>
      </c>
      <c r="U2126" t="s">
        <v>10</v>
      </c>
      <c r="V2126" s="5">
        <v>0</v>
      </c>
      <c r="W2126" s="5">
        <v>0</v>
      </c>
      <c r="X2126" s="2">
        <v>0</v>
      </c>
      <c r="Y2126" t="s">
        <v>4</v>
      </c>
      <c r="Z2126" t="s">
        <v>4</v>
      </c>
      <c r="AA2126" t="s">
        <v>4</v>
      </c>
      <c r="AB2126" t="s">
        <v>4</v>
      </c>
    </row>
    <row r="2127" spans="1:28" hidden="1" x14ac:dyDescent="0.2">
      <c r="A2127" t="s">
        <v>1327</v>
      </c>
      <c r="B2127" t="s">
        <v>2</v>
      </c>
      <c r="C2127" t="s">
        <v>3</v>
      </c>
      <c r="D2127" t="s">
        <v>4</v>
      </c>
      <c r="E2127" t="s">
        <v>4</v>
      </c>
      <c r="F2127" t="s">
        <v>208</v>
      </c>
      <c r="G2127" t="s">
        <v>209</v>
      </c>
      <c r="H2127" t="s">
        <v>5532</v>
      </c>
      <c r="I2127" s="2">
        <v>300</v>
      </c>
      <c r="J2127" s="2">
        <v>0</v>
      </c>
      <c r="K2127" s="2">
        <v>0</v>
      </c>
      <c r="L2127" s="3">
        <v>45849</v>
      </c>
      <c r="M2127" s="3">
        <v>45851</v>
      </c>
      <c r="N2127" s="3"/>
      <c r="O2127" t="s">
        <v>4</v>
      </c>
      <c r="P2127" t="s">
        <v>20</v>
      </c>
      <c r="Q2127" s="4">
        <v>0.37585648148147999</v>
      </c>
      <c r="R2127" t="s">
        <v>208</v>
      </c>
      <c r="S2127" t="s">
        <v>4</v>
      </c>
      <c r="T2127" t="s">
        <v>2321</v>
      </c>
      <c r="U2127" t="s">
        <v>10</v>
      </c>
      <c r="V2127" s="5">
        <v>0</v>
      </c>
      <c r="W2127" s="5">
        <v>0</v>
      </c>
      <c r="X2127" s="2">
        <v>0</v>
      </c>
      <c r="Y2127" t="s">
        <v>4</v>
      </c>
      <c r="Z2127" t="s">
        <v>4</v>
      </c>
      <c r="AA2127" t="s">
        <v>4</v>
      </c>
      <c r="AB2127" t="s">
        <v>4</v>
      </c>
    </row>
    <row r="2128" spans="1:28" hidden="1" x14ac:dyDescent="0.2">
      <c r="A2128" t="s">
        <v>1331</v>
      </c>
      <c r="B2128" t="s">
        <v>2</v>
      </c>
      <c r="C2128" t="s">
        <v>3</v>
      </c>
      <c r="D2128" t="s">
        <v>4</v>
      </c>
      <c r="E2128" t="s">
        <v>4</v>
      </c>
      <c r="F2128" t="s">
        <v>208</v>
      </c>
      <c r="G2128" t="s">
        <v>209</v>
      </c>
      <c r="H2128" t="s">
        <v>5533</v>
      </c>
      <c r="I2128" s="2">
        <v>2100</v>
      </c>
      <c r="J2128" s="2">
        <v>0</v>
      </c>
      <c r="K2128" s="2">
        <v>0</v>
      </c>
      <c r="L2128" s="3">
        <v>45859</v>
      </c>
      <c r="M2128" s="3">
        <v>45860</v>
      </c>
      <c r="N2128" s="3"/>
      <c r="O2128" t="s">
        <v>4</v>
      </c>
      <c r="P2128" t="s">
        <v>20</v>
      </c>
      <c r="Q2128" s="4">
        <v>0.31515046296296001</v>
      </c>
      <c r="R2128" t="s">
        <v>208</v>
      </c>
      <c r="S2128" t="s">
        <v>4</v>
      </c>
      <c r="T2128" t="s">
        <v>2261</v>
      </c>
      <c r="U2128" t="s">
        <v>10</v>
      </c>
      <c r="V2128" s="5">
        <v>0</v>
      </c>
      <c r="W2128" s="5">
        <v>0</v>
      </c>
      <c r="X2128" s="2">
        <v>0</v>
      </c>
      <c r="Y2128" t="s">
        <v>4</v>
      </c>
      <c r="Z2128" t="s">
        <v>4</v>
      </c>
      <c r="AA2128" t="s">
        <v>4</v>
      </c>
      <c r="AB2128" t="s">
        <v>4</v>
      </c>
    </row>
    <row r="2129" spans="1:28" hidden="1" x14ac:dyDescent="0.2">
      <c r="A2129" t="s">
        <v>1490</v>
      </c>
      <c r="B2129" t="s">
        <v>2</v>
      </c>
      <c r="C2129" t="s">
        <v>3</v>
      </c>
      <c r="D2129" t="s">
        <v>4</v>
      </c>
      <c r="E2129" t="s">
        <v>4</v>
      </c>
      <c r="F2129" t="s">
        <v>208</v>
      </c>
      <c r="G2129" t="s">
        <v>209</v>
      </c>
      <c r="H2129" t="s">
        <v>5534</v>
      </c>
      <c r="I2129" s="2">
        <v>31</v>
      </c>
      <c r="J2129" s="2">
        <v>0</v>
      </c>
      <c r="K2129" s="2">
        <v>0</v>
      </c>
      <c r="L2129" s="3">
        <v>45779</v>
      </c>
      <c r="M2129" s="3">
        <v>45779</v>
      </c>
      <c r="N2129" s="3"/>
      <c r="O2129" t="s">
        <v>4</v>
      </c>
      <c r="P2129" t="s">
        <v>20</v>
      </c>
      <c r="Q2129" s="4">
        <v>0.76990740740741004</v>
      </c>
      <c r="R2129" t="s">
        <v>208</v>
      </c>
      <c r="S2129" t="s">
        <v>4</v>
      </c>
      <c r="T2129" t="s">
        <v>2775</v>
      </c>
      <c r="U2129" t="s">
        <v>10</v>
      </c>
      <c r="V2129" s="5">
        <v>0</v>
      </c>
      <c r="W2129" s="5">
        <v>0</v>
      </c>
      <c r="X2129" s="2">
        <v>0</v>
      </c>
      <c r="Y2129" t="s">
        <v>4</v>
      </c>
      <c r="Z2129" t="s">
        <v>4</v>
      </c>
      <c r="AA2129" t="s">
        <v>4</v>
      </c>
      <c r="AB2129" t="s">
        <v>4</v>
      </c>
    </row>
    <row r="2130" spans="1:28" hidden="1" x14ac:dyDescent="0.2">
      <c r="A2130" t="s">
        <v>1303</v>
      </c>
      <c r="B2130" t="s">
        <v>2</v>
      </c>
      <c r="C2130" t="s">
        <v>3</v>
      </c>
      <c r="D2130" t="s">
        <v>4</v>
      </c>
      <c r="E2130" t="s">
        <v>4</v>
      </c>
      <c r="F2130" t="s">
        <v>208</v>
      </c>
      <c r="G2130" t="s">
        <v>209</v>
      </c>
      <c r="H2130" t="s">
        <v>5534</v>
      </c>
      <c r="I2130" s="2">
        <v>777</v>
      </c>
      <c r="J2130" s="2">
        <v>0</v>
      </c>
      <c r="K2130" s="2">
        <v>0</v>
      </c>
      <c r="L2130" s="3">
        <v>45851</v>
      </c>
      <c r="M2130" s="3">
        <v>45854</v>
      </c>
      <c r="N2130" s="3">
        <v>45854</v>
      </c>
      <c r="O2130" t="s">
        <v>4</v>
      </c>
      <c r="P2130" t="s">
        <v>20</v>
      </c>
      <c r="Q2130" s="4">
        <v>0.76990740740741004</v>
      </c>
      <c r="R2130" t="s">
        <v>208</v>
      </c>
      <c r="S2130" t="s">
        <v>4</v>
      </c>
      <c r="T2130" t="s">
        <v>2747</v>
      </c>
      <c r="U2130" t="s">
        <v>10</v>
      </c>
      <c r="V2130" s="5">
        <v>0</v>
      </c>
      <c r="W2130" s="5">
        <v>0</v>
      </c>
      <c r="X2130" s="2">
        <v>0</v>
      </c>
      <c r="Y2130" t="s">
        <v>4</v>
      </c>
      <c r="Z2130" t="s">
        <v>4</v>
      </c>
      <c r="AA2130" t="s">
        <v>4</v>
      </c>
      <c r="AB2130" t="s">
        <v>4</v>
      </c>
    </row>
    <row r="2131" spans="1:28" hidden="1" x14ac:dyDescent="0.2">
      <c r="A2131" t="s">
        <v>1190</v>
      </c>
      <c r="B2131" t="s">
        <v>2</v>
      </c>
      <c r="C2131" t="s">
        <v>3</v>
      </c>
      <c r="D2131" t="s">
        <v>4</v>
      </c>
      <c r="E2131" t="s">
        <v>4</v>
      </c>
      <c r="F2131" t="s">
        <v>208</v>
      </c>
      <c r="G2131" t="s">
        <v>209</v>
      </c>
      <c r="H2131" t="s">
        <v>5534</v>
      </c>
      <c r="I2131" s="2">
        <v>50</v>
      </c>
      <c r="J2131" s="2">
        <v>0</v>
      </c>
      <c r="K2131" s="2">
        <v>0</v>
      </c>
      <c r="L2131" s="3">
        <v>45804</v>
      </c>
      <c r="M2131" s="3">
        <v>45832</v>
      </c>
      <c r="N2131" s="3">
        <v>45825</v>
      </c>
      <c r="O2131" t="s">
        <v>4</v>
      </c>
      <c r="P2131" t="s">
        <v>20</v>
      </c>
      <c r="Q2131" s="4">
        <v>0.76990740740741004</v>
      </c>
      <c r="R2131" t="s">
        <v>208</v>
      </c>
      <c r="S2131" t="s">
        <v>4</v>
      </c>
      <c r="T2131" t="s">
        <v>3530</v>
      </c>
      <c r="U2131" t="s">
        <v>10</v>
      </c>
      <c r="V2131" s="5">
        <v>0</v>
      </c>
      <c r="W2131" s="5">
        <v>0</v>
      </c>
      <c r="X2131" s="2">
        <v>0</v>
      </c>
      <c r="Y2131" t="s">
        <v>4</v>
      </c>
      <c r="Z2131" t="s">
        <v>4</v>
      </c>
      <c r="AA2131" t="s">
        <v>4</v>
      </c>
      <c r="AB2131" t="s">
        <v>4</v>
      </c>
    </row>
    <row r="2132" spans="1:28" hidden="1" x14ac:dyDescent="0.2">
      <c r="A2132" t="s">
        <v>315</v>
      </c>
      <c r="B2132" t="s">
        <v>2</v>
      </c>
      <c r="C2132" t="s">
        <v>3</v>
      </c>
      <c r="D2132" t="s">
        <v>4</v>
      </c>
      <c r="E2132" t="s">
        <v>4</v>
      </c>
      <c r="F2132" t="s">
        <v>208</v>
      </c>
      <c r="G2132" t="s">
        <v>209</v>
      </c>
      <c r="H2132" t="s">
        <v>5534</v>
      </c>
      <c r="I2132" s="2">
        <v>300</v>
      </c>
      <c r="J2132" s="2">
        <v>0</v>
      </c>
      <c r="K2132" s="2">
        <v>0</v>
      </c>
      <c r="L2132" s="3">
        <v>45814</v>
      </c>
      <c r="M2132" s="3">
        <v>45852</v>
      </c>
      <c r="N2132" s="3">
        <v>45852</v>
      </c>
      <c r="O2132" t="s">
        <v>4</v>
      </c>
      <c r="P2132" t="s">
        <v>20</v>
      </c>
      <c r="Q2132" s="4">
        <v>0.76990740740741004</v>
      </c>
      <c r="R2132" t="s">
        <v>208</v>
      </c>
      <c r="S2132" t="s">
        <v>4</v>
      </c>
      <c r="T2132" t="s">
        <v>3062</v>
      </c>
      <c r="U2132" t="s">
        <v>10</v>
      </c>
      <c r="V2132" s="5">
        <v>0</v>
      </c>
      <c r="W2132" s="5">
        <v>0</v>
      </c>
      <c r="X2132" s="2">
        <v>0</v>
      </c>
      <c r="Y2132" t="s">
        <v>4</v>
      </c>
      <c r="Z2132" t="s">
        <v>4</v>
      </c>
      <c r="AA2132" t="s">
        <v>4</v>
      </c>
      <c r="AB2132" t="s">
        <v>4</v>
      </c>
    </row>
    <row r="2133" spans="1:28" hidden="1" x14ac:dyDescent="0.2">
      <c r="A2133" t="s">
        <v>1490</v>
      </c>
      <c r="B2133" t="s">
        <v>2</v>
      </c>
      <c r="C2133" t="s">
        <v>3</v>
      </c>
      <c r="D2133" t="s">
        <v>4</v>
      </c>
      <c r="E2133" t="s">
        <v>4</v>
      </c>
      <c r="F2133" t="s">
        <v>208</v>
      </c>
      <c r="G2133" t="s">
        <v>209</v>
      </c>
      <c r="H2133" t="s">
        <v>5535</v>
      </c>
      <c r="I2133" s="2">
        <v>42</v>
      </c>
      <c r="J2133" s="2">
        <v>0</v>
      </c>
      <c r="K2133" s="2">
        <v>0</v>
      </c>
      <c r="L2133" s="3">
        <v>45714</v>
      </c>
      <c r="M2133" s="3">
        <v>45833</v>
      </c>
      <c r="N2133" s="3">
        <v>45833</v>
      </c>
      <c r="O2133" t="s">
        <v>4</v>
      </c>
      <c r="P2133" t="s">
        <v>20</v>
      </c>
      <c r="Q2133" s="4">
        <v>0.77409722222221999</v>
      </c>
      <c r="R2133" t="s">
        <v>208</v>
      </c>
      <c r="S2133" t="s">
        <v>4</v>
      </c>
      <c r="T2133" t="s">
        <v>5137</v>
      </c>
      <c r="U2133" t="s">
        <v>10</v>
      </c>
      <c r="V2133" s="5">
        <v>0</v>
      </c>
      <c r="W2133" s="5">
        <v>0</v>
      </c>
      <c r="X2133" s="2">
        <v>0</v>
      </c>
      <c r="Y2133" t="s">
        <v>4</v>
      </c>
      <c r="Z2133" t="s">
        <v>4</v>
      </c>
      <c r="AA2133" t="s">
        <v>4</v>
      </c>
      <c r="AB2133" t="s">
        <v>4</v>
      </c>
    </row>
    <row r="2134" spans="1:28" hidden="1" x14ac:dyDescent="0.2">
      <c r="A2134" t="s">
        <v>1171</v>
      </c>
      <c r="B2134" t="s">
        <v>2</v>
      </c>
      <c r="C2134" t="s">
        <v>3</v>
      </c>
      <c r="D2134" t="s">
        <v>4</v>
      </c>
      <c r="E2134" t="s">
        <v>4</v>
      </c>
      <c r="F2134" t="s">
        <v>208</v>
      </c>
      <c r="G2134" t="s">
        <v>209</v>
      </c>
      <c r="H2134" t="s">
        <v>5535</v>
      </c>
      <c r="I2134" s="2">
        <v>269</v>
      </c>
      <c r="J2134" s="2">
        <v>0</v>
      </c>
      <c r="K2134" s="2">
        <v>0</v>
      </c>
      <c r="L2134" s="3">
        <v>45851</v>
      </c>
      <c r="M2134" s="3">
        <v>45851</v>
      </c>
      <c r="N2134" s="3"/>
      <c r="O2134" t="s">
        <v>4</v>
      </c>
      <c r="P2134" t="s">
        <v>20</v>
      </c>
      <c r="Q2134" s="4">
        <v>0.77409722222221999</v>
      </c>
      <c r="R2134" t="s">
        <v>208</v>
      </c>
      <c r="S2134" t="s">
        <v>4</v>
      </c>
      <c r="T2134" t="s">
        <v>2747</v>
      </c>
      <c r="U2134" t="s">
        <v>10</v>
      </c>
      <c r="V2134" s="5">
        <v>0</v>
      </c>
      <c r="W2134" s="5">
        <v>0</v>
      </c>
      <c r="X2134" s="2">
        <v>0</v>
      </c>
      <c r="Y2134" t="s">
        <v>4</v>
      </c>
      <c r="Z2134" t="s">
        <v>4</v>
      </c>
      <c r="AA2134" t="s">
        <v>4</v>
      </c>
      <c r="AB2134" t="s">
        <v>4</v>
      </c>
    </row>
    <row r="2135" spans="1:28" hidden="1" x14ac:dyDescent="0.2">
      <c r="A2135" t="s">
        <v>1971</v>
      </c>
      <c r="B2135" t="s">
        <v>2</v>
      </c>
      <c r="C2135" t="s">
        <v>3</v>
      </c>
      <c r="D2135" t="s">
        <v>4</v>
      </c>
      <c r="E2135" t="s">
        <v>4</v>
      </c>
      <c r="F2135" t="s">
        <v>208</v>
      </c>
      <c r="G2135" t="s">
        <v>209</v>
      </c>
      <c r="H2135" t="s">
        <v>5535</v>
      </c>
      <c r="I2135" s="2">
        <v>1528</v>
      </c>
      <c r="J2135" s="2">
        <v>0</v>
      </c>
      <c r="K2135" s="2">
        <v>0</v>
      </c>
      <c r="L2135" s="3">
        <v>45853</v>
      </c>
      <c r="M2135" s="3">
        <v>45854</v>
      </c>
      <c r="N2135" s="3">
        <v>45854</v>
      </c>
      <c r="O2135" t="s">
        <v>4</v>
      </c>
      <c r="P2135" t="s">
        <v>20</v>
      </c>
      <c r="Q2135" s="4">
        <v>0.77409722222221999</v>
      </c>
      <c r="R2135" t="s">
        <v>208</v>
      </c>
      <c r="S2135" t="s">
        <v>4</v>
      </c>
      <c r="T2135" t="s">
        <v>2272</v>
      </c>
      <c r="U2135" t="s">
        <v>10</v>
      </c>
      <c r="V2135" s="5">
        <v>0</v>
      </c>
      <c r="W2135" s="5">
        <v>0</v>
      </c>
      <c r="X2135" s="2">
        <v>0</v>
      </c>
      <c r="Y2135" t="s">
        <v>4</v>
      </c>
      <c r="Z2135" t="s">
        <v>4</v>
      </c>
      <c r="AA2135" t="s">
        <v>4</v>
      </c>
      <c r="AB2135" t="s">
        <v>4</v>
      </c>
    </row>
    <row r="2136" spans="1:28" hidden="1" x14ac:dyDescent="0.2">
      <c r="A2136" t="s">
        <v>1297</v>
      </c>
      <c r="B2136" t="s">
        <v>2</v>
      </c>
      <c r="C2136" t="s">
        <v>3</v>
      </c>
      <c r="D2136" t="s">
        <v>4</v>
      </c>
      <c r="E2136" t="s">
        <v>4</v>
      </c>
      <c r="F2136" t="s">
        <v>208</v>
      </c>
      <c r="G2136" t="s">
        <v>209</v>
      </c>
      <c r="H2136" t="s">
        <v>5535</v>
      </c>
      <c r="I2136" s="2">
        <v>742</v>
      </c>
      <c r="J2136" s="2">
        <v>0</v>
      </c>
      <c r="K2136" s="2">
        <v>0</v>
      </c>
      <c r="L2136" s="3">
        <v>45854</v>
      </c>
      <c r="M2136" s="3">
        <v>45854</v>
      </c>
      <c r="N2136" s="3">
        <v>45854</v>
      </c>
      <c r="O2136" t="s">
        <v>4</v>
      </c>
      <c r="P2136" t="s">
        <v>20</v>
      </c>
      <c r="Q2136" s="4">
        <v>0.77409722222221999</v>
      </c>
      <c r="R2136" t="s">
        <v>208</v>
      </c>
      <c r="S2136" t="s">
        <v>4</v>
      </c>
      <c r="T2136" t="s">
        <v>2299</v>
      </c>
      <c r="U2136" t="s">
        <v>10</v>
      </c>
      <c r="V2136" s="5">
        <v>0</v>
      </c>
      <c r="W2136" s="5">
        <v>0</v>
      </c>
      <c r="X2136" s="2">
        <v>0</v>
      </c>
      <c r="Y2136" t="s">
        <v>4</v>
      </c>
      <c r="Z2136" t="s">
        <v>4</v>
      </c>
      <c r="AA2136" t="s">
        <v>4</v>
      </c>
      <c r="AB2136" t="s">
        <v>4</v>
      </c>
    </row>
    <row r="2137" spans="1:28" hidden="1" x14ac:dyDescent="0.2">
      <c r="A2137" t="s">
        <v>324</v>
      </c>
      <c r="B2137" t="s">
        <v>2</v>
      </c>
      <c r="C2137" t="s">
        <v>3</v>
      </c>
      <c r="D2137" t="s">
        <v>4</v>
      </c>
      <c r="E2137" t="s">
        <v>4</v>
      </c>
      <c r="F2137" t="s">
        <v>208</v>
      </c>
      <c r="G2137" t="s">
        <v>209</v>
      </c>
      <c r="H2137" t="s">
        <v>5535</v>
      </c>
      <c r="I2137" s="2">
        <v>750</v>
      </c>
      <c r="J2137" s="2">
        <v>0</v>
      </c>
      <c r="K2137" s="2">
        <v>0</v>
      </c>
      <c r="L2137" s="3">
        <v>45851</v>
      </c>
      <c r="M2137" s="3">
        <v>45851</v>
      </c>
      <c r="N2137" s="3"/>
      <c r="O2137" t="s">
        <v>4</v>
      </c>
      <c r="P2137" t="s">
        <v>20</v>
      </c>
      <c r="Q2137" s="4">
        <v>0.77409722222221999</v>
      </c>
      <c r="R2137" t="s">
        <v>208</v>
      </c>
      <c r="S2137" t="s">
        <v>4</v>
      </c>
      <c r="T2137" t="s">
        <v>2747</v>
      </c>
      <c r="U2137" t="s">
        <v>10</v>
      </c>
      <c r="V2137" s="5">
        <v>0</v>
      </c>
      <c r="W2137" s="5">
        <v>0</v>
      </c>
      <c r="X2137" s="2">
        <v>0</v>
      </c>
      <c r="Y2137" t="s">
        <v>4</v>
      </c>
      <c r="Z2137" t="s">
        <v>4</v>
      </c>
      <c r="AA2137" t="s">
        <v>4</v>
      </c>
      <c r="AB2137" t="s">
        <v>4</v>
      </c>
    </row>
    <row r="2138" spans="1:28" hidden="1" x14ac:dyDescent="0.2">
      <c r="A2138" t="s">
        <v>584</v>
      </c>
      <c r="B2138" t="s">
        <v>2</v>
      </c>
      <c r="C2138" t="s">
        <v>3</v>
      </c>
      <c r="D2138" t="s">
        <v>4</v>
      </c>
      <c r="E2138" t="s">
        <v>4</v>
      </c>
      <c r="F2138" t="s">
        <v>208</v>
      </c>
      <c r="G2138" t="s">
        <v>209</v>
      </c>
      <c r="H2138" t="s">
        <v>5536</v>
      </c>
      <c r="I2138" s="2">
        <v>84000</v>
      </c>
      <c r="J2138" s="2">
        <v>0</v>
      </c>
      <c r="K2138" s="2">
        <v>0</v>
      </c>
      <c r="L2138" s="3">
        <v>45834</v>
      </c>
      <c r="M2138" s="3">
        <v>45860</v>
      </c>
      <c r="N2138" s="3">
        <v>45855</v>
      </c>
      <c r="O2138" t="s">
        <v>4</v>
      </c>
      <c r="P2138" t="s">
        <v>20</v>
      </c>
      <c r="Q2138" s="4">
        <v>0.33613425925925999</v>
      </c>
      <c r="R2138" t="s">
        <v>208</v>
      </c>
      <c r="S2138" t="s">
        <v>4</v>
      </c>
      <c r="T2138" t="s">
        <v>2817</v>
      </c>
      <c r="U2138" t="s">
        <v>10</v>
      </c>
      <c r="V2138" s="5">
        <v>0</v>
      </c>
      <c r="W2138" s="5">
        <v>0</v>
      </c>
      <c r="X2138" s="2">
        <v>0</v>
      </c>
      <c r="Y2138" t="s">
        <v>4</v>
      </c>
      <c r="Z2138" t="s">
        <v>4</v>
      </c>
      <c r="AA2138" t="s">
        <v>4</v>
      </c>
      <c r="AB2138" t="s">
        <v>4</v>
      </c>
    </row>
    <row r="2139" spans="1:28" hidden="1" x14ac:dyDescent="0.2">
      <c r="A2139" t="s">
        <v>2251</v>
      </c>
      <c r="B2139" t="s">
        <v>4</v>
      </c>
      <c r="C2139" t="s">
        <v>4</v>
      </c>
      <c r="D2139" t="s">
        <v>4</v>
      </c>
      <c r="E2139" t="s">
        <v>4</v>
      </c>
      <c r="F2139" t="s">
        <v>208</v>
      </c>
      <c r="G2139" t="s">
        <v>209</v>
      </c>
      <c r="H2139" t="s">
        <v>5537</v>
      </c>
      <c r="I2139" s="5">
        <v>0</v>
      </c>
      <c r="J2139" s="5">
        <v>0</v>
      </c>
      <c r="K2139" s="5">
        <v>0</v>
      </c>
      <c r="L2139" s="3"/>
      <c r="M2139" s="3"/>
      <c r="N2139" s="3"/>
      <c r="O2139" t="s">
        <v>4</v>
      </c>
      <c r="P2139" t="s">
        <v>20</v>
      </c>
      <c r="Q2139" s="4">
        <v>0.98863425925925996</v>
      </c>
      <c r="R2139" t="s">
        <v>4</v>
      </c>
      <c r="S2139" t="s">
        <v>4</v>
      </c>
      <c r="T2139" t="s">
        <v>2256</v>
      </c>
      <c r="U2139" t="s">
        <v>4</v>
      </c>
      <c r="V2139" s="5">
        <v>0</v>
      </c>
      <c r="W2139" s="5">
        <v>0</v>
      </c>
      <c r="X2139" s="2">
        <v>0</v>
      </c>
      <c r="Y2139" t="s">
        <v>4</v>
      </c>
      <c r="Z2139" t="s">
        <v>4</v>
      </c>
      <c r="AA2139" t="s">
        <v>4</v>
      </c>
      <c r="AB2139" t="s">
        <v>4</v>
      </c>
    </row>
    <row r="2140" spans="1:28" hidden="1" x14ac:dyDescent="0.2">
      <c r="A2140" t="s">
        <v>2251</v>
      </c>
      <c r="B2140" t="s">
        <v>4</v>
      </c>
      <c r="C2140" t="s">
        <v>4</v>
      </c>
      <c r="D2140" t="s">
        <v>4</v>
      </c>
      <c r="E2140" t="s">
        <v>4</v>
      </c>
      <c r="F2140" t="s">
        <v>208</v>
      </c>
      <c r="G2140" t="s">
        <v>209</v>
      </c>
      <c r="H2140" t="s">
        <v>5538</v>
      </c>
      <c r="I2140" s="5">
        <v>0</v>
      </c>
      <c r="J2140" s="5">
        <v>0</v>
      </c>
      <c r="K2140" s="5">
        <v>0</v>
      </c>
      <c r="L2140" s="3"/>
      <c r="M2140" s="3"/>
      <c r="N2140" s="3"/>
      <c r="O2140" t="s">
        <v>4</v>
      </c>
      <c r="P2140" t="s">
        <v>20</v>
      </c>
      <c r="Q2140" s="4">
        <v>0.55480324074073994</v>
      </c>
      <c r="R2140" t="s">
        <v>4</v>
      </c>
      <c r="S2140" t="s">
        <v>4</v>
      </c>
      <c r="T2140" t="s">
        <v>2256</v>
      </c>
      <c r="U2140" t="s">
        <v>4</v>
      </c>
      <c r="V2140" s="5">
        <v>0</v>
      </c>
      <c r="W2140" s="5">
        <v>0</v>
      </c>
      <c r="X2140" s="2">
        <v>0</v>
      </c>
      <c r="Y2140" t="s">
        <v>4</v>
      </c>
      <c r="Z2140" t="s">
        <v>4</v>
      </c>
      <c r="AA2140" t="s">
        <v>4</v>
      </c>
      <c r="AB2140" t="s">
        <v>4</v>
      </c>
    </row>
    <row r="2141" spans="1:28" hidden="1" x14ac:dyDescent="0.2">
      <c r="A2141" t="s">
        <v>2005</v>
      </c>
      <c r="B2141" t="s">
        <v>2</v>
      </c>
      <c r="C2141" t="s">
        <v>3</v>
      </c>
      <c r="D2141" t="s">
        <v>4</v>
      </c>
      <c r="E2141" t="s">
        <v>4</v>
      </c>
      <c r="F2141" t="s">
        <v>208</v>
      </c>
      <c r="G2141" t="s">
        <v>209</v>
      </c>
      <c r="H2141" t="s">
        <v>5539</v>
      </c>
      <c r="I2141" s="2">
        <v>700</v>
      </c>
      <c r="J2141" s="2">
        <v>0</v>
      </c>
      <c r="K2141" s="2">
        <v>0</v>
      </c>
      <c r="L2141" s="3">
        <v>45846</v>
      </c>
      <c r="M2141" s="3">
        <v>45847</v>
      </c>
      <c r="N2141" s="3">
        <v>45846</v>
      </c>
      <c r="O2141" t="s">
        <v>4</v>
      </c>
      <c r="P2141" t="s">
        <v>20</v>
      </c>
      <c r="Q2141" s="4">
        <v>0.68012731481481004</v>
      </c>
      <c r="R2141" t="s">
        <v>208</v>
      </c>
      <c r="S2141" t="s">
        <v>4</v>
      </c>
      <c r="T2141" t="s">
        <v>2318</v>
      </c>
      <c r="U2141" t="s">
        <v>10</v>
      </c>
      <c r="V2141" s="5">
        <v>0</v>
      </c>
      <c r="W2141" s="5">
        <v>0</v>
      </c>
      <c r="X2141" s="2">
        <v>0</v>
      </c>
      <c r="Y2141" t="s">
        <v>4</v>
      </c>
      <c r="Z2141" t="s">
        <v>4</v>
      </c>
      <c r="AA2141" t="s">
        <v>4</v>
      </c>
      <c r="AB2141" t="s">
        <v>4</v>
      </c>
    </row>
    <row r="2142" spans="1:28" hidden="1" x14ac:dyDescent="0.2">
      <c r="A2142" t="s">
        <v>2251</v>
      </c>
      <c r="B2142" t="s">
        <v>4</v>
      </c>
      <c r="C2142" t="s">
        <v>4</v>
      </c>
      <c r="D2142" t="s">
        <v>4</v>
      </c>
      <c r="E2142" t="s">
        <v>4</v>
      </c>
      <c r="F2142" t="s">
        <v>208</v>
      </c>
      <c r="G2142" t="s">
        <v>209</v>
      </c>
      <c r="H2142" t="s">
        <v>5540</v>
      </c>
      <c r="I2142" s="5">
        <v>0</v>
      </c>
      <c r="J2142" s="5">
        <v>0</v>
      </c>
      <c r="K2142" s="5">
        <v>0</v>
      </c>
      <c r="L2142" s="3"/>
      <c r="M2142" s="3"/>
      <c r="N2142" s="3"/>
      <c r="O2142" t="s">
        <v>4</v>
      </c>
      <c r="P2142" t="s">
        <v>20</v>
      </c>
      <c r="Q2142" s="4">
        <v>0.56046296296296005</v>
      </c>
      <c r="R2142" t="s">
        <v>4</v>
      </c>
      <c r="S2142" t="s">
        <v>4</v>
      </c>
      <c r="T2142" t="s">
        <v>2256</v>
      </c>
      <c r="U2142" t="s">
        <v>4</v>
      </c>
      <c r="V2142" s="5">
        <v>0</v>
      </c>
      <c r="W2142" s="5">
        <v>0</v>
      </c>
      <c r="X2142" s="2">
        <v>0</v>
      </c>
      <c r="Y2142" t="s">
        <v>4</v>
      </c>
      <c r="Z2142" t="s">
        <v>4</v>
      </c>
      <c r="AA2142" t="s">
        <v>4</v>
      </c>
      <c r="AB2142" t="s">
        <v>4</v>
      </c>
    </row>
    <row r="2143" spans="1:28" hidden="1" x14ac:dyDescent="0.2">
      <c r="A2143" t="s">
        <v>2251</v>
      </c>
      <c r="B2143" t="s">
        <v>4</v>
      </c>
      <c r="C2143" t="s">
        <v>4</v>
      </c>
      <c r="D2143" t="s">
        <v>4</v>
      </c>
      <c r="E2143" t="s">
        <v>4</v>
      </c>
      <c r="F2143" t="s">
        <v>208</v>
      </c>
      <c r="G2143" t="s">
        <v>209</v>
      </c>
      <c r="H2143" t="s">
        <v>5541</v>
      </c>
      <c r="I2143" s="5">
        <v>0</v>
      </c>
      <c r="J2143" s="5">
        <v>0</v>
      </c>
      <c r="K2143" s="5">
        <v>0</v>
      </c>
      <c r="L2143" s="3"/>
      <c r="M2143" s="3"/>
      <c r="N2143" s="3"/>
      <c r="O2143" t="s">
        <v>4</v>
      </c>
      <c r="P2143" t="s">
        <v>20</v>
      </c>
      <c r="Q2143" s="4">
        <v>0.61834490740740999</v>
      </c>
      <c r="R2143" t="s">
        <v>4</v>
      </c>
      <c r="S2143" t="s">
        <v>4</v>
      </c>
      <c r="T2143" t="s">
        <v>2256</v>
      </c>
      <c r="U2143" t="s">
        <v>4</v>
      </c>
      <c r="V2143" s="5">
        <v>0</v>
      </c>
      <c r="W2143" s="5">
        <v>0</v>
      </c>
      <c r="X2143" s="2">
        <v>0</v>
      </c>
      <c r="Y2143" t="s">
        <v>4</v>
      </c>
      <c r="Z2143" t="s">
        <v>4</v>
      </c>
      <c r="AA2143" t="s">
        <v>4</v>
      </c>
      <c r="AB2143" t="s">
        <v>4</v>
      </c>
    </row>
    <row r="2144" spans="1:28" hidden="1" x14ac:dyDescent="0.2">
      <c r="A2144" t="s">
        <v>1538</v>
      </c>
      <c r="B2144" t="s">
        <v>2</v>
      </c>
      <c r="C2144" t="s">
        <v>3</v>
      </c>
      <c r="D2144" t="s">
        <v>4</v>
      </c>
      <c r="E2144" t="s">
        <v>4</v>
      </c>
      <c r="F2144" t="s">
        <v>208</v>
      </c>
      <c r="G2144" t="s">
        <v>209</v>
      </c>
      <c r="H2144" t="s">
        <v>5542</v>
      </c>
      <c r="I2144" s="2">
        <v>7</v>
      </c>
      <c r="J2144" s="2">
        <v>0</v>
      </c>
      <c r="K2144" s="2">
        <v>0</v>
      </c>
      <c r="L2144" s="3">
        <v>45605</v>
      </c>
      <c r="M2144" s="3">
        <v>45605</v>
      </c>
      <c r="N2144" s="3"/>
      <c r="O2144" t="s">
        <v>4</v>
      </c>
      <c r="P2144" t="s">
        <v>20</v>
      </c>
      <c r="Q2144" s="4">
        <v>0.79447916666666996</v>
      </c>
      <c r="R2144" t="s">
        <v>208</v>
      </c>
      <c r="S2144" t="s">
        <v>4</v>
      </c>
      <c r="T2144" t="s">
        <v>5543</v>
      </c>
      <c r="U2144" t="s">
        <v>10</v>
      </c>
      <c r="V2144" s="5">
        <v>0</v>
      </c>
      <c r="W2144" s="5">
        <v>0</v>
      </c>
      <c r="X2144" s="2">
        <v>0</v>
      </c>
      <c r="Y2144" t="s">
        <v>4</v>
      </c>
      <c r="Z2144" t="s">
        <v>4</v>
      </c>
      <c r="AA2144" t="s">
        <v>4</v>
      </c>
      <c r="AB2144" t="s">
        <v>4</v>
      </c>
    </row>
    <row r="2145" spans="1:28" hidden="1" x14ac:dyDescent="0.2">
      <c r="A2145" t="s">
        <v>1201</v>
      </c>
      <c r="B2145" t="s">
        <v>2</v>
      </c>
      <c r="C2145" t="s">
        <v>3</v>
      </c>
      <c r="D2145" t="s">
        <v>4</v>
      </c>
      <c r="E2145" t="s">
        <v>4</v>
      </c>
      <c r="F2145" t="s">
        <v>208</v>
      </c>
      <c r="G2145" t="s">
        <v>209</v>
      </c>
      <c r="H2145" t="s">
        <v>5544</v>
      </c>
      <c r="I2145" s="2">
        <v>44</v>
      </c>
      <c r="J2145" s="2">
        <v>0</v>
      </c>
      <c r="K2145" s="2">
        <v>0</v>
      </c>
      <c r="L2145" s="3">
        <v>45835</v>
      </c>
      <c r="M2145" s="3">
        <v>45835</v>
      </c>
      <c r="N2145" s="3"/>
      <c r="O2145" t="s">
        <v>4</v>
      </c>
      <c r="P2145" t="s">
        <v>20</v>
      </c>
      <c r="Q2145" s="4">
        <v>0.36679398148148001</v>
      </c>
      <c r="R2145" t="s">
        <v>208</v>
      </c>
      <c r="S2145" t="s">
        <v>4</v>
      </c>
      <c r="T2145" t="s">
        <v>2928</v>
      </c>
      <c r="U2145" t="s">
        <v>10</v>
      </c>
      <c r="V2145" s="5">
        <v>0</v>
      </c>
      <c r="W2145" s="5">
        <v>0</v>
      </c>
      <c r="X2145" s="2">
        <v>0</v>
      </c>
      <c r="Y2145" t="s">
        <v>4</v>
      </c>
      <c r="Z2145" t="s">
        <v>4</v>
      </c>
      <c r="AA2145" t="s">
        <v>4</v>
      </c>
      <c r="AB2145" t="s">
        <v>4</v>
      </c>
    </row>
    <row r="2146" spans="1:28" hidden="1" x14ac:dyDescent="0.2">
      <c r="A2146" t="s">
        <v>2251</v>
      </c>
      <c r="B2146" t="s">
        <v>4</v>
      </c>
      <c r="C2146" t="s">
        <v>4</v>
      </c>
      <c r="D2146" t="s">
        <v>4</v>
      </c>
      <c r="E2146" t="s">
        <v>4</v>
      </c>
      <c r="F2146" t="s">
        <v>208</v>
      </c>
      <c r="G2146" t="s">
        <v>209</v>
      </c>
      <c r="H2146" t="s">
        <v>5545</v>
      </c>
      <c r="I2146" s="5">
        <v>0</v>
      </c>
      <c r="J2146" s="5">
        <v>0</v>
      </c>
      <c r="K2146" s="5">
        <v>0</v>
      </c>
      <c r="L2146" s="3"/>
      <c r="M2146" s="3"/>
      <c r="N2146" s="3"/>
      <c r="O2146" t="s">
        <v>4</v>
      </c>
      <c r="P2146" t="s">
        <v>20</v>
      </c>
      <c r="Q2146" s="4">
        <v>0.90006944444444004</v>
      </c>
      <c r="R2146" t="s">
        <v>4</v>
      </c>
      <c r="S2146" t="s">
        <v>4</v>
      </c>
      <c r="T2146" t="s">
        <v>2256</v>
      </c>
      <c r="U2146" t="s">
        <v>4</v>
      </c>
      <c r="V2146" s="5">
        <v>0</v>
      </c>
      <c r="W2146" s="5">
        <v>0</v>
      </c>
      <c r="X2146" s="2">
        <v>0</v>
      </c>
      <c r="Y2146" t="s">
        <v>4</v>
      </c>
      <c r="Z2146" t="s">
        <v>4</v>
      </c>
      <c r="AA2146" t="s">
        <v>4</v>
      </c>
      <c r="AB2146" t="s">
        <v>4</v>
      </c>
    </row>
    <row r="2147" spans="1:28" hidden="1" x14ac:dyDescent="0.2">
      <c r="A2147" t="s">
        <v>553</v>
      </c>
      <c r="B2147" t="s">
        <v>2</v>
      </c>
      <c r="C2147" t="s">
        <v>3</v>
      </c>
      <c r="D2147" t="s">
        <v>4</v>
      </c>
      <c r="E2147" t="s">
        <v>4</v>
      </c>
      <c r="F2147" t="s">
        <v>208</v>
      </c>
      <c r="G2147" t="s">
        <v>209</v>
      </c>
      <c r="H2147" t="s">
        <v>5546</v>
      </c>
      <c r="I2147" s="2">
        <v>144000</v>
      </c>
      <c r="J2147" s="2">
        <v>0</v>
      </c>
      <c r="K2147" s="2">
        <v>0</v>
      </c>
      <c r="L2147" s="3">
        <v>45846</v>
      </c>
      <c r="M2147" s="3">
        <v>45858</v>
      </c>
      <c r="N2147" s="3">
        <v>45856</v>
      </c>
      <c r="O2147" t="s">
        <v>4</v>
      </c>
      <c r="P2147" t="s">
        <v>20</v>
      </c>
      <c r="Q2147" s="4">
        <v>0.35579861111111</v>
      </c>
      <c r="R2147" t="s">
        <v>208</v>
      </c>
      <c r="S2147" t="s">
        <v>4</v>
      </c>
      <c r="T2147" t="s">
        <v>2318</v>
      </c>
      <c r="U2147" t="s">
        <v>10</v>
      </c>
      <c r="V2147" s="5">
        <v>0</v>
      </c>
      <c r="W2147" s="5">
        <v>0</v>
      </c>
      <c r="X2147" s="2">
        <v>0</v>
      </c>
      <c r="Y2147" t="s">
        <v>4</v>
      </c>
      <c r="Z2147" t="s">
        <v>4</v>
      </c>
      <c r="AA2147" t="s">
        <v>4</v>
      </c>
      <c r="AB2147" t="s">
        <v>4</v>
      </c>
    </row>
    <row r="2148" spans="1:28" hidden="1" x14ac:dyDescent="0.2">
      <c r="A2148" t="s">
        <v>602</v>
      </c>
      <c r="B2148" t="s">
        <v>2</v>
      </c>
      <c r="C2148" t="s">
        <v>3</v>
      </c>
      <c r="D2148" t="s">
        <v>4</v>
      </c>
      <c r="E2148" t="s">
        <v>4</v>
      </c>
      <c r="F2148" t="s">
        <v>208</v>
      </c>
      <c r="G2148" t="s">
        <v>209</v>
      </c>
      <c r="H2148" t="s">
        <v>5547</v>
      </c>
      <c r="I2148" s="2">
        <v>12000</v>
      </c>
      <c r="J2148" s="2">
        <v>0</v>
      </c>
      <c r="K2148" s="2">
        <v>0</v>
      </c>
      <c r="L2148" s="3">
        <v>45831</v>
      </c>
      <c r="M2148" s="3">
        <v>45860</v>
      </c>
      <c r="N2148" s="3">
        <v>45846</v>
      </c>
      <c r="O2148" t="s">
        <v>4</v>
      </c>
      <c r="P2148" t="s">
        <v>20</v>
      </c>
      <c r="Q2148" s="4">
        <v>0.33613425925925999</v>
      </c>
      <c r="R2148" t="s">
        <v>208</v>
      </c>
      <c r="S2148" t="s">
        <v>4</v>
      </c>
      <c r="T2148" t="s">
        <v>3984</v>
      </c>
      <c r="U2148" t="s">
        <v>10</v>
      </c>
      <c r="V2148" s="5">
        <v>0</v>
      </c>
      <c r="W2148" s="5">
        <v>0</v>
      </c>
      <c r="X2148" s="2">
        <v>0</v>
      </c>
      <c r="Y2148" t="s">
        <v>4</v>
      </c>
      <c r="Z2148" t="s">
        <v>4</v>
      </c>
      <c r="AA2148" t="s">
        <v>4</v>
      </c>
      <c r="AB2148" t="s">
        <v>4</v>
      </c>
    </row>
    <row r="2149" spans="1:28" hidden="1" x14ac:dyDescent="0.2">
      <c r="A2149" t="s">
        <v>2251</v>
      </c>
      <c r="B2149" t="s">
        <v>4</v>
      </c>
      <c r="C2149" t="s">
        <v>4</v>
      </c>
      <c r="D2149" t="s">
        <v>4</v>
      </c>
      <c r="E2149" t="s">
        <v>4</v>
      </c>
      <c r="F2149" t="s">
        <v>208</v>
      </c>
      <c r="G2149" t="s">
        <v>209</v>
      </c>
      <c r="H2149" t="s">
        <v>5548</v>
      </c>
      <c r="I2149" s="5">
        <v>0</v>
      </c>
      <c r="J2149" s="5">
        <v>0</v>
      </c>
      <c r="K2149" s="5">
        <v>0</v>
      </c>
      <c r="L2149" s="3"/>
      <c r="M2149" s="3"/>
      <c r="N2149" s="3"/>
      <c r="O2149" t="s">
        <v>4</v>
      </c>
      <c r="P2149" t="s">
        <v>20</v>
      </c>
      <c r="Q2149" s="4">
        <v>0.55560185185184996</v>
      </c>
      <c r="R2149" t="s">
        <v>4</v>
      </c>
      <c r="S2149" t="s">
        <v>4</v>
      </c>
      <c r="T2149" t="s">
        <v>2256</v>
      </c>
      <c r="U2149" t="s">
        <v>4</v>
      </c>
      <c r="V2149" s="5">
        <v>0</v>
      </c>
      <c r="W2149" s="5">
        <v>0</v>
      </c>
      <c r="X2149" s="2">
        <v>0</v>
      </c>
      <c r="Y2149" t="s">
        <v>4</v>
      </c>
      <c r="Z2149" t="s">
        <v>4</v>
      </c>
      <c r="AA2149" t="s">
        <v>4</v>
      </c>
      <c r="AB2149" t="s">
        <v>4</v>
      </c>
    </row>
    <row r="2150" spans="1:28" hidden="1" x14ac:dyDescent="0.2">
      <c r="A2150" t="s">
        <v>2251</v>
      </c>
      <c r="B2150" t="s">
        <v>4</v>
      </c>
      <c r="C2150" t="s">
        <v>4</v>
      </c>
      <c r="D2150" t="s">
        <v>4</v>
      </c>
      <c r="E2150" t="s">
        <v>4</v>
      </c>
      <c r="F2150" t="s">
        <v>208</v>
      </c>
      <c r="G2150" t="s">
        <v>209</v>
      </c>
      <c r="H2150" t="s">
        <v>5549</v>
      </c>
      <c r="I2150" s="5">
        <v>0</v>
      </c>
      <c r="J2150" s="5">
        <v>0</v>
      </c>
      <c r="K2150" s="5">
        <v>0</v>
      </c>
      <c r="L2150" s="3"/>
      <c r="M2150" s="3"/>
      <c r="N2150" s="3"/>
      <c r="O2150" t="s">
        <v>4</v>
      </c>
      <c r="P2150" t="s">
        <v>20</v>
      </c>
      <c r="Q2150" s="4">
        <v>0.55666666666666997</v>
      </c>
      <c r="R2150" t="s">
        <v>4</v>
      </c>
      <c r="S2150" t="s">
        <v>4</v>
      </c>
      <c r="T2150" t="s">
        <v>2256</v>
      </c>
      <c r="U2150" t="s">
        <v>4</v>
      </c>
      <c r="V2150" s="5">
        <v>0</v>
      </c>
      <c r="W2150" s="5">
        <v>0</v>
      </c>
      <c r="X2150" s="2">
        <v>0</v>
      </c>
      <c r="Y2150" t="s">
        <v>4</v>
      </c>
      <c r="Z2150" t="s">
        <v>4</v>
      </c>
      <c r="AA2150" t="s">
        <v>4</v>
      </c>
      <c r="AB2150" t="s">
        <v>4</v>
      </c>
    </row>
    <row r="2151" spans="1:28" hidden="1" x14ac:dyDescent="0.2">
      <c r="A2151" t="s">
        <v>2251</v>
      </c>
      <c r="B2151" t="s">
        <v>4</v>
      </c>
      <c r="C2151" t="s">
        <v>4</v>
      </c>
      <c r="D2151" t="s">
        <v>4</v>
      </c>
      <c r="E2151" t="s">
        <v>4</v>
      </c>
      <c r="F2151" t="s">
        <v>208</v>
      </c>
      <c r="G2151" t="s">
        <v>209</v>
      </c>
      <c r="H2151" t="s">
        <v>5550</v>
      </c>
      <c r="I2151" s="5">
        <v>0</v>
      </c>
      <c r="J2151" s="5">
        <v>0</v>
      </c>
      <c r="K2151" s="5">
        <v>0</v>
      </c>
      <c r="L2151" s="3"/>
      <c r="M2151" s="3"/>
      <c r="N2151" s="3"/>
      <c r="O2151" t="s">
        <v>4</v>
      </c>
      <c r="P2151" t="s">
        <v>20</v>
      </c>
      <c r="Q2151" s="4">
        <v>0.56141203703704001</v>
      </c>
      <c r="R2151" t="s">
        <v>4</v>
      </c>
      <c r="S2151" t="s">
        <v>4</v>
      </c>
      <c r="T2151" t="s">
        <v>2256</v>
      </c>
      <c r="U2151" t="s">
        <v>4</v>
      </c>
      <c r="V2151" s="5">
        <v>0</v>
      </c>
      <c r="W2151" s="5">
        <v>0</v>
      </c>
      <c r="X2151" s="2">
        <v>0</v>
      </c>
      <c r="Y2151" t="s">
        <v>4</v>
      </c>
      <c r="Z2151" t="s">
        <v>4</v>
      </c>
      <c r="AA2151" t="s">
        <v>4</v>
      </c>
      <c r="AB2151" t="s">
        <v>4</v>
      </c>
    </row>
    <row r="2152" spans="1:28" hidden="1" x14ac:dyDescent="0.2">
      <c r="A2152" t="s">
        <v>1834</v>
      </c>
      <c r="B2152" t="s">
        <v>2</v>
      </c>
      <c r="C2152" t="s">
        <v>3</v>
      </c>
      <c r="D2152" t="s">
        <v>4</v>
      </c>
      <c r="E2152" t="s">
        <v>4</v>
      </c>
      <c r="F2152" t="s">
        <v>208</v>
      </c>
      <c r="G2152" t="s">
        <v>209</v>
      </c>
      <c r="H2152" t="s">
        <v>5551</v>
      </c>
      <c r="I2152" s="2">
        <v>16500</v>
      </c>
      <c r="J2152" s="2">
        <v>0</v>
      </c>
      <c r="K2152" s="2">
        <v>0</v>
      </c>
      <c r="L2152" s="3">
        <v>45860</v>
      </c>
      <c r="M2152" s="3">
        <v>45860</v>
      </c>
      <c r="N2152" s="3">
        <v>45860</v>
      </c>
      <c r="O2152" t="s">
        <v>4</v>
      </c>
      <c r="P2152" t="s">
        <v>4</v>
      </c>
      <c r="Q2152" s="4">
        <v>0.36059027777778002</v>
      </c>
      <c r="R2152" t="s">
        <v>208</v>
      </c>
      <c r="S2152" t="s">
        <v>4</v>
      </c>
      <c r="T2152" t="s">
        <v>2256</v>
      </c>
      <c r="U2152" t="s">
        <v>10</v>
      </c>
      <c r="V2152" s="5">
        <v>0</v>
      </c>
      <c r="W2152" s="5">
        <v>0</v>
      </c>
      <c r="X2152" s="2">
        <v>0</v>
      </c>
      <c r="Y2152" t="s">
        <v>4</v>
      </c>
      <c r="Z2152" t="s">
        <v>4</v>
      </c>
      <c r="AA2152" t="s">
        <v>4</v>
      </c>
      <c r="AB2152" t="s">
        <v>4</v>
      </c>
    </row>
    <row r="2153" spans="1:28" hidden="1" x14ac:dyDescent="0.2">
      <c r="A2153" t="s">
        <v>2251</v>
      </c>
      <c r="B2153" t="s">
        <v>4</v>
      </c>
      <c r="C2153" t="s">
        <v>4</v>
      </c>
      <c r="D2153" t="s">
        <v>4</v>
      </c>
      <c r="E2153" t="s">
        <v>4</v>
      </c>
      <c r="F2153" t="s">
        <v>208</v>
      </c>
      <c r="G2153" t="s">
        <v>209</v>
      </c>
      <c r="H2153" t="s">
        <v>5552</v>
      </c>
      <c r="I2153" s="5">
        <v>0</v>
      </c>
      <c r="J2153" s="5">
        <v>0</v>
      </c>
      <c r="K2153" s="5">
        <v>0</v>
      </c>
      <c r="L2153" s="3"/>
      <c r="M2153" s="3"/>
      <c r="N2153" s="3"/>
      <c r="O2153" t="s">
        <v>4</v>
      </c>
      <c r="P2153" t="s">
        <v>20</v>
      </c>
      <c r="Q2153" s="4">
        <v>0.84086805555555999</v>
      </c>
      <c r="R2153" t="s">
        <v>4</v>
      </c>
      <c r="S2153" t="s">
        <v>4</v>
      </c>
      <c r="T2153" t="s">
        <v>2256</v>
      </c>
      <c r="U2153" t="s">
        <v>4</v>
      </c>
      <c r="V2153" s="5">
        <v>0</v>
      </c>
      <c r="W2153" s="5">
        <v>0</v>
      </c>
      <c r="X2153" s="2">
        <v>0</v>
      </c>
      <c r="Y2153" t="s">
        <v>4</v>
      </c>
      <c r="Z2153" t="s">
        <v>4</v>
      </c>
      <c r="AA2153" t="s">
        <v>4</v>
      </c>
      <c r="AB2153" t="s">
        <v>4</v>
      </c>
    </row>
    <row r="2154" spans="1:28" hidden="1" x14ac:dyDescent="0.2">
      <c r="A2154" t="s">
        <v>2251</v>
      </c>
      <c r="B2154" t="s">
        <v>4</v>
      </c>
      <c r="C2154" t="s">
        <v>4</v>
      </c>
      <c r="D2154" t="s">
        <v>4</v>
      </c>
      <c r="E2154" t="s">
        <v>4</v>
      </c>
      <c r="F2154" t="s">
        <v>208</v>
      </c>
      <c r="G2154" t="s">
        <v>209</v>
      </c>
      <c r="H2154" t="s">
        <v>5553</v>
      </c>
      <c r="I2154" s="5">
        <v>0</v>
      </c>
      <c r="J2154" s="5">
        <v>0</v>
      </c>
      <c r="K2154" s="5">
        <v>0</v>
      </c>
      <c r="L2154" s="3"/>
      <c r="M2154" s="3"/>
      <c r="N2154" s="3"/>
      <c r="O2154" t="s">
        <v>4</v>
      </c>
      <c r="P2154" t="s">
        <v>20</v>
      </c>
      <c r="Q2154" s="4">
        <v>0.98041666666667004</v>
      </c>
      <c r="R2154" t="s">
        <v>4</v>
      </c>
      <c r="S2154" t="s">
        <v>4</v>
      </c>
      <c r="T2154" t="s">
        <v>2256</v>
      </c>
      <c r="U2154" t="s">
        <v>4</v>
      </c>
      <c r="V2154" s="5">
        <v>0</v>
      </c>
      <c r="W2154" s="5">
        <v>0</v>
      </c>
      <c r="X2154" s="2">
        <v>0</v>
      </c>
      <c r="Y2154" t="s">
        <v>4</v>
      </c>
      <c r="Z2154" t="s">
        <v>4</v>
      </c>
      <c r="AA2154" t="s">
        <v>4</v>
      </c>
      <c r="AB2154" t="s">
        <v>4</v>
      </c>
    </row>
    <row r="2155" spans="1:28" hidden="1" x14ac:dyDescent="0.2">
      <c r="A2155" t="s">
        <v>1242</v>
      </c>
      <c r="B2155" t="s">
        <v>2</v>
      </c>
      <c r="C2155" t="s">
        <v>3</v>
      </c>
      <c r="D2155" t="s">
        <v>4</v>
      </c>
      <c r="E2155" t="s">
        <v>4</v>
      </c>
      <c r="F2155" t="s">
        <v>208</v>
      </c>
      <c r="G2155" t="s">
        <v>209</v>
      </c>
      <c r="H2155" t="s">
        <v>5554</v>
      </c>
      <c r="I2155" s="2">
        <v>213</v>
      </c>
      <c r="J2155" s="2">
        <v>0</v>
      </c>
      <c r="K2155" s="2">
        <v>0</v>
      </c>
      <c r="L2155" s="3">
        <v>45761</v>
      </c>
      <c r="M2155" s="3">
        <v>45854</v>
      </c>
      <c r="N2155" s="3">
        <v>45854</v>
      </c>
      <c r="O2155" t="s">
        <v>4</v>
      </c>
      <c r="P2155" t="s">
        <v>20</v>
      </c>
      <c r="Q2155" s="4">
        <v>0.72844907407407</v>
      </c>
      <c r="R2155" t="s">
        <v>208</v>
      </c>
      <c r="S2155" t="s">
        <v>4</v>
      </c>
      <c r="T2155" t="s">
        <v>4542</v>
      </c>
      <c r="U2155" t="s">
        <v>10</v>
      </c>
      <c r="V2155" s="5">
        <v>0</v>
      </c>
      <c r="W2155" s="5">
        <v>0</v>
      </c>
      <c r="X2155" s="2">
        <v>0</v>
      </c>
      <c r="Y2155" t="s">
        <v>4</v>
      </c>
      <c r="Z2155" t="s">
        <v>4</v>
      </c>
      <c r="AA2155" t="s">
        <v>4</v>
      </c>
      <c r="AB2155" t="s">
        <v>4</v>
      </c>
    </row>
    <row r="2156" spans="1:28" hidden="1" x14ac:dyDescent="0.2">
      <c r="A2156" t="s">
        <v>1308</v>
      </c>
      <c r="B2156" t="s">
        <v>2</v>
      </c>
      <c r="C2156" t="s">
        <v>3</v>
      </c>
      <c r="D2156" t="s">
        <v>4</v>
      </c>
      <c r="E2156" t="s">
        <v>4</v>
      </c>
      <c r="F2156" t="s">
        <v>208</v>
      </c>
      <c r="G2156" t="s">
        <v>209</v>
      </c>
      <c r="H2156" t="s">
        <v>5554</v>
      </c>
      <c r="I2156" s="2">
        <v>614</v>
      </c>
      <c r="J2156" s="2">
        <v>0</v>
      </c>
      <c r="K2156" s="2">
        <v>0</v>
      </c>
      <c r="L2156" s="3">
        <v>45192</v>
      </c>
      <c r="M2156" s="3">
        <v>45820</v>
      </c>
      <c r="N2156" s="3">
        <v>45771</v>
      </c>
      <c r="O2156" t="s">
        <v>4</v>
      </c>
      <c r="P2156" t="s">
        <v>20</v>
      </c>
      <c r="Q2156" s="4">
        <v>0.72844907407407</v>
      </c>
      <c r="R2156" t="s">
        <v>208</v>
      </c>
      <c r="S2156" t="s">
        <v>4</v>
      </c>
      <c r="T2156" t="s">
        <v>5555</v>
      </c>
      <c r="U2156" t="s">
        <v>10</v>
      </c>
      <c r="V2156" s="5">
        <v>0</v>
      </c>
      <c r="W2156" s="5">
        <v>0</v>
      </c>
      <c r="X2156" s="2">
        <v>0</v>
      </c>
      <c r="Y2156" t="s">
        <v>4</v>
      </c>
      <c r="Z2156" t="s">
        <v>4</v>
      </c>
      <c r="AA2156" t="s">
        <v>4</v>
      </c>
      <c r="AB2156" t="s">
        <v>4</v>
      </c>
    </row>
    <row r="2157" spans="1:28" hidden="1" x14ac:dyDescent="0.2">
      <c r="A2157" t="s">
        <v>1237</v>
      </c>
      <c r="B2157" t="s">
        <v>2</v>
      </c>
      <c r="C2157" t="s">
        <v>3</v>
      </c>
      <c r="D2157" t="s">
        <v>4</v>
      </c>
      <c r="E2157" t="s">
        <v>4</v>
      </c>
      <c r="F2157" t="s">
        <v>208</v>
      </c>
      <c r="G2157" t="s">
        <v>209</v>
      </c>
      <c r="H2157" t="s">
        <v>5554</v>
      </c>
      <c r="I2157" s="2">
        <v>787</v>
      </c>
      <c r="J2157" s="2">
        <v>0</v>
      </c>
      <c r="K2157" s="2">
        <v>0</v>
      </c>
      <c r="L2157" s="3">
        <v>45749</v>
      </c>
      <c r="M2157" s="3">
        <v>45859</v>
      </c>
      <c r="N2157" s="3">
        <v>45859</v>
      </c>
      <c r="O2157" t="s">
        <v>4</v>
      </c>
      <c r="P2157" t="s">
        <v>20</v>
      </c>
      <c r="Q2157" s="4">
        <v>0.72844907407407</v>
      </c>
      <c r="R2157" t="s">
        <v>208</v>
      </c>
      <c r="S2157" t="s">
        <v>4</v>
      </c>
      <c r="T2157" t="s">
        <v>5556</v>
      </c>
      <c r="U2157" t="s">
        <v>10</v>
      </c>
      <c r="V2157" s="5">
        <v>0</v>
      </c>
      <c r="W2157" s="5">
        <v>0</v>
      </c>
      <c r="X2157" s="2">
        <v>0</v>
      </c>
      <c r="Y2157" t="s">
        <v>4</v>
      </c>
      <c r="Z2157" t="s">
        <v>4</v>
      </c>
      <c r="AA2157" t="s">
        <v>4</v>
      </c>
      <c r="AB2157" t="s">
        <v>4</v>
      </c>
    </row>
    <row r="2158" spans="1:28" hidden="1" x14ac:dyDescent="0.2">
      <c r="A2158" t="s">
        <v>1499</v>
      </c>
      <c r="B2158" t="s">
        <v>2</v>
      </c>
      <c r="C2158" t="s">
        <v>3</v>
      </c>
      <c r="D2158" t="s">
        <v>4</v>
      </c>
      <c r="E2158" t="s">
        <v>4</v>
      </c>
      <c r="F2158" t="s">
        <v>208</v>
      </c>
      <c r="G2158" t="s">
        <v>209</v>
      </c>
      <c r="H2158" t="s">
        <v>5554</v>
      </c>
      <c r="I2158" s="2">
        <v>855</v>
      </c>
      <c r="J2158" s="2">
        <v>0</v>
      </c>
      <c r="K2158" s="2">
        <v>0</v>
      </c>
      <c r="L2158" s="3">
        <v>45854</v>
      </c>
      <c r="M2158" s="3">
        <v>45854</v>
      </c>
      <c r="N2158" s="3">
        <v>45854</v>
      </c>
      <c r="O2158" t="s">
        <v>4</v>
      </c>
      <c r="P2158" t="s">
        <v>20</v>
      </c>
      <c r="Q2158" s="4">
        <v>0.72844907407407</v>
      </c>
      <c r="R2158" t="s">
        <v>208</v>
      </c>
      <c r="S2158" t="s">
        <v>4</v>
      </c>
      <c r="T2158" t="s">
        <v>2299</v>
      </c>
      <c r="U2158" t="s">
        <v>10</v>
      </c>
      <c r="V2158" s="5">
        <v>0</v>
      </c>
      <c r="W2158" s="5">
        <v>0</v>
      </c>
      <c r="X2158" s="2">
        <v>0</v>
      </c>
      <c r="Y2158" t="s">
        <v>4</v>
      </c>
      <c r="Z2158" t="s">
        <v>4</v>
      </c>
      <c r="AA2158" t="s">
        <v>4</v>
      </c>
      <c r="AB2158" t="s">
        <v>4</v>
      </c>
    </row>
    <row r="2159" spans="1:28" hidden="1" x14ac:dyDescent="0.2">
      <c r="A2159" t="s">
        <v>2251</v>
      </c>
      <c r="B2159" t="s">
        <v>4</v>
      </c>
      <c r="C2159" t="s">
        <v>4</v>
      </c>
      <c r="D2159" t="s">
        <v>4</v>
      </c>
      <c r="E2159" t="s">
        <v>4</v>
      </c>
      <c r="F2159" t="s">
        <v>208</v>
      </c>
      <c r="G2159" t="s">
        <v>209</v>
      </c>
      <c r="H2159" t="s">
        <v>5557</v>
      </c>
      <c r="I2159" s="5">
        <v>0</v>
      </c>
      <c r="J2159" s="5">
        <v>0</v>
      </c>
      <c r="K2159" s="5">
        <v>0</v>
      </c>
      <c r="L2159" s="3"/>
      <c r="M2159" s="3"/>
      <c r="N2159" s="3"/>
      <c r="O2159" t="s">
        <v>4</v>
      </c>
      <c r="P2159" t="s">
        <v>20</v>
      </c>
      <c r="Q2159" s="4">
        <v>0.45961805555556001</v>
      </c>
      <c r="R2159" t="s">
        <v>4</v>
      </c>
      <c r="S2159" t="s">
        <v>4</v>
      </c>
      <c r="T2159" t="s">
        <v>2256</v>
      </c>
      <c r="U2159" t="s">
        <v>4</v>
      </c>
      <c r="V2159" s="5">
        <v>0</v>
      </c>
      <c r="W2159" s="5">
        <v>0</v>
      </c>
      <c r="X2159" s="2">
        <v>0</v>
      </c>
      <c r="Y2159" t="s">
        <v>4</v>
      </c>
      <c r="Z2159" t="s">
        <v>4</v>
      </c>
      <c r="AA2159" t="s">
        <v>4</v>
      </c>
      <c r="AB2159" t="s">
        <v>4</v>
      </c>
    </row>
    <row r="2160" spans="1:28" hidden="1" x14ac:dyDescent="0.2">
      <c r="A2160" t="s">
        <v>571</v>
      </c>
      <c r="B2160" t="s">
        <v>2</v>
      </c>
      <c r="C2160" t="s">
        <v>3</v>
      </c>
      <c r="D2160" t="s">
        <v>4</v>
      </c>
      <c r="E2160" t="s">
        <v>4</v>
      </c>
      <c r="F2160" t="s">
        <v>208</v>
      </c>
      <c r="G2160" t="s">
        <v>209</v>
      </c>
      <c r="H2160" t="s">
        <v>5558</v>
      </c>
      <c r="I2160" s="2">
        <v>19000</v>
      </c>
      <c r="J2160" s="2">
        <v>0</v>
      </c>
      <c r="K2160" s="2">
        <v>0</v>
      </c>
      <c r="L2160" s="3">
        <v>45855</v>
      </c>
      <c r="M2160" s="3">
        <v>45860</v>
      </c>
      <c r="N2160" s="3"/>
      <c r="O2160" t="s">
        <v>4</v>
      </c>
      <c r="P2160" t="s">
        <v>20</v>
      </c>
      <c r="Q2160" s="4">
        <v>0.33613425925925999</v>
      </c>
      <c r="R2160" t="s">
        <v>208</v>
      </c>
      <c r="S2160" t="s">
        <v>4</v>
      </c>
      <c r="T2160" t="s">
        <v>2350</v>
      </c>
      <c r="U2160" t="s">
        <v>10</v>
      </c>
      <c r="V2160" s="5">
        <v>0</v>
      </c>
      <c r="W2160" s="5">
        <v>0</v>
      </c>
      <c r="X2160" s="2">
        <v>0</v>
      </c>
      <c r="Y2160" t="s">
        <v>4</v>
      </c>
      <c r="Z2160" t="s">
        <v>4</v>
      </c>
      <c r="AA2160" t="s">
        <v>4</v>
      </c>
      <c r="AB2160" t="s">
        <v>4</v>
      </c>
    </row>
    <row r="2161" spans="1:28" hidden="1" x14ac:dyDescent="0.2">
      <c r="A2161" t="s">
        <v>565</v>
      </c>
      <c r="B2161" t="s">
        <v>2</v>
      </c>
      <c r="C2161" t="s">
        <v>3</v>
      </c>
      <c r="D2161" t="s">
        <v>4</v>
      </c>
      <c r="E2161" t="s">
        <v>4</v>
      </c>
      <c r="F2161" t="s">
        <v>208</v>
      </c>
      <c r="G2161" t="s">
        <v>209</v>
      </c>
      <c r="H2161" t="s">
        <v>5559</v>
      </c>
      <c r="I2161" s="2">
        <v>32000</v>
      </c>
      <c r="J2161" s="2">
        <v>0</v>
      </c>
      <c r="K2161" s="2">
        <v>0</v>
      </c>
      <c r="L2161" s="3">
        <v>45859</v>
      </c>
      <c r="M2161" s="3">
        <v>45859</v>
      </c>
      <c r="N2161" s="3"/>
      <c r="O2161" t="s">
        <v>4</v>
      </c>
      <c r="P2161" t="s">
        <v>20</v>
      </c>
      <c r="Q2161" s="4">
        <v>0.42726851851851999</v>
      </c>
      <c r="R2161" t="s">
        <v>208</v>
      </c>
      <c r="S2161" t="s">
        <v>4</v>
      </c>
      <c r="T2161" t="s">
        <v>2261</v>
      </c>
      <c r="U2161" t="s">
        <v>10</v>
      </c>
      <c r="V2161" s="5">
        <v>0</v>
      </c>
      <c r="W2161" s="5">
        <v>0</v>
      </c>
      <c r="X2161" s="2">
        <v>0</v>
      </c>
      <c r="Y2161" t="s">
        <v>4</v>
      </c>
      <c r="Z2161" t="s">
        <v>4</v>
      </c>
      <c r="AA2161" t="s">
        <v>4</v>
      </c>
      <c r="AB2161" t="s">
        <v>4</v>
      </c>
    </row>
    <row r="2162" spans="1:28" hidden="1" x14ac:dyDescent="0.2">
      <c r="A2162" t="s">
        <v>2251</v>
      </c>
      <c r="B2162" t="s">
        <v>4</v>
      </c>
      <c r="C2162" t="s">
        <v>4</v>
      </c>
      <c r="D2162" t="s">
        <v>4</v>
      </c>
      <c r="E2162" t="s">
        <v>4</v>
      </c>
      <c r="F2162" t="s">
        <v>208</v>
      </c>
      <c r="G2162" t="s">
        <v>209</v>
      </c>
      <c r="H2162" t="s">
        <v>5560</v>
      </c>
      <c r="I2162" s="5">
        <v>0</v>
      </c>
      <c r="J2162" s="5">
        <v>0</v>
      </c>
      <c r="K2162" s="5">
        <v>0</v>
      </c>
      <c r="L2162" s="3"/>
      <c r="M2162" s="3"/>
      <c r="N2162" s="3"/>
      <c r="O2162" t="s">
        <v>4</v>
      </c>
      <c r="P2162" t="s">
        <v>20</v>
      </c>
      <c r="Q2162" s="4">
        <v>0.55800925925926004</v>
      </c>
      <c r="R2162" t="s">
        <v>4</v>
      </c>
      <c r="S2162" t="s">
        <v>4</v>
      </c>
      <c r="T2162" t="s">
        <v>2256</v>
      </c>
      <c r="U2162" t="s">
        <v>4</v>
      </c>
      <c r="V2162" s="5">
        <v>0</v>
      </c>
      <c r="W2162" s="5">
        <v>0</v>
      </c>
      <c r="X2162" s="2">
        <v>0</v>
      </c>
      <c r="Y2162" t="s">
        <v>4</v>
      </c>
      <c r="Z2162" t="s">
        <v>4</v>
      </c>
      <c r="AA2162" t="s">
        <v>4</v>
      </c>
      <c r="AB2162" t="s">
        <v>4</v>
      </c>
    </row>
    <row r="2163" spans="1:28" hidden="1" x14ac:dyDescent="0.2">
      <c r="A2163" t="s">
        <v>1979</v>
      </c>
      <c r="B2163" t="s">
        <v>2</v>
      </c>
      <c r="C2163" t="s">
        <v>3</v>
      </c>
      <c r="D2163" t="s">
        <v>4</v>
      </c>
      <c r="E2163" t="s">
        <v>4</v>
      </c>
      <c r="F2163" t="s">
        <v>208</v>
      </c>
      <c r="G2163" t="s">
        <v>209</v>
      </c>
      <c r="H2163" t="s">
        <v>5561</v>
      </c>
      <c r="I2163" s="2">
        <v>1400</v>
      </c>
      <c r="J2163" s="2">
        <v>0</v>
      </c>
      <c r="K2163" s="2">
        <v>0</v>
      </c>
      <c r="L2163" s="3">
        <v>45846</v>
      </c>
      <c r="M2163" s="3">
        <v>45852</v>
      </c>
      <c r="N2163" s="3">
        <v>45852</v>
      </c>
      <c r="O2163" t="s">
        <v>4</v>
      </c>
      <c r="P2163" t="s">
        <v>20</v>
      </c>
      <c r="Q2163" s="4">
        <v>0.68667824074074002</v>
      </c>
      <c r="R2163" t="s">
        <v>208</v>
      </c>
      <c r="S2163" t="s">
        <v>4</v>
      </c>
      <c r="T2163" t="s">
        <v>2318</v>
      </c>
      <c r="U2163" t="s">
        <v>10</v>
      </c>
      <c r="V2163" s="5">
        <v>0</v>
      </c>
      <c r="W2163" s="5">
        <v>0</v>
      </c>
      <c r="X2163" s="2">
        <v>0</v>
      </c>
      <c r="Y2163" t="s">
        <v>4</v>
      </c>
      <c r="Z2163" t="s">
        <v>4</v>
      </c>
      <c r="AA2163" t="s">
        <v>4</v>
      </c>
      <c r="AB2163" t="s">
        <v>4</v>
      </c>
    </row>
    <row r="2164" spans="1:28" hidden="1" x14ac:dyDescent="0.2">
      <c r="A2164" t="s">
        <v>1934</v>
      </c>
      <c r="B2164" t="s">
        <v>2</v>
      </c>
      <c r="C2164" t="s">
        <v>3</v>
      </c>
      <c r="D2164" t="s">
        <v>4</v>
      </c>
      <c r="E2164" t="s">
        <v>4</v>
      </c>
      <c r="F2164" t="s">
        <v>208</v>
      </c>
      <c r="G2164" t="s">
        <v>209</v>
      </c>
      <c r="H2164" t="s">
        <v>5562</v>
      </c>
      <c r="I2164" s="2">
        <v>1080</v>
      </c>
      <c r="J2164" s="2">
        <v>0</v>
      </c>
      <c r="K2164" s="2">
        <v>0</v>
      </c>
      <c r="L2164" s="3">
        <v>45850</v>
      </c>
      <c r="M2164" s="3">
        <v>45850</v>
      </c>
      <c r="N2164" s="3"/>
      <c r="O2164" t="s">
        <v>4</v>
      </c>
      <c r="P2164" t="s">
        <v>20</v>
      </c>
      <c r="Q2164" s="4">
        <v>0.45861111111111003</v>
      </c>
      <c r="R2164" t="s">
        <v>208</v>
      </c>
      <c r="S2164" t="s">
        <v>4</v>
      </c>
      <c r="T2164" t="s">
        <v>2680</v>
      </c>
      <c r="U2164" t="s">
        <v>10</v>
      </c>
      <c r="V2164" s="5">
        <v>0</v>
      </c>
      <c r="W2164" s="5">
        <v>0</v>
      </c>
      <c r="X2164" s="2">
        <v>0</v>
      </c>
      <c r="Y2164" t="s">
        <v>4</v>
      </c>
      <c r="Z2164" t="s">
        <v>4</v>
      </c>
      <c r="AA2164" t="s">
        <v>4</v>
      </c>
      <c r="AB2164" t="s">
        <v>4</v>
      </c>
    </row>
    <row r="2165" spans="1:28" hidden="1" x14ac:dyDescent="0.2">
      <c r="A2165" t="s">
        <v>1579</v>
      </c>
      <c r="B2165" t="s">
        <v>2</v>
      </c>
      <c r="C2165" t="s">
        <v>3</v>
      </c>
      <c r="D2165" t="s">
        <v>4</v>
      </c>
      <c r="E2165" t="s">
        <v>4</v>
      </c>
      <c r="F2165" t="s">
        <v>208</v>
      </c>
      <c r="G2165" t="s">
        <v>209</v>
      </c>
      <c r="H2165" t="s">
        <v>5563</v>
      </c>
      <c r="I2165" s="2">
        <v>965</v>
      </c>
      <c r="J2165" s="2">
        <v>0</v>
      </c>
      <c r="K2165" s="2">
        <v>0</v>
      </c>
      <c r="L2165" s="3">
        <v>45851</v>
      </c>
      <c r="M2165" s="3">
        <v>45853</v>
      </c>
      <c r="N2165" s="3">
        <v>45853</v>
      </c>
      <c r="O2165" t="s">
        <v>4</v>
      </c>
      <c r="P2165" t="s">
        <v>20</v>
      </c>
      <c r="Q2165" s="4">
        <v>0.92203703703703999</v>
      </c>
      <c r="R2165" t="s">
        <v>208</v>
      </c>
      <c r="S2165" t="s">
        <v>4</v>
      </c>
      <c r="T2165" t="s">
        <v>2747</v>
      </c>
      <c r="U2165" t="s">
        <v>10</v>
      </c>
      <c r="V2165" s="5">
        <v>0</v>
      </c>
      <c r="W2165" s="5">
        <v>0</v>
      </c>
      <c r="X2165" s="2">
        <v>0</v>
      </c>
      <c r="Y2165" t="s">
        <v>4</v>
      </c>
      <c r="Z2165" t="s">
        <v>4</v>
      </c>
      <c r="AA2165" t="s">
        <v>4</v>
      </c>
      <c r="AB2165" t="s">
        <v>4</v>
      </c>
    </row>
    <row r="2166" spans="1:28" hidden="1" x14ac:dyDescent="0.2">
      <c r="A2166" t="s">
        <v>2251</v>
      </c>
      <c r="B2166" t="s">
        <v>4</v>
      </c>
      <c r="C2166" t="s">
        <v>4</v>
      </c>
      <c r="D2166" t="s">
        <v>4</v>
      </c>
      <c r="E2166" t="s">
        <v>4</v>
      </c>
      <c r="F2166" t="s">
        <v>208</v>
      </c>
      <c r="G2166" t="s">
        <v>209</v>
      </c>
      <c r="H2166" t="s">
        <v>5564</v>
      </c>
      <c r="I2166" s="5">
        <v>0</v>
      </c>
      <c r="J2166" s="5">
        <v>0</v>
      </c>
      <c r="K2166" s="5">
        <v>0</v>
      </c>
      <c r="L2166" s="3"/>
      <c r="M2166" s="3"/>
      <c r="N2166" s="3"/>
      <c r="O2166" t="s">
        <v>4</v>
      </c>
      <c r="P2166" t="s">
        <v>20</v>
      </c>
      <c r="Q2166" s="4">
        <v>0.68175925925925995</v>
      </c>
      <c r="R2166" t="s">
        <v>4</v>
      </c>
      <c r="S2166" t="s">
        <v>4</v>
      </c>
      <c r="T2166" t="s">
        <v>2256</v>
      </c>
      <c r="U2166" t="s">
        <v>4</v>
      </c>
      <c r="V2166" s="5">
        <v>0</v>
      </c>
      <c r="W2166" s="5">
        <v>0</v>
      </c>
      <c r="X2166" s="2">
        <v>0</v>
      </c>
      <c r="Y2166" t="s">
        <v>4</v>
      </c>
      <c r="Z2166" t="s">
        <v>4</v>
      </c>
      <c r="AA2166" t="s">
        <v>4</v>
      </c>
      <c r="AB2166" t="s">
        <v>4</v>
      </c>
    </row>
    <row r="2167" spans="1:28" hidden="1" x14ac:dyDescent="0.2">
      <c r="A2167" t="s">
        <v>1213</v>
      </c>
      <c r="B2167" t="s">
        <v>2</v>
      </c>
      <c r="C2167" t="s">
        <v>3</v>
      </c>
      <c r="D2167" t="s">
        <v>4</v>
      </c>
      <c r="E2167" t="s">
        <v>4</v>
      </c>
      <c r="F2167" t="s">
        <v>208</v>
      </c>
      <c r="G2167" t="s">
        <v>209</v>
      </c>
      <c r="H2167" t="s">
        <v>5565</v>
      </c>
      <c r="I2167" s="2">
        <v>288</v>
      </c>
      <c r="J2167" s="2">
        <v>0</v>
      </c>
      <c r="K2167" s="2">
        <v>0</v>
      </c>
      <c r="L2167" s="3">
        <v>45842</v>
      </c>
      <c r="M2167" s="3">
        <v>45855</v>
      </c>
      <c r="N2167" s="3">
        <v>45855</v>
      </c>
      <c r="O2167" t="s">
        <v>4</v>
      </c>
      <c r="P2167" t="s">
        <v>20</v>
      </c>
      <c r="Q2167" s="4">
        <v>0.35412037037036997</v>
      </c>
      <c r="R2167" t="s">
        <v>208</v>
      </c>
      <c r="S2167" t="s">
        <v>4</v>
      </c>
      <c r="T2167" t="s">
        <v>2610</v>
      </c>
      <c r="U2167" t="s">
        <v>10</v>
      </c>
      <c r="V2167" s="5">
        <v>0</v>
      </c>
      <c r="W2167" s="5">
        <v>0</v>
      </c>
      <c r="X2167" s="2">
        <v>0</v>
      </c>
      <c r="Y2167" t="s">
        <v>4</v>
      </c>
      <c r="Z2167" t="s">
        <v>4</v>
      </c>
      <c r="AA2167" t="s">
        <v>4</v>
      </c>
      <c r="AB2167" t="s">
        <v>4</v>
      </c>
    </row>
    <row r="2168" spans="1:28" hidden="1" x14ac:dyDescent="0.2">
      <c r="A2168" t="s">
        <v>596</v>
      </c>
      <c r="B2168" t="s">
        <v>2</v>
      </c>
      <c r="C2168" t="s">
        <v>3</v>
      </c>
      <c r="D2168" t="s">
        <v>4</v>
      </c>
      <c r="E2168" t="s">
        <v>4</v>
      </c>
      <c r="F2168" t="s">
        <v>208</v>
      </c>
      <c r="G2168" t="s">
        <v>209</v>
      </c>
      <c r="H2168" t="s">
        <v>5566</v>
      </c>
      <c r="I2168" s="2">
        <v>9800</v>
      </c>
      <c r="J2168" s="2">
        <v>0</v>
      </c>
      <c r="K2168" s="2">
        <v>0</v>
      </c>
      <c r="L2168" s="3">
        <v>45855</v>
      </c>
      <c r="M2168" s="3">
        <v>45860</v>
      </c>
      <c r="N2168" s="3"/>
      <c r="O2168" t="s">
        <v>4</v>
      </c>
      <c r="P2168" t="s">
        <v>20</v>
      </c>
      <c r="Q2168" s="4">
        <v>0.33614583333332998</v>
      </c>
      <c r="R2168" t="s">
        <v>208</v>
      </c>
      <c r="S2168" t="s">
        <v>4</v>
      </c>
      <c r="T2168" t="s">
        <v>2350</v>
      </c>
      <c r="U2168" t="s">
        <v>10</v>
      </c>
      <c r="V2168" s="5">
        <v>0</v>
      </c>
      <c r="W2168" s="5">
        <v>0</v>
      </c>
      <c r="X2168" s="2">
        <v>0</v>
      </c>
      <c r="Y2168" t="s">
        <v>4</v>
      </c>
      <c r="Z2168" t="s">
        <v>4</v>
      </c>
      <c r="AA2168" t="s">
        <v>4</v>
      </c>
      <c r="AB2168" t="s">
        <v>4</v>
      </c>
    </row>
    <row r="2169" spans="1:28" hidden="1" x14ac:dyDescent="0.2">
      <c r="A2169" t="s">
        <v>514</v>
      </c>
      <c r="B2169" t="s">
        <v>2</v>
      </c>
      <c r="C2169" t="s">
        <v>3</v>
      </c>
      <c r="D2169" t="s">
        <v>4</v>
      </c>
      <c r="E2169" t="s">
        <v>4</v>
      </c>
      <c r="F2169" t="s">
        <v>208</v>
      </c>
      <c r="G2169" t="s">
        <v>209</v>
      </c>
      <c r="H2169" t="s">
        <v>5567</v>
      </c>
      <c r="I2169" s="2">
        <v>13000</v>
      </c>
      <c r="J2169" s="2">
        <v>0</v>
      </c>
      <c r="K2169" s="2">
        <v>0</v>
      </c>
      <c r="L2169" s="3">
        <v>45834</v>
      </c>
      <c r="M2169" s="3">
        <v>45859</v>
      </c>
      <c r="N2169" s="3">
        <v>45856</v>
      </c>
      <c r="O2169" t="s">
        <v>4</v>
      </c>
      <c r="P2169" t="s">
        <v>20</v>
      </c>
      <c r="Q2169" s="4">
        <v>0.68746527777777999</v>
      </c>
      <c r="R2169" t="s">
        <v>208</v>
      </c>
      <c r="S2169" t="s">
        <v>4</v>
      </c>
      <c r="T2169" t="s">
        <v>2817</v>
      </c>
      <c r="U2169" t="s">
        <v>10</v>
      </c>
      <c r="V2169" s="5">
        <v>0</v>
      </c>
      <c r="W2169" s="5">
        <v>0</v>
      </c>
      <c r="X2169" s="2">
        <v>0</v>
      </c>
      <c r="Y2169" t="s">
        <v>4</v>
      </c>
      <c r="Z2169" t="s">
        <v>4</v>
      </c>
      <c r="AA2169" t="s">
        <v>4</v>
      </c>
      <c r="AB2169" t="s">
        <v>4</v>
      </c>
    </row>
    <row r="2170" spans="1:28" hidden="1" x14ac:dyDescent="0.2">
      <c r="A2170" t="s">
        <v>556</v>
      </c>
      <c r="B2170" t="s">
        <v>2</v>
      </c>
      <c r="C2170" t="s">
        <v>3</v>
      </c>
      <c r="D2170" t="s">
        <v>4</v>
      </c>
      <c r="E2170" t="s">
        <v>4</v>
      </c>
      <c r="F2170" t="s">
        <v>208</v>
      </c>
      <c r="G2170" t="s">
        <v>209</v>
      </c>
      <c r="H2170" t="s">
        <v>5568</v>
      </c>
      <c r="I2170" s="2">
        <v>8000</v>
      </c>
      <c r="J2170" s="2">
        <v>0</v>
      </c>
      <c r="K2170" s="2">
        <v>0</v>
      </c>
      <c r="L2170" s="3">
        <v>45836</v>
      </c>
      <c r="M2170" s="3">
        <v>45852</v>
      </c>
      <c r="N2170" s="3">
        <v>45850</v>
      </c>
      <c r="O2170" t="s">
        <v>4</v>
      </c>
      <c r="P2170" t="s">
        <v>20</v>
      </c>
      <c r="Q2170" s="4">
        <v>0.68666666666666998</v>
      </c>
      <c r="R2170" t="s">
        <v>208</v>
      </c>
      <c r="S2170" t="s">
        <v>4</v>
      </c>
      <c r="T2170" t="s">
        <v>2316</v>
      </c>
      <c r="U2170" t="s">
        <v>10</v>
      </c>
      <c r="V2170" s="5">
        <v>0</v>
      </c>
      <c r="W2170" s="5">
        <v>0</v>
      </c>
      <c r="X2170" s="2">
        <v>0</v>
      </c>
      <c r="Y2170" t="s">
        <v>4</v>
      </c>
      <c r="Z2170" t="s">
        <v>4</v>
      </c>
      <c r="AA2170" t="s">
        <v>4</v>
      </c>
      <c r="AB2170" t="s">
        <v>4</v>
      </c>
    </row>
    <row r="2171" spans="1:28" hidden="1" x14ac:dyDescent="0.2">
      <c r="A2171" t="s">
        <v>581</v>
      </c>
      <c r="B2171" t="s">
        <v>2</v>
      </c>
      <c r="C2171" t="s">
        <v>3</v>
      </c>
      <c r="D2171" t="s">
        <v>4</v>
      </c>
      <c r="E2171" t="s">
        <v>4</v>
      </c>
      <c r="F2171" t="s">
        <v>208</v>
      </c>
      <c r="G2171" t="s">
        <v>209</v>
      </c>
      <c r="H2171" t="s">
        <v>5569</v>
      </c>
      <c r="I2171" s="2">
        <v>44000</v>
      </c>
      <c r="J2171" s="2">
        <v>0</v>
      </c>
      <c r="K2171" s="2">
        <v>0</v>
      </c>
      <c r="L2171" s="3">
        <v>45855</v>
      </c>
      <c r="M2171" s="3">
        <v>45859</v>
      </c>
      <c r="N2171" s="3"/>
      <c r="O2171" t="s">
        <v>4</v>
      </c>
      <c r="P2171" t="s">
        <v>20</v>
      </c>
      <c r="Q2171" s="4">
        <v>0.69384259259258996</v>
      </c>
      <c r="R2171" t="s">
        <v>208</v>
      </c>
      <c r="S2171" t="s">
        <v>4</v>
      </c>
      <c r="T2171" t="s">
        <v>2350</v>
      </c>
      <c r="U2171" t="s">
        <v>10</v>
      </c>
      <c r="V2171" s="5">
        <v>0</v>
      </c>
      <c r="W2171" s="5">
        <v>0</v>
      </c>
      <c r="X2171" s="2">
        <v>0</v>
      </c>
      <c r="Y2171" t="s">
        <v>4</v>
      </c>
      <c r="Z2171" t="s">
        <v>4</v>
      </c>
      <c r="AA2171" t="s">
        <v>4</v>
      </c>
      <c r="AB2171" t="s">
        <v>4</v>
      </c>
    </row>
    <row r="2172" spans="1:28" hidden="1" x14ac:dyDescent="0.2">
      <c r="A2172" t="s">
        <v>1982</v>
      </c>
      <c r="B2172" t="s">
        <v>2</v>
      </c>
      <c r="C2172" t="s">
        <v>3</v>
      </c>
      <c r="D2172" t="s">
        <v>4</v>
      </c>
      <c r="E2172" t="s">
        <v>4</v>
      </c>
      <c r="F2172" t="s">
        <v>208</v>
      </c>
      <c r="G2172" t="s">
        <v>209</v>
      </c>
      <c r="H2172" t="s">
        <v>5570</v>
      </c>
      <c r="I2172" s="2">
        <v>1260</v>
      </c>
      <c r="J2172" s="2">
        <v>0</v>
      </c>
      <c r="K2172" s="2">
        <v>0</v>
      </c>
      <c r="L2172" s="3">
        <v>45858</v>
      </c>
      <c r="M2172" s="3">
        <v>45860</v>
      </c>
      <c r="N2172" s="3"/>
      <c r="O2172" t="s">
        <v>4</v>
      </c>
      <c r="P2172" t="s">
        <v>20</v>
      </c>
      <c r="Q2172" s="4">
        <v>0.33614583333332998</v>
      </c>
      <c r="R2172" t="s">
        <v>208</v>
      </c>
      <c r="S2172" t="s">
        <v>4</v>
      </c>
      <c r="T2172" t="s">
        <v>2337</v>
      </c>
      <c r="U2172" t="s">
        <v>10</v>
      </c>
      <c r="V2172" s="5">
        <v>0</v>
      </c>
      <c r="W2172" s="5">
        <v>0</v>
      </c>
      <c r="X2172" s="2">
        <v>0</v>
      </c>
      <c r="Y2172" t="s">
        <v>4</v>
      </c>
      <c r="Z2172" t="s">
        <v>4</v>
      </c>
      <c r="AA2172" t="s">
        <v>4</v>
      </c>
      <c r="AB2172" t="s">
        <v>4</v>
      </c>
    </row>
    <row r="2173" spans="1:28" hidden="1" x14ac:dyDescent="0.2">
      <c r="A2173" t="s">
        <v>1186</v>
      </c>
      <c r="B2173" t="s">
        <v>2</v>
      </c>
      <c r="C2173" t="s">
        <v>3</v>
      </c>
      <c r="D2173" t="s">
        <v>4</v>
      </c>
      <c r="E2173" t="s">
        <v>4</v>
      </c>
      <c r="F2173" t="s">
        <v>208</v>
      </c>
      <c r="G2173" t="s">
        <v>209</v>
      </c>
      <c r="H2173" t="s">
        <v>5571</v>
      </c>
      <c r="I2173" s="2">
        <v>266</v>
      </c>
      <c r="J2173" s="2">
        <v>0</v>
      </c>
      <c r="K2173" s="2">
        <v>0</v>
      </c>
      <c r="L2173" s="3">
        <v>45846</v>
      </c>
      <c r="M2173" s="3">
        <v>45849</v>
      </c>
      <c r="N2173" s="3">
        <v>45849</v>
      </c>
      <c r="O2173" t="s">
        <v>4</v>
      </c>
      <c r="P2173" t="s">
        <v>20</v>
      </c>
      <c r="Q2173" s="4">
        <v>0.76217592592592998</v>
      </c>
      <c r="R2173" t="s">
        <v>208</v>
      </c>
      <c r="S2173" t="s">
        <v>4</v>
      </c>
      <c r="T2173" t="s">
        <v>2318</v>
      </c>
      <c r="U2173" t="s">
        <v>10</v>
      </c>
      <c r="V2173" s="5">
        <v>0</v>
      </c>
      <c r="W2173" s="5">
        <v>0</v>
      </c>
      <c r="X2173" s="2">
        <v>0</v>
      </c>
      <c r="Y2173" t="s">
        <v>4</v>
      </c>
      <c r="Z2173" t="s">
        <v>4</v>
      </c>
      <c r="AA2173" t="s">
        <v>4</v>
      </c>
      <c r="AB2173" t="s">
        <v>4</v>
      </c>
    </row>
    <row r="2174" spans="1:28" hidden="1" x14ac:dyDescent="0.2">
      <c r="A2174" t="s">
        <v>1576</v>
      </c>
      <c r="B2174" t="s">
        <v>2</v>
      </c>
      <c r="C2174" t="s">
        <v>3</v>
      </c>
      <c r="D2174" t="s">
        <v>4</v>
      </c>
      <c r="E2174" t="s">
        <v>4</v>
      </c>
      <c r="F2174" t="s">
        <v>208</v>
      </c>
      <c r="G2174" t="s">
        <v>209</v>
      </c>
      <c r="H2174" t="s">
        <v>5572</v>
      </c>
      <c r="I2174" s="2">
        <v>9600</v>
      </c>
      <c r="J2174" s="2">
        <v>0</v>
      </c>
      <c r="K2174" s="2">
        <v>0</v>
      </c>
      <c r="L2174" s="3">
        <v>45852</v>
      </c>
      <c r="M2174" s="3">
        <v>45859</v>
      </c>
      <c r="N2174" s="3"/>
      <c r="O2174" t="s">
        <v>4</v>
      </c>
      <c r="P2174" t="s">
        <v>20</v>
      </c>
      <c r="Q2174" s="4">
        <v>0.78650462962962997</v>
      </c>
      <c r="R2174" t="s">
        <v>208</v>
      </c>
      <c r="S2174" t="s">
        <v>4</v>
      </c>
      <c r="T2174" t="s">
        <v>2669</v>
      </c>
      <c r="U2174" t="s">
        <v>10</v>
      </c>
      <c r="V2174" s="5">
        <v>0</v>
      </c>
      <c r="W2174" s="5">
        <v>0</v>
      </c>
      <c r="X2174" s="2">
        <v>0</v>
      </c>
      <c r="Y2174" t="s">
        <v>4</v>
      </c>
      <c r="Z2174" t="s">
        <v>4</v>
      </c>
      <c r="AA2174" t="s">
        <v>4</v>
      </c>
      <c r="AB2174" t="s">
        <v>4</v>
      </c>
    </row>
    <row r="2175" spans="1:28" hidden="1" x14ac:dyDescent="0.2">
      <c r="A2175" t="s">
        <v>1294</v>
      </c>
      <c r="B2175" t="s">
        <v>2</v>
      </c>
      <c r="C2175" t="s">
        <v>3</v>
      </c>
      <c r="D2175" t="s">
        <v>4</v>
      </c>
      <c r="E2175" t="s">
        <v>4</v>
      </c>
      <c r="F2175" t="s">
        <v>208</v>
      </c>
      <c r="G2175" t="s">
        <v>209</v>
      </c>
      <c r="H2175" t="s">
        <v>5573</v>
      </c>
      <c r="I2175" s="2">
        <v>200</v>
      </c>
      <c r="J2175" s="2">
        <v>0</v>
      </c>
      <c r="K2175" s="2">
        <v>0</v>
      </c>
      <c r="L2175" s="3">
        <v>45731</v>
      </c>
      <c r="M2175" s="3">
        <v>45851</v>
      </c>
      <c r="N2175" s="3"/>
      <c r="O2175" t="s">
        <v>4</v>
      </c>
      <c r="P2175" t="s">
        <v>20</v>
      </c>
      <c r="Q2175" s="4">
        <v>0.56832175925925998</v>
      </c>
      <c r="R2175" t="s">
        <v>208</v>
      </c>
      <c r="S2175" t="s">
        <v>4</v>
      </c>
      <c r="T2175" t="s">
        <v>5574</v>
      </c>
      <c r="U2175" t="s">
        <v>10</v>
      </c>
      <c r="V2175" s="5">
        <v>0</v>
      </c>
      <c r="W2175" s="5">
        <v>0</v>
      </c>
      <c r="X2175" s="2">
        <v>0</v>
      </c>
      <c r="Y2175" t="s">
        <v>4</v>
      </c>
      <c r="Z2175" t="s">
        <v>4</v>
      </c>
      <c r="AA2175" t="s">
        <v>4</v>
      </c>
      <c r="AB2175" t="s">
        <v>4</v>
      </c>
    </row>
    <row r="2176" spans="1:28" hidden="1" x14ac:dyDescent="0.2">
      <c r="A2176" t="s">
        <v>1209</v>
      </c>
      <c r="B2176" t="s">
        <v>2</v>
      </c>
      <c r="C2176" t="s">
        <v>3</v>
      </c>
      <c r="D2176" t="s">
        <v>4</v>
      </c>
      <c r="E2176" t="s">
        <v>4</v>
      </c>
      <c r="F2176" t="s">
        <v>208</v>
      </c>
      <c r="G2176" t="s">
        <v>209</v>
      </c>
      <c r="H2176" t="s">
        <v>5575</v>
      </c>
      <c r="I2176" s="2">
        <v>506</v>
      </c>
      <c r="J2176" s="2">
        <v>0</v>
      </c>
      <c r="K2176" s="2">
        <v>0</v>
      </c>
      <c r="L2176" s="3">
        <v>45694</v>
      </c>
      <c r="M2176" s="3">
        <v>45819</v>
      </c>
      <c r="N2176" s="3">
        <v>45819</v>
      </c>
      <c r="O2176" t="s">
        <v>4</v>
      </c>
      <c r="P2176" t="s">
        <v>20</v>
      </c>
      <c r="Q2176" s="4">
        <v>0.42196759259258998</v>
      </c>
      <c r="R2176" t="s">
        <v>208</v>
      </c>
      <c r="S2176" t="s">
        <v>4</v>
      </c>
      <c r="T2176" t="s">
        <v>4930</v>
      </c>
      <c r="U2176" t="s">
        <v>10</v>
      </c>
      <c r="V2176" s="5">
        <v>0</v>
      </c>
      <c r="W2176" s="5">
        <v>0</v>
      </c>
      <c r="X2176" s="2">
        <v>0</v>
      </c>
      <c r="Y2176" t="s">
        <v>4</v>
      </c>
      <c r="Z2176" t="s">
        <v>4</v>
      </c>
      <c r="AA2176" t="s">
        <v>4</v>
      </c>
      <c r="AB2176" t="s">
        <v>4</v>
      </c>
    </row>
    <row r="2177" spans="1:28" hidden="1" x14ac:dyDescent="0.2">
      <c r="A2177" t="s">
        <v>1196</v>
      </c>
      <c r="B2177" t="s">
        <v>2</v>
      </c>
      <c r="C2177" t="s">
        <v>3</v>
      </c>
      <c r="D2177" t="s">
        <v>4</v>
      </c>
      <c r="E2177" t="s">
        <v>4</v>
      </c>
      <c r="F2177" t="s">
        <v>208</v>
      </c>
      <c r="G2177" t="s">
        <v>209</v>
      </c>
      <c r="H2177" t="s">
        <v>5576</v>
      </c>
      <c r="I2177" s="2">
        <v>163</v>
      </c>
      <c r="J2177" s="2">
        <v>0</v>
      </c>
      <c r="K2177" s="2">
        <v>0</v>
      </c>
      <c r="L2177" s="3">
        <v>45484</v>
      </c>
      <c r="M2177" s="3">
        <v>45811</v>
      </c>
      <c r="N2177" s="3">
        <v>45811</v>
      </c>
      <c r="O2177" t="s">
        <v>4</v>
      </c>
      <c r="P2177" t="s">
        <v>20</v>
      </c>
      <c r="Q2177" s="4">
        <v>0.81611111111111001</v>
      </c>
      <c r="R2177" t="s">
        <v>208</v>
      </c>
      <c r="S2177" t="s">
        <v>4</v>
      </c>
      <c r="T2177" t="s">
        <v>5577</v>
      </c>
      <c r="U2177" t="s">
        <v>10</v>
      </c>
      <c r="V2177" s="5">
        <v>0</v>
      </c>
      <c r="W2177" s="5">
        <v>0</v>
      </c>
      <c r="X2177" s="2">
        <v>0</v>
      </c>
      <c r="Y2177" t="s">
        <v>4</v>
      </c>
      <c r="Z2177" t="s">
        <v>4</v>
      </c>
      <c r="AA2177" t="s">
        <v>4</v>
      </c>
      <c r="AB2177" t="s">
        <v>4</v>
      </c>
    </row>
    <row r="2178" spans="1:28" hidden="1" x14ac:dyDescent="0.2">
      <c r="A2178" t="s">
        <v>826</v>
      </c>
      <c r="B2178" t="s">
        <v>2</v>
      </c>
      <c r="C2178" t="s">
        <v>3</v>
      </c>
      <c r="D2178" t="s">
        <v>4</v>
      </c>
      <c r="E2178" t="s">
        <v>4</v>
      </c>
      <c r="F2178" t="s">
        <v>208</v>
      </c>
      <c r="G2178" t="s">
        <v>209</v>
      </c>
      <c r="H2178" t="s">
        <v>5578</v>
      </c>
      <c r="I2178" s="2">
        <v>64500</v>
      </c>
      <c r="J2178" s="2">
        <v>0</v>
      </c>
      <c r="K2178" s="2">
        <v>0</v>
      </c>
      <c r="L2178" s="3">
        <v>45859</v>
      </c>
      <c r="M2178" s="3">
        <v>45859</v>
      </c>
      <c r="N2178" s="3"/>
      <c r="O2178" t="s">
        <v>4</v>
      </c>
      <c r="P2178" t="s">
        <v>20</v>
      </c>
      <c r="Q2178" s="4">
        <v>0.91270833333333001</v>
      </c>
      <c r="R2178" t="s">
        <v>208</v>
      </c>
      <c r="S2178" t="s">
        <v>4</v>
      </c>
      <c r="T2178" t="s">
        <v>2261</v>
      </c>
      <c r="U2178" t="s">
        <v>10</v>
      </c>
      <c r="V2178" s="5">
        <v>0</v>
      </c>
      <c r="W2178" s="5">
        <v>0</v>
      </c>
      <c r="X2178" s="2">
        <v>0</v>
      </c>
      <c r="Y2178" t="s">
        <v>4</v>
      </c>
      <c r="Z2178" t="s">
        <v>4</v>
      </c>
      <c r="AA2178" t="s">
        <v>4</v>
      </c>
      <c r="AB2178" t="s">
        <v>4</v>
      </c>
    </row>
    <row r="2179" spans="1:28" hidden="1" x14ac:dyDescent="0.2">
      <c r="A2179" t="s">
        <v>2120</v>
      </c>
      <c r="B2179" t="s">
        <v>2</v>
      </c>
      <c r="C2179" t="s">
        <v>3</v>
      </c>
      <c r="D2179" t="s">
        <v>4</v>
      </c>
      <c r="E2179" t="s">
        <v>4</v>
      </c>
      <c r="F2179" t="s">
        <v>208</v>
      </c>
      <c r="G2179" t="s">
        <v>209</v>
      </c>
      <c r="H2179" t="s">
        <v>5579</v>
      </c>
      <c r="I2179" s="2">
        <v>12000</v>
      </c>
      <c r="J2179" s="2">
        <v>0</v>
      </c>
      <c r="K2179" s="2">
        <v>0</v>
      </c>
      <c r="L2179" s="3">
        <v>45840</v>
      </c>
      <c r="M2179" s="3">
        <v>45859</v>
      </c>
      <c r="N2179" s="3"/>
      <c r="O2179" t="s">
        <v>4</v>
      </c>
      <c r="P2179" t="s">
        <v>20</v>
      </c>
      <c r="Q2179" s="4">
        <v>0.33888888888889002</v>
      </c>
      <c r="R2179" t="s">
        <v>208</v>
      </c>
      <c r="S2179" t="s">
        <v>4</v>
      </c>
      <c r="T2179" t="s">
        <v>2766</v>
      </c>
      <c r="U2179" t="s">
        <v>10</v>
      </c>
      <c r="V2179" s="5">
        <v>0</v>
      </c>
      <c r="W2179" s="5">
        <v>0</v>
      </c>
      <c r="X2179" s="2">
        <v>0</v>
      </c>
      <c r="Y2179" t="s">
        <v>4</v>
      </c>
      <c r="Z2179" t="s">
        <v>4</v>
      </c>
      <c r="AA2179" t="s">
        <v>4</v>
      </c>
      <c r="AB2179" t="s">
        <v>4</v>
      </c>
    </row>
    <row r="2180" spans="1:28" hidden="1" x14ac:dyDescent="0.2">
      <c r="A2180" t="s">
        <v>579</v>
      </c>
      <c r="B2180" t="s">
        <v>2</v>
      </c>
      <c r="C2180" t="s">
        <v>3</v>
      </c>
      <c r="D2180" t="s">
        <v>4</v>
      </c>
      <c r="E2180" t="s">
        <v>4</v>
      </c>
      <c r="F2180" t="s">
        <v>208</v>
      </c>
      <c r="G2180" t="s">
        <v>209</v>
      </c>
      <c r="H2180" t="s">
        <v>5580</v>
      </c>
      <c r="I2180" s="2">
        <v>16100</v>
      </c>
      <c r="J2180" s="2">
        <v>0</v>
      </c>
      <c r="K2180" s="2">
        <v>0</v>
      </c>
      <c r="L2180" s="3">
        <v>45854</v>
      </c>
      <c r="M2180" s="3">
        <v>45860</v>
      </c>
      <c r="N2180" s="3">
        <v>45857</v>
      </c>
      <c r="O2180" t="s">
        <v>4</v>
      </c>
      <c r="P2180" t="s">
        <v>20</v>
      </c>
      <c r="Q2180" s="4">
        <v>0.33613425925925999</v>
      </c>
      <c r="R2180" t="s">
        <v>208</v>
      </c>
      <c r="S2180" t="s">
        <v>4</v>
      </c>
      <c r="T2180" t="s">
        <v>2299</v>
      </c>
      <c r="U2180" t="s">
        <v>10</v>
      </c>
      <c r="V2180" s="5">
        <v>0</v>
      </c>
      <c r="W2180" s="5">
        <v>0</v>
      </c>
      <c r="X2180" s="2">
        <v>0</v>
      </c>
      <c r="Y2180" t="s">
        <v>4</v>
      </c>
      <c r="Z2180" t="s">
        <v>4</v>
      </c>
      <c r="AA2180" t="s">
        <v>4</v>
      </c>
      <c r="AB2180" t="s">
        <v>4</v>
      </c>
    </row>
    <row r="2181" spans="1:28" hidden="1" x14ac:dyDescent="0.2">
      <c r="A2181" t="s">
        <v>593</v>
      </c>
      <c r="B2181" t="s">
        <v>2</v>
      </c>
      <c r="C2181" t="s">
        <v>3</v>
      </c>
      <c r="D2181" t="s">
        <v>4</v>
      </c>
      <c r="E2181" t="s">
        <v>4</v>
      </c>
      <c r="F2181" t="s">
        <v>208</v>
      </c>
      <c r="G2181" t="s">
        <v>209</v>
      </c>
      <c r="H2181" t="s">
        <v>5581</v>
      </c>
      <c r="I2181" s="2">
        <v>120000</v>
      </c>
      <c r="J2181" s="2">
        <v>0</v>
      </c>
      <c r="K2181" s="2">
        <v>0</v>
      </c>
      <c r="L2181" s="3">
        <v>45856</v>
      </c>
      <c r="M2181" s="3">
        <v>45859</v>
      </c>
      <c r="N2181" s="3">
        <v>45859</v>
      </c>
      <c r="O2181" t="s">
        <v>4</v>
      </c>
      <c r="P2181" t="s">
        <v>20</v>
      </c>
      <c r="Q2181" s="4">
        <v>0.82158564814815005</v>
      </c>
      <c r="R2181" t="s">
        <v>208</v>
      </c>
      <c r="S2181" t="s">
        <v>4</v>
      </c>
      <c r="T2181" t="s">
        <v>2260</v>
      </c>
      <c r="U2181" t="s">
        <v>10</v>
      </c>
      <c r="V2181" s="5">
        <v>0</v>
      </c>
      <c r="W2181" s="5">
        <v>0</v>
      </c>
      <c r="X2181" s="2">
        <v>0</v>
      </c>
      <c r="Y2181" t="s">
        <v>4</v>
      </c>
      <c r="Z2181" t="s">
        <v>4</v>
      </c>
      <c r="AA2181" t="s">
        <v>4</v>
      </c>
      <c r="AB2181" t="s">
        <v>4</v>
      </c>
    </row>
    <row r="2182" spans="1:28" hidden="1" x14ac:dyDescent="0.2">
      <c r="A2182" t="s">
        <v>632</v>
      </c>
      <c r="B2182" t="s">
        <v>2</v>
      </c>
      <c r="C2182" t="s">
        <v>3</v>
      </c>
      <c r="D2182" t="s">
        <v>4</v>
      </c>
      <c r="E2182" t="s">
        <v>4</v>
      </c>
      <c r="F2182" t="s">
        <v>208</v>
      </c>
      <c r="G2182" t="s">
        <v>209</v>
      </c>
      <c r="H2182" t="s">
        <v>5582</v>
      </c>
      <c r="I2182" s="2">
        <v>896</v>
      </c>
      <c r="J2182" s="2">
        <v>0</v>
      </c>
      <c r="K2182" s="2">
        <v>0</v>
      </c>
      <c r="L2182" s="3">
        <v>45855</v>
      </c>
      <c r="M2182" s="3">
        <v>45857</v>
      </c>
      <c r="N2182" s="3">
        <v>45857</v>
      </c>
      <c r="O2182" t="s">
        <v>4</v>
      </c>
      <c r="P2182" t="s">
        <v>20</v>
      </c>
      <c r="Q2182" s="4">
        <v>0.61590277777778002</v>
      </c>
      <c r="R2182" t="s">
        <v>208</v>
      </c>
      <c r="S2182" t="s">
        <v>4</v>
      </c>
      <c r="T2182" t="s">
        <v>2350</v>
      </c>
      <c r="U2182" t="s">
        <v>10</v>
      </c>
      <c r="V2182" s="5">
        <v>0</v>
      </c>
      <c r="W2182" s="5">
        <v>0</v>
      </c>
      <c r="X2182" s="2">
        <v>0</v>
      </c>
      <c r="Y2182" t="s">
        <v>4</v>
      </c>
      <c r="Z2182" t="s">
        <v>4</v>
      </c>
      <c r="AA2182" t="s">
        <v>4</v>
      </c>
      <c r="AB2182" t="s">
        <v>4</v>
      </c>
    </row>
    <row r="2183" spans="1:28" hidden="1" x14ac:dyDescent="0.2">
      <c r="A2183" t="s">
        <v>1050</v>
      </c>
      <c r="B2183" t="s">
        <v>2</v>
      </c>
      <c r="C2183" t="s">
        <v>3</v>
      </c>
      <c r="D2183" t="s">
        <v>4</v>
      </c>
      <c r="E2183" t="s">
        <v>4</v>
      </c>
      <c r="F2183" t="s">
        <v>208</v>
      </c>
      <c r="G2183" t="s">
        <v>209</v>
      </c>
      <c r="H2183" t="s">
        <v>5583</v>
      </c>
      <c r="I2183" s="2">
        <v>1200</v>
      </c>
      <c r="J2183" s="2">
        <v>0</v>
      </c>
      <c r="K2183" s="2">
        <v>0</v>
      </c>
      <c r="L2183" s="3">
        <v>45855</v>
      </c>
      <c r="M2183" s="3">
        <v>45860</v>
      </c>
      <c r="N2183" s="3"/>
      <c r="O2183" t="s">
        <v>4</v>
      </c>
      <c r="P2183" t="s">
        <v>20</v>
      </c>
      <c r="Q2183" s="4">
        <v>0.33615740740741001</v>
      </c>
      <c r="R2183" t="s">
        <v>208</v>
      </c>
      <c r="S2183" t="s">
        <v>4</v>
      </c>
      <c r="T2183" t="s">
        <v>2350</v>
      </c>
      <c r="U2183" t="s">
        <v>10</v>
      </c>
      <c r="V2183" s="5">
        <v>0</v>
      </c>
      <c r="W2183" s="5">
        <v>0</v>
      </c>
      <c r="X2183" s="2">
        <v>0</v>
      </c>
      <c r="Y2183" t="s">
        <v>4</v>
      </c>
      <c r="Z2183" t="s">
        <v>4</v>
      </c>
      <c r="AA2183" t="s">
        <v>4</v>
      </c>
      <c r="AB2183" t="s">
        <v>4</v>
      </c>
    </row>
    <row r="2184" spans="1:28" hidden="1" x14ac:dyDescent="0.2">
      <c r="A2184" t="s">
        <v>304</v>
      </c>
      <c r="B2184" t="s">
        <v>2</v>
      </c>
      <c r="C2184" t="s">
        <v>3</v>
      </c>
      <c r="D2184" t="s">
        <v>4</v>
      </c>
      <c r="E2184" t="s">
        <v>4</v>
      </c>
      <c r="F2184" t="s">
        <v>208</v>
      </c>
      <c r="G2184" t="s">
        <v>209</v>
      </c>
      <c r="H2184" t="s">
        <v>5584</v>
      </c>
      <c r="I2184" s="2">
        <v>1250</v>
      </c>
      <c r="J2184" s="2">
        <v>0</v>
      </c>
      <c r="K2184" s="2">
        <v>0</v>
      </c>
      <c r="L2184" s="3">
        <v>45857</v>
      </c>
      <c r="M2184" s="3">
        <v>45860</v>
      </c>
      <c r="N2184" s="3"/>
      <c r="O2184" t="s">
        <v>4</v>
      </c>
      <c r="P2184" t="s">
        <v>20</v>
      </c>
      <c r="Q2184" s="4">
        <v>0.31515046296296001</v>
      </c>
      <c r="R2184" t="s">
        <v>208</v>
      </c>
      <c r="S2184" t="s">
        <v>4</v>
      </c>
      <c r="T2184" t="s">
        <v>2262</v>
      </c>
      <c r="U2184" t="s">
        <v>10</v>
      </c>
      <c r="V2184" s="5">
        <v>0</v>
      </c>
      <c r="W2184" s="5">
        <v>0</v>
      </c>
      <c r="X2184" s="2">
        <v>0</v>
      </c>
      <c r="Y2184" t="s">
        <v>4</v>
      </c>
      <c r="Z2184" t="s">
        <v>4</v>
      </c>
      <c r="AA2184" t="s">
        <v>4</v>
      </c>
      <c r="AB2184" t="s">
        <v>4</v>
      </c>
    </row>
    <row r="2185" spans="1:28" hidden="1" x14ac:dyDescent="0.2">
      <c r="A2185" t="s">
        <v>2251</v>
      </c>
      <c r="B2185" t="s">
        <v>4</v>
      </c>
      <c r="C2185" t="s">
        <v>4</v>
      </c>
      <c r="D2185" t="s">
        <v>4</v>
      </c>
      <c r="E2185" t="s">
        <v>4</v>
      </c>
      <c r="F2185" t="s">
        <v>208</v>
      </c>
      <c r="G2185" t="s">
        <v>209</v>
      </c>
      <c r="H2185" t="s">
        <v>5585</v>
      </c>
      <c r="I2185" s="5">
        <v>0</v>
      </c>
      <c r="J2185" s="5">
        <v>0</v>
      </c>
      <c r="K2185" s="5">
        <v>0</v>
      </c>
      <c r="L2185" s="3"/>
      <c r="M2185" s="3"/>
      <c r="N2185" s="3"/>
      <c r="O2185" t="s">
        <v>4</v>
      </c>
      <c r="P2185" t="s">
        <v>20</v>
      </c>
      <c r="Q2185" s="4">
        <v>0.84878472222222001</v>
      </c>
      <c r="R2185" t="s">
        <v>4</v>
      </c>
      <c r="S2185" t="s">
        <v>4</v>
      </c>
      <c r="T2185" t="s">
        <v>2256</v>
      </c>
      <c r="U2185" t="s">
        <v>4</v>
      </c>
      <c r="V2185" s="5">
        <v>0</v>
      </c>
      <c r="W2185" s="5">
        <v>0</v>
      </c>
      <c r="X2185" s="2">
        <v>0</v>
      </c>
      <c r="Y2185" t="s">
        <v>4</v>
      </c>
      <c r="Z2185" t="s">
        <v>4</v>
      </c>
      <c r="AA2185" t="s">
        <v>4</v>
      </c>
      <c r="AB2185" t="s">
        <v>4</v>
      </c>
    </row>
    <row r="2186" spans="1:28" hidden="1" x14ac:dyDescent="0.2">
      <c r="A2186" t="s">
        <v>2251</v>
      </c>
      <c r="B2186" t="s">
        <v>4</v>
      </c>
      <c r="C2186" t="s">
        <v>4</v>
      </c>
      <c r="D2186" t="s">
        <v>4</v>
      </c>
      <c r="E2186" t="s">
        <v>4</v>
      </c>
      <c r="F2186" t="s">
        <v>208</v>
      </c>
      <c r="G2186" t="s">
        <v>209</v>
      </c>
      <c r="H2186" t="s">
        <v>5586</v>
      </c>
      <c r="I2186" s="5">
        <v>0</v>
      </c>
      <c r="J2186" s="5">
        <v>0</v>
      </c>
      <c r="K2186" s="5">
        <v>0</v>
      </c>
      <c r="L2186" s="3"/>
      <c r="M2186" s="3"/>
      <c r="N2186" s="3"/>
      <c r="O2186" t="s">
        <v>4</v>
      </c>
      <c r="P2186" t="s">
        <v>20</v>
      </c>
      <c r="Q2186" s="4">
        <v>0.73831018518518998</v>
      </c>
      <c r="R2186" t="s">
        <v>4</v>
      </c>
      <c r="S2186" t="s">
        <v>4</v>
      </c>
      <c r="T2186" t="s">
        <v>2256</v>
      </c>
      <c r="U2186" t="s">
        <v>4</v>
      </c>
      <c r="V2186" s="5">
        <v>0</v>
      </c>
      <c r="W2186" s="5">
        <v>0</v>
      </c>
      <c r="X2186" s="2">
        <v>0</v>
      </c>
      <c r="Y2186" t="s">
        <v>4</v>
      </c>
      <c r="Z2186" t="s">
        <v>4</v>
      </c>
      <c r="AA2186" t="s">
        <v>4</v>
      </c>
      <c r="AB2186" t="s">
        <v>4</v>
      </c>
    </row>
    <row r="2187" spans="1:28" hidden="1" x14ac:dyDescent="0.2">
      <c r="A2187" t="s">
        <v>1201</v>
      </c>
      <c r="B2187" t="s">
        <v>2</v>
      </c>
      <c r="C2187" t="s">
        <v>3</v>
      </c>
      <c r="D2187" t="s">
        <v>4</v>
      </c>
      <c r="E2187" t="s">
        <v>4</v>
      </c>
      <c r="F2187" t="s">
        <v>208</v>
      </c>
      <c r="G2187" t="s">
        <v>209</v>
      </c>
      <c r="H2187" t="s">
        <v>5587</v>
      </c>
      <c r="I2187" s="2">
        <v>200</v>
      </c>
      <c r="J2187" s="2">
        <v>0</v>
      </c>
      <c r="K2187" s="2">
        <v>0</v>
      </c>
      <c r="L2187" s="3">
        <v>45853</v>
      </c>
      <c r="M2187" s="3">
        <v>45853</v>
      </c>
      <c r="N2187" s="3"/>
      <c r="O2187" t="s">
        <v>4</v>
      </c>
      <c r="P2187" t="s">
        <v>20</v>
      </c>
      <c r="Q2187" s="4">
        <v>0.88768518518519002</v>
      </c>
      <c r="R2187" t="s">
        <v>208</v>
      </c>
      <c r="S2187" t="s">
        <v>4</v>
      </c>
      <c r="T2187" t="s">
        <v>2272</v>
      </c>
      <c r="U2187" t="s">
        <v>10</v>
      </c>
      <c r="V2187" s="5">
        <v>0</v>
      </c>
      <c r="W2187" s="5">
        <v>0</v>
      </c>
      <c r="X2187" s="2">
        <v>0</v>
      </c>
      <c r="Y2187" t="s">
        <v>4</v>
      </c>
      <c r="Z2187" t="s">
        <v>4</v>
      </c>
      <c r="AA2187" t="s">
        <v>4</v>
      </c>
      <c r="AB2187" t="s">
        <v>4</v>
      </c>
    </row>
    <row r="2188" spans="1:28" hidden="1" x14ac:dyDescent="0.2">
      <c r="A2188" t="s">
        <v>2251</v>
      </c>
      <c r="B2188" t="s">
        <v>4</v>
      </c>
      <c r="C2188" t="s">
        <v>4</v>
      </c>
      <c r="D2188" t="s">
        <v>4</v>
      </c>
      <c r="E2188" t="s">
        <v>4</v>
      </c>
      <c r="F2188" t="s">
        <v>208</v>
      </c>
      <c r="G2188" t="s">
        <v>209</v>
      </c>
      <c r="H2188" t="s">
        <v>5588</v>
      </c>
      <c r="I2188" s="5">
        <v>0</v>
      </c>
      <c r="J2188" s="5">
        <v>0</v>
      </c>
      <c r="K2188" s="5">
        <v>0</v>
      </c>
      <c r="L2188" s="3"/>
      <c r="M2188" s="3"/>
      <c r="N2188" s="3"/>
      <c r="O2188" t="s">
        <v>4</v>
      </c>
      <c r="P2188" t="s">
        <v>20</v>
      </c>
      <c r="Q2188" s="4">
        <v>0.37843749999999998</v>
      </c>
      <c r="R2188" t="s">
        <v>4</v>
      </c>
      <c r="S2188" t="s">
        <v>4</v>
      </c>
      <c r="T2188" t="s">
        <v>2256</v>
      </c>
      <c r="U2188" t="s">
        <v>4</v>
      </c>
      <c r="V2188" s="5">
        <v>0</v>
      </c>
      <c r="W2188" s="5">
        <v>0</v>
      </c>
      <c r="X2188" s="2">
        <v>0</v>
      </c>
      <c r="Y2188" t="s">
        <v>4</v>
      </c>
      <c r="Z2188" t="s">
        <v>4</v>
      </c>
      <c r="AA2188" t="s">
        <v>4</v>
      </c>
      <c r="AB2188" t="s">
        <v>4</v>
      </c>
    </row>
    <row r="2189" spans="1:28" hidden="1" x14ac:dyDescent="0.2">
      <c r="A2189" t="s">
        <v>2251</v>
      </c>
      <c r="B2189" t="s">
        <v>4</v>
      </c>
      <c r="C2189" t="s">
        <v>4</v>
      </c>
      <c r="D2189" t="s">
        <v>4</v>
      </c>
      <c r="E2189" t="s">
        <v>4</v>
      </c>
      <c r="F2189" t="s">
        <v>208</v>
      </c>
      <c r="G2189" t="s">
        <v>209</v>
      </c>
      <c r="H2189" t="s">
        <v>5589</v>
      </c>
      <c r="I2189" s="5">
        <v>0</v>
      </c>
      <c r="J2189" s="5">
        <v>0</v>
      </c>
      <c r="K2189" s="5">
        <v>0</v>
      </c>
      <c r="L2189" s="3"/>
      <c r="M2189" s="3"/>
      <c r="N2189" s="3"/>
      <c r="O2189" t="s">
        <v>4</v>
      </c>
      <c r="P2189" t="s">
        <v>20</v>
      </c>
      <c r="Q2189" s="4">
        <v>0.47378472222222001</v>
      </c>
      <c r="R2189" t="s">
        <v>4</v>
      </c>
      <c r="S2189" t="s">
        <v>4</v>
      </c>
      <c r="T2189" t="s">
        <v>2256</v>
      </c>
      <c r="U2189" t="s">
        <v>4</v>
      </c>
      <c r="V2189" s="5">
        <v>0</v>
      </c>
      <c r="W2189" s="5">
        <v>0</v>
      </c>
      <c r="X2189" s="2">
        <v>0</v>
      </c>
      <c r="Y2189" t="s">
        <v>4</v>
      </c>
      <c r="Z2189" t="s">
        <v>4</v>
      </c>
      <c r="AA2189" t="s">
        <v>4</v>
      </c>
      <c r="AB2189" t="s">
        <v>4</v>
      </c>
    </row>
    <row r="2190" spans="1:28" hidden="1" x14ac:dyDescent="0.2">
      <c r="A2190" t="s">
        <v>2155</v>
      </c>
      <c r="B2190" t="s">
        <v>2</v>
      </c>
      <c r="C2190" t="s">
        <v>3</v>
      </c>
      <c r="D2190" t="s">
        <v>4</v>
      </c>
      <c r="E2190" t="s">
        <v>4</v>
      </c>
      <c r="F2190" t="s">
        <v>208</v>
      </c>
      <c r="G2190" t="s">
        <v>209</v>
      </c>
      <c r="H2190" t="s">
        <v>5590</v>
      </c>
      <c r="I2190" s="2">
        <v>840</v>
      </c>
      <c r="J2190" s="2">
        <v>0</v>
      </c>
      <c r="K2190" s="2">
        <v>600</v>
      </c>
      <c r="L2190" s="3">
        <v>45860</v>
      </c>
      <c r="M2190" s="3">
        <v>45860</v>
      </c>
      <c r="N2190" s="3"/>
      <c r="O2190" t="s">
        <v>4</v>
      </c>
      <c r="P2190" t="s">
        <v>20</v>
      </c>
      <c r="Q2190" s="4">
        <v>0.47378472222222001</v>
      </c>
      <c r="R2190" t="s">
        <v>208</v>
      </c>
      <c r="S2190" t="s">
        <v>4</v>
      </c>
      <c r="T2190" t="s">
        <v>2256</v>
      </c>
      <c r="U2190" t="s">
        <v>10</v>
      </c>
      <c r="V2190" s="5">
        <v>0</v>
      </c>
      <c r="W2190" s="5">
        <v>0</v>
      </c>
      <c r="X2190" s="2">
        <v>0</v>
      </c>
      <c r="Y2190" t="s">
        <v>4</v>
      </c>
      <c r="Z2190" t="s">
        <v>4</v>
      </c>
      <c r="AA2190" t="s">
        <v>4</v>
      </c>
      <c r="AB2190" t="s">
        <v>4</v>
      </c>
    </row>
    <row r="2191" spans="1:28" hidden="1" x14ac:dyDescent="0.2">
      <c r="A2191" t="s">
        <v>2251</v>
      </c>
      <c r="B2191" t="s">
        <v>4</v>
      </c>
      <c r="C2191" t="s">
        <v>4</v>
      </c>
      <c r="D2191" t="s">
        <v>4</v>
      </c>
      <c r="E2191" t="s">
        <v>4</v>
      </c>
      <c r="F2191" t="s">
        <v>208</v>
      </c>
      <c r="G2191" t="s">
        <v>209</v>
      </c>
      <c r="H2191" t="s">
        <v>5591</v>
      </c>
      <c r="I2191" s="5">
        <v>0</v>
      </c>
      <c r="J2191" s="5">
        <v>0</v>
      </c>
      <c r="K2191" s="5">
        <v>0</v>
      </c>
      <c r="L2191" s="3"/>
      <c r="M2191" s="3"/>
      <c r="N2191" s="3"/>
      <c r="O2191" t="s">
        <v>4</v>
      </c>
      <c r="P2191" t="s">
        <v>20</v>
      </c>
      <c r="Q2191" s="4">
        <v>0.56232638888888997</v>
      </c>
      <c r="R2191" t="s">
        <v>4</v>
      </c>
      <c r="S2191" t="s">
        <v>4</v>
      </c>
      <c r="T2191" t="s">
        <v>2256</v>
      </c>
      <c r="U2191" t="s">
        <v>4</v>
      </c>
      <c r="V2191" s="5">
        <v>0</v>
      </c>
      <c r="W2191" s="5">
        <v>0</v>
      </c>
      <c r="X2191" s="2">
        <v>0</v>
      </c>
      <c r="Y2191" t="s">
        <v>4</v>
      </c>
      <c r="Z2191" t="s">
        <v>4</v>
      </c>
      <c r="AA2191" t="s">
        <v>4</v>
      </c>
      <c r="AB2191" t="s">
        <v>4</v>
      </c>
    </row>
    <row r="2192" spans="1:28" hidden="1" x14ac:dyDescent="0.2">
      <c r="A2192" t="s">
        <v>2251</v>
      </c>
      <c r="B2192" t="s">
        <v>4</v>
      </c>
      <c r="C2192" t="s">
        <v>4</v>
      </c>
      <c r="D2192" t="s">
        <v>4</v>
      </c>
      <c r="E2192" t="s">
        <v>4</v>
      </c>
      <c r="F2192" t="s">
        <v>208</v>
      </c>
      <c r="G2192" t="s">
        <v>209</v>
      </c>
      <c r="H2192" t="s">
        <v>5592</v>
      </c>
      <c r="I2192" s="5">
        <v>0</v>
      </c>
      <c r="J2192" s="5">
        <v>0</v>
      </c>
      <c r="K2192" s="5">
        <v>0</v>
      </c>
      <c r="L2192" s="3"/>
      <c r="M2192" s="3"/>
      <c r="N2192" s="3"/>
      <c r="O2192" t="s">
        <v>4</v>
      </c>
      <c r="P2192" t="s">
        <v>20</v>
      </c>
      <c r="Q2192" s="4">
        <v>0.56405092592592998</v>
      </c>
      <c r="R2192" t="s">
        <v>4</v>
      </c>
      <c r="S2192" t="s">
        <v>4</v>
      </c>
      <c r="T2192" t="s">
        <v>2256</v>
      </c>
      <c r="U2192" t="s">
        <v>4</v>
      </c>
      <c r="V2192" s="5">
        <v>0</v>
      </c>
      <c r="W2192" s="5">
        <v>0</v>
      </c>
      <c r="X2192" s="2">
        <v>0</v>
      </c>
      <c r="Y2192" t="s">
        <v>4</v>
      </c>
      <c r="Z2192" t="s">
        <v>4</v>
      </c>
      <c r="AA2192" t="s">
        <v>4</v>
      </c>
      <c r="AB2192" t="s">
        <v>4</v>
      </c>
    </row>
    <row r="2193" spans="1:28" hidden="1" x14ac:dyDescent="0.2">
      <c r="A2193" t="s">
        <v>1849</v>
      </c>
      <c r="B2193" t="s">
        <v>2</v>
      </c>
      <c r="C2193" t="s">
        <v>3</v>
      </c>
      <c r="D2193" t="s">
        <v>4</v>
      </c>
      <c r="E2193" t="s">
        <v>4</v>
      </c>
      <c r="F2193" t="s">
        <v>208</v>
      </c>
      <c r="G2193" t="s">
        <v>209</v>
      </c>
      <c r="H2193" t="s">
        <v>5593</v>
      </c>
      <c r="I2193" s="2">
        <v>648</v>
      </c>
      <c r="J2193" s="2">
        <v>0</v>
      </c>
      <c r="K2193" s="2">
        <v>0</v>
      </c>
      <c r="L2193" s="3">
        <v>45852</v>
      </c>
      <c r="M2193" s="3">
        <v>45852</v>
      </c>
      <c r="N2193" s="3"/>
      <c r="O2193" t="s">
        <v>4</v>
      </c>
      <c r="P2193" t="s">
        <v>20</v>
      </c>
      <c r="Q2193" s="4">
        <v>0.53357638888889003</v>
      </c>
      <c r="R2193" t="s">
        <v>208</v>
      </c>
      <c r="S2193" t="s">
        <v>4</v>
      </c>
      <c r="T2193" t="s">
        <v>2669</v>
      </c>
      <c r="U2193" t="s">
        <v>10</v>
      </c>
      <c r="V2193" s="5">
        <v>0</v>
      </c>
      <c r="W2193" s="5">
        <v>0</v>
      </c>
      <c r="X2193" s="2">
        <v>0</v>
      </c>
      <c r="Y2193" t="s">
        <v>4</v>
      </c>
      <c r="Z2193" t="s">
        <v>4</v>
      </c>
      <c r="AA2193" t="s">
        <v>4</v>
      </c>
      <c r="AB2193" t="s">
        <v>4</v>
      </c>
    </row>
    <row r="2194" spans="1:28" hidden="1" x14ac:dyDescent="0.2">
      <c r="A2194" t="s">
        <v>1193</v>
      </c>
      <c r="B2194" t="s">
        <v>2</v>
      </c>
      <c r="C2194" t="s">
        <v>3</v>
      </c>
      <c r="D2194" t="s">
        <v>4</v>
      </c>
      <c r="E2194" t="s">
        <v>4</v>
      </c>
      <c r="F2194" t="s">
        <v>208</v>
      </c>
      <c r="G2194" t="s">
        <v>209</v>
      </c>
      <c r="H2194" t="s">
        <v>5594</v>
      </c>
      <c r="I2194" s="2">
        <v>95</v>
      </c>
      <c r="J2194" s="2">
        <v>0</v>
      </c>
      <c r="K2194" s="2">
        <v>0</v>
      </c>
      <c r="L2194" s="3">
        <v>45716</v>
      </c>
      <c r="M2194" s="3">
        <v>45832</v>
      </c>
      <c r="N2194" s="3">
        <v>45832</v>
      </c>
      <c r="O2194" t="s">
        <v>4</v>
      </c>
      <c r="P2194" t="s">
        <v>20</v>
      </c>
      <c r="Q2194" s="4">
        <v>0.67887731481480995</v>
      </c>
      <c r="R2194" t="s">
        <v>208</v>
      </c>
      <c r="S2194" t="s">
        <v>4</v>
      </c>
      <c r="T2194" t="s">
        <v>4328</v>
      </c>
      <c r="U2194" t="s">
        <v>10</v>
      </c>
      <c r="V2194" s="5">
        <v>0</v>
      </c>
      <c r="W2194" s="5">
        <v>0</v>
      </c>
      <c r="X2194" s="2">
        <v>0</v>
      </c>
      <c r="Y2194" t="s">
        <v>4</v>
      </c>
      <c r="Z2194" t="s">
        <v>4</v>
      </c>
      <c r="AA2194" t="s">
        <v>4</v>
      </c>
      <c r="AB2194" t="s">
        <v>4</v>
      </c>
    </row>
    <row r="2195" spans="1:28" hidden="1" x14ac:dyDescent="0.2">
      <c r="A2195" t="s">
        <v>1822</v>
      </c>
      <c r="B2195" t="s">
        <v>2</v>
      </c>
      <c r="C2195" t="s">
        <v>3</v>
      </c>
      <c r="D2195" t="s">
        <v>4</v>
      </c>
      <c r="E2195" t="s">
        <v>4</v>
      </c>
      <c r="F2195" t="s">
        <v>208</v>
      </c>
      <c r="G2195" t="s">
        <v>209</v>
      </c>
      <c r="H2195" t="s">
        <v>5595</v>
      </c>
      <c r="I2195" s="2">
        <v>160</v>
      </c>
      <c r="J2195" s="2">
        <v>0</v>
      </c>
      <c r="K2195" s="2">
        <v>0</v>
      </c>
      <c r="L2195" s="3">
        <v>45860</v>
      </c>
      <c r="M2195" s="3">
        <v>45860</v>
      </c>
      <c r="N2195" s="3">
        <v>45860</v>
      </c>
      <c r="O2195" t="s">
        <v>4</v>
      </c>
      <c r="P2195" t="s">
        <v>20</v>
      </c>
      <c r="Q2195" s="4">
        <v>0.42734953703703998</v>
      </c>
      <c r="R2195" t="s">
        <v>208</v>
      </c>
      <c r="S2195" t="s">
        <v>4</v>
      </c>
      <c r="T2195" t="s">
        <v>2256</v>
      </c>
      <c r="U2195" t="s">
        <v>10</v>
      </c>
      <c r="V2195" s="5">
        <v>0</v>
      </c>
      <c r="W2195" s="5">
        <v>0</v>
      </c>
      <c r="X2195" s="2">
        <v>0</v>
      </c>
      <c r="Y2195" t="s">
        <v>4</v>
      </c>
      <c r="Z2195" t="s">
        <v>4</v>
      </c>
      <c r="AA2195" t="s">
        <v>4</v>
      </c>
      <c r="AB2195" t="s">
        <v>4</v>
      </c>
    </row>
    <row r="2196" spans="1:28" hidden="1" x14ac:dyDescent="0.2">
      <c r="A2196" t="s">
        <v>1035</v>
      </c>
      <c r="B2196" t="s">
        <v>2</v>
      </c>
      <c r="C2196" t="s">
        <v>3</v>
      </c>
      <c r="D2196" t="s">
        <v>4</v>
      </c>
      <c r="E2196" t="s">
        <v>4</v>
      </c>
      <c r="F2196" t="s">
        <v>208</v>
      </c>
      <c r="G2196" t="s">
        <v>209</v>
      </c>
      <c r="H2196" t="s">
        <v>5596</v>
      </c>
      <c r="I2196" s="2">
        <v>270</v>
      </c>
      <c r="J2196" s="2">
        <v>0</v>
      </c>
      <c r="K2196" s="2">
        <v>0</v>
      </c>
      <c r="L2196" s="3">
        <v>45856</v>
      </c>
      <c r="M2196" s="3">
        <v>45859</v>
      </c>
      <c r="N2196" s="3">
        <v>45856</v>
      </c>
      <c r="O2196" t="s">
        <v>4</v>
      </c>
      <c r="P2196" t="s">
        <v>20</v>
      </c>
      <c r="Q2196" s="4">
        <v>0.55260416666667</v>
      </c>
      <c r="R2196" t="s">
        <v>208</v>
      </c>
      <c r="S2196" t="s">
        <v>4</v>
      </c>
      <c r="T2196" t="s">
        <v>2260</v>
      </c>
      <c r="U2196" t="s">
        <v>10</v>
      </c>
      <c r="V2196" s="5">
        <v>0</v>
      </c>
      <c r="W2196" s="5">
        <v>0</v>
      </c>
      <c r="X2196" s="2">
        <v>0</v>
      </c>
      <c r="Y2196" t="s">
        <v>4</v>
      </c>
      <c r="Z2196" t="s">
        <v>4</v>
      </c>
      <c r="AA2196" t="s">
        <v>4</v>
      </c>
      <c r="AB2196" t="s">
        <v>4</v>
      </c>
    </row>
    <row r="2197" spans="1:28" hidden="1" x14ac:dyDescent="0.2">
      <c r="A2197" t="s">
        <v>2159</v>
      </c>
      <c r="B2197" t="s">
        <v>2</v>
      </c>
      <c r="C2197" t="s">
        <v>3</v>
      </c>
      <c r="D2197" t="s">
        <v>4</v>
      </c>
      <c r="E2197" t="s">
        <v>4</v>
      </c>
      <c r="F2197" t="s">
        <v>208</v>
      </c>
      <c r="G2197" t="s">
        <v>209</v>
      </c>
      <c r="H2197" t="s">
        <v>5597</v>
      </c>
      <c r="I2197" s="2">
        <v>1440</v>
      </c>
      <c r="J2197" s="2">
        <v>0</v>
      </c>
      <c r="K2197" s="2">
        <v>0</v>
      </c>
      <c r="L2197" s="3">
        <v>45852</v>
      </c>
      <c r="M2197" s="3">
        <v>45852</v>
      </c>
      <c r="N2197" s="3"/>
      <c r="O2197" t="s">
        <v>4</v>
      </c>
      <c r="P2197" t="s">
        <v>20</v>
      </c>
      <c r="Q2197" s="4">
        <v>0.75442129629629995</v>
      </c>
      <c r="R2197" t="s">
        <v>208</v>
      </c>
      <c r="S2197" t="s">
        <v>4</v>
      </c>
      <c r="T2197" t="s">
        <v>2669</v>
      </c>
      <c r="U2197" t="s">
        <v>10</v>
      </c>
      <c r="V2197" s="5">
        <v>0</v>
      </c>
      <c r="W2197" s="5">
        <v>0</v>
      </c>
      <c r="X2197" s="2">
        <v>0</v>
      </c>
      <c r="Y2197" t="s">
        <v>4</v>
      </c>
      <c r="Z2197" t="s">
        <v>4</v>
      </c>
      <c r="AA2197" t="s">
        <v>4</v>
      </c>
      <c r="AB2197" t="s">
        <v>4</v>
      </c>
    </row>
    <row r="2198" spans="1:28" hidden="1" x14ac:dyDescent="0.2">
      <c r="A2198" t="s">
        <v>1812</v>
      </c>
      <c r="B2198" t="s">
        <v>2</v>
      </c>
      <c r="C2198" t="s">
        <v>3</v>
      </c>
      <c r="D2198" t="s">
        <v>4</v>
      </c>
      <c r="E2198" t="s">
        <v>4</v>
      </c>
      <c r="F2198" t="s">
        <v>208</v>
      </c>
      <c r="G2198" t="s">
        <v>209</v>
      </c>
      <c r="H2198" t="s">
        <v>5598</v>
      </c>
      <c r="I2198" s="2">
        <v>7940</v>
      </c>
      <c r="J2198" s="2">
        <v>0</v>
      </c>
      <c r="K2198" s="2">
        <v>0</v>
      </c>
      <c r="L2198" s="3">
        <v>45851</v>
      </c>
      <c r="M2198" s="3">
        <v>45852</v>
      </c>
      <c r="N2198" s="3"/>
      <c r="O2198" t="s">
        <v>4</v>
      </c>
      <c r="P2198" t="s">
        <v>20</v>
      </c>
      <c r="Q2198" s="4">
        <v>0.68121527777778002</v>
      </c>
      <c r="R2198" t="s">
        <v>208</v>
      </c>
      <c r="S2198" t="s">
        <v>4</v>
      </c>
      <c r="T2198" t="s">
        <v>2747</v>
      </c>
      <c r="U2198" t="s">
        <v>10</v>
      </c>
      <c r="V2198" s="5">
        <v>0</v>
      </c>
      <c r="W2198" s="5">
        <v>0</v>
      </c>
      <c r="X2198" s="2">
        <v>0</v>
      </c>
      <c r="Y2198" t="s">
        <v>4</v>
      </c>
      <c r="Z2198" t="s">
        <v>4</v>
      </c>
      <c r="AA2198" t="s">
        <v>4</v>
      </c>
      <c r="AB2198" t="s">
        <v>4</v>
      </c>
    </row>
    <row r="2199" spans="1:28" hidden="1" x14ac:dyDescent="0.2">
      <c r="A2199" t="s">
        <v>1019</v>
      </c>
      <c r="B2199" t="s">
        <v>2</v>
      </c>
      <c r="C2199" t="s">
        <v>3</v>
      </c>
      <c r="D2199" t="s">
        <v>4</v>
      </c>
      <c r="E2199" t="s">
        <v>4</v>
      </c>
      <c r="F2199" t="s">
        <v>208</v>
      </c>
      <c r="G2199" t="s">
        <v>209</v>
      </c>
      <c r="H2199" t="s">
        <v>5599</v>
      </c>
      <c r="I2199" s="2">
        <v>150</v>
      </c>
      <c r="J2199" s="2">
        <v>0</v>
      </c>
      <c r="K2199" s="2">
        <v>0</v>
      </c>
      <c r="L2199" s="3">
        <v>45858</v>
      </c>
      <c r="M2199" s="3">
        <v>45858</v>
      </c>
      <c r="N2199" s="3">
        <v>45858</v>
      </c>
      <c r="O2199" t="s">
        <v>4</v>
      </c>
      <c r="P2199" t="s">
        <v>20</v>
      </c>
      <c r="Q2199" s="4">
        <v>0.43978009259258999</v>
      </c>
      <c r="R2199" t="s">
        <v>208</v>
      </c>
      <c r="S2199" t="s">
        <v>4</v>
      </c>
      <c r="T2199" t="s">
        <v>2337</v>
      </c>
      <c r="U2199" t="s">
        <v>10</v>
      </c>
      <c r="V2199" s="5">
        <v>0</v>
      </c>
      <c r="W2199" s="5">
        <v>0</v>
      </c>
      <c r="X2199" s="2">
        <v>0</v>
      </c>
      <c r="Y2199" t="s">
        <v>4</v>
      </c>
      <c r="Z2199" t="s">
        <v>4</v>
      </c>
      <c r="AA2199" t="s">
        <v>4</v>
      </c>
      <c r="AB2199" t="s">
        <v>4</v>
      </c>
    </row>
    <row r="2200" spans="1:28" hidden="1" x14ac:dyDescent="0.2">
      <c r="A2200" t="s">
        <v>727</v>
      </c>
      <c r="B2200" t="s">
        <v>2</v>
      </c>
      <c r="C2200" t="s">
        <v>3</v>
      </c>
      <c r="D2200" t="s">
        <v>4</v>
      </c>
      <c r="E2200" t="s">
        <v>4</v>
      </c>
      <c r="F2200" t="s">
        <v>208</v>
      </c>
      <c r="G2200" t="s">
        <v>209</v>
      </c>
      <c r="H2200" t="s">
        <v>5600</v>
      </c>
      <c r="I2200" s="2">
        <v>2400</v>
      </c>
      <c r="J2200" s="2">
        <v>0</v>
      </c>
      <c r="K2200" s="2">
        <v>0</v>
      </c>
      <c r="L2200" s="3">
        <v>45854</v>
      </c>
      <c r="M2200" s="3">
        <v>45860</v>
      </c>
      <c r="N2200" s="3">
        <v>45859</v>
      </c>
      <c r="O2200" t="s">
        <v>4</v>
      </c>
      <c r="P2200" t="s">
        <v>20</v>
      </c>
      <c r="Q2200" s="4">
        <v>0.31515046296296001</v>
      </c>
      <c r="R2200" t="s">
        <v>208</v>
      </c>
      <c r="S2200" t="s">
        <v>4</v>
      </c>
      <c r="T2200" t="s">
        <v>2299</v>
      </c>
      <c r="U2200" t="s">
        <v>10</v>
      </c>
      <c r="V2200" s="5">
        <v>0</v>
      </c>
      <c r="W2200" s="5">
        <v>0</v>
      </c>
      <c r="X2200" s="2">
        <v>0</v>
      </c>
      <c r="Y2200" t="s">
        <v>4</v>
      </c>
      <c r="Z2200" t="s">
        <v>4</v>
      </c>
      <c r="AA2200" t="s">
        <v>4</v>
      </c>
      <c r="AB2200" t="s">
        <v>4</v>
      </c>
    </row>
    <row r="2201" spans="1:28" hidden="1" x14ac:dyDescent="0.2">
      <c r="A2201" t="s">
        <v>1164</v>
      </c>
      <c r="B2201" t="s">
        <v>2</v>
      </c>
      <c r="C2201" t="s">
        <v>3</v>
      </c>
      <c r="D2201" t="s">
        <v>4</v>
      </c>
      <c r="E2201" t="s">
        <v>4</v>
      </c>
      <c r="F2201" t="s">
        <v>208</v>
      </c>
      <c r="G2201" t="s">
        <v>209</v>
      </c>
      <c r="H2201" t="s">
        <v>5601</v>
      </c>
      <c r="I2201" s="2">
        <v>1200</v>
      </c>
      <c r="J2201" s="2">
        <v>0</v>
      </c>
      <c r="K2201" s="2">
        <v>0</v>
      </c>
      <c r="L2201" s="3">
        <v>45857</v>
      </c>
      <c r="M2201" s="3">
        <v>45859</v>
      </c>
      <c r="N2201" s="3">
        <v>45857</v>
      </c>
      <c r="O2201" t="s">
        <v>4</v>
      </c>
      <c r="P2201" t="s">
        <v>20</v>
      </c>
      <c r="Q2201" s="4">
        <v>0.78650462962962997</v>
      </c>
      <c r="R2201" t="s">
        <v>208</v>
      </c>
      <c r="S2201" t="s">
        <v>4</v>
      </c>
      <c r="T2201" t="s">
        <v>2262</v>
      </c>
      <c r="U2201" t="s">
        <v>10</v>
      </c>
      <c r="V2201" s="5">
        <v>0</v>
      </c>
      <c r="W2201" s="5">
        <v>0</v>
      </c>
      <c r="X2201" s="2">
        <v>0</v>
      </c>
      <c r="Y2201" t="s">
        <v>4</v>
      </c>
      <c r="Z2201" t="s">
        <v>4</v>
      </c>
      <c r="AA2201" t="s">
        <v>4</v>
      </c>
      <c r="AB2201" t="s">
        <v>4</v>
      </c>
    </row>
    <row r="2202" spans="1:28" hidden="1" x14ac:dyDescent="0.2">
      <c r="A2202" t="s">
        <v>1168</v>
      </c>
      <c r="B2202" t="s">
        <v>2</v>
      </c>
      <c r="C2202" t="s">
        <v>3</v>
      </c>
      <c r="D2202" t="s">
        <v>4</v>
      </c>
      <c r="E2202" t="s">
        <v>4</v>
      </c>
      <c r="F2202" t="s">
        <v>208</v>
      </c>
      <c r="G2202" t="s">
        <v>209</v>
      </c>
      <c r="H2202" t="s">
        <v>5602</v>
      </c>
      <c r="I2202" s="2">
        <v>2400</v>
      </c>
      <c r="J2202" s="2">
        <v>0</v>
      </c>
      <c r="K2202" s="2">
        <v>0</v>
      </c>
      <c r="L2202" s="3">
        <v>45846</v>
      </c>
      <c r="M2202" s="3">
        <v>45856</v>
      </c>
      <c r="N2202" s="3"/>
      <c r="O2202" t="s">
        <v>4</v>
      </c>
      <c r="P2202" t="s">
        <v>20</v>
      </c>
      <c r="Q2202" s="4">
        <v>0.43401620370369998</v>
      </c>
      <c r="R2202" t="s">
        <v>208</v>
      </c>
      <c r="S2202" t="s">
        <v>4</v>
      </c>
      <c r="T2202" t="s">
        <v>2318</v>
      </c>
      <c r="U2202" t="s">
        <v>10</v>
      </c>
      <c r="V2202" s="5">
        <v>0</v>
      </c>
      <c r="W2202" s="5">
        <v>0</v>
      </c>
      <c r="X2202" s="2">
        <v>0</v>
      </c>
      <c r="Y2202" t="s">
        <v>4</v>
      </c>
      <c r="Z2202" t="s">
        <v>4</v>
      </c>
      <c r="AA2202" t="s">
        <v>4</v>
      </c>
      <c r="AB2202" t="s">
        <v>4</v>
      </c>
    </row>
    <row r="2203" spans="1:28" hidden="1" x14ac:dyDescent="0.2">
      <c r="A2203" t="s">
        <v>995</v>
      </c>
      <c r="B2203" t="s">
        <v>2</v>
      </c>
      <c r="C2203" t="s">
        <v>3</v>
      </c>
      <c r="D2203" t="s">
        <v>4</v>
      </c>
      <c r="E2203" t="s">
        <v>4</v>
      </c>
      <c r="F2203" t="s">
        <v>208</v>
      </c>
      <c r="G2203" t="s">
        <v>209</v>
      </c>
      <c r="H2203" t="s">
        <v>5603</v>
      </c>
      <c r="I2203" s="5">
        <v>429.3</v>
      </c>
      <c r="J2203" s="2">
        <v>0</v>
      </c>
      <c r="K2203" s="2">
        <v>0</v>
      </c>
      <c r="L2203" s="3">
        <v>45859</v>
      </c>
      <c r="M2203" s="3">
        <v>45860</v>
      </c>
      <c r="N2203" s="3">
        <v>45860</v>
      </c>
      <c r="O2203" t="s">
        <v>4</v>
      </c>
      <c r="P2203" t="s">
        <v>20</v>
      </c>
      <c r="Q2203" s="4">
        <v>0.43234953703703999</v>
      </c>
      <c r="R2203" t="s">
        <v>208</v>
      </c>
      <c r="S2203" t="s">
        <v>4</v>
      </c>
      <c r="T2203" t="s">
        <v>2261</v>
      </c>
      <c r="U2203" t="s">
        <v>10</v>
      </c>
      <c r="V2203" s="5">
        <v>0</v>
      </c>
      <c r="W2203" s="5">
        <v>0</v>
      </c>
      <c r="X2203" s="2">
        <v>0</v>
      </c>
      <c r="Y2203" t="s">
        <v>4</v>
      </c>
      <c r="Z2203" t="s">
        <v>4</v>
      </c>
      <c r="AA2203" t="s">
        <v>4</v>
      </c>
      <c r="AB2203" t="s">
        <v>4</v>
      </c>
    </row>
    <row r="2204" spans="1:28" hidden="1" x14ac:dyDescent="0.2">
      <c r="A2204" t="s">
        <v>1031</v>
      </c>
      <c r="B2204" t="s">
        <v>2</v>
      </c>
      <c r="C2204" t="s">
        <v>3</v>
      </c>
      <c r="D2204" t="s">
        <v>4</v>
      </c>
      <c r="E2204" t="s">
        <v>4</v>
      </c>
      <c r="F2204" t="s">
        <v>208</v>
      </c>
      <c r="G2204" t="s">
        <v>209</v>
      </c>
      <c r="H2204" t="s">
        <v>5604</v>
      </c>
      <c r="I2204" s="2">
        <v>405</v>
      </c>
      <c r="J2204" s="2">
        <v>0</v>
      </c>
      <c r="K2204" s="2">
        <v>0</v>
      </c>
      <c r="L2204" s="3">
        <v>45860</v>
      </c>
      <c r="M2204" s="3">
        <v>45860</v>
      </c>
      <c r="N2204" s="3"/>
      <c r="O2204" t="s">
        <v>4</v>
      </c>
      <c r="P2204" t="s">
        <v>20</v>
      </c>
      <c r="Q2204" s="4">
        <v>0.36893518518518997</v>
      </c>
      <c r="R2204" t="s">
        <v>208</v>
      </c>
      <c r="S2204" t="s">
        <v>4</v>
      </c>
      <c r="T2204" t="s">
        <v>2256</v>
      </c>
      <c r="U2204" t="s">
        <v>10</v>
      </c>
      <c r="V2204" s="5">
        <v>0</v>
      </c>
      <c r="W2204" s="5">
        <v>0</v>
      </c>
      <c r="X2204" s="2">
        <v>0</v>
      </c>
      <c r="Y2204" t="s">
        <v>4</v>
      </c>
      <c r="Z2204" t="s">
        <v>4</v>
      </c>
      <c r="AA2204" t="s">
        <v>4</v>
      </c>
      <c r="AB2204" t="s">
        <v>4</v>
      </c>
    </row>
    <row r="2205" spans="1:28" hidden="1" x14ac:dyDescent="0.2">
      <c r="A2205" t="s">
        <v>479</v>
      </c>
      <c r="B2205" t="s">
        <v>2</v>
      </c>
      <c r="C2205" t="s">
        <v>3</v>
      </c>
      <c r="D2205" t="s">
        <v>4</v>
      </c>
      <c r="E2205" t="s">
        <v>4</v>
      </c>
      <c r="F2205" t="s">
        <v>208</v>
      </c>
      <c r="G2205" t="s">
        <v>209</v>
      </c>
      <c r="H2205" t="s">
        <v>5605</v>
      </c>
      <c r="I2205" s="2">
        <v>720</v>
      </c>
      <c r="J2205" s="2">
        <v>0</v>
      </c>
      <c r="K2205" s="2">
        <v>0</v>
      </c>
      <c r="L2205" s="3">
        <v>45846</v>
      </c>
      <c r="M2205" s="3">
        <v>45847</v>
      </c>
      <c r="N2205" s="3">
        <v>45847</v>
      </c>
      <c r="O2205" t="s">
        <v>4</v>
      </c>
      <c r="P2205" t="s">
        <v>20</v>
      </c>
      <c r="Q2205" s="4">
        <v>0.68391203703703995</v>
      </c>
      <c r="R2205" t="s">
        <v>208</v>
      </c>
      <c r="S2205" t="s">
        <v>4</v>
      </c>
      <c r="T2205" t="s">
        <v>2318</v>
      </c>
      <c r="U2205" t="s">
        <v>10</v>
      </c>
      <c r="V2205" s="5">
        <v>0</v>
      </c>
      <c r="W2205" s="5">
        <v>0</v>
      </c>
      <c r="X2205" s="2">
        <v>0</v>
      </c>
      <c r="Y2205" t="s">
        <v>4</v>
      </c>
      <c r="Z2205" t="s">
        <v>4</v>
      </c>
      <c r="AA2205" t="s">
        <v>4</v>
      </c>
      <c r="AB2205" t="s">
        <v>4</v>
      </c>
    </row>
    <row r="2206" spans="1:28" hidden="1" x14ac:dyDescent="0.2">
      <c r="A2206" t="s">
        <v>491</v>
      </c>
      <c r="B2206" t="s">
        <v>2</v>
      </c>
      <c r="C2206" t="s">
        <v>3</v>
      </c>
      <c r="D2206" t="s">
        <v>4</v>
      </c>
      <c r="E2206" t="s">
        <v>4</v>
      </c>
      <c r="F2206" t="s">
        <v>208</v>
      </c>
      <c r="G2206" t="s">
        <v>209</v>
      </c>
      <c r="H2206" t="s">
        <v>5606</v>
      </c>
      <c r="I2206" s="2">
        <v>1320</v>
      </c>
      <c r="J2206" s="2">
        <v>0</v>
      </c>
      <c r="K2206" s="2">
        <v>0</v>
      </c>
      <c r="L2206" s="3">
        <v>45859</v>
      </c>
      <c r="M2206" s="3">
        <v>45860</v>
      </c>
      <c r="N2206" s="3">
        <v>45859</v>
      </c>
      <c r="O2206" t="s">
        <v>4</v>
      </c>
      <c r="P2206" t="s">
        <v>20</v>
      </c>
      <c r="Q2206" s="4">
        <v>0.33655092592593</v>
      </c>
      <c r="R2206" t="s">
        <v>208</v>
      </c>
      <c r="S2206" t="s">
        <v>4</v>
      </c>
      <c r="T2206" t="s">
        <v>2261</v>
      </c>
      <c r="U2206" t="s">
        <v>10</v>
      </c>
      <c r="V2206" s="5">
        <v>0</v>
      </c>
      <c r="W2206" s="5">
        <v>0</v>
      </c>
      <c r="X2206" s="2">
        <v>0</v>
      </c>
      <c r="Y2206" t="s">
        <v>4</v>
      </c>
      <c r="Z2206" t="s">
        <v>4</v>
      </c>
      <c r="AA2206" t="s">
        <v>4</v>
      </c>
      <c r="AB2206" t="s">
        <v>4</v>
      </c>
    </row>
    <row r="2207" spans="1:28" hidden="1" x14ac:dyDescent="0.2">
      <c r="A2207" t="s">
        <v>2251</v>
      </c>
      <c r="B2207" t="s">
        <v>4</v>
      </c>
      <c r="C2207" t="s">
        <v>4</v>
      </c>
      <c r="D2207" t="s">
        <v>4</v>
      </c>
      <c r="E2207" t="s">
        <v>4</v>
      </c>
      <c r="F2207" t="s">
        <v>208</v>
      </c>
      <c r="G2207" t="s">
        <v>209</v>
      </c>
      <c r="H2207" t="s">
        <v>5607</v>
      </c>
      <c r="I2207" s="5">
        <v>0</v>
      </c>
      <c r="J2207" s="5">
        <v>0</v>
      </c>
      <c r="K2207" s="5">
        <v>0</v>
      </c>
      <c r="L2207" s="3"/>
      <c r="M2207" s="3"/>
      <c r="N2207" s="3"/>
      <c r="O2207" t="s">
        <v>4</v>
      </c>
      <c r="P2207" t="s">
        <v>20</v>
      </c>
      <c r="Q2207" s="4">
        <v>0.56488425925926</v>
      </c>
      <c r="R2207" t="s">
        <v>4</v>
      </c>
      <c r="S2207" t="s">
        <v>4</v>
      </c>
      <c r="T2207" t="s">
        <v>2256</v>
      </c>
      <c r="U2207" t="s">
        <v>4</v>
      </c>
      <c r="V2207" s="5">
        <v>0</v>
      </c>
      <c r="W2207" s="5">
        <v>0</v>
      </c>
      <c r="X2207" s="2">
        <v>0</v>
      </c>
      <c r="Y2207" t="s">
        <v>4</v>
      </c>
      <c r="Z2207" t="s">
        <v>4</v>
      </c>
      <c r="AA2207" t="s">
        <v>4</v>
      </c>
      <c r="AB2207" t="s">
        <v>4</v>
      </c>
    </row>
    <row r="2208" spans="1:28" hidden="1" x14ac:dyDescent="0.2">
      <c r="A2208" t="s">
        <v>611</v>
      </c>
      <c r="B2208" t="s">
        <v>2</v>
      </c>
      <c r="C2208" t="s">
        <v>3</v>
      </c>
      <c r="D2208" t="s">
        <v>4</v>
      </c>
      <c r="E2208" t="s">
        <v>4</v>
      </c>
      <c r="F2208" t="s">
        <v>208</v>
      </c>
      <c r="G2208" t="s">
        <v>209</v>
      </c>
      <c r="H2208" t="s">
        <v>5608</v>
      </c>
      <c r="I2208" s="2">
        <v>7740</v>
      </c>
      <c r="J2208" s="2">
        <v>0</v>
      </c>
      <c r="K2208" s="2">
        <v>0</v>
      </c>
      <c r="L2208" s="3">
        <v>45850</v>
      </c>
      <c r="M2208" s="3">
        <v>45859</v>
      </c>
      <c r="N2208" s="3"/>
      <c r="O2208" t="s">
        <v>4</v>
      </c>
      <c r="P2208" t="s">
        <v>20</v>
      </c>
      <c r="Q2208" s="4">
        <v>0.60847222222221997</v>
      </c>
      <c r="R2208" t="s">
        <v>208</v>
      </c>
      <c r="S2208" t="s">
        <v>4</v>
      </c>
      <c r="T2208" t="s">
        <v>2680</v>
      </c>
      <c r="U2208" t="s">
        <v>10</v>
      </c>
      <c r="V2208" s="5">
        <v>0</v>
      </c>
      <c r="W2208" s="5">
        <v>0</v>
      </c>
      <c r="X2208" s="2">
        <v>0</v>
      </c>
      <c r="Y2208" t="s">
        <v>4</v>
      </c>
      <c r="Z2208" t="s">
        <v>4</v>
      </c>
      <c r="AA2208" t="s">
        <v>4</v>
      </c>
      <c r="AB2208" t="s">
        <v>4</v>
      </c>
    </row>
    <row r="2209" spans="1:28" hidden="1" x14ac:dyDescent="0.2">
      <c r="A2209" t="s">
        <v>1215</v>
      </c>
      <c r="B2209" t="s">
        <v>2</v>
      </c>
      <c r="C2209" t="s">
        <v>3</v>
      </c>
      <c r="D2209" t="s">
        <v>4</v>
      </c>
      <c r="E2209" t="s">
        <v>4</v>
      </c>
      <c r="F2209" t="s">
        <v>208</v>
      </c>
      <c r="G2209" t="s">
        <v>209</v>
      </c>
      <c r="H2209" t="s">
        <v>5609</v>
      </c>
      <c r="I2209" s="2">
        <v>660</v>
      </c>
      <c r="J2209" s="2">
        <v>0</v>
      </c>
      <c r="K2209" s="2">
        <v>0</v>
      </c>
      <c r="L2209" s="3">
        <v>45857</v>
      </c>
      <c r="M2209" s="3">
        <v>45859</v>
      </c>
      <c r="N2209" s="3"/>
      <c r="O2209" t="s">
        <v>4</v>
      </c>
      <c r="P2209" t="s">
        <v>20</v>
      </c>
      <c r="Q2209" s="4">
        <v>0.97035879629629995</v>
      </c>
      <c r="R2209" t="s">
        <v>208</v>
      </c>
      <c r="S2209" t="s">
        <v>4</v>
      </c>
      <c r="T2209" t="s">
        <v>2262</v>
      </c>
      <c r="U2209" t="s">
        <v>10</v>
      </c>
      <c r="V2209" s="5">
        <v>0</v>
      </c>
      <c r="W2209" s="5">
        <v>0</v>
      </c>
      <c r="X2209" s="2">
        <v>0</v>
      </c>
      <c r="Y2209" t="s">
        <v>4</v>
      </c>
      <c r="Z2209" t="s">
        <v>4</v>
      </c>
      <c r="AA2209" t="s">
        <v>4</v>
      </c>
      <c r="AB2209" t="s">
        <v>4</v>
      </c>
    </row>
    <row r="2210" spans="1:28" hidden="1" x14ac:dyDescent="0.2">
      <c r="A2210" t="s">
        <v>656</v>
      </c>
      <c r="B2210" t="s">
        <v>2</v>
      </c>
      <c r="C2210" t="s">
        <v>3</v>
      </c>
      <c r="D2210" t="s">
        <v>4</v>
      </c>
      <c r="E2210" t="s">
        <v>4</v>
      </c>
      <c r="F2210" t="s">
        <v>208</v>
      </c>
      <c r="G2210" t="s">
        <v>209</v>
      </c>
      <c r="H2210" t="s">
        <v>5610</v>
      </c>
      <c r="I2210" s="2">
        <v>639</v>
      </c>
      <c r="J2210" s="2">
        <v>0</v>
      </c>
      <c r="K2210" s="2">
        <v>0</v>
      </c>
      <c r="L2210" s="3">
        <v>44924</v>
      </c>
      <c r="M2210" s="3">
        <v>45603</v>
      </c>
      <c r="N2210" s="3">
        <v>45603</v>
      </c>
      <c r="O2210" t="s">
        <v>4</v>
      </c>
      <c r="P2210" t="s">
        <v>20</v>
      </c>
      <c r="Q2210" s="4">
        <v>0.96107638888889002</v>
      </c>
      <c r="R2210" t="s">
        <v>208</v>
      </c>
      <c r="S2210" t="s">
        <v>4</v>
      </c>
      <c r="T2210" t="s">
        <v>5611</v>
      </c>
      <c r="U2210" t="s">
        <v>10</v>
      </c>
      <c r="V2210" s="5">
        <v>0</v>
      </c>
      <c r="W2210" s="5">
        <v>0</v>
      </c>
      <c r="X2210" s="2">
        <v>0</v>
      </c>
      <c r="Y2210" t="s">
        <v>4</v>
      </c>
      <c r="Z2210" t="s">
        <v>4</v>
      </c>
      <c r="AA2210" t="s">
        <v>4</v>
      </c>
      <c r="AB2210" t="s">
        <v>4</v>
      </c>
    </row>
    <row r="2211" spans="1:28" hidden="1" x14ac:dyDescent="0.2">
      <c r="A2211" t="s">
        <v>1845</v>
      </c>
      <c r="B2211" t="s">
        <v>2</v>
      </c>
      <c r="C2211" t="s">
        <v>3</v>
      </c>
      <c r="D2211" t="s">
        <v>4</v>
      </c>
      <c r="E2211" t="s">
        <v>4</v>
      </c>
      <c r="F2211" t="s">
        <v>208</v>
      </c>
      <c r="G2211" t="s">
        <v>209</v>
      </c>
      <c r="H2211" t="s">
        <v>5612</v>
      </c>
      <c r="I2211" s="2">
        <v>648</v>
      </c>
      <c r="J2211" s="2">
        <v>0</v>
      </c>
      <c r="K2211" s="2">
        <v>0</v>
      </c>
      <c r="L2211" s="3">
        <v>45859</v>
      </c>
      <c r="M2211" s="3">
        <v>45859</v>
      </c>
      <c r="N2211" s="3">
        <v>45859</v>
      </c>
      <c r="O2211" t="s">
        <v>4</v>
      </c>
      <c r="P2211" t="s">
        <v>20</v>
      </c>
      <c r="Q2211" s="4">
        <v>0.97943287037036997</v>
      </c>
      <c r="R2211" t="s">
        <v>208</v>
      </c>
      <c r="S2211" t="s">
        <v>4</v>
      </c>
      <c r="T2211" t="s">
        <v>2261</v>
      </c>
      <c r="U2211" t="s">
        <v>10</v>
      </c>
      <c r="V2211" s="5">
        <v>0</v>
      </c>
      <c r="W2211" s="5">
        <v>0</v>
      </c>
      <c r="X2211" s="2">
        <v>0</v>
      </c>
      <c r="Y2211" t="s">
        <v>4</v>
      </c>
      <c r="Z2211" t="s">
        <v>4</v>
      </c>
      <c r="AA2211" t="s">
        <v>4</v>
      </c>
      <c r="AB2211" t="s">
        <v>4</v>
      </c>
    </row>
    <row r="2212" spans="1:28" hidden="1" x14ac:dyDescent="0.2">
      <c r="A2212" t="s">
        <v>1818</v>
      </c>
      <c r="B2212" t="s">
        <v>2</v>
      </c>
      <c r="C2212" t="s">
        <v>3</v>
      </c>
      <c r="D2212" t="s">
        <v>4</v>
      </c>
      <c r="E2212" t="s">
        <v>4</v>
      </c>
      <c r="F2212" t="s">
        <v>208</v>
      </c>
      <c r="G2212" t="s">
        <v>209</v>
      </c>
      <c r="H2212" t="s">
        <v>5613</v>
      </c>
      <c r="I2212" s="2">
        <v>300</v>
      </c>
      <c r="J2212" s="2">
        <v>0</v>
      </c>
      <c r="K2212" s="2">
        <v>0</v>
      </c>
      <c r="L2212" s="3">
        <v>45858</v>
      </c>
      <c r="M2212" s="3">
        <v>45859</v>
      </c>
      <c r="N2212" s="3">
        <v>45858</v>
      </c>
      <c r="O2212" t="s">
        <v>4</v>
      </c>
      <c r="P2212" t="s">
        <v>9</v>
      </c>
      <c r="Q2212" s="4">
        <v>0.41372685185184999</v>
      </c>
      <c r="R2212" t="s">
        <v>208</v>
      </c>
      <c r="S2212" t="s">
        <v>4</v>
      </c>
      <c r="T2212" t="s">
        <v>2337</v>
      </c>
      <c r="U2212" t="s">
        <v>10</v>
      </c>
      <c r="V2212" s="5">
        <v>0</v>
      </c>
      <c r="W2212" s="5">
        <v>0</v>
      </c>
      <c r="X2212" s="2">
        <v>0</v>
      </c>
      <c r="Y2212" t="s">
        <v>4</v>
      </c>
      <c r="Z2212" t="s">
        <v>4</v>
      </c>
      <c r="AA2212" t="s">
        <v>4</v>
      </c>
      <c r="AB2212" t="s">
        <v>4</v>
      </c>
    </row>
    <row r="2213" spans="1:28" hidden="1" x14ac:dyDescent="0.2">
      <c r="A2213" t="s">
        <v>1854</v>
      </c>
      <c r="B2213" t="s">
        <v>2</v>
      </c>
      <c r="C2213" t="s">
        <v>3</v>
      </c>
      <c r="D2213" t="s">
        <v>4</v>
      </c>
      <c r="E2213" t="s">
        <v>4</v>
      </c>
      <c r="F2213" t="s">
        <v>208</v>
      </c>
      <c r="G2213" t="s">
        <v>209</v>
      </c>
      <c r="H2213" t="s">
        <v>5614</v>
      </c>
      <c r="I2213" s="2">
        <v>288</v>
      </c>
      <c r="J2213" s="2">
        <v>0</v>
      </c>
      <c r="K2213" s="2">
        <v>0</v>
      </c>
      <c r="L2213" s="3">
        <v>45758</v>
      </c>
      <c r="M2213" s="3">
        <v>45825</v>
      </c>
      <c r="N2213" s="3">
        <v>45759</v>
      </c>
      <c r="O2213" t="s">
        <v>4</v>
      </c>
      <c r="P2213" t="s">
        <v>20</v>
      </c>
      <c r="Q2213" s="4">
        <v>0.41104166666667002</v>
      </c>
      <c r="R2213" t="s">
        <v>208</v>
      </c>
      <c r="S2213" t="s">
        <v>4</v>
      </c>
      <c r="T2213" t="s">
        <v>4266</v>
      </c>
      <c r="U2213" t="s">
        <v>10</v>
      </c>
      <c r="V2213" s="5">
        <v>0</v>
      </c>
      <c r="W2213" s="5">
        <v>0</v>
      </c>
      <c r="X2213" s="2">
        <v>0</v>
      </c>
      <c r="Y2213" t="s">
        <v>4</v>
      </c>
      <c r="Z2213" t="s">
        <v>4</v>
      </c>
      <c r="AA2213" t="s">
        <v>4</v>
      </c>
      <c r="AB2213" t="s">
        <v>4</v>
      </c>
    </row>
    <row r="2214" spans="1:28" hidden="1" x14ac:dyDescent="0.2">
      <c r="A2214" t="s">
        <v>841</v>
      </c>
      <c r="B2214" t="s">
        <v>2</v>
      </c>
      <c r="C2214" t="s">
        <v>3</v>
      </c>
      <c r="D2214" t="s">
        <v>4</v>
      </c>
      <c r="E2214" t="s">
        <v>4</v>
      </c>
      <c r="F2214" t="s">
        <v>208</v>
      </c>
      <c r="G2214" t="s">
        <v>209</v>
      </c>
      <c r="H2214" t="s">
        <v>5615</v>
      </c>
      <c r="I2214" s="2">
        <v>7800</v>
      </c>
      <c r="J2214" s="2">
        <v>0</v>
      </c>
      <c r="K2214" s="2">
        <v>0</v>
      </c>
      <c r="L2214" s="3">
        <v>45857</v>
      </c>
      <c r="M2214" s="3">
        <v>45860</v>
      </c>
      <c r="N2214" s="3">
        <v>45858</v>
      </c>
      <c r="O2214" t="s">
        <v>4</v>
      </c>
      <c r="P2214" t="s">
        <v>20</v>
      </c>
      <c r="Q2214" s="4">
        <v>0.33614583333332998</v>
      </c>
      <c r="R2214" t="s">
        <v>208</v>
      </c>
      <c r="S2214" t="s">
        <v>4</v>
      </c>
      <c r="T2214" t="s">
        <v>2262</v>
      </c>
      <c r="U2214" t="s">
        <v>10</v>
      </c>
      <c r="V2214" s="5">
        <v>0</v>
      </c>
      <c r="W2214" s="5">
        <v>0</v>
      </c>
      <c r="X2214" s="2">
        <v>0</v>
      </c>
      <c r="Y2214" t="s">
        <v>4</v>
      </c>
      <c r="Z2214" t="s">
        <v>4</v>
      </c>
      <c r="AA2214" t="s">
        <v>4</v>
      </c>
      <c r="AB2214" t="s">
        <v>4</v>
      </c>
    </row>
    <row r="2215" spans="1:28" hidden="1" x14ac:dyDescent="0.2">
      <c r="A2215" t="s">
        <v>2174</v>
      </c>
      <c r="B2215" t="s">
        <v>2</v>
      </c>
      <c r="C2215" t="s">
        <v>3</v>
      </c>
      <c r="D2215" t="s">
        <v>4</v>
      </c>
      <c r="E2215" t="s">
        <v>4</v>
      </c>
      <c r="F2215" t="s">
        <v>208</v>
      </c>
      <c r="G2215" t="s">
        <v>209</v>
      </c>
      <c r="H2215" t="s">
        <v>5616</v>
      </c>
      <c r="I2215" s="2">
        <v>5460</v>
      </c>
      <c r="J2215" s="2">
        <v>0</v>
      </c>
      <c r="K2215" s="2">
        <v>0</v>
      </c>
      <c r="L2215" s="3">
        <v>45860</v>
      </c>
      <c r="M2215" s="3">
        <v>45860</v>
      </c>
      <c r="N2215" s="3"/>
      <c r="O2215" t="s">
        <v>4</v>
      </c>
      <c r="P2215" t="s">
        <v>4</v>
      </c>
      <c r="Q2215" s="4">
        <v>0.37106481481481002</v>
      </c>
      <c r="R2215" t="s">
        <v>208</v>
      </c>
      <c r="S2215" t="s">
        <v>4</v>
      </c>
      <c r="T2215" t="s">
        <v>2256</v>
      </c>
      <c r="U2215" t="s">
        <v>10</v>
      </c>
      <c r="V2215" s="5">
        <v>0</v>
      </c>
      <c r="W2215" s="5">
        <v>0</v>
      </c>
      <c r="X2215" s="2">
        <v>0</v>
      </c>
      <c r="Y2215" t="s">
        <v>4</v>
      </c>
      <c r="Z2215" t="s">
        <v>4</v>
      </c>
      <c r="AA2215" t="s">
        <v>4</v>
      </c>
      <c r="AB2215" t="s">
        <v>4</v>
      </c>
    </row>
    <row r="2216" spans="1:28" hidden="1" x14ac:dyDescent="0.2">
      <c r="A2216" t="s">
        <v>2008</v>
      </c>
      <c r="B2216" t="s">
        <v>2</v>
      </c>
      <c r="C2216" t="s">
        <v>3</v>
      </c>
      <c r="D2216" t="s">
        <v>4</v>
      </c>
      <c r="E2216" t="s">
        <v>4</v>
      </c>
      <c r="F2216" t="s">
        <v>208</v>
      </c>
      <c r="G2216" t="s">
        <v>209</v>
      </c>
      <c r="H2216" t="s">
        <v>5617</v>
      </c>
      <c r="I2216" s="2">
        <v>1320</v>
      </c>
      <c r="J2216" s="2">
        <v>0</v>
      </c>
      <c r="K2216" s="2">
        <v>0</v>
      </c>
      <c r="L2216" s="3">
        <v>45859</v>
      </c>
      <c r="M2216" s="3">
        <v>45860</v>
      </c>
      <c r="N2216" s="3"/>
      <c r="O2216" t="s">
        <v>4</v>
      </c>
      <c r="P2216" t="s">
        <v>20</v>
      </c>
      <c r="Q2216" s="4">
        <v>0.33615740740741001</v>
      </c>
      <c r="R2216" t="s">
        <v>208</v>
      </c>
      <c r="S2216" t="s">
        <v>4</v>
      </c>
      <c r="T2216" t="s">
        <v>2261</v>
      </c>
      <c r="U2216" t="s">
        <v>10</v>
      </c>
      <c r="V2216" s="5">
        <v>0</v>
      </c>
      <c r="W2216" s="5">
        <v>0</v>
      </c>
      <c r="X2216" s="2">
        <v>0</v>
      </c>
      <c r="Y2216" t="s">
        <v>4</v>
      </c>
      <c r="Z2216" t="s">
        <v>4</v>
      </c>
      <c r="AA2216" t="s">
        <v>4</v>
      </c>
      <c r="AB2216" t="s">
        <v>4</v>
      </c>
    </row>
    <row r="2217" spans="1:28" hidden="1" x14ac:dyDescent="0.2">
      <c r="A2217" t="s">
        <v>2251</v>
      </c>
      <c r="B2217" t="s">
        <v>4</v>
      </c>
      <c r="C2217" t="s">
        <v>4</v>
      </c>
      <c r="D2217" t="s">
        <v>4</v>
      </c>
      <c r="E2217" t="s">
        <v>4</v>
      </c>
      <c r="F2217" t="s">
        <v>208</v>
      </c>
      <c r="G2217" t="s">
        <v>209</v>
      </c>
      <c r="H2217" t="s">
        <v>5618</v>
      </c>
      <c r="I2217" s="5">
        <v>0</v>
      </c>
      <c r="J2217" s="5">
        <v>0</v>
      </c>
      <c r="K2217" s="5">
        <v>0</v>
      </c>
      <c r="L2217" s="3"/>
      <c r="M2217" s="3"/>
      <c r="N2217" s="3"/>
      <c r="O2217" t="s">
        <v>4</v>
      </c>
      <c r="P2217" t="s">
        <v>20</v>
      </c>
      <c r="Q2217" s="4">
        <v>0.37585648148147999</v>
      </c>
      <c r="R2217" t="s">
        <v>4</v>
      </c>
      <c r="S2217" t="s">
        <v>4</v>
      </c>
      <c r="T2217" t="s">
        <v>2256</v>
      </c>
      <c r="U2217" t="s">
        <v>4</v>
      </c>
      <c r="V2217" s="5">
        <v>0</v>
      </c>
      <c r="W2217" s="5">
        <v>0</v>
      </c>
      <c r="X2217" s="2">
        <v>0</v>
      </c>
      <c r="Y2217" t="s">
        <v>4</v>
      </c>
      <c r="Z2217" t="s">
        <v>4</v>
      </c>
      <c r="AA2217" t="s">
        <v>4</v>
      </c>
      <c r="AB2217" t="s">
        <v>4</v>
      </c>
    </row>
    <row r="2218" spans="1:28" hidden="1" x14ac:dyDescent="0.2">
      <c r="A2218" t="s">
        <v>659</v>
      </c>
      <c r="B2218" t="s">
        <v>2</v>
      </c>
      <c r="C2218" t="s">
        <v>3</v>
      </c>
      <c r="D2218" t="s">
        <v>4</v>
      </c>
      <c r="E2218" t="s">
        <v>4</v>
      </c>
      <c r="F2218" t="s">
        <v>208</v>
      </c>
      <c r="G2218" t="s">
        <v>209</v>
      </c>
      <c r="H2218" t="s">
        <v>5619</v>
      </c>
      <c r="I2218" s="2">
        <v>370</v>
      </c>
      <c r="J2218" s="2">
        <v>0</v>
      </c>
      <c r="K2218" s="2">
        <v>0</v>
      </c>
      <c r="L2218" s="3">
        <v>45856</v>
      </c>
      <c r="M2218" s="3">
        <v>45858</v>
      </c>
      <c r="N2218" s="3"/>
      <c r="O2218" t="s">
        <v>4</v>
      </c>
      <c r="P2218" t="s">
        <v>20</v>
      </c>
      <c r="Q2218" s="4">
        <v>0.56464120370369997</v>
      </c>
      <c r="R2218" t="s">
        <v>208</v>
      </c>
      <c r="S2218" t="s">
        <v>4</v>
      </c>
      <c r="T2218" t="s">
        <v>2260</v>
      </c>
      <c r="U2218" t="s">
        <v>10</v>
      </c>
      <c r="V2218" s="5">
        <v>0</v>
      </c>
      <c r="W2218" s="5">
        <v>0</v>
      </c>
      <c r="X2218" s="2">
        <v>0</v>
      </c>
      <c r="Y2218" t="s">
        <v>4</v>
      </c>
      <c r="Z2218" t="s">
        <v>4</v>
      </c>
      <c r="AA2218" t="s">
        <v>4</v>
      </c>
      <c r="AB2218" t="s">
        <v>4</v>
      </c>
    </row>
    <row r="2219" spans="1:28" hidden="1" x14ac:dyDescent="0.2">
      <c r="A2219" t="s">
        <v>525</v>
      </c>
      <c r="B2219" t="s">
        <v>2</v>
      </c>
      <c r="C2219" t="s">
        <v>3</v>
      </c>
      <c r="D2219" t="s">
        <v>4</v>
      </c>
      <c r="E2219" t="s">
        <v>4</v>
      </c>
      <c r="F2219" t="s">
        <v>208</v>
      </c>
      <c r="G2219" t="s">
        <v>209</v>
      </c>
      <c r="H2219" t="s">
        <v>5620</v>
      </c>
      <c r="I2219" s="2">
        <v>193</v>
      </c>
      <c r="J2219" s="2">
        <v>0</v>
      </c>
      <c r="K2219" s="2">
        <v>0</v>
      </c>
      <c r="L2219" s="3">
        <v>45850</v>
      </c>
      <c r="M2219" s="3">
        <v>45858</v>
      </c>
      <c r="N2219" s="3">
        <v>45850</v>
      </c>
      <c r="O2219" t="s">
        <v>4</v>
      </c>
      <c r="P2219" t="s">
        <v>20</v>
      </c>
      <c r="Q2219" s="4">
        <v>0.56697916666667003</v>
      </c>
      <c r="R2219" t="s">
        <v>208</v>
      </c>
      <c r="S2219" t="s">
        <v>4</v>
      </c>
      <c r="T2219" t="s">
        <v>2680</v>
      </c>
      <c r="U2219" t="s">
        <v>10</v>
      </c>
      <c r="V2219" s="5">
        <v>0</v>
      </c>
      <c r="W2219" s="5">
        <v>0</v>
      </c>
      <c r="X2219" s="2">
        <v>0</v>
      </c>
      <c r="Y2219" t="s">
        <v>4</v>
      </c>
      <c r="Z2219" t="s">
        <v>4</v>
      </c>
      <c r="AA2219" t="s">
        <v>4</v>
      </c>
      <c r="AB2219" t="s">
        <v>4</v>
      </c>
    </row>
    <row r="2220" spans="1:28" hidden="1" x14ac:dyDescent="0.2">
      <c r="A2220" t="s">
        <v>1555</v>
      </c>
      <c r="B2220" t="s">
        <v>2</v>
      </c>
      <c r="C2220" t="s">
        <v>3</v>
      </c>
      <c r="D2220" t="s">
        <v>4</v>
      </c>
      <c r="E2220" t="s">
        <v>4</v>
      </c>
      <c r="F2220" t="s">
        <v>208</v>
      </c>
      <c r="G2220" t="s">
        <v>209</v>
      </c>
      <c r="H2220" t="s">
        <v>5621</v>
      </c>
      <c r="I2220" s="2">
        <v>305</v>
      </c>
      <c r="J2220" s="2">
        <v>0</v>
      </c>
      <c r="K2220" s="2">
        <v>0</v>
      </c>
      <c r="L2220" s="3">
        <v>45858</v>
      </c>
      <c r="M2220" s="3">
        <v>45860</v>
      </c>
      <c r="N2220" s="3">
        <v>45860</v>
      </c>
      <c r="O2220" t="s">
        <v>4</v>
      </c>
      <c r="P2220" t="s">
        <v>20</v>
      </c>
      <c r="Q2220" s="4">
        <v>0.43062499999999998</v>
      </c>
      <c r="R2220" t="s">
        <v>208</v>
      </c>
      <c r="S2220" t="s">
        <v>4</v>
      </c>
      <c r="T2220" t="s">
        <v>2337</v>
      </c>
      <c r="U2220" t="s">
        <v>10</v>
      </c>
      <c r="V2220" s="5">
        <v>0</v>
      </c>
      <c r="W2220" s="5">
        <v>0</v>
      </c>
      <c r="X2220" s="2">
        <v>0</v>
      </c>
      <c r="Y2220" t="s">
        <v>4</v>
      </c>
      <c r="Z2220" t="s">
        <v>4</v>
      </c>
      <c r="AA2220" t="s">
        <v>4</v>
      </c>
      <c r="AB2220" t="s">
        <v>4</v>
      </c>
    </row>
    <row r="2221" spans="1:28" hidden="1" x14ac:dyDescent="0.2">
      <c r="A2221" t="s">
        <v>730</v>
      </c>
      <c r="B2221" t="s">
        <v>2</v>
      </c>
      <c r="C2221" t="s">
        <v>3</v>
      </c>
      <c r="D2221" t="s">
        <v>4</v>
      </c>
      <c r="E2221" t="s">
        <v>4</v>
      </c>
      <c r="F2221" t="s">
        <v>208</v>
      </c>
      <c r="G2221" t="s">
        <v>209</v>
      </c>
      <c r="H2221" t="s">
        <v>5622</v>
      </c>
      <c r="I2221" s="2">
        <v>924</v>
      </c>
      <c r="J2221" s="2">
        <v>0</v>
      </c>
      <c r="K2221" s="2">
        <v>0</v>
      </c>
      <c r="L2221" s="3">
        <v>45857</v>
      </c>
      <c r="M2221" s="3">
        <v>45858</v>
      </c>
      <c r="N2221" s="3"/>
      <c r="O2221" t="s">
        <v>4</v>
      </c>
      <c r="P2221" t="s">
        <v>20</v>
      </c>
      <c r="Q2221" s="4">
        <v>0.44550925925925999</v>
      </c>
      <c r="R2221" t="s">
        <v>208</v>
      </c>
      <c r="S2221" t="s">
        <v>4</v>
      </c>
      <c r="T2221" t="s">
        <v>2262</v>
      </c>
      <c r="U2221" t="s">
        <v>10</v>
      </c>
      <c r="V2221" s="5">
        <v>0</v>
      </c>
      <c r="W2221" s="5">
        <v>0</v>
      </c>
      <c r="X2221" s="2">
        <v>0</v>
      </c>
      <c r="Y2221" t="s">
        <v>4</v>
      </c>
      <c r="Z2221" t="s">
        <v>4</v>
      </c>
      <c r="AA2221" t="s">
        <v>4</v>
      </c>
      <c r="AB2221" t="s">
        <v>4</v>
      </c>
    </row>
    <row r="2222" spans="1:28" hidden="1" x14ac:dyDescent="0.2">
      <c r="A2222" t="s">
        <v>288</v>
      </c>
      <c r="B2222" t="s">
        <v>2</v>
      </c>
      <c r="C2222" t="s">
        <v>3</v>
      </c>
      <c r="D2222" t="s">
        <v>4</v>
      </c>
      <c r="E2222" t="s">
        <v>4</v>
      </c>
      <c r="F2222" t="s">
        <v>208</v>
      </c>
      <c r="G2222" t="s">
        <v>209</v>
      </c>
      <c r="H2222" t="s">
        <v>5623</v>
      </c>
      <c r="I2222" s="2">
        <v>1248</v>
      </c>
      <c r="J2222" s="2">
        <v>0</v>
      </c>
      <c r="K2222" s="2">
        <v>0</v>
      </c>
      <c r="L2222" s="3">
        <v>45859</v>
      </c>
      <c r="M2222" s="3">
        <v>45859</v>
      </c>
      <c r="N2222" s="3"/>
      <c r="O2222" t="s">
        <v>4</v>
      </c>
      <c r="P2222" t="s">
        <v>20</v>
      </c>
      <c r="Q2222" s="4">
        <v>0.96628472222221995</v>
      </c>
      <c r="R2222" t="s">
        <v>208</v>
      </c>
      <c r="S2222" t="s">
        <v>4</v>
      </c>
      <c r="T2222" t="s">
        <v>2261</v>
      </c>
      <c r="U2222" t="s">
        <v>10</v>
      </c>
      <c r="V2222" s="5">
        <v>0</v>
      </c>
      <c r="W2222" s="5">
        <v>0</v>
      </c>
      <c r="X2222" s="2">
        <v>0</v>
      </c>
      <c r="Y2222" t="s">
        <v>4</v>
      </c>
      <c r="Z2222" t="s">
        <v>4</v>
      </c>
      <c r="AA2222" t="s">
        <v>4</v>
      </c>
      <c r="AB2222" t="s">
        <v>4</v>
      </c>
    </row>
    <row r="2223" spans="1:28" hidden="1" x14ac:dyDescent="0.2">
      <c r="A2223" t="s">
        <v>2088</v>
      </c>
      <c r="B2223" t="s">
        <v>2</v>
      </c>
      <c r="C2223" t="s">
        <v>3</v>
      </c>
      <c r="D2223" t="s">
        <v>4</v>
      </c>
      <c r="E2223" t="s">
        <v>4</v>
      </c>
      <c r="F2223" t="s">
        <v>208</v>
      </c>
      <c r="G2223" t="s">
        <v>209</v>
      </c>
      <c r="H2223" t="s">
        <v>5624</v>
      </c>
      <c r="I2223" s="2">
        <v>0</v>
      </c>
      <c r="J2223" s="2">
        <v>23400</v>
      </c>
      <c r="K2223" s="2">
        <v>0</v>
      </c>
      <c r="L2223" s="3">
        <v>45860</v>
      </c>
      <c r="M2223" s="3">
        <v>45860</v>
      </c>
      <c r="N2223" s="3"/>
      <c r="O2223" t="s">
        <v>4</v>
      </c>
      <c r="P2223" t="s">
        <v>9</v>
      </c>
      <c r="Q2223" s="4">
        <v>0.34603009259258999</v>
      </c>
      <c r="R2223" t="s">
        <v>208</v>
      </c>
      <c r="S2223" t="s">
        <v>4</v>
      </c>
      <c r="T2223" t="s">
        <v>2256</v>
      </c>
      <c r="U2223" t="s">
        <v>10</v>
      </c>
      <c r="V2223" s="5">
        <v>0</v>
      </c>
      <c r="W2223" s="5">
        <v>0</v>
      </c>
      <c r="X2223" s="2">
        <v>0</v>
      </c>
      <c r="Y2223" t="s">
        <v>4</v>
      </c>
      <c r="Z2223" t="s">
        <v>4</v>
      </c>
      <c r="AA2223" t="s">
        <v>4</v>
      </c>
      <c r="AB2223" t="s">
        <v>4</v>
      </c>
    </row>
    <row r="2224" spans="1:28" hidden="1" x14ac:dyDescent="0.2">
      <c r="A2224" t="s">
        <v>2251</v>
      </c>
      <c r="B2224" t="s">
        <v>4</v>
      </c>
      <c r="C2224" t="s">
        <v>4</v>
      </c>
      <c r="D2224" t="s">
        <v>4</v>
      </c>
      <c r="E2224" t="s">
        <v>4</v>
      </c>
      <c r="F2224" t="s">
        <v>208</v>
      </c>
      <c r="G2224" t="s">
        <v>209</v>
      </c>
      <c r="H2224" t="s">
        <v>5625</v>
      </c>
      <c r="I2224" s="5">
        <v>0</v>
      </c>
      <c r="J2224" s="5">
        <v>0</v>
      </c>
      <c r="K2224" s="5">
        <v>0</v>
      </c>
      <c r="L2224" s="3"/>
      <c r="M2224" s="3"/>
      <c r="N2224" s="3"/>
      <c r="O2224" t="s">
        <v>4</v>
      </c>
      <c r="P2224" t="s">
        <v>20</v>
      </c>
      <c r="Q2224" s="4">
        <v>0.65194444444444</v>
      </c>
      <c r="R2224" t="s">
        <v>4</v>
      </c>
      <c r="S2224" t="s">
        <v>4</v>
      </c>
      <c r="T2224" t="s">
        <v>2256</v>
      </c>
      <c r="U2224" t="s">
        <v>4</v>
      </c>
      <c r="V2224" s="5">
        <v>0</v>
      </c>
      <c r="W2224" s="5">
        <v>0</v>
      </c>
      <c r="X2224" s="2">
        <v>0</v>
      </c>
      <c r="Y2224" t="s">
        <v>4</v>
      </c>
      <c r="Z2224" t="s">
        <v>4</v>
      </c>
      <c r="AA2224" t="s">
        <v>4</v>
      </c>
      <c r="AB2224" t="s">
        <v>4</v>
      </c>
    </row>
    <row r="2225" spans="1:28" hidden="1" x14ac:dyDescent="0.2">
      <c r="A2225" t="s">
        <v>2251</v>
      </c>
      <c r="B2225" t="s">
        <v>4</v>
      </c>
      <c r="C2225" t="s">
        <v>4</v>
      </c>
      <c r="D2225" t="s">
        <v>4</v>
      </c>
      <c r="E2225" t="s">
        <v>4</v>
      </c>
      <c r="F2225" t="s">
        <v>208</v>
      </c>
      <c r="G2225" t="s">
        <v>209</v>
      </c>
      <c r="H2225" t="s">
        <v>5626</v>
      </c>
      <c r="I2225" s="5">
        <v>0</v>
      </c>
      <c r="J2225" s="5">
        <v>0</v>
      </c>
      <c r="K2225" s="5">
        <v>0</v>
      </c>
      <c r="L2225" s="3"/>
      <c r="M2225" s="3"/>
      <c r="N2225" s="3"/>
      <c r="O2225" t="s">
        <v>4</v>
      </c>
      <c r="P2225" t="s">
        <v>20</v>
      </c>
      <c r="Q2225" s="4">
        <v>0.47773148148147998</v>
      </c>
      <c r="R2225" t="s">
        <v>4</v>
      </c>
      <c r="S2225" t="s">
        <v>4</v>
      </c>
      <c r="T2225" t="s">
        <v>2256</v>
      </c>
      <c r="U2225" t="s">
        <v>4</v>
      </c>
      <c r="V2225" s="5">
        <v>0</v>
      </c>
      <c r="W2225" s="5">
        <v>0</v>
      </c>
      <c r="X2225" s="2">
        <v>0</v>
      </c>
      <c r="Y2225" t="s">
        <v>4</v>
      </c>
      <c r="Z2225" t="s">
        <v>4</v>
      </c>
      <c r="AA2225" t="s">
        <v>4</v>
      </c>
      <c r="AB2225" t="s">
        <v>4</v>
      </c>
    </row>
    <row r="2226" spans="1:28" hidden="1" x14ac:dyDescent="0.2">
      <c r="A2226" t="s">
        <v>1991</v>
      </c>
      <c r="B2226" t="s">
        <v>2</v>
      </c>
      <c r="C2226" t="s">
        <v>3</v>
      </c>
      <c r="D2226" t="s">
        <v>4</v>
      </c>
      <c r="E2226" t="s">
        <v>4</v>
      </c>
      <c r="F2226" t="s">
        <v>208</v>
      </c>
      <c r="G2226" t="s">
        <v>209</v>
      </c>
      <c r="H2226" t="s">
        <v>5627</v>
      </c>
      <c r="I2226" s="2">
        <v>16000</v>
      </c>
      <c r="J2226" s="2">
        <v>0</v>
      </c>
      <c r="K2226" s="2">
        <v>0</v>
      </c>
      <c r="L2226" s="3">
        <v>45847</v>
      </c>
      <c r="M2226" s="3">
        <v>45859</v>
      </c>
      <c r="N2226" s="3">
        <v>45847</v>
      </c>
      <c r="O2226" t="s">
        <v>4</v>
      </c>
      <c r="P2226" t="s">
        <v>20</v>
      </c>
      <c r="Q2226" s="4">
        <v>0.32593749999999999</v>
      </c>
      <c r="R2226" t="s">
        <v>208</v>
      </c>
      <c r="S2226" t="s">
        <v>4</v>
      </c>
      <c r="T2226" t="s">
        <v>2341</v>
      </c>
      <c r="U2226" t="s">
        <v>10</v>
      </c>
      <c r="V2226" s="5">
        <v>0</v>
      </c>
      <c r="W2226" s="5">
        <v>0</v>
      </c>
      <c r="X2226" s="2">
        <v>0</v>
      </c>
      <c r="Y2226" t="s">
        <v>4</v>
      </c>
      <c r="Z2226" t="s">
        <v>4</v>
      </c>
      <c r="AA2226" t="s">
        <v>4</v>
      </c>
      <c r="AB2226" t="s">
        <v>4</v>
      </c>
    </row>
    <row r="2227" spans="1:28" hidden="1" x14ac:dyDescent="0.2">
      <c r="A2227" t="s">
        <v>734</v>
      </c>
      <c r="B2227" t="s">
        <v>2</v>
      </c>
      <c r="C2227" t="s">
        <v>3</v>
      </c>
      <c r="D2227" t="s">
        <v>4</v>
      </c>
      <c r="E2227" t="s">
        <v>4</v>
      </c>
      <c r="F2227" t="s">
        <v>208</v>
      </c>
      <c r="G2227" t="s">
        <v>209</v>
      </c>
      <c r="H2227" t="s">
        <v>5628</v>
      </c>
      <c r="I2227" s="2">
        <v>2505</v>
      </c>
      <c r="J2227" s="2">
        <v>0</v>
      </c>
      <c r="K2227" s="2">
        <v>0</v>
      </c>
      <c r="L2227" s="3">
        <v>45828</v>
      </c>
      <c r="M2227" s="3">
        <v>45847</v>
      </c>
      <c r="N2227" s="3">
        <v>45847</v>
      </c>
      <c r="O2227" t="s">
        <v>4</v>
      </c>
      <c r="P2227" t="s">
        <v>20</v>
      </c>
      <c r="Q2227" s="4">
        <v>0.65348379629630005</v>
      </c>
      <c r="R2227" t="s">
        <v>208</v>
      </c>
      <c r="S2227" t="s">
        <v>4</v>
      </c>
      <c r="T2227" t="s">
        <v>3742</v>
      </c>
      <c r="U2227" t="s">
        <v>10</v>
      </c>
      <c r="V2227" s="5">
        <v>0</v>
      </c>
      <c r="W2227" s="5">
        <v>0</v>
      </c>
      <c r="X2227" s="2">
        <v>0</v>
      </c>
      <c r="Y2227" t="s">
        <v>4</v>
      </c>
      <c r="Z2227" t="s">
        <v>4</v>
      </c>
      <c r="AA2227" t="s">
        <v>4</v>
      </c>
      <c r="AB2227" t="s">
        <v>4</v>
      </c>
    </row>
    <row r="2228" spans="1:28" hidden="1" x14ac:dyDescent="0.2">
      <c r="A2228" t="s">
        <v>538</v>
      </c>
      <c r="B2228" t="s">
        <v>2</v>
      </c>
      <c r="C2228" t="s">
        <v>3</v>
      </c>
      <c r="D2228" t="s">
        <v>4</v>
      </c>
      <c r="E2228" t="s">
        <v>4</v>
      </c>
      <c r="F2228" t="s">
        <v>208</v>
      </c>
      <c r="G2228" t="s">
        <v>209</v>
      </c>
      <c r="H2228" t="s">
        <v>5629</v>
      </c>
      <c r="I2228" s="2">
        <v>170</v>
      </c>
      <c r="J2228" s="2">
        <v>0</v>
      </c>
      <c r="K2228" s="2">
        <v>0</v>
      </c>
      <c r="L2228" s="3">
        <v>45850</v>
      </c>
      <c r="M2228" s="3">
        <v>45850</v>
      </c>
      <c r="N2228" s="3"/>
      <c r="O2228" t="s">
        <v>4</v>
      </c>
      <c r="P2228" t="s">
        <v>20</v>
      </c>
      <c r="Q2228" s="4">
        <v>0.54760416666667</v>
      </c>
      <c r="R2228" t="s">
        <v>208</v>
      </c>
      <c r="S2228" t="s">
        <v>4</v>
      </c>
      <c r="T2228" t="s">
        <v>2680</v>
      </c>
      <c r="U2228" t="s">
        <v>10</v>
      </c>
      <c r="V2228" s="5">
        <v>0</v>
      </c>
      <c r="W2228" s="5">
        <v>0</v>
      </c>
      <c r="X2228" s="2">
        <v>0</v>
      </c>
      <c r="Y2228" t="s">
        <v>4</v>
      </c>
      <c r="Z2228" t="s">
        <v>4</v>
      </c>
      <c r="AA2228" t="s">
        <v>4</v>
      </c>
      <c r="AB2228" t="s">
        <v>4</v>
      </c>
    </row>
    <row r="2229" spans="1:28" hidden="1" x14ac:dyDescent="0.2">
      <c r="A2229" t="s">
        <v>629</v>
      </c>
      <c r="B2229" t="s">
        <v>2</v>
      </c>
      <c r="C2229" t="s">
        <v>3</v>
      </c>
      <c r="D2229" t="s">
        <v>4</v>
      </c>
      <c r="E2229" t="s">
        <v>4</v>
      </c>
      <c r="F2229" t="s">
        <v>208</v>
      </c>
      <c r="G2229" t="s">
        <v>209</v>
      </c>
      <c r="H2229" t="s">
        <v>5630</v>
      </c>
      <c r="I2229" s="2">
        <v>835</v>
      </c>
      <c r="J2229" s="2">
        <v>0</v>
      </c>
      <c r="K2229" s="2">
        <v>0</v>
      </c>
      <c r="L2229" s="3">
        <v>45576</v>
      </c>
      <c r="M2229" s="3">
        <v>45854</v>
      </c>
      <c r="N2229" s="3">
        <v>45854</v>
      </c>
      <c r="O2229" t="s">
        <v>4</v>
      </c>
      <c r="P2229" t="s">
        <v>20</v>
      </c>
      <c r="Q2229" s="4">
        <v>0.58572916666666996</v>
      </c>
      <c r="R2229" t="s">
        <v>208</v>
      </c>
      <c r="S2229" t="s">
        <v>4</v>
      </c>
      <c r="T2229" t="s">
        <v>5631</v>
      </c>
      <c r="U2229" t="s">
        <v>10</v>
      </c>
      <c r="V2229" s="5">
        <v>0</v>
      </c>
      <c r="W2229" s="5">
        <v>0</v>
      </c>
      <c r="X2229" s="2">
        <v>0</v>
      </c>
      <c r="Y2229" t="s">
        <v>4</v>
      </c>
      <c r="Z2229" t="s">
        <v>4</v>
      </c>
      <c r="AA2229" t="s">
        <v>4</v>
      </c>
      <c r="AB2229" t="s">
        <v>4</v>
      </c>
    </row>
    <row r="2230" spans="1:28" hidden="1" x14ac:dyDescent="0.2">
      <c r="A2230" t="s">
        <v>638</v>
      </c>
      <c r="B2230" t="s">
        <v>2</v>
      </c>
      <c r="C2230" t="s">
        <v>3</v>
      </c>
      <c r="D2230" t="s">
        <v>4</v>
      </c>
      <c r="E2230" t="s">
        <v>4</v>
      </c>
      <c r="F2230" t="s">
        <v>208</v>
      </c>
      <c r="G2230" t="s">
        <v>209</v>
      </c>
      <c r="H2230" t="s">
        <v>5632</v>
      </c>
      <c r="I2230" s="2">
        <v>697</v>
      </c>
      <c r="J2230" s="2">
        <v>0</v>
      </c>
      <c r="K2230" s="2">
        <v>0</v>
      </c>
      <c r="L2230" s="3">
        <v>45852</v>
      </c>
      <c r="M2230" s="3">
        <v>45852</v>
      </c>
      <c r="N2230" s="3"/>
      <c r="O2230" t="s">
        <v>4</v>
      </c>
      <c r="P2230" t="s">
        <v>20</v>
      </c>
      <c r="Q2230" s="4">
        <v>0.75851851851852004</v>
      </c>
      <c r="R2230" t="s">
        <v>208</v>
      </c>
      <c r="S2230" t="s">
        <v>4</v>
      </c>
      <c r="T2230" t="s">
        <v>2669</v>
      </c>
      <c r="U2230" t="s">
        <v>10</v>
      </c>
      <c r="V2230" s="5">
        <v>0</v>
      </c>
      <c r="W2230" s="5">
        <v>0</v>
      </c>
      <c r="X2230" s="2">
        <v>0</v>
      </c>
      <c r="Y2230" t="s">
        <v>4</v>
      </c>
      <c r="Z2230" t="s">
        <v>4</v>
      </c>
      <c r="AA2230" t="s">
        <v>4</v>
      </c>
      <c r="AB2230" t="s">
        <v>4</v>
      </c>
    </row>
    <row r="2231" spans="1:28" hidden="1" x14ac:dyDescent="0.2">
      <c r="A2231" t="s">
        <v>1938</v>
      </c>
      <c r="B2231" t="s">
        <v>2</v>
      </c>
      <c r="C2231" t="s">
        <v>3</v>
      </c>
      <c r="D2231" t="s">
        <v>4</v>
      </c>
      <c r="E2231" t="s">
        <v>4</v>
      </c>
      <c r="F2231" t="s">
        <v>208</v>
      </c>
      <c r="G2231" t="s">
        <v>209</v>
      </c>
      <c r="H2231" t="s">
        <v>5633</v>
      </c>
      <c r="I2231" s="2">
        <v>8400</v>
      </c>
      <c r="J2231" s="2">
        <v>0</v>
      </c>
      <c r="K2231" s="2">
        <v>0</v>
      </c>
      <c r="L2231" s="3">
        <v>44924</v>
      </c>
      <c r="M2231" s="3">
        <v>45852</v>
      </c>
      <c r="N2231" s="3">
        <v>45747</v>
      </c>
      <c r="O2231" t="s">
        <v>4</v>
      </c>
      <c r="P2231" t="s">
        <v>20</v>
      </c>
      <c r="Q2231" s="4">
        <v>0.55309027777777997</v>
      </c>
      <c r="R2231" t="s">
        <v>208</v>
      </c>
      <c r="S2231" t="s">
        <v>4</v>
      </c>
      <c r="T2231" t="s">
        <v>5611</v>
      </c>
      <c r="U2231" t="s">
        <v>10</v>
      </c>
      <c r="V2231" s="5">
        <v>0</v>
      </c>
      <c r="W2231" s="5">
        <v>0</v>
      </c>
      <c r="X2231" s="2">
        <v>0</v>
      </c>
      <c r="Y2231" t="s">
        <v>4</v>
      </c>
      <c r="Z2231" t="s">
        <v>4</v>
      </c>
      <c r="AA2231" t="s">
        <v>4</v>
      </c>
      <c r="AB2231" t="s">
        <v>4</v>
      </c>
    </row>
    <row r="2232" spans="1:28" hidden="1" x14ac:dyDescent="0.2">
      <c r="A2232" t="s">
        <v>1867</v>
      </c>
      <c r="B2232" t="s">
        <v>2</v>
      </c>
      <c r="C2232" t="s">
        <v>3</v>
      </c>
      <c r="D2232" t="s">
        <v>4</v>
      </c>
      <c r="E2232" t="s">
        <v>4</v>
      </c>
      <c r="F2232" t="s">
        <v>208</v>
      </c>
      <c r="G2232" t="s">
        <v>209</v>
      </c>
      <c r="H2232" t="s">
        <v>5634</v>
      </c>
      <c r="I2232" s="2">
        <v>2400</v>
      </c>
      <c r="J2232" s="2">
        <v>0</v>
      </c>
      <c r="K2232" s="2">
        <v>0</v>
      </c>
      <c r="L2232" s="3">
        <v>45842</v>
      </c>
      <c r="M2232" s="3">
        <v>45855</v>
      </c>
      <c r="N2232" s="3">
        <v>45855</v>
      </c>
      <c r="O2232" t="s">
        <v>4</v>
      </c>
      <c r="P2232" t="s">
        <v>20</v>
      </c>
      <c r="Q2232" s="4">
        <v>0.67943287037037003</v>
      </c>
      <c r="R2232" t="s">
        <v>208</v>
      </c>
      <c r="S2232" t="s">
        <v>4</v>
      </c>
      <c r="T2232" t="s">
        <v>2610</v>
      </c>
      <c r="U2232" t="s">
        <v>10</v>
      </c>
      <c r="V2232" s="5">
        <v>0</v>
      </c>
      <c r="W2232" s="5">
        <v>0</v>
      </c>
      <c r="X2232" s="2">
        <v>0</v>
      </c>
      <c r="Y2232" t="s">
        <v>4</v>
      </c>
      <c r="Z2232" t="s">
        <v>4</v>
      </c>
      <c r="AA2232" t="s">
        <v>4</v>
      </c>
      <c r="AB2232" t="s">
        <v>4</v>
      </c>
    </row>
    <row r="2233" spans="1:28" hidden="1" x14ac:dyDescent="0.2">
      <c r="A2233" t="s">
        <v>2067</v>
      </c>
      <c r="B2233" t="s">
        <v>2</v>
      </c>
      <c r="C2233" t="s">
        <v>3</v>
      </c>
      <c r="D2233" t="s">
        <v>4</v>
      </c>
      <c r="E2233" t="s">
        <v>4</v>
      </c>
      <c r="F2233" t="s">
        <v>208</v>
      </c>
      <c r="G2233" t="s">
        <v>209</v>
      </c>
      <c r="H2233" t="s">
        <v>5635</v>
      </c>
      <c r="I2233" s="2">
        <v>1702</v>
      </c>
      <c r="J2233" s="2">
        <v>0</v>
      </c>
      <c r="K2233" s="2">
        <v>0</v>
      </c>
      <c r="L2233" s="3">
        <v>45848</v>
      </c>
      <c r="M2233" s="3">
        <v>45851</v>
      </c>
      <c r="N2233" s="3">
        <v>45851</v>
      </c>
      <c r="O2233" t="s">
        <v>4</v>
      </c>
      <c r="P2233" t="s">
        <v>20</v>
      </c>
      <c r="Q2233" s="4">
        <v>0.58016203703703995</v>
      </c>
      <c r="R2233" t="s">
        <v>208</v>
      </c>
      <c r="S2233" t="s">
        <v>4</v>
      </c>
      <c r="T2233" t="s">
        <v>2580</v>
      </c>
      <c r="U2233" t="s">
        <v>10</v>
      </c>
      <c r="V2233" s="5">
        <v>0</v>
      </c>
      <c r="W2233" s="5">
        <v>0</v>
      </c>
      <c r="X2233" s="2">
        <v>0</v>
      </c>
      <c r="Y2233" t="s">
        <v>4</v>
      </c>
      <c r="Z2233" t="s">
        <v>4</v>
      </c>
      <c r="AA2233" t="s">
        <v>4</v>
      </c>
      <c r="AB2233" t="s">
        <v>4</v>
      </c>
    </row>
    <row r="2234" spans="1:28" hidden="1" x14ac:dyDescent="0.2">
      <c r="A2234" t="s">
        <v>2070</v>
      </c>
      <c r="B2234" t="s">
        <v>2</v>
      </c>
      <c r="C2234" t="s">
        <v>3</v>
      </c>
      <c r="D2234" t="s">
        <v>4</v>
      </c>
      <c r="E2234" t="s">
        <v>4</v>
      </c>
      <c r="F2234" t="s">
        <v>208</v>
      </c>
      <c r="G2234" t="s">
        <v>209</v>
      </c>
      <c r="H2234" t="s">
        <v>5636</v>
      </c>
      <c r="I2234" s="2">
        <v>451</v>
      </c>
      <c r="J2234" s="2">
        <v>0</v>
      </c>
      <c r="K2234" s="2">
        <v>0</v>
      </c>
      <c r="L2234" s="3">
        <v>45852</v>
      </c>
      <c r="M2234" s="3">
        <v>45856</v>
      </c>
      <c r="N2234" s="3">
        <v>45856</v>
      </c>
      <c r="O2234" t="s">
        <v>4</v>
      </c>
      <c r="P2234" t="s">
        <v>20</v>
      </c>
      <c r="Q2234" s="4">
        <v>0.90958333333332997</v>
      </c>
      <c r="R2234" t="s">
        <v>208</v>
      </c>
      <c r="S2234" t="s">
        <v>4</v>
      </c>
      <c r="T2234" t="s">
        <v>2669</v>
      </c>
      <c r="U2234" t="s">
        <v>10</v>
      </c>
      <c r="V2234" s="5">
        <v>0</v>
      </c>
      <c r="W2234" s="5">
        <v>0</v>
      </c>
      <c r="X2234" s="2">
        <v>0</v>
      </c>
      <c r="Y2234" t="s">
        <v>4</v>
      </c>
      <c r="Z2234" t="s">
        <v>4</v>
      </c>
      <c r="AA2234" t="s">
        <v>4</v>
      </c>
      <c r="AB2234" t="s">
        <v>4</v>
      </c>
    </row>
    <row r="2235" spans="1:28" hidden="1" x14ac:dyDescent="0.2">
      <c r="A2235" t="s">
        <v>831</v>
      </c>
      <c r="B2235" t="s">
        <v>2</v>
      </c>
      <c r="C2235" t="s">
        <v>3</v>
      </c>
      <c r="D2235" t="s">
        <v>4</v>
      </c>
      <c r="E2235" t="s">
        <v>4</v>
      </c>
      <c r="F2235" t="s">
        <v>208</v>
      </c>
      <c r="G2235" t="s">
        <v>209</v>
      </c>
      <c r="H2235" t="s">
        <v>5637</v>
      </c>
      <c r="I2235" s="2">
        <v>2600</v>
      </c>
      <c r="J2235" s="2">
        <v>0</v>
      </c>
      <c r="K2235" s="2">
        <v>0</v>
      </c>
      <c r="L2235" s="3">
        <v>45858</v>
      </c>
      <c r="M2235" s="3">
        <v>45860</v>
      </c>
      <c r="N2235" s="3"/>
      <c r="O2235" t="s">
        <v>4</v>
      </c>
      <c r="P2235" t="s">
        <v>20</v>
      </c>
      <c r="Q2235" s="4">
        <v>0.33730324074073997</v>
      </c>
      <c r="R2235" t="s">
        <v>208</v>
      </c>
      <c r="S2235" t="s">
        <v>4</v>
      </c>
      <c r="T2235" t="s">
        <v>2337</v>
      </c>
      <c r="U2235" t="s">
        <v>10</v>
      </c>
      <c r="V2235" s="5">
        <v>0</v>
      </c>
      <c r="W2235" s="5">
        <v>0</v>
      </c>
      <c r="X2235" s="2">
        <v>0</v>
      </c>
      <c r="Y2235" t="s">
        <v>4</v>
      </c>
      <c r="Z2235" t="s">
        <v>4</v>
      </c>
      <c r="AA2235" t="s">
        <v>4</v>
      </c>
      <c r="AB2235" t="s">
        <v>4</v>
      </c>
    </row>
    <row r="2236" spans="1:28" hidden="1" x14ac:dyDescent="0.2">
      <c r="A2236" t="s">
        <v>532</v>
      </c>
      <c r="B2236" t="s">
        <v>2</v>
      </c>
      <c r="C2236" t="s">
        <v>3</v>
      </c>
      <c r="D2236" t="s">
        <v>4</v>
      </c>
      <c r="E2236" t="s">
        <v>4</v>
      </c>
      <c r="F2236" t="s">
        <v>208</v>
      </c>
      <c r="G2236" t="s">
        <v>209</v>
      </c>
      <c r="H2236" t="s">
        <v>5638</v>
      </c>
      <c r="I2236" s="2">
        <v>204</v>
      </c>
      <c r="J2236" s="2">
        <v>0</v>
      </c>
      <c r="K2236" s="2">
        <v>0</v>
      </c>
      <c r="L2236" s="3">
        <v>45850</v>
      </c>
      <c r="M2236" s="3">
        <v>45853</v>
      </c>
      <c r="N2236" s="3">
        <v>45853</v>
      </c>
      <c r="O2236" t="s">
        <v>4</v>
      </c>
      <c r="P2236" t="s">
        <v>20</v>
      </c>
      <c r="Q2236" s="4">
        <v>0.37233796296296001</v>
      </c>
      <c r="R2236" t="s">
        <v>208</v>
      </c>
      <c r="S2236" t="s">
        <v>4</v>
      </c>
      <c r="T2236" t="s">
        <v>2680</v>
      </c>
      <c r="U2236" t="s">
        <v>10</v>
      </c>
      <c r="V2236" s="5">
        <v>0</v>
      </c>
      <c r="W2236" s="5">
        <v>0</v>
      </c>
      <c r="X2236" s="2">
        <v>0</v>
      </c>
      <c r="Y2236" t="s">
        <v>4</v>
      </c>
      <c r="Z2236" t="s">
        <v>4</v>
      </c>
      <c r="AA2236" t="s">
        <v>4</v>
      </c>
      <c r="AB2236" t="s">
        <v>4</v>
      </c>
    </row>
    <row r="2237" spans="1:28" hidden="1" x14ac:dyDescent="0.2">
      <c r="A2237" t="s">
        <v>1825</v>
      </c>
      <c r="B2237" t="s">
        <v>2</v>
      </c>
      <c r="C2237" t="s">
        <v>3</v>
      </c>
      <c r="D2237" t="s">
        <v>4</v>
      </c>
      <c r="E2237" t="s">
        <v>4</v>
      </c>
      <c r="F2237" t="s">
        <v>208</v>
      </c>
      <c r="G2237" t="s">
        <v>209</v>
      </c>
      <c r="H2237" t="s">
        <v>5639</v>
      </c>
      <c r="I2237" s="2">
        <v>255</v>
      </c>
      <c r="J2237" s="2">
        <v>0</v>
      </c>
      <c r="K2237" s="2">
        <v>0</v>
      </c>
      <c r="L2237" s="3">
        <v>45854</v>
      </c>
      <c r="M2237" s="3">
        <v>45854</v>
      </c>
      <c r="N2237" s="3">
        <v>45854</v>
      </c>
      <c r="O2237" t="s">
        <v>4</v>
      </c>
      <c r="P2237" t="s">
        <v>20</v>
      </c>
      <c r="Q2237" s="4">
        <v>0.73981481481481004</v>
      </c>
      <c r="R2237" t="s">
        <v>208</v>
      </c>
      <c r="S2237" t="s">
        <v>4</v>
      </c>
      <c r="T2237" t="s">
        <v>2299</v>
      </c>
      <c r="U2237" t="s">
        <v>10</v>
      </c>
      <c r="V2237" s="5">
        <v>0</v>
      </c>
      <c r="W2237" s="5">
        <v>0</v>
      </c>
      <c r="X2237" s="2">
        <v>0</v>
      </c>
      <c r="Y2237" t="s">
        <v>4</v>
      </c>
      <c r="Z2237" t="s">
        <v>4</v>
      </c>
      <c r="AA2237" t="s">
        <v>4</v>
      </c>
      <c r="AB2237" t="s">
        <v>4</v>
      </c>
    </row>
    <row r="2238" spans="1:28" hidden="1" x14ac:dyDescent="0.2">
      <c r="A2238" t="s">
        <v>1828</v>
      </c>
      <c r="B2238" t="s">
        <v>2</v>
      </c>
      <c r="C2238" t="s">
        <v>3</v>
      </c>
      <c r="D2238" t="s">
        <v>4</v>
      </c>
      <c r="E2238" t="s">
        <v>4</v>
      </c>
      <c r="F2238" t="s">
        <v>208</v>
      </c>
      <c r="G2238" t="s">
        <v>209</v>
      </c>
      <c r="H2238" t="s">
        <v>5640</v>
      </c>
      <c r="I2238" s="2">
        <v>213</v>
      </c>
      <c r="J2238" s="2">
        <v>0</v>
      </c>
      <c r="K2238" s="2">
        <v>0</v>
      </c>
      <c r="L2238" s="3">
        <v>45849</v>
      </c>
      <c r="M2238" s="3">
        <v>45852</v>
      </c>
      <c r="N2238" s="3">
        <v>45852</v>
      </c>
      <c r="O2238" t="s">
        <v>4</v>
      </c>
      <c r="P2238" t="s">
        <v>20</v>
      </c>
      <c r="Q2238" s="4">
        <v>0.90186342592593005</v>
      </c>
      <c r="R2238" t="s">
        <v>208</v>
      </c>
      <c r="S2238" t="s">
        <v>4</v>
      </c>
      <c r="T2238" t="s">
        <v>2321</v>
      </c>
      <c r="U2238" t="s">
        <v>10</v>
      </c>
      <c r="V2238" s="5">
        <v>0</v>
      </c>
      <c r="W2238" s="5">
        <v>0</v>
      </c>
      <c r="X2238" s="2">
        <v>0</v>
      </c>
      <c r="Y2238" t="s">
        <v>4</v>
      </c>
      <c r="Z2238" t="s">
        <v>4</v>
      </c>
      <c r="AA2238" t="s">
        <v>4</v>
      </c>
      <c r="AB2238" t="s">
        <v>4</v>
      </c>
    </row>
    <row r="2239" spans="1:28" hidden="1" x14ac:dyDescent="0.2">
      <c r="A2239" t="s">
        <v>1873</v>
      </c>
      <c r="B2239" t="s">
        <v>2</v>
      </c>
      <c r="C2239" t="s">
        <v>3</v>
      </c>
      <c r="D2239" t="s">
        <v>4</v>
      </c>
      <c r="E2239" t="s">
        <v>4</v>
      </c>
      <c r="F2239" t="s">
        <v>208</v>
      </c>
      <c r="G2239" t="s">
        <v>209</v>
      </c>
      <c r="H2239" t="s">
        <v>5641</v>
      </c>
      <c r="I2239" s="2">
        <v>4440</v>
      </c>
      <c r="J2239" s="2">
        <v>0</v>
      </c>
      <c r="K2239" s="2">
        <v>0</v>
      </c>
      <c r="L2239" s="3">
        <v>45848</v>
      </c>
      <c r="M2239" s="3">
        <v>45860</v>
      </c>
      <c r="N2239" s="3"/>
      <c r="O2239" t="s">
        <v>4</v>
      </c>
      <c r="P2239" t="s">
        <v>20</v>
      </c>
      <c r="Q2239" s="4">
        <v>0.33615740740741001</v>
      </c>
      <c r="R2239" t="s">
        <v>208</v>
      </c>
      <c r="S2239" t="s">
        <v>4</v>
      </c>
      <c r="T2239" t="s">
        <v>2580</v>
      </c>
      <c r="U2239" t="s">
        <v>10</v>
      </c>
      <c r="V2239" s="5">
        <v>0</v>
      </c>
      <c r="W2239" s="5">
        <v>0</v>
      </c>
      <c r="X2239" s="2">
        <v>0</v>
      </c>
      <c r="Y2239" t="s">
        <v>4</v>
      </c>
      <c r="Z2239" t="s">
        <v>4</v>
      </c>
      <c r="AA2239" t="s">
        <v>4</v>
      </c>
      <c r="AB2239" t="s">
        <v>4</v>
      </c>
    </row>
    <row r="2240" spans="1:28" hidden="1" x14ac:dyDescent="0.2">
      <c r="A2240" t="s">
        <v>2064</v>
      </c>
      <c r="B2240" t="s">
        <v>2</v>
      </c>
      <c r="C2240" t="s">
        <v>3</v>
      </c>
      <c r="D2240" t="s">
        <v>4</v>
      </c>
      <c r="E2240" t="s">
        <v>4</v>
      </c>
      <c r="F2240" t="s">
        <v>208</v>
      </c>
      <c r="G2240" t="s">
        <v>209</v>
      </c>
      <c r="H2240" t="s">
        <v>5642</v>
      </c>
      <c r="I2240" s="2">
        <v>50</v>
      </c>
      <c r="J2240" s="2">
        <v>0</v>
      </c>
      <c r="K2240" s="2">
        <v>0</v>
      </c>
      <c r="L2240" s="3">
        <v>45829</v>
      </c>
      <c r="M2240" s="3">
        <v>45829</v>
      </c>
      <c r="N2240" s="3"/>
      <c r="O2240" t="s">
        <v>4</v>
      </c>
      <c r="P2240" t="s">
        <v>20</v>
      </c>
      <c r="Q2240" s="4">
        <v>0.37476851851852</v>
      </c>
      <c r="R2240" t="s">
        <v>208</v>
      </c>
      <c r="S2240" t="s">
        <v>4</v>
      </c>
      <c r="T2240" t="s">
        <v>3242</v>
      </c>
      <c r="U2240" t="s">
        <v>10</v>
      </c>
      <c r="V2240" s="5">
        <v>0</v>
      </c>
      <c r="W2240" s="5">
        <v>0</v>
      </c>
      <c r="X2240" s="2">
        <v>0</v>
      </c>
      <c r="Y2240" t="s">
        <v>4</v>
      </c>
      <c r="Z2240" t="s">
        <v>4</v>
      </c>
      <c r="AA2240" t="s">
        <v>4</v>
      </c>
      <c r="AB2240" t="s">
        <v>4</v>
      </c>
    </row>
    <row r="2241" spans="1:28" hidden="1" x14ac:dyDescent="0.2">
      <c r="A2241" t="s">
        <v>2251</v>
      </c>
      <c r="B2241" t="s">
        <v>4</v>
      </c>
      <c r="C2241" t="s">
        <v>4</v>
      </c>
      <c r="D2241" t="s">
        <v>4</v>
      </c>
      <c r="E2241" t="s">
        <v>4</v>
      </c>
      <c r="F2241" t="s">
        <v>208</v>
      </c>
      <c r="G2241" t="s">
        <v>209</v>
      </c>
      <c r="H2241" t="s">
        <v>5643</v>
      </c>
      <c r="I2241" s="5">
        <v>0</v>
      </c>
      <c r="J2241" s="5">
        <v>0</v>
      </c>
      <c r="K2241" s="5">
        <v>0</v>
      </c>
      <c r="L2241" s="3"/>
      <c r="M2241" s="3"/>
      <c r="N2241" s="3"/>
      <c r="O2241" t="s">
        <v>4</v>
      </c>
      <c r="P2241" t="s">
        <v>20</v>
      </c>
      <c r="Q2241" s="4">
        <v>0.45168981481481002</v>
      </c>
      <c r="R2241" t="s">
        <v>4</v>
      </c>
      <c r="S2241" t="s">
        <v>4</v>
      </c>
      <c r="T2241" t="s">
        <v>2256</v>
      </c>
      <c r="U2241" t="s">
        <v>4</v>
      </c>
      <c r="V2241" s="5">
        <v>0</v>
      </c>
      <c r="W2241" s="5">
        <v>0</v>
      </c>
      <c r="X2241" s="2">
        <v>0</v>
      </c>
      <c r="Y2241" t="s">
        <v>4</v>
      </c>
      <c r="Z2241" t="s">
        <v>4</v>
      </c>
      <c r="AA2241" t="s">
        <v>4</v>
      </c>
      <c r="AB2241" t="s">
        <v>4</v>
      </c>
    </row>
    <row r="2242" spans="1:28" hidden="1" x14ac:dyDescent="0.2">
      <c r="A2242" t="s">
        <v>435</v>
      </c>
      <c r="B2242" t="s">
        <v>2</v>
      </c>
      <c r="C2242" t="s">
        <v>3</v>
      </c>
      <c r="D2242" t="s">
        <v>4</v>
      </c>
      <c r="E2242" t="s">
        <v>4</v>
      </c>
      <c r="F2242" t="s">
        <v>208</v>
      </c>
      <c r="G2242" t="s">
        <v>209</v>
      </c>
      <c r="H2242" t="s">
        <v>5644</v>
      </c>
      <c r="I2242" s="2">
        <v>960</v>
      </c>
      <c r="J2242" s="2">
        <v>0</v>
      </c>
      <c r="K2242" s="2">
        <v>0</v>
      </c>
      <c r="L2242" s="3">
        <v>45790</v>
      </c>
      <c r="M2242" s="3">
        <v>45853</v>
      </c>
      <c r="N2242" s="3">
        <v>45853</v>
      </c>
      <c r="O2242" t="s">
        <v>4</v>
      </c>
      <c r="P2242" t="s">
        <v>20</v>
      </c>
      <c r="Q2242" s="4">
        <v>0.95165509259258996</v>
      </c>
      <c r="R2242" t="s">
        <v>208</v>
      </c>
      <c r="S2242" t="s">
        <v>4</v>
      </c>
      <c r="T2242" t="s">
        <v>5108</v>
      </c>
      <c r="U2242" t="s">
        <v>10</v>
      </c>
      <c r="V2242" s="5">
        <v>0</v>
      </c>
      <c r="W2242" s="5">
        <v>0</v>
      </c>
      <c r="X2242" s="2">
        <v>0</v>
      </c>
      <c r="Y2242" t="s">
        <v>4</v>
      </c>
      <c r="Z2242" t="s">
        <v>4</v>
      </c>
      <c r="AA2242" t="s">
        <v>4</v>
      </c>
      <c r="AB2242" t="s">
        <v>4</v>
      </c>
    </row>
    <row r="2243" spans="1:28" hidden="1" x14ac:dyDescent="0.2">
      <c r="A2243" t="s">
        <v>1541</v>
      </c>
      <c r="B2243" t="s">
        <v>2</v>
      </c>
      <c r="C2243" t="s">
        <v>3</v>
      </c>
      <c r="D2243" t="s">
        <v>4</v>
      </c>
      <c r="E2243" t="s">
        <v>4</v>
      </c>
      <c r="F2243" t="s">
        <v>208</v>
      </c>
      <c r="G2243" t="s">
        <v>209</v>
      </c>
      <c r="H2243" t="s">
        <v>5645</v>
      </c>
      <c r="I2243" s="2">
        <v>333</v>
      </c>
      <c r="J2243" s="2">
        <v>0</v>
      </c>
      <c r="K2243" s="2">
        <v>0</v>
      </c>
      <c r="L2243" s="3">
        <v>45858</v>
      </c>
      <c r="M2243" s="3">
        <v>45859</v>
      </c>
      <c r="N2243" s="3">
        <v>45859</v>
      </c>
      <c r="O2243" t="s">
        <v>4</v>
      </c>
      <c r="P2243" t="s">
        <v>20</v>
      </c>
      <c r="Q2243" s="4">
        <v>0.47202546296296</v>
      </c>
      <c r="R2243" t="s">
        <v>208</v>
      </c>
      <c r="S2243" t="s">
        <v>4</v>
      </c>
      <c r="T2243" t="s">
        <v>2337</v>
      </c>
      <c r="U2243" t="s">
        <v>10</v>
      </c>
      <c r="V2243" s="5">
        <v>0</v>
      </c>
      <c r="W2243" s="5">
        <v>0</v>
      </c>
      <c r="X2243" s="2">
        <v>0</v>
      </c>
      <c r="Y2243" t="s">
        <v>4</v>
      </c>
      <c r="Z2243" t="s">
        <v>4</v>
      </c>
      <c r="AA2243" t="s">
        <v>4</v>
      </c>
      <c r="AB2243" t="s">
        <v>4</v>
      </c>
    </row>
    <row r="2244" spans="1:28" hidden="1" x14ac:dyDescent="0.2">
      <c r="A2244" t="s">
        <v>544</v>
      </c>
      <c r="B2244" t="s">
        <v>2</v>
      </c>
      <c r="C2244" t="s">
        <v>3</v>
      </c>
      <c r="D2244" t="s">
        <v>4</v>
      </c>
      <c r="E2244" t="s">
        <v>4</v>
      </c>
      <c r="F2244" t="s">
        <v>208</v>
      </c>
      <c r="G2244" t="s">
        <v>209</v>
      </c>
      <c r="H2244" t="s">
        <v>5646</v>
      </c>
      <c r="I2244" s="2">
        <v>408</v>
      </c>
      <c r="J2244" s="2">
        <v>0</v>
      </c>
      <c r="K2244" s="2">
        <v>0</v>
      </c>
      <c r="L2244" s="3">
        <v>45852</v>
      </c>
      <c r="M2244" s="3">
        <v>45852</v>
      </c>
      <c r="N2244" s="3"/>
      <c r="O2244" t="s">
        <v>4</v>
      </c>
      <c r="P2244" t="s">
        <v>20</v>
      </c>
      <c r="Q2244" s="4">
        <v>0.47574074074074002</v>
      </c>
      <c r="R2244" t="s">
        <v>208</v>
      </c>
      <c r="S2244" t="s">
        <v>4</v>
      </c>
      <c r="T2244" t="s">
        <v>2669</v>
      </c>
      <c r="U2244" t="s">
        <v>10</v>
      </c>
      <c r="V2244" s="5">
        <v>0</v>
      </c>
      <c r="W2244" s="5">
        <v>0</v>
      </c>
      <c r="X2244" s="2">
        <v>0</v>
      </c>
      <c r="Y2244" t="s">
        <v>4</v>
      </c>
      <c r="Z2244" t="s">
        <v>4</v>
      </c>
      <c r="AA2244" t="s">
        <v>4</v>
      </c>
      <c r="AB2244" t="s">
        <v>4</v>
      </c>
    </row>
    <row r="2245" spans="1:28" hidden="1" x14ac:dyDescent="0.2">
      <c r="A2245" t="s">
        <v>2251</v>
      </c>
      <c r="B2245" t="s">
        <v>4</v>
      </c>
      <c r="C2245" t="s">
        <v>4</v>
      </c>
      <c r="D2245" t="s">
        <v>4</v>
      </c>
      <c r="E2245" t="s">
        <v>4</v>
      </c>
      <c r="F2245" t="s">
        <v>208</v>
      </c>
      <c r="G2245" t="s">
        <v>209</v>
      </c>
      <c r="H2245" t="s">
        <v>5647</v>
      </c>
      <c r="I2245" s="5">
        <v>0</v>
      </c>
      <c r="J2245" s="5">
        <v>0</v>
      </c>
      <c r="K2245" s="5">
        <v>0</v>
      </c>
      <c r="L2245" s="3"/>
      <c r="M2245" s="3"/>
      <c r="N2245" s="3"/>
      <c r="O2245" t="s">
        <v>4</v>
      </c>
      <c r="P2245" t="s">
        <v>20</v>
      </c>
      <c r="Q2245" s="4">
        <v>0.56685185185185005</v>
      </c>
      <c r="R2245" t="s">
        <v>4</v>
      </c>
      <c r="S2245" t="s">
        <v>4</v>
      </c>
      <c r="T2245" t="s">
        <v>2256</v>
      </c>
      <c r="U2245" t="s">
        <v>4</v>
      </c>
      <c r="V2245" s="5">
        <v>0</v>
      </c>
      <c r="W2245" s="5">
        <v>0</v>
      </c>
      <c r="X2245" s="2">
        <v>0</v>
      </c>
      <c r="Y2245" t="s">
        <v>4</v>
      </c>
      <c r="Z2245" t="s">
        <v>4</v>
      </c>
      <c r="AA2245" t="s">
        <v>4</v>
      </c>
      <c r="AB2245" t="s">
        <v>4</v>
      </c>
    </row>
    <row r="2246" spans="1:28" hidden="1" x14ac:dyDescent="0.2">
      <c r="A2246" t="s">
        <v>2056</v>
      </c>
      <c r="B2246" t="s">
        <v>2</v>
      </c>
      <c r="C2246" t="s">
        <v>3</v>
      </c>
      <c r="D2246" t="s">
        <v>4</v>
      </c>
      <c r="E2246" t="s">
        <v>4</v>
      </c>
      <c r="F2246" t="s">
        <v>208</v>
      </c>
      <c r="G2246" t="s">
        <v>209</v>
      </c>
      <c r="H2246" t="s">
        <v>5648</v>
      </c>
      <c r="I2246" s="2">
        <v>1640</v>
      </c>
      <c r="J2246" s="2">
        <v>0</v>
      </c>
      <c r="K2246" s="2">
        <v>0</v>
      </c>
      <c r="L2246" s="3">
        <v>45851</v>
      </c>
      <c r="M2246" s="3">
        <v>45853</v>
      </c>
      <c r="N2246" s="3">
        <v>45853</v>
      </c>
      <c r="O2246" t="s">
        <v>4</v>
      </c>
      <c r="P2246" t="s">
        <v>20</v>
      </c>
      <c r="Q2246" s="4">
        <v>0.95300925925926006</v>
      </c>
      <c r="R2246" t="s">
        <v>208</v>
      </c>
      <c r="S2246" t="s">
        <v>4</v>
      </c>
      <c r="T2246" t="s">
        <v>2747</v>
      </c>
      <c r="U2246" t="s">
        <v>10</v>
      </c>
      <c r="V2246" s="5">
        <v>0</v>
      </c>
      <c r="W2246" s="5">
        <v>0</v>
      </c>
      <c r="X2246" s="2">
        <v>0</v>
      </c>
      <c r="Y2246" t="s">
        <v>4</v>
      </c>
      <c r="Z2246" t="s">
        <v>4</v>
      </c>
      <c r="AA2246" t="s">
        <v>4</v>
      </c>
      <c r="AB2246" t="s">
        <v>4</v>
      </c>
    </row>
    <row r="2247" spans="1:28" hidden="1" x14ac:dyDescent="0.2">
      <c r="A2247" t="s">
        <v>1116</v>
      </c>
      <c r="B2247" t="s">
        <v>2</v>
      </c>
      <c r="C2247" t="s">
        <v>3</v>
      </c>
      <c r="D2247" t="s">
        <v>4</v>
      </c>
      <c r="E2247" t="s">
        <v>4</v>
      </c>
      <c r="F2247" t="s">
        <v>208</v>
      </c>
      <c r="G2247" t="s">
        <v>209</v>
      </c>
      <c r="H2247" t="s">
        <v>5649</v>
      </c>
      <c r="I2247" s="2">
        <v>550</v>
      </c>
      <c r="J2247" s="2">
        <v>0</v>
      </c>
      <c r="K2247" s="2">
        <v>0</v>
      </c>
      <c r="L2247" s="3">
        <v>45847</v>
      </c>
      <c r="M2247" s="3">
        <v>45852</v>
      </c>
      <c r="N2247" s="3">
        <v>45850</v>
      </c>
      <c r="O2247" t="s">
        <v>4</v>
      </c>
      <c r="P2247" t="s">
        <v>20</v>
      </c>
      <c r="Q2247" s="4">
        <v>0.77804398148148002</v>
      </c>
      <c r="R2247" t="s">
        <v>208</v>
      </c>
      <c r="S2247" t="s">
        <v>4</v>
      </c>
      <c r="T2247" t="s">
        <v>2341</v>
      </c>
      <c r="U2247" t="s">
        <v>10</v>
      </c>
      <c r="V2247" s="5">
        <v>0</v>
      </c>
      <c r="W2247" s="5">
        <v>0</v>
      </c>
      <c r="X2247" s="2">
        <v>0</v>
      </c>
      <c r="Y2247" t="s">
        <v>4</v>
      </c>
      <c r="Z2247" t="s">
        <v>4</v>
      </c>
      <c r="AA2247" t="s">
        <v>4</v>
      </c>
      <c r="AB2247" t="s">
        <v>4</v>
      </c>
    </row>
    <row r="2248" spans="1:28" hidden="1" x14ac:dyDescent="0.2">
      <c r="A2248" t="s">
        <v>1120</v>
      </c>
      <c r="B2248" t="s">
        <v>2</v>
      </c>
      <c r="C2248" t="s">
        <v>3</v>
      </c>
      <c r="D2248" t="s">
        <v>4</v>
      </c>
      <c r="E2248" t="s">
        <v>4</v>
      </c>
      <c r="F2248" t="s">
        <v>208</v>
      </c>
      <c r="G2248" t="s">
        <v>209</v>
      </c>
      <c r="H2248" t="s">
        <v>5650</v>
      </c>
      <c r="I2248" s="2">
        <v>150</v>
      </c>
      <c r="J2248" s="2">
        <v>0</v>
      </c>
      <c r="K2248" s="2">
        <v>0</v>
      </c>
      <c r="L2248" s="3">
        <v>45859</v>
      </c>
      <c r="M2248" s="3">
        <v>45860</v>
      </c>
      <c r="N2248" s="3"/>
      <c r="O2248" t="s">
        <v>4</v>
      </c>
      <c r="P2248" t="s">
        <v>20</v>
      </c>
      <c r="Q2248" s="4">
        <v>0.31515046296296001</v>
      </c>
      <c r="R2248" t="s">
        <v>208</v>
      </c>
      <c r="S2248" t="s">
        <v>4</v>
      </c>
      <c r="T2248" t="s">
        <v>2261</v>
      </c>
      <c r="U2248" t="s">
        <v>10</v>
      </c>
      <c r="V2248" s="5">
        <v>0</v>
      </c>
      <c r="W2248" s="5">
        <v>0</v>
      </c>
      <c r="X2248" s="2">
        <v>0</v>
      </c>
      <c r="Y2248" t="s">
        <v>4</v>
      </c>
      <c r="Z2248" t="s">
        <v>4</v>
      </c>
      <c r="AA2248" t="s">
        <v>4</v>
      </c>
      <c r="AB2248" t="s">
        <v>4</v>
      </c>
    </row>
    <row r="2249" spans="1:28" hidden="1" x14ac:dyDescent="0.2">
      <c r="A2249" t="s">
        <v>2073</v>
      </c>
      <c r="B2249" t="s">
        <v>2</v>
      </c>
      <c r="C2249" t="s">
        <v>3</v>
      </c>
      <c r="D2249" t="s">
        <v>4</v>
      </c>
      <c r="E2249" t="s">
        <v>4</v>
      </c>
      <c r="F2249" t="s">
        <v>208</v>
      </c>
      <c r="G2249" t="s">
        <v>209</v>
      </c>
      <c r="H2249" t="s">
        <v>5651</v>
      </c>
      <c r="I2249" s="2">
        <v>344</v>
      </c>
      <c r="J2249" s="2">
        <v>0</v>
      </c>
      <c r="K2249" s="2">
        <v>0</v>
      </c>
      <c r="L2249" s="3">
        <v>45818</v>
      </c>
      <c r="M2249" s="3">
        <v>45853</v>
      </c>
      <c r="N2249" s="3">
        <v>45853</v>
      </c>
      <c r="O2249" t="s">
        <v>4</v>
      </c>
      <c r="P2249" t="s">
        <v>20</v>
      </c>
      <c r="Q2249" s="4">
        <v>0.92908564814814998</v>
      </c>
      <c r="R2249" t="s">
        <v>208</v>
      </c>
      <c r="S2249" t="s">
        <v>4</v>
      </c>
      <c r="T2249" t="s">
        <v>2290</v>
      </c>
      <c r="U2249" t="s">
        <v>10</v>
      </c>
      <c r="V2249" s="5">
        <v>0</v>
      </c>
      <c r="W2249" s="5">
        <v>0</v>
      </c>
      <c r="X2249" s="2">
        <v>0</v>
      </c>
      <c r="Y2249" t="s">
        <v>4</v>
      </c>
      <c r="Z2249" t="s">
        <v>4</v>
      </c>
      <c r="AA2249" t="s">
        <v>4</v>
      </c>
      <c r="AB2249" t="s">
        <v>4</v>
      </c>
    </row>
    <row r="2250" spans="1:28" hidden="1" x14ac:dyDescent="0.2">
      <c r="A2250" t="s">
        <v>2251</v>
      </c>
      <c r="B2250" t="s">
        <v>4</v>
      </c>
      <c r="C2250" t="s">
        <v>4</v>
      </c>
      <c r="D2250" t="s">
        <v>4</v>
      </c>
      <c r="E2250" t="s">
        <v>4</v>
      </c>
      <c r="F2250" t="s">
        <v>208</v>
      </c>
      <c r="G2250" t="s">
        <v>209</v>
      </c>
      <c r="H2250" t="s">
        <v>5652</v>
      </c>
      <c r="I2250" s="5">
        <v>0</v>
      </c>
      <c r="J2250" s="5">
        <v>0</v>
      </c>
      <c r="K2250" s="5">
        <v>0</v>
      </c>
      <c r="L2250" s="3"/>
      <c r="M2250" s="3"/>
      <c r="N2250" s="3"/>
      <c r="O2250" t="s">
        <v>4</v>
      </c>
      <c r="P2250" t="s">
        <v>20</v>
      </c>
      <c r="Q2250" s="4">
        <v>0.65289351851851996</v>
      </c>
      <c r="R2250" t="s">
        <v>4</v>
      </c>
      <c r="S2250" t="s">
        <v>4</v>
      </c>
      <c r="T2250" t="s">
        <v>2256</v>
      </c>
      <c r="U2250" t="s">
        <v>4</v>
      </c>
      <c r="V2250" s="5">
        <v>0</v>
      </c>
      <c r="W2250" s="5">
        <v>0</v>
      </c>
      <c r="X2250" s="2">
        <v>0</v>
      </c>
      <c r="Y2250" t="s">
        <v>4</v>
      </c>
      <c r="Z2250" t="s">
        <v>4</v>
      </c>
      <c r="AA2250" t="s">
        <v>4</v>
      </c>
      <c r="AB2250" t="s">
        <v>4</v>
      </c>
    </row>
    <row r="2251" spans="1:28" hidden="1" x14ac:dyDescent="0.2">
      <c r="A2251" t="s">
        <v>1544</v>
      </c>
      <c r="B2251" t="s">
        <v>2</v>
      </c>
      <c r="C2251" t="s">
        <v>3</v>
      </c>
      <c r="D2251" t="s">
        <v>4</v>
      </c>
      <c r="E2251" t="s">
        <v>4</v>
      </c>
      <c r="F2251" t="s">
        <v>208</v>
      </c>
      <c r="G2251" t="s">
        <v>209</v>
      </c>
      <c r="H2251" t="s">
        <v>5653</v>
      </c>
      <c r="I2251" s="2">
        <v>95</v>
      </c>
      <c r="J2251" s="2">
        <v>0</v>
      </c>
      <c r="K2251" s="2">
        <v>0</v>
      </c>
      <c r="L2251" s="3">
        <v>45854</v>
      </c>
      <c r="M2251" s="3">
        <v>45854</v>
      </c>
      <c r="N2251" s="3"/>
      <c r="O2251" t="s">
        <v>4</v>
      </c>
      <c r="P2251" t="s">
        <v>20</v>
      </c>
      <c r="Q2251" s="4">
        <v>0.91057870370369998</v>
      </c>
      <c r="R2251" t="s">
        <v>208</v>
      </c>
      <c r="S2251" t="s">
        <v>4</v>
      </c>
      <c r="T2251" t="s">
        <v>2299</v>
      </c>
      <c r="U2251" t="s">
        <v>10</v>
      </c>
      <c r="V2251" s="5">
        <v>0</v>
      </c>
      <c r="W2251" s="5">
        <v>0</v>
      </c>
      <c r="X2251" s="2">
        <v>0</v>
      </c>
      <c r="Y2251" t="s">
        <v>4</v>
      </c>
      <c r="Z2251" t="s">
        <v>4</v>
      </c>
      <c r="AA2251" t="s">
        <v>4</v>
      </c>
      <c r="AB2251" t="s">
        <v>4</v>
      </c>
    </row>
    <row r="2252" spans="1:28" hidden="1" x14ac:dyDescent="0.2">
      <c r="A2252" t="s">
        <v>541</v>
      </c>
      <c r="B2252" t="s">
        <v>2</v>
      </c>
      <c r="C2252" t="s">
        <v>3</v>
      </c>
      <c r="D2252" t="s">
        <v>4</v>
      </c>
      <c r="E2252" t="s">
        <v>4</v>
      </c>
      <c r="F2252" t="s">
        <v>208</v>
      </c>
      <c r="G2252" t="s">
        <v>209</v>
      </c>
      <c r="H2252" t="s">
        <v>5654</v>
      </c>
      <c r="I2252" s="2">
        <v>94</v>
      </c>
      <c r="J2252" s="2">
        <v>0</v>
      </c>
      <c r="K2252" s="2">
        <v>0</v>
      </c>
      <c r="L2252" s="3">
        <v>45849</v>
      </c>
      <c r="M2252" s="3">
        <v>45852</v>
      </c>
      <c r="N2252" s="3">
        <v>45850</v>
      </c>
      <c r="O2252" t="s">
        <v>4</v>
      </c>
      <c r="P2252" t="s">
        <v>20</v>
      </c>
      <c r="Q2252" s="4">
        <v>0.62392361111111005</v>
      </c>
      <c r="R2252" t="s">
        <v>208</v>
      </c>
      <c r="S2252" t="s">
        <v>4</v>
      </c>
      <c r="T2252" t="s">
        <v>2321</v>
      </c>
      <c r="U2252" t="s">
        <v>10</v>
      </c>
      <c r="V2252" s="5">
        <v>0</v>
      </c>
      <c r="W2252" s="5">
        <v>0</v>
      </c>
      <c r="X2252" s="2">
        <v>0</v>
      </c>
      <c r="Y2252" t="s">
        <v>4</v>
      </c>
      <c r="Z2252" t="s">
        <v>4</v>
      </c>
      <c r="AA2252" t="s">
        <v>4</v>
      </c>
      <c r="AB2252" t="s">
        <v>4</v>
      </c>
    </row>
    <row r="2253" spans="1:28" hidden="1" x14ac:dyDescent="0.2">
      <c r="A2253" t="s">
        <v>635</v>
      </c>
      <c r="B2253" t="s">
        <v>2</v>
      </c>
      <c r="C2253" t="s">
        <v>3</v>
      </c>
      <c r="D2253" t="s">
        <v>4</v>
      </c>
      <c r="E2253" t="s">
        <v>4</v>
      </c>
      <c r="F2253" t="s">
        <v>208</v>
      </c>
      <c r="G2253" t="s">
        <v>209</v>
      </c>
      <c r="H2253" t="s">
        <v>5655</v>
      </c>
      <c r="I2253" s="2">
        <v>192</v>
      </c>
      <c r="J2253" s="2">
        <v>0</v>
      </c>
      <c r="K2253" s="2">
        <v>0</v>
      </c>
      <c r="L2253" s="3">
        <v>45742</v>
      </c>
      <c r="M2253" s="3">
        <v>45851</v>
      </c>
      <c r="N2253" s="3">
        <v>45851</v>
      </c>
      <c r="O2253" t="s">
        <v>4</v>
      </c>
      <c r="P2253" t="s">
        <v>20</v>
      </c>
      <c r="Q2253" s="4">
        <v>0.35693287037037003</v>
      </c>
      <c r="R2253" t="s">
        <v>208</v>
      </c>
      <c r="S2253" t="s">
        <v>4</v>
      </c>
      <c r="T2253" t="s">
        <v>3620</v>
      </c>
      <c r="U2253" t="s">
        <v>10</v>
      </c>
      <c r="V2253" s="5">
        <v>0</v>
      </c>
      <c r="W2253" s="5">
        <v>0</v>
      </c>
      <c r="X2253" s="2">
        <v>0</v>
      </c>
      <c r="Y2253" t="s">
        <v>4</v>
      </c>
      <c r="Z2253" t="s">
        <v>4</v>
      </c>
      <c r="AA2253" t="s">
        <v>4</v>
      </c>
      <c r="AB2253" t="s">
        <v>4</v>
      </c>
    </row>
    <row r="2254" spans="1:28" hidden="1" x14ac:dyDescent="0.2">
      <c r="A2254" t="s">
        <v>494</v>
      </c>
      <c r="B2254" t="s">
        <v>2</v>
      </c>
      <c r="C2254" t="s">
        <v>3</v>
      </c>
      <c r="D2254" t="s">
        <v>4</v>
      </c>
      <c r="E2254" t="s">
        <v>4</v>
      </c>
      <c r="F2254" t="s">
        <v>208</v>
      </c>
      <c r="G2254" t="s">
        <v>209</v>
      </c>
      <c r="H2254" t="s">
        <v>5656</v>
      </c>
      <c r="I2254" s="2">
        <v>576</v>
      </c>
      <c r="J2254" s="2">
        <v>0</v>
      </c>
      <c r="K2254" s="2">
        <v>0</v>
      </c>
      <c r="L2254" s="3">
        <v>45849</v>
      </c>
      <c r="M2254" s="3">
        <v>45855</v>
      </c>
      <c r="N2254" s="3">
        <v>45852</v>
      </c>
      <c r="O2254" t="s">
        <v>4</v>
      </c>
      <c r="P2254" t="s">
        <v>20</v>
      </c>
      <c r="Q2254" s="4">
        <v>0.58417824074073998</v>
      </c>
      <c r="R2254" t="s">
        <v>208</v>
      </c>
      <c r="S2254" t="s">
        <v>4</v>
      </c>
      <c r="T2254" t="s">
        <v>2321</v>
      </c>
      <c r="U2254" t="s">
        <v>10</v>
      </c>
      <c r="V2254" s="5">
        <v>0</v>
      </c>
      <c r="W2254" s="5">
        <v>0</v>
      </c>
      <c r="X2254" s="2">
        <v>0</v>
      </c>
      <c r="Y2254" t="s">
        <v>4</v>
      </c>
      <c r="Z2254" t="s">
        <v>4</v>
      </c>
      <c r="AA2254" t="s">
        <v>4</v>
      </c>
      <c r="AB2254" t="s">
        <v>4</v>
      </c>
    </row>
    <row r="2255" spans="1:28" hidden="1" x14ac:dyDescent="0.2">
      <c r="A2255" t="s">
        <v>1010</v>
      </c>
      <c r="B2255" t="s">
        <v>2</v>
      </c>
      <c r="C2255" t="s">
        <v>3</v>
      </c>
      <c r="D2255" t="s">
        <v>4</v>
      </c>
      <c r="E2255" t="s">
        <v>4</v>
      </c>
      <c r="F2255" t="s">
        <v>208</v>
      </c>
      <c r="G2255" t="s">
        <v>209</v>
      </c>
      <c r="H2255" t="s">
        <v>5657</v>
      </c>
      <c r="I2255" s="2">
        <v>576</v>
      </c>
      <c r="J2255" s="2">
        <v>0</v>
      </c>
      <c r="K2255" s="2">
        <v>0</v>
      </c>
      <c r="L2255" s="3">
        <v>45843</v>
      </c>
      <c r="M2255" s="3">
        <v>45852</v>
      </c>
      <c r="N2255" s="3">
        <v>45849</v>
      </c>
      <c r="O2255" t="s">
        <v>4</v>
      </c>
      <c r="P2255" t="s">
        <v>20</v>
      </c>
      <c r="Q2255" s="4">
        <v>0.55090277777777996</v>
      </c>
      <c r="R2255" t="s">
        <v>208</v>
      </c>
      <c r="S2255" t="s">
        <v>4</v>
      </c>
      <c r="T2255" t="s">
        <v>2783</v>
      </c>
      <c r="U2255" t="s">
        <v>10</v>
      </c>
      <c r="V2255" s="5">
        <v>0</v>
      </c>
      <c r="W2255" s="5">
        <v>0</v>
      </c>
      <c r="X2255" s="2">
        <v>0</v>
      </c>
      <c r="Y2255" t="s">
        <v>4</v>
      </c>
      <c r="Z2255" t="s">
        <v>4</v>
      </c>
      <c r="AA2255" t="s">
        <v>4</v>
      </c>
      <c r="AB2255" t="s">
        <v>4</v>
      </c>
    </row>
    <row r="2256" spans="1:28" hidden="1" x14ac:dyDescent="0.2">
      <c r="A2256" t="s">
        <v>1016</v>
      </c>
      <c r="B2256" t="s">
        <v>2</v>
      </c>
      <c r="C2256" t="s">
        <v>3</v>
      </c>
      <c r="D2256" t="s">
        <v>4</v>
      </c>
      <c r="E2256" t="s">
        <v>4</v>
      </c>
      <c r="F2256" t="s">
        <v>208</v>
      </c>
      <c r="G2256" t="s">
        <v>209</v>
      </c>
      <c r="H2256" t="s">
        <v>5658</v>
      </c>
      <c r="I2256" s="2">
        <v>288</v>
      </c>
      <c r="J2256" s="2">
        <v>0</v>
      </c>
      <c r="K2256" s="2">
        <v>0</v>
      </c>
      <c r="L2256" s="3">
        <v>45715</v>
      </c>
      <c r="M2256" s="3">
        <v>45849</v>
      </c>
      <c r="N2256" s="3">
        <v>45849</v>
      </c>
      <c r="O2256" t="s">
        <v>4</v>
      </c>
      <c r="P2256" t="s">
        <v>20</v>
      </c>
      <c r="Q2256" s="4">
        <v>0.70746527777778001</v>
      </c>
      <c r="R2256" t="s">
        <v>208</v>
      </c>
      <c r="S2256" t="s">
        <v>4</v>
      </c>
      <c r="T2256" t="s">
        <v>5659</v>
      </c>
      <c r="U2256" t="s">
        <v>10</v>
      </c>
      <c r="V2256" s="5">
        <v>0</v>
      </c>
      <c r="W2256" s="5">
        <v>0</v>
      </c>
      <c r="X2256" s="2">
        <v>0</v>
      </c>
      <c r="Y2256" t="s">
        <v>4</v>
      </c>
      <c r="Z2256" t="s">
        <v>4</v>
      </c>
      <c r="AA2256" t="s">
        <v>4</v>
      </c>
      <c r="AB2256" t="s">
        <v>4</v>
      </c>
    </row>
    <row r="2257" spans="1:28" hidden="1" x14ac:dyDescent="0.2">
      <c r="A2257" t="s">
        <v>1996</v>
      </c>
      <c r="B2257" t="s">
        <v>2</v>
      </c>
      <c r="C2257" t="s">
        <v>3</v>
      </c>
      <c r="D2257" t="s">
        <v>4</v>
      </c>
      <c r="E2257" t="s">
        <v>4</v>
      </c>
      <c r="F2257" t="s">
        <v>208</v>
      </c>
      <c r="G2257" t="s">
        <v>209</v>
      </c>
      <c r="H2257" t="s">
        <v>5660</v>
      </c>
      <c r="I2257" s="2">
        <v>800</v>
      </c>
      <c r="J2257" s="2">
        <v>0</v>
      </c>
      <c r="K2257" s="2">
        <v>0</v>
      </c>
      <c r="L2257" s="3">
        <v>45835</v>
      </c>
      <c r="M2257" s="3">
        <v>45848</v>
      </c>
      <c r="N2257" s="3"/>
      <c r="O2257" t="s">
        <v>4</v>
      </c>
      <c r="P2257" t="s">
        <v>20</v>
      </c>
      <c r="Q2257" s="4">
        <v>0.73596064814814999</v>
      </c>
      <c r="R2257" t="s">
        <v>208</v>
      </c>
      <c r="S2257" t="s">
        <v>4</v>
      </c>
      <c r="T2257" t="s">
        <v>2928</v>
      </c>
      <c r="U2257" t="s">
        <v>10</v>
      </c>
      <c r="V2257" s="5">
        <v>0</v>
      </c>
      <c r="W2257" s="5">
        <v>0</v>
      </c>
      <c r="X2257" s="2">
        <v>0</v>
      </c>
      <c r="Y2257" t="s">
        <v>4</v>
      </c>
      <c r="Z2257" t="s">
        <v>4</v>
      </c>
      <c r="AA2257" t="s">
        <v>4</v>
      </c>
      <c r="AB2257" t="s">
        <v>4</v>
      </c>
    </row>
    <row r="2258" spans="1:28" hidden="1" x14ac:dyDescent="0.2">
      <c r="A2258" t="s">
        <v>1998</v>
      </c>
      <c r="B2258" t="s">
        <v>2</v>
      </c>
      <c r="C2258" t="s">
        <v>3</v>
      </c>
      <c r="D2258" t="s">
        <v>4</v>
      </c>
      <c r="E2258" t="s">
        <v>4</v>
      </c>
      <c r="F2258" t="s">
        <v>208</v>
      </c>
      <c r="G2258" t="s">
        <v>209</v>
      </c>
      <c r="H2258" t="s">
        <v>5661</v>
      </c>
      <c r="I2258" s="2">
        <v>1000</v>
      </c>
      <c r="J2258" s="2">
        <v>0</v>
      </c>
      <c r="K2258" s="2">
        <v>0</v>
      </c>
      <c r="L2258" s="3">
        <v>45835</v>
      </c>
      <c r="M2258" s="3">
        <v>45860</v>
      </c>
      <c r="N2258" s="3">
        <v>45835</v>
      </c>
      <c r="O2258" t="s">
        <v>4</v>
      </c>
      <c r="P2258" t="s">
        <v>20</v>
      </c>
      <c r="Q2258" s="4">
        <v>0.40012731481481001</v>
      </c>
      <c r="R2258" t="s">
        <v>208</v>
      </c>
      <c r="S2258" t="s">
        <v>4</v>
      </c>
      <c r="T2258" t="s">
        <v>2928</v>
      </c>
      <c r="U2258" t="s">
        <v>10</v>
      </c>
      <c r="V2258" s="5">
        <v>0</v>
      </c>
      <c r="W2258" s="5">
        <v>0</v>
      </c>
      <c r="X2258" s="2">
        <v>0</v>
      </c>
      <c r="Y2258" t="s">
        <v>4</v>
      </c>
      <c r="Z2258" t="s">
        <v>4</v>
      </c>
      <c r="AA2258" t="s">
        <v>4</v>
      </c>
      <c r="AB2258" t="s">
        <v>4</v>
      </c>
    </row>
    <row r="2259" spans="1:28" hidden="1" x14ac:dyDescent="0.2">
      <c r="A2259" t="s">
        <v>1566</v>
      </c>
      <c r="B2259" t="s">
        <v>2</v>
      </c>
      <c r="C2259" t="s">
        <v>3</v>
      </c>
      <c r="D2259" t="s">
        <v>4</v>
      </c>
      <c r="E2259" t="s">
        <v>4</v>
      </c>
      <c r="F2259" t="s">
        <v>208</v>
      </c>
      <c r="G2259" t="s">
        <v>209</v>
      </c>
      <c r="H2259" t="s">
        <v>5662</v>
      </c>
      <c r="I2259" s="2">
        <v>320</v>
      </c>
      <c r="J2259" s="2">
        <v>0</v>
      </c>
      <c r="K2259" s="2">
        <v>0</v>
      </c>
      <c r="L2259" s="3">
        <v>45856</v>
      </c>
      <c r="M2259" s="3">
        <v>45856</v>
      </c>
      <c r="N2259" s="3">
        <v>45856</v>
      </c>
      <c r="O2259" t="s">
        <v>4</v>
      </c>
      <c r="P2259" t="s">
        <v>20</v>
      </c>
      <c r="Q2259" s="4">
        <v>0.83152777777777998</v>
      </c>
      <c r="R2259" t="s">
        <v>208</v>
      </c>
      <c r="S2259" t="s">
        <v>4</v>
      </c>
      <c r="T2259" t="s">
        <v>2260</v>
      </c>
      <c r="U2259" t="s">
        <v>10</v>
      </c>
      <c r="V2259" s="5">
        <v>0</v>
      </c>
      <c r="W2259" s="5">
        <v>0</v>
      </c>
      <c r="X2259" s="2">
        <v>0</v>
      </c>
      <c r="Y2259" t="s">
        <v>4</v>
      </c>
      <c r="Z2259" t="s">
        <v>4</v>
      </c>
      <c r="AA2259" t="s">
        <v>4</v>
      </c>
      <c r="AB2259" t="s">
        <v>4</v>
      </c>
    </row>
    <row r="2260" spans="1:28" hidden="1" x14ac:dyDescent="0.2">
      <c r="A2260" t="s">
        <v>529</v>
      </c>
      <c r="B2260" t="s">
        <v>2</v>
      </c>
      <c r="C2260" t="s">
        <v>3</v>
      </c>
      <c r="D2260" t="s">
        <v>4</v>
      </c>
      <c r="E2260" t="s">
        <v>4</v>
      </c>
      <c r="F2260" t="s">
        <v>208</v>
      </c>
      <c r="G2260" t="s">
        <v>209</v>
      </c>
      <c r="H2260" t="s">
        <v>5663</v>
      </c>
      <c r="I2260" s="2">
        <v>32</v>
      </c>
      <c r="J2260" s="2">
        <v>0</v>
      </c>
      <c r="K2260" s="2">
        <v>0</v>
      </c>
      <c r="L2260" s="3">
        <v>45849</v>
      </c>
      <c r="M2260" s="3">
        <v>45850</v>
      </c>
      <c r="N2260" s="3">
        <v>45850</v>
      </c>
      <c r="O2260" t="s">
        <v>4</v>
      </c>
      <c r="P2260" t="s">
        <v>20</v>
      </c>
      <c r="Q2260" s="4">
        <v>0.98339120370370003</v>
      </c>
      <c r="R2260" t="s">
        <v>208</v>
      </c>
      <c r="S2260" t="s">
        <v>4</v>
      </c>
      <c r="T2260" t="s">
        <v>2321</v>
      </c>
      <c r="U2260" t="s">
        <v>10</v>
      </c>
      <c r="V2260" s="5">
        <v>0</v>
      </c>
      <c r="W2260" s="5">
        <v>0</v>
      </c>
      <c r="X2260" s="2">
        <v>0</v>
      </c>
      <c r="Y2260" t="s">
        <v>4</v>
      </c>
      <c r="Z2260" t="s">
        <v>4</v>
      </c>
      <c r="AA2260" t="s">
        <v>4</v>
      </c>
      <c r="AB2260" t="s">
        <v>4</v>
      </c>
    </row>
    <row r="2261" spans="1:28" hidden="1" x14ac:dyDescent="0.2">
      <c r="A2261" t="s">
        <v>2026</v>
      </c>
      <c r="B2261" t="s">
        <v>2</v>
      </c>
      <c r="C2261" t="s">
        <v>3</v>
      </c>
      <c r="D2261" t="s">
        <v>4</v>
      </c>
      <c r="E2261" t="s">
        <v>4</v>
      </c>
      <c r="F2261" t="s">
        <v>208</v>
      </c>
      <c r="G2261" t="s">
        <v>209</v>
      </c>
      <c r="H2261" t="s">
        <v>5664</v>
      </c>
      <c r="I2261" s="2">
        <v>432</v>
      </c>
      <c r="J2261" s="2">
        <v>0</v>
      </c>
      <c r="K2261" s="2">
        <v>0</v>
      </c>
      <c r="L2261" s="3">
        <v>45852</v>
      </c>
      <c r="M2261" s="3">
        <v>45852</v>
      </c>
      <c r="N2261" s="3"/>
      <c r="O2261" t="s">
        <v>4</v>
      </c>
      <c r="P2261" t="s">
        <v>20</v>
      </c>
      <c r="Q2261" s="4">
        <v>0.72491898148148004</v>
      </c>
      <c r="R2261" t="s">
        <v>208</v>
      </c>
      <c r="S2261" t="s">
        <v>4</v>
      </c>
      <c r="T2261" t="s">
        <v>2669</v>
      </c>
      <c r="U2261" t="s">
        <v>10</v>
      </c>
      <c r="V2261" s="5">
        <v>0</v>
      </c>
      <c r="W2261" s="5">
        <v>0</v>
      </c>
      <c r="X2261" s="2">
        <v>0</v>
      </c>
      <c r="Y2261" t="s">
        <v>4</v>
      </c>
      <c r="Z2261" t="s">
        <v>4</v>
      </c>
      <c r="AA2261" t="s">
        <v>4</v>
      </c>
      <c r="AB2261" t="s">
        <v>4</v>
      </c>
    </row>
    <row r="2262" spans="1:28" hidden="1" x14ac:dyDescent="0.2">
      <c r="A2262" t="s">
        <v>1054</v>
      </c>
      <c r="B2262" t="s">
        <v>2</v>
      </c>
      <c r="C2262" t="s">
        <v>3</v>
      </c>
      <c r="D2262" t="s">
        <v>4</v>
      </c>
      <c r="E2262" t="s">
        <v>4</v>
      </c>
      <c r="F2262" t="s">
        <v>208</v>
      </c>
      <c r="G2262" t="s">
        <v>209</v>
      </c>
      <c r="H2262" t="s">
        <v>5665</v>
      </c>
      <c r="I2262" s="2">
        <v>0</v>
      </c>
      <c r="J2262" s="2">
        <v>0</v>
      </c>
      <c r="K2262" s="2">
        <v>352</v>
      </c>
      <c r="L2262" s="3">
        <v>45854</v>
      </c>
      <c r="M2262" s="3">
        <v>45860</v>
      </c>
      <c r="N2262" s="3"/>
      <c r="O2262" t="s">
        <v>4</v>
      </c>
      <c r="P2262" t="s">
        <v>20</v>
      </c>
      <c r="Q2262" s="4">
        <v>0.47378472222222001</v>
      </c>
      <c r="R2262" t="s">
        <v>208</v>
      </c>
      <c r="S2262" t="s">
        <v>4</v>
      </c>
      <c r="T2262" t="s">
        <v>2299</v>
      </c>
      <c r="U2262" t="s">
        <v>10</v>
      </c>
      <c r="V2262" s="5">
        <v>0</v>
      </c>
      <c r="W2262" s="5">
        <v>0</v>
      </c>
      <c r="X2262" s="2">
        <v>0</v>
      </c>
      <c r="Y2262" t="s">
        <v>4</v>
      </c>
      <c r="Z2262" t="s">
        <v>4</v>
      </c>
      <c r="AA2262" t="s">
        <v>4</v>
      </c>
      <c r="AB2262" t="s">
        <v>4</v>
      </c>
    </row>
    <row r="2263" spans="1:28" hidden="1" x14ac:dyDescent="0.2">
      <c r="A2263" t="s">
        <v>1013</v>
      </c>
      <c r="B2263" t="s">
        <v>2</v>
      </c>
      <c r="C2263" t="s">
        <v>3</v>
      </c>
      <c r="D2263" t="s">
        <v>4</v>
      </c>
      <c r="E2263" t="s">
        <v>4</v>
      </c>
      <c r="F2263" t="s">
        <v>208</v>
      </c>
      <c r="G2263" t="s">
        <v>209</v>
      </c>
      <c r="H2263" t="s">
        <v>5666</v>
      </c>
      <c r="I2263" s="2">
        <v>1584</v>
      </c>
      <c r="J2263" s="2">
        <v>0</v>
      </c>
      <c r="K2263" s="2">
        <v>0</v>
      </c>
      <c r="L2263" s="3">
        <v>45195</v>
      </c>
      <c r="M2263" s="3">
        <v>45849</v>
      </c>
      <c r="N2263" s="3">
        <v>45849</v>
      </c>
      <c r="O2263" t="s">
        <v>4</v>
      </c>
      <c r="P2263" t="s">
        <v>20</v>
      </c>
      <c r="Q2263" s="4">
        <v>0.83444444444443999</v>
      </c>
      <c r="R2263" t="s">
        <v>208</v>
      </c>
      <c r="S2263" t="s">
        <v>4</v>
      </c>
      <c r="T2263" t="s">
        <v>5667</v>
      </c>
      <c r="U2263" t="s">
        <v>10</v>
      </c>
      <c r="V2263" s="5">
        <v>0</v>
      </c>
      <c r="W2263" s="5">
        <v>0</v>
      </c>
      <c r="X2263" s="2">
        <v>0</v>
      </c>
      <c r="Y2263" t="s">
        <v>4</v>
      </c>
      <c r="Z2263" t="s">
        <v>4</v>
      </c>
      <c r="AA2263" t="s">
        <v>4</v>
      </c>
      <c r="AB2263" t="s">
        <v>4</v>
      </c>
    </row>
    <row r="2264" spans="1:28" hidden="1" x14ac:dyDescent="0.2">
      <c r="A2264" t="s">
        <v>503</v>
      </c>
      <c r="B2264" t="s">
        <v>2</v>
      </c>
      <c r="C2264" t="s">
        <v>3</v>
      </c>
      <c r="D2264" t="s">
        <v>4</v>
      </c>
      <c r="E2264" t="s">
        <v>4</v>
      </c>
      <c r="F2264" t="s">
        <v>208</v>
      </c>
      <c r="G2264" t="s">
        <v>209</v>
      </c>
      <c r="H2264" t="s">
        <v>5668</v>
      </c>
      <c r="I2264" s="2">
        <v>624</v>
      </c>
      <c r="J2264" s="2">
        <v>0</v>
      </c>
      <c r="K2264" s="2">
        <v>0</v>
      </c>
      <c r="L2264" s="3">
        <v>45850</v>
      </c>
      <c r="M2264" s="3">
        <v>45852</v>
      </c>
      <c r="N2264" s="3">
        <v>45852</v>
      </c>
      <c r="O2264" t="s">
        <v>4</v>
      </c>
      <c r="P2264" t="s">
        <v>20</v>
      </c>
      <c r="Q2264" s="4">
        <v>0.68665509259259006</v>
      </c>
      <c r="R2264" t="s">
        <v>208</v>
      </c>
      <c r="S2264" t="s">
        <v>4</v>
      </c>
      <c r="T2264" t="s">
        <v>2680</v>
      </c>
      <c r="U2264" t="s">
        <v>10</v>
      </c>
      <c r="V2264" s="5">
        <v>0</v>
      </c>
      <c r="W2264" s="5">
        <v>0</v>
      </c>
      <c r="X2264" s="2">
        <v>0</v>
      </c>
      <c r="Y2264" t="s">
        <v>4</v>
      </c>
      <c r="Z2264" t="s">
        <v>4</v>
      </c>
      <c r="AA2264" t="s">
        <v>4</v>
      </c>
      <c r="AB2264" t="s">
        <v>4</v>
      </c>
    </row>
    <row r="2265" spans="1:28" hidden="1" x14ac:dyDescent="0.2">
      <c r="A2265" t="s">
        <v>2046</v>
      </c>
      <c r="B2265" t="s">
        <v>2</v>
      </c>
      <c r="C2265" t="s">
        <v>3</v>
      </c>
      <c r="D2265" t="s">
        <v>4</v>
      </c>
      <c r="E2265" t="s">
        <v>4</v>
      </c>
      <c r="F2265" t="s">
        <v>208</v>
      </c>
      <c r="G2265" t="s">
        <v>209</v>
      </c>
      <c r="H2265" t="s">
        <v>5669</v>
      </c>
      <c r="I2265" s="2">
        <v>2340</v>
      </c>
      <c r="J2265" s="2">
        <v>0</v>
      </c>
      <c r="K2265" s="2">
        <v>360</v>
      </c>
      <c r="L2265" s="3">
        <v>45860</v>
      </c>
      <c r="M2265" s="3">
        <v>45860</v>
      </c>
      <c r="N2265" s="3"/>
      <c r="O2265" t="s">
        <v>4</v>
      </c>
      <c r="P2265" t="s">
        <v>20</v>
      </c>
      <c r="Q2265" s="4">
        <v>0.47494212962963001</v>
      </c>
      <c r="R2265" t="s">
        <v>208</v>
      </c>
      <c r="S2265" t="s">
        <v>4</v>
      </c>
      <c r="T2265" t="s">
        <v>2256</v>
      </c>
      <c r="U2265" t="s">
        <v>10</v>
      </c>
      <c r="V2265" s="5">
        <v>0</v>
      </c>
      <c r="W2265" s="5">
        <v>0</v>
      </c>
      <c r="X2265" s="2">
        <v>0</v>
      </c>
      <c r="Y2265" t="s">
        <v>4</v>
      </c>
      <c r="Z2265" t="s">
        <v>4</v>
      </c>
      <c r="AA2265" t="s">
        <v>4</v>
      </c>
      <c r="AB2265" t="s">
        <v>4</v>
      </c>
    </row>
    <row r="2266" spans="1:28" hidden="1" x14ac:dyDescent="0.2">
      <c r="A2266" t="s">
        <v>2251</v>
      </c>
      <c r="B2266" t="s">
        <v>4</v>
      </c>
      <c r="C2266" t="s">
        <v>4</v>
      </c>
      <c r="D2266" t="s">
        <v>4</v>
      </c>
      <c r="E2266" t="s">
        <v>4</v>
      </c>
      <c r="F2266" t="s">
        <v>208</v>
      </c>
      <c r="G2266" t="s">
        <v>209</v>
      </c>
      <c r="H2266" t="s">
        <v>5670</v>
      </c>
      <c r="I2266" s="5">
        <v>0</v>
      </c>
      <c r="J2266" s="5">
        <v>0</v>
      </c>
      <c r="K2266" s="5">
        <v>0</v>
      </c>
      <c r="L2266" s="3"/>
      <c r="M2266" s="3"/>
      <c r="N2266" s="3"/>
      <c r="O2266" t="s">
        <v>4</v>
      </c>
      <c r="P2266" t="s">
        <v>20</v>
      </c>
      <c r="Q2266" s="4">
        <v>0.47940972222222</v>
      </c>
      <c r="R2266" t="s">
        <v>4</v>
      </c>
      <c r="S2266" t="s">
        <v>4</v>
      </c>
      <c r="T2266" t="s">
        <v>2256</v>
      </c>
      <c r="U2266" t="s">
        <v>4</v>
      </c>
      <c r="V2266" s="5">
        <v>0</v>
      </c>
      <c r="W2266" s="5">
        <v>0</v>
      </c>
      <c r="X2266" s="2">
        <v>0</v>
      </c>
      <c r="Y2266" t="s">
        <v>4</v>
      </c>
      <c r="Z2266" t="s">
        <v>4</v>
      </c>
      <c r="AA2266" t="s">
        <v>4</v>
      </c>
      <c r="AB2266" t="s">
        <v>4</v>
      </c>
    </row>
    <row r="2267" spans="1:28" hidden="1" x14ac:dyDescent="0.2">
      <c r="A2267" t="s">
        <v>1563</v>
      </c>
      <c r="B2267" t="s">
        <v>2</v>
      </c>
      <c r="C2267" t="s">
        <v>3</v>
      </c>
      <c r="D2267" t="s">
        <v>4</v>
      </c>
      <c r="E2267" t="s">
        <v>4</v>
      </c>
      <c r="F2267" t="s">
        <v>208</v>
      </c>
      <c r="G2267" t="s">
        <v>209</v>
      </c>
      <c r="H2267" t="s">
        <v>5671</v>
      </c>
      <c r="I2267" s="2">
        <v>460</v>
      </c>
      <c r="J2267" s="2">
        <v>0</v>
      </c>
      <c r="K2267" s="2">
        <v>0</v>
      </c>
      <c r="L2267" s="3">
        <v>45860</v>
      </c>
      <c r="M2267" s="3">
        <v>45860</v>
      </c>
      <c r="N2267" s="3">
        <v>45860</v>
      </c>
      <c r="O2267" t="s">
        <v>4</v>
      </c>
      <c r="P2267" t="s">
        <v>20</v>
      </c>
      <c r="Q2267" s="4">
        <v>0.47149305555555998</v>
      </c>
      <c r="R2267" t="s">
        <v>208</v>
      </c>
      <c r="S2267" t="s">
        <v>4</v>
      </c>
      <c r="T2267" t="s">
        <v>2256</v>
      </c>
      <c r="U2267" t="s">
        <v>10</v>
      </c>
      <c r="V2267" s="5">
        <v>0</v>
      </c>
      <c r="W2267" s="5">
        <v>0</v>
      </c>
      <c r="X2267" s="2">
        <v>0</v>
      </c>
      <c r="Y2267" t="s">
        <v>4</v>
      </c>
      <c r="Z2267" t="s">
        <v>4</v>
      </c>
      <c r="AA2267" t="s">
        <v>4</v>
      </c>
      <c r="AB2267" t="s">
        <v>4</v>
      </c>
    </row>
    <row r="2268" spans="1:28" hidden="1" x14ac:dyDescent="0.2">
      <c r="A2268" t="s">
        <v>2050</v>
      </c>
      <c r="B2268" t="s">
        <v>2</v>
      </c>
      <c r="C2268" t="s">
        <v>3</v>
      </c>
      <c r="D2268" t="s">
        <v>4</v>
      </c>
      <c r="E2268" t="s">
        <v>4</v>
      </c>
      <c r="F2268" t="s">
        <v>208</v>
      </c>
      <c r="G2268" t="s">
        <v>209</v>
      </c>
      <c r="H2268" t="s">
        <v>5672</v>
      </c>
      <c r="I2268" s="2">
        <v>150</v>
      </c>
      <c r="J2268" s="2">
        <v>0</v>
      </c>
      <c r="K2268" s="2">
        <v>0</v>
      </c>
      <c r="L2268" s="3">
        <v>45791</v>
      </c>
      <c r="M2268" s="3">
        <v>45791</v>
      </c>
      <c r="N2268" s="3"/>
      <c r="O2268" t="s">
        <v>4</v>
      </c>
      <c r="P2268" t="s">
        <v>20</v>
      </c>
      <c r="Q2268" s="4">
        <v>1.0509259259260001E-2</v>
      </c>
      <c r="R2268" t="s">
        <v>208</v>
      </c>
      <c r="S2268" t="s">
        <v>4</v>
      </c>
      <c r="T2268" t="s">
        <v>3485</v>
      </c>
      <c r="U2268" t="s">
        <v>10</v>
      </c>
      <c r="V2268" s="5">
        <v>0</v>
      </c>
      <c r="W2268" s="5">
        <v>0</v>
      </c>
      <c r="X2268" s="2">
        <v>0</v>
      </c>
      <c r="Y2268" t="s">
        <v>4</v>
      </c>
      <c r="Z2268" t="s">
        <v>4</v>
      </c>
      <c r="AA2268" t="s">
        <v>4</v>
      </c>
      <c r="AB2268" t="s">
        <v>4</v>
      </c>
    </row>
    <row r="2269" spans="1:28" hidden="1" x14ac:dyDescent="0.2">
      <c r="A2269" t="s">
        <v>793</v>
      </c>
      <c r="B2269" t="s">
        <v>2</v>
      </c>
      <c r="C2269" t="s">
        <v>3</v>
      </c>
      <c r="D2269" t="s">
        <v>4</v>
      </c>
      <c r="E2269" t="s">
        <v>4</v>
      </c>
      <c r="F2269" t="s">
        <v>208</v>
      </c>
      <c r="G2269" t="s">
        <v>209</v>
      </c>
      <c r="H2269" t="s">
        <v>5673</v>
      </c>
      <c r="I2269" s="2">
        <v>203</v>
      </c>
      <c r="J2269" s="2">
        <v>0</v>
      </c>
      <c r="K2269" s="2">
        <v>0</v>
      </c>
      <c r="L2269" s="3">
        <v>45587</v>
      </c>
      <c r="M2269" s="3">
        <v>45660</v>
      </c>
      <c r="N2269" s="3">
        <v>45660</v>
      </c>
      <c r="O2269" t="s">
        <v>4</v>
      </c>
      <c r="P2269" t="s">
        <v>20</v>
      </c>
      <c r="Q2269" s="4">
        <v>0.38543981481480999</v>
      </c>
      <c r="R2269" t="s">
        <v>208</v>
      </c>
      <c r="S2269" t="s">
        <v>4</v>
      </c>
      <c r="T2269" t="s">
        <v>5456</v>
      </c>
      <c r="U2269" t="s">
        <v>10</v>
      </c>
      <c r="V2269" s="5">
        <v>0</v>
      </c>
      <c r="W2269" s="5">
        <v>0</v>
      </c>
      <c r="X2269" s="2">
        <v>0</v>
      </c>
      <c r="Y2269" t="s">
        <v>4</v>
      </c>
      <c r="Z2269" t="s">
        <v>4</v>
      </c>
      <c r="AA2269" t="s">
        <v>4</v>
      </c>
      <c r="AB2269" t="s">
        <v>4</v>
      </c>
    </row>
    <row r="2270" spans="1:28" hidden="1" x14ac:dyDescent="0.2">
      <c r="A2270" t="s">
        <v>2251</v>
      </c>
      <c r="B2270" t="s">
        <v>4</v>
      </c>
      <c r="C2270" t="s">
        <v>4</v>
      </c>
      <c r="D2270" t="s">
        <v>4</v>
      </c>
      <c r="E2270" t="s">
        <v>4</v>
      </c>
      <c r="F2270" t="s">
        <v>208</v>
      </c>
      <c r="G2270" t="s">
        <v>209</v>
      </c>
      <c r="H2270" t="s">
        <v>5674</v>
      </c>
      <c r="I2270" s="5">
        <v>0</v>
      </c>
      <c r="J2270" s="5">
        <v>0</v>
      </c>
      <c r="K2270" s="5">
        <v>0</v>
      </c>
      <c r="L2270" s="3"/>
      <c r="M2270" s="3"/>
      <c r="N2270" s="3"/>
      <c r="O2270" t="s">
        <v>4</v>
      </c>
      <c r="P2270" t="s">
        <v>20</v>
      </c>
      <c r="Q2270" s="4">
        <v>0.64723379629629996</v>
      </c>
      <c r="R2270" t="s">
        <v>4</v>
      </c>
      <c r="S2270" t="s">
        <v>4</v>
      </c>
      <c r="T2270" t="s">
        <v>2256</v>
      </c>
      <c r="U2270" t="s">
        <v>4</v>
      </c>
      <c r="V2270" s="5">
        <v>0</v>
      </c>
      <c r="W2270" s="5">
        <v>0</v>
      </c>
      <c r="X2270" s="2">
        <v>0</v>
      </c>
      <c r="Y2270" t="s">
        <v>4</v>
      </c>
      <c r="Z2270" t="s">
        <v>4</v>
      </c>
      <c r="AA2270" t="s">
        <v>4</v>
      </c>
      <c r="AB2270" t="s">
        <v>4</v>
      </c>
    </row>
    <row r="2271" spans="1:28" hidden="1" x14ac:dyDescent="0.2">
      <c r="A2271" t="s">
        <v>847</v>
      </c>
      <c r="B2271" t="s">
        <v>2</v>
      </c>
      <c r="C2271" t="s">
        <v>3</v>
      </c>
      <c r="D2271" t="s">
        <v>4</v>
      </c>
      <c r="E2271" t="s">
        <v>4</v>
      </c>
      <c r="F2271" t="s">
        <v>208</v>
      </c>
      <c r="G2271" t="s">
        <v>209</v>
      </c>
      <c r="H2271" t="s">
        <v>5675</v>
      </c>
      <c r="I2271" s="2">
        <v>3100</v>
      </c>
      <c r="J2271" s="2">
        <v>0</v>
      </c>
      <c r="K2271" s="2">
        <v>0</v>
      </c>
      <c r="L2271" s="3">
        <v>45832</v>
      </c>
      <c r="M2271" s="3">
        <v>45860</v>
      </c>
      <c r="N2271" s="3">
        <v>45855</v>
      </c>
      <c r="O2271" t="s">
        <v>4</v>
      </c>
      <c r="P2271" t="s">
        <v>20</v>
      </c>
      <c r="Q2271" s="4">
        <v>0.33614583333332998</v>
      </c>
      <c r="R2271" t="s">
        <v>208</v>
      </c>
      <c r="S2271" t="s">
        <v>4</v>
      </c>
      <c r="T2271" t="s">
        <v>2665</v>
      </c>
      <c r="U2271" t="s">
        <v>10</v>
      </c>
      <c r="V2271" s="5">
        <v>0</v>
      </c>
      <c r="W2271" s="5">
        <v>0</v>
      </c>
      <c r="X2271" s="2">
        <v>0</v>
      </c>
      <c r="Y2271" t="s">
        <v>4</v>
      </c>
      <c r="Z2271" t="s">
        <v>4</v>
      </c>
      <c r="AA2271" t="s">
        <v>4</v>
      </c>
      <c r="AB2271" t="s">
        <v>4</v>
      </c>
    </row>
    <row r="2272" spans="1:28" hidden="1" x14ac:dyDescent="0.2">
      <c r="A2272" t="s">
        <v>837</v>
      </c>
      <c r="B2272" t="s">
        <v>2</v>
      </c>
      <c r="C2272" t="s">
        <v>3</v>
      </c>
      <c r="D2272" t="s">
        <v>4</v>
      </c>
      <c r="E2272" t="s">
        <v>4</v>
      </c>
      <c r="F2272" t="s">
        <v>208</v>
      </c>
      <c r="G2272" t="s">
        <v>209</v>
      </c>
      <c r="H2272" t="s">
        <v>5676</v>
      </c>
      <c r="I2272" s="2">
        <v>12000</v>
      </c>
      <c r="J2272" s="2">
        <v>0</v>
      </c>
      <c r="K2272" s="2">
        <v>0</v>
      </c>
      <c r="L2272" s="3">
        <v>45858</v>
      </c>
      <c r="M2272" s="3">
        <v>45860</v>
      </c>
      <c r="N2272" s="3"/>
      <c r="O2272" t="s">
        <v>4</v>
      </c>
      <c r="P2272" t="s">
        <v>20</v>
      </c>
      <c r="Q2272" s="4">
        <v>0.33614583333332998</v>
      </c>
      <c r="R2272" t="s">
        <v>208</v>
      </c>
      <c r="S2272" t="s">
        <v>4</v>
      </c>
      <c r="T2272" t="s">
        <v>2337</v>
      </c>
      <c r="U2272" t="s">
        <v>10</v>
      </c>
      <c r="V2272" s="5">
        <v>0</v>
      </c>
      <c r="W2272" s="5">
        <v>0</v>
      </c>
      <c r="X2272" s="2">
        <v>0</v>
      </c>
      <c r="Y2272" t="s">
        <v>4</v>
      </c>
      <c r="Z2272" t="s">
        <v>4</v>
      </c>
      <c r="AA2272" t="s">
        <v>4</v>
      </c>
      <c r="AB2272" t="s">
        <v>4</v>
      </c>
    </row>
    <row r="2273" spans="1:28" hidden="1" x14ac:dyDescent="0.2">
      <c r="A2273" t="s">
        <v>1365</v>
      </c>
      <c r="B2273" t="s">
        <v>2</v>
      </c>
      <c r="C2273" t="s">
        <v>3</v>
      </c>
      <c r="D2273" t="s">
        <v>4</v>
      </c>
      <c r="E2273" t="s">
        <v>4</v>
      </c>
      <c r="F2273" t="s">
        <v>208</v>
      </c>
      <c r="G2273" t="s">
        <v>209</v>
      </c>
      <c r="H2273" t="s">
        <v>5677</v>
      </c>
      <c r="I2273" s="2">
        <v>11000</v>
      </c>
      <c r="J2273" s="2">
        <v>0</v>
      </c>
      <c r="K2273" s="2">
        <v>0</v>
      </c>
      <c r="L2273" s="3">
        <v>45833</v>
      </c>
      <c r="M2273" s="3">
        <v>45833</v>
      </c>
      <c r="N2273" s="3"/>
      <c r="O2273" t="s">
        <v>4</v>
      </c>
      <c r="P2273" t="s">
        <v>20</v>
      </c>
      <c r="Q2273" s="4">
        <v>0.79675925925926006</v>
      </c>
      <c r="R2273" t="s">
        <v>208</v>
      </c>
      <c r="S2273" t="s">
        <v>4</v>
      </c>
      <c r="T2273" t="s">
        <v>2736</v>
      </c>
      <c r="U2273" t="s">
        <v>10</v>
      </c>
      <c r="V2273" s="5">
        <v>0</v>
      </c>
      <c r="W2273" s="5">
        <v>0</v>
      </c>
      <c r="X2273" s="2">
        <v>0</v>
      </c>
      <c r="Y2273" t="s">
        <v>4</v>
      </c>
      <c r="Z2273" t="s">
        <v>4</v>
      </c>
      <c r="AA2273" t="s">
        <v>4</v>
      </c>
      <c r="AB2273" t="s">
        <v>4</v>
      </c>
    </row>
    <row r="2274" spans="1:28" hidden="1" x14ac:dyDescent="0.2">
      <c r="A2274" t="s">
        <v>320</v>
      </c>
      <c r="B2274" t="s">
        <v>2</v>
      </c>
      <c r="C2274" t="s">
        <v>3</v>
      </c>
      <c r="D2274" t="s">
        <v>4</v>
      </c>
      <c r="E2274" t="s">
        <v>4</v>
      </c>
      <c r="F2274" t="s">
        <v>208</v>
      </c>
      <c r="G2274" t="s">
        <v>209</v>
      </c>
      <c r="H2274" t="s">
        <v>5677</v>
      </c>
      <c r="I2274" s="2">
        <v>1000</v>
      </c>
      <c r="J2274" s="2">
        <v>0</v>
      </c>
      <c r="K2274" s="2">
        <v>0</v>
      </c>
      <c r="L2274" s="3">
        <v>45852</v>
      </c>
      <c r="M2274" s="3">
        <v>45859</v>
      </c>
      <c r="N2274" s="3">
        <v>45859</v>
      </c>
      <c r="O2274" t="s">
        <v>4</v>
      </c>
      <c r="P2274" t="s">
        <v>20</v>
      </c>
      <c r="Q2274" s="4">
        <v>0.79675925925926006</v>
      </c>
      <c r="R2274" t="s">
        <v>208</v>
      </c>
      <c r="S2274" t="s">
        <v>4</v>
      </c>
      <c r="T2274" t="s">
        <v>2669</v>
      </c>
      <c r="U2274" t="s">
        <v>10</v>
      </c>
      <c r="V2274" s="5">
        <v>0</v>
      </c>
      <c r="W2274" s="5">
        <v>0</v>
      </c>
      <c r="X2274" s="2">
        <v>0</v>
      </c>
      <c r="Y2274" t="s">
        <v>4</v>
      </c>
      <c r="Z2274" t="s">
        <v>4</v>
      </c>
      <c r="AA2274" t="s">
        <v>4</v>
      </c>
      <c r="AB2274" t="s">
        <v>4</v>
      </c>
    </row>
    <row r="2275" spans="1:28" hidden="1" x14ac:dyDescent="0.2">
      <c r="A2275" t="s">
        <v>2251</v>
      </c>
      <c r="B2275" t="s">
        <v>4</v>
      </c>
      <c r="C2275" t="s">
        <v>4</v>
      </c>
      <c r="D2275" t="s">
        <v>4</v>
      </c>
      <c r="E2275" t="s">
        <v>4</v>
      </c>
      <c r="F2275" t="s">
        <v>208</v>
      </c>
      <c r="G2275" t="s">
        <v>209</v>
      </c>
      <c r="H2275" t="s">
        <v>5678</v>
      </c>
      <c r="I2275" s="5">
        <v>0</v>
      </c>
      <c r="J2275" s="5">
        <v>0</v>
      </c>
      <c r="K2275" s="5">
        <v>0</v>
      </c>
      <c r="L2275" s="3"/>
      <c r="M2275" s="3"/>
      <c r="N2275" s="3"/>
      <c r="O2275" t="s">
        <v>4</v>
      </c>
      <c r="P2275" t="s">
        <v>20</v>
      </c>
      <c r="Q2275" s="4">
        <v>0.53716435185184996</v>
      </c>
      <c r="R2275" t="s">
        <v>4</v>
      </c>
      <c r="S2275" t="s">
        <v>4</v>
      </c>
      <c r="T2275" t="s">
        <v>2256</v>
      </c>
      <c r="U2275" t="s">
        <v>4</v>
      </c>
      <c r="V2275" s="5">
        <v>0</v>
      </c>
      <c r="W2275" s="5">
        <v>0</v>
      </c>
      <c r="X2275" s="2">
        <v>0</v>
      </c>
      <c r="Y2275" t="s">
        <v>4</v>
      </c>
      <c r="Z2275" t="s">
        <v>4</v>
      </c>
      <c r="AA2275" t="s">
        <v>4</v>
      </c>
      <c r="AB2275" t="s">
        <v>4</v>
      </c>
    </row>
    <row r="2276" spans="1:28" hidden="1" x14ac:dyDescent="0.2">
      <c r="A2276" t="s">
        <v>470</v>
      </c>
      <c r="B2276" t="s">
        <v>2</v>
      </c>
      <c r="C2276" t="s">
        <v>3</v>
      </c>
      <c r="D2276" t="s">
        <v>4</v>
      </c>
      <c r="E2276" t="s">
        <v>4</v>
      </c>
      <c r="F2276" t="s">
        <v>208</v>
      </c>
      <c r="G2276" t="s">
        <v>209</v>
      </c>
      <c r="H2276" t="s">
        <v>5679</v>
      </c>
      <c r="I2276" s="2">
        <v>8691</v>
      </c>
      <c r="J2276" s="2">
        <v>0</v>
      </c>
      <c r="K2276" s="2">
        <v>0</v>
      </c>
      <c r="L2276" s="3">
        <v>45851</v>
      </c>
      <c r="M2276" s="3">
        <v>45859</v>
      </c>
      <c r="N2276" s="3">
        <v>45852</v>
      </c>
      <c r="O2276" t="s">
        <v>4</v>
      </c>
      <c r="P2276" t="s">
        <v>20</v>
      </c>
      <c r="Q2276" s="4">
        <v>0.63331018518519</v>
      </c>
      <c r="R2276" t="s">
        <v>208</v>
      </c>
      <c r="S2276" t="s">
        <v>4</v>
      </c>
      <c r="T2276" t="s">
        <v>2747</v>
      </c>
      <c r="U2276" t="s">
        <v>10</v>
      </c>
      <c r="V2276" s="5">
        <v>0</v>
      </c>
      <c r="W2276" s="5">
        <v>0</v>
      </c>
      <c r="X2276" s="2">
        <v>0</v>
      </c>
      <c r="Y2276" t="s">
        <v>4</v>
      </c>
      <c r="Z2276" t="s">
        <v>4</v>
      </c>
      <c r="AA2276" t="s">
        <v>4</v>
      </c>
      <c r="AB2276" t="s">
        <v>4</v>
      </c>
    </row>
    <row r="2277" spans="1:28" hidden="1" x14ac:dyDescent="0.2">
      <c r="A2277" t="s">
        <v>463</v>
      </c>
      <c r="B2277" t="s">
        <v>2</v>
      </c>
      <c r="C2277" t="s">
        <v>3</v>
      </c>
      <c r="D2277" t="s">
        <v>4</v>
      </c>
      <c r="E2277" t="s">
        <v>4</v>
      </c>
      <c r="F2277" t="s">
        <v>208</v>
      </c>
      <c r="G2277" t="s">
        <v>209</v>
      </c>
      <c r="H2277" t="s">
        <v>5680</v>
      </c>
      <c r="I2277" s="2">
        <v>3800</v>
      </c>
      <c r="J2277" s="2">
        <v>0</v>
      </c>
      <c r="K2277" s="2">
        <v>0</v>
      </c>
      <c r="L2277" s="3">
        <v>45849</v>
      </c>
      <c r="M2277" s="3">
        <v>45859</v>
      </c>
      <c r="N2277" s="3">
        <v>45849</v>
      </c>
      <c r="O2277" t="s">
        <v>4</v>
      </c>
      <c r="P2277" t="s">
        <v>20</v>
      </c>
      <c r="Q2277" s="4">
        <v>0.63225694444444003</v>
      </c>
      <c r="R2277" t="s">
        <v>208</v>
      </c>
      <c r="S2277" t="s">
        <v>4</v>
      </c>
      <c r="T2277" t="s">
        <v>2321</v>
      </c>
      <c r="U2277" t="s">
        <v>10</v>
      </c>
      <c r="V2277" s="5">
        <v>0</v>
      </c>
      <c r="W2277" s="5">
        <v>0</v>
      </c>
      <c r="X2277" s="2">
        <v>0</v>
      </c>
      <c r="Y2277" t="s">
        <v>4</v>
      </c>
      <c r="Z2277" t="s">
        <v>4</v>
      </c>
      <c r="AA2277" t="s">
        <v>4</v>
      </c>
      <c r="AB2277" t="s">
        <v>4</v>
      </c>
    </row>
    <row r="2278" spans="1:28" hidden="1" x14ac:dyDescent="0.2">
      <c r="A2278" t="s">
        <v>789</v>
      </c>
      <c r="B2278" t="s">
        <v>2</v>
      </c>
      <c r="C2278" t="s">
        <v>3</v>
      </c>
      <c r="D2278" t="s">
        <v>4</v>
      </c>
      <c r="E2278" t="s">
        <v>4</v>
      </c>
      <c r="F2278" t="s">
        <v>208</v>
      </c>
      <c r="G2278" t="s">
        <v>209</v>
      </c>
      <c r="H2278" t="s">
        <v>5681</v>
      </c>
      <c r="I2278" s="2">
        <v>294</v>
      </c>
      <c r="J2278" s="2">
        <v>0</v>
      </c>
      <c r="K2278" s="2">
        <v>0</v>
      </c>
      <c r="L2278" s="3">
        <v>44924</v>
      </c>
      <c r="M2278" s="3">
        <v>45608</v>
      </c>
      <c r="N2278" s="3">
        <v>45608</v>
      </c>
      <c r="O2278" t="s">
        <v>4</v>
      </c>
      <c r="P2278" t="s">
        <v>20</v>
      </c>
      <c r="Q2278" s="4">
        <v>0.55917824074073996</v>
      </c>
      <c r="R2278" t="s">
        <v>208</v>
      </c>
      <c r="S2278" t="s">
        <v>4</v>
      </c>
      <c r="T2278" t="s">
        <v>5611</v>
      </c>
      <c r="U2278" t="s">
        <v>10</v>
      </c>
      <c r="V2278" s="5">
        <v>0</v>
      </c>
      <c r="W2278" s="5">
        <v>0</v>
      </c>
      <c r="X2278" s="2">
        <v>0</v>
      </c>
      <c r="Y2278" t="s">
        <v>4</v>
      </c>
      <c r="Z2278" t="s">
        <v>4</v>
      </c>
      <c r="AA2278" t="s">
        <v>4</v>
      </c>
      <c r="AB2278" t="s">
        <v>4</v>
      </c>
    </row>
    <row r="2279" spans="1:28" hidden="1" x14ac:dyDescent="0.2">
      <c r="A2279" t="s">
        <v>2251</v>
      </c>
      <c r="B2279" t="s">
        <v>4</v>
      </c>
      <c r="C2279" t="s">
        <v>4</v>
      </c>
      <c r="D2279" t="s">
        <v>4</v>
      </c>
      <c r="E2279" t="s">
        <v>4</v>
      </c>
      <c r="F2279" t="s">
        <v>208</v>
      </c>
      <c r="G2279" t="s">
        <v>209</v>
      </c>
      <c r="H2279" t="s">
        <v>5682</v>
      </c>
      <c r="I2279" s="5">
        <v>0</v>
      </c>
      <c r="J2279" s="5">
        <v>0</v>
      </c>
      <c r="K2279" s="5">
        <v>0</v>
      </c>
      <c r="L2279" s="3"/>
      <c r="M2279" s="3"/>
      <c r="N2279" s="3"/>
      <c r="O2279" t="s">
        <v>4</v>
      </c>
      <c r="P2279" t="s">
        <v>20</v>
      </c>
      <c r="Q2279" s="4">
        <v>0.59605324074073995</v>
      </c>
      <c r="R2279" t="s">
        <v>4</v>
      </c>
      <c r="S2279" t="s">
        <v>4</v>
      </c>
      <c r="T2279" t="s">
        <v>2256</v>
      </c>
      <c r="U2279" t="s">
        <v>4</v>
      </c>
      <c r="V2279" s="5">
        <v>0</v>
      </c>
      <c r="W2279" s="5">
        <v>0</v>
      </c>
      <c r="X2279" s="2">
        <v>0</v>
      </c>
      <c r="Y2279" t="s">
        <v>4</v>
      </c>
      <c r="Z2279" t="s">
        <v>4</v>
      </c>
      <c r="AA2279" t="s">
        <v>4</v>
      </c>
      <c r="AB2279" t="s">
        <v>4</v>
      </c>
    </row>
    <row r="2280" spans="1:28" hidden="1" x14ac:dyDescent="0.2">
      <c r="A2280" t="s">
        <v>485</v>
      </c>
      <c r="B2280" t="s">
        <v>2</v>
      </c>
      <c r="C2280" t="s">
        <v>3</v>
      </c>
      <c r="D2280" t="s">
        <v>4</v>
      </c>
      <c r="E2280" t="s">
        <v>4</v>
      </c>
      <c r="F2280" t="s">
        <v>208</v>
      </c>
      <c r="G2280" t="s">
        <v>209</v>
      </c>
      <c r="H2280" t="s">
        <v>5683</v>
      </c>
      <c r="I2280" s="2">
        <v>1440</v>
      </c>
      <c r="J2280" s="2">
        <v>0</v>
      </c>
      <c r="K2280" s="2">
        <v>0</v>
      </c>
      <c r="L2280" s="3">
        <v>44924</v>
      </c>
      <c r="M2280" s="3">
        <v>45812</v>
      </c>
      <c r="N2280" s="3">
        <v>45693</v>
      </c>
      <c r="O2280" t="s">
        <v>4</v>
      </c>
      <c r="P2280" t="s">
        <v>20</v>
      </c>
      <c r="Q2280" s="4">
        <v>0.50319444444443995</v>
      </c>
      <c r="R2280" t="s">
        <v>208</v>
      </c>
      <c r="S2280" t="s">
        <v>4</v>
      </c>
      <c r="T2280" t="s">
        <v>5611</v>
      </c>
      <c r="U2280" t="s">
        <v>10</v>
      </c>
      <c r="V2280" s="5">
        <v>0</v>
      </c>
      <c r="W2280" s="5">
        <v>0</v>
      </c>
      <c r="X2280" s="2">
        <v>0</v>
      </c>
      <c r="Y2280" t="s">
        <v>4</v>
      </c>
      <c r="Z2280" t="s">
        <v>4</v>
      </c>
      <c r="AA2280" t="s">
        <v>4</v>
      </c>
      <c r="AB2280" t="s">
        <v>4</v>
      </c>
    </row>
    <row r="2281" spans="1:28" hidden="1" x14ac:dyDescent="0.2">
      <c r="A2281" t="s">
        <v>2095</v>
      </c>
      <c r="B2281" t="s">
        <v>2</v>
      </c>
      <c r="C2281" t="s">
        <v>3</v>
      </c>
      <c r="D2281" t="s">
        <v>4</v>
      </c>
      <c r="E2281" t="s">
        <v>4</v>
      </c>
      <c r="F2281" t="s">
        <v>208</v>
      </c>
      <c r="G2281" t="s">
        <v>209</v>
      </c>
      <c r="H2281" t="s">
        <v>5684</v>
      </c>
      <c r="I2281" s="2">
        <v>9600</v>
      </c>
      <c r="J2281" s="2">
        <v>0</v>
      </c>
      <c r="K2281" s="2">
        <v>0</v>
      </c>
      <c r="L2281" s="3">
        <v>45860</v>
      </c>
      <c r="M2281" s="3">
        <v>45860</v>
      </c>
      <c r="N2281" s="3">
        <v>45860</v>
      </c>
      <c r="O2281" t="s">
        <v>4</v>
      </c>
      <c r="P2281" t="s">
        <v>20</v>
      </c>
      <c r="Q2281" s="4">
        <v>0.47589120370370003</v>
      </c>
      <c r="R2281" t="s">
        <v>208</v>
      </c>
      <c r="S2281" t="s">
        <v>4</v>
      </c>
      <c r="T2281" t="s">
        <v>2256</v>
      </c>
      <c r="U2281" t="s">
        <v>10</v>
      </c>
      <c r="V2281" s="5">
        <v>0</v>
      </c>
      <c r="W2281" s="5">
        <v>0</v>
      </c>
      <c r="X2281" s="2">
        <v>0</v>
      </c>
      <c r="Y2281" t="s">
        <v>4</v>
      </c>
      <c r="Z2281" t="s">
        <v>4</v>
      </c>
      <c r="AA2281" t="s">
        <v>4</v>
      </c>
      <c r="AB2281" t="s">
        <v>4</v>
      </c>
    </row>
    <row r="2282" spans="1:28" hidden="1" x14ac:dyDescent="0.2">
      <c r="A2282" t="s">
        <v>1901</v>
      </c>
      <c r="B2282" t="s">
        <v>2</v>
      </c>
      <c r="C2282" t="s">
        <v>3</v>
      </c>
      <c r="D2282" t="s">
        <v>4</v>
      </c>
      <c r="E2282" t="s">
        <v>4</v>
      </c>
      <c r="F2282" t="s">
        <v>208</v>
      </c>
      <c r="G2282" t="s">
        <v>209</v>
      </c>
      <c r="H2282" t="s">
        <v>5685</v>
      </c>
      <c r="I2282" s="2">
        <v>7920</v>
      </c>
      <c r="J2282" s="2">
        <v>0</v>
      </c>
      <c r="K2282" s="2">
        <v>0</v>
      </c>
      <c r="L2282" s="3">
        <v>45857</v>
      </c>
      <c r="M2282" s="3">
        <v>45859</v>
      </c>
      <c r="N2282" s="3"/>
      <c r="O2282" t="s">
        <v>4</v>
      </c>
      <c r="P2282" t="s">
        <v>20</v>
      </c>
      <c r="Q2282" s="4">
        <v>0.96628472222221995</v>
      </c>
      <c r="R2282" t="s">
        <v>208</v>
      </c>
      <c r="S2282" t="s">
        <v>4</v>
      </c>
      <c r="T2282" t="s">
        <v>2262</v>
      </c>
      <c r="U2282" t="s">
        <v>10</v>
      </c>
      <c r="V2282" s="5">
        <v>0</v>
      </c>
      <c r="W2282" s="5">
        <v>0</v>
      </c>
      <c r="X2282" s="2">
        <v>0</v>
      </c>
      <c r="Y2282" t="s">
        <v>4</v>
      </c>
      <c r="Z2282" t="s">
        <v>4</v>
      </c>
      <c r="AA2282" t="s">
        <v>4</v>
      </c>
      <c r="AB2282" t="s">
        <v>4</v>
      </c>
    </row>
    <row r="2283" spans="1:28" hidden="1" x14ac:dyDescent="0.2">
      <c r="A2283" t="s">
        <v>1135</v>
      </c>
      <c r="B2283" t="s">
        <v>2</v>
      </c>
      <c r="C2283" t="s">
        <v>3</v>
      </c>
      <c r="D2283" t="s">
        <v>4</v>
      </c>
      <c r="E2283" t="s">
        <v>4</v>
      </c>
      <c r="F2283" t="s">
        <v>208</v>
      </c>
      <c r="G2283" t="s">
        <v>209</v>
      </c>
      <c r="H2283" t="s">
        <v>5686</v>
      </c>
      <c r="I2283" s="2">
        <v>480</v>
      </c>
      <c r="J2283" s="2">
        <v>0</v>
      </c>
      <c r="K2283" s="2">
        <v>0</v>
      </c>
      <c r="L2283" s="3">
        <v>45860</v>
      </c>
      <c r="M2283" s="3">
        <v>45860</v>
      </c>
      <c r="N2283" s="3"/>
      <c r="O2283" t="s">
        <v>4</v>
      </c>
      <c r="P2283" t="s">
        <v>20</v>
      </c>
      <c r="Q2283" s="4">
        <v>0.34392361111110997</v>
      </c>
      <c r="R2283" t="s">
        <v>208</v>
      </c>
      <c r="S2283" t="s">
        <v>4</v>
      </c>
      <c r="T2283" t="s">
        <v>2256</v>
      </c>
      <c r="U2283" t="s">
        <v>10</v>
      </c>
      <c r="V2283" s="5">
        <v>0</v>
      </c>
      <c r="W2283" s="5">
        <v>0</v>
      </c>
      <c r="X2283" s="2">
        <v>0</v>
      </c>
      <c r="Y2283" t="s">
        <v>4</v>
      </c>
      <c r="Z2283" t="s">
        <v>4</v>
      </c>
      <c r="AA2283" t="s">
        <v>4</v>
      </c>
      <c r="AB2283" t="s">
        <v>4</v>
      </c>
    </row>
    <row r="2284" spans="1:28" hidden="1" x14ac:dyDescent="0.2">
      <c r="A2284" t="s">
        <v>1139</v>
      </c>
      <c r="B2284" t="s">
        <v>2</v>
      </c>
      <c r="C2284" t="s">
        <v>3</v>
      </c>
      <c r="D2284" t="s">
        <v>4</v>
      </c>
      <c r="E2284" t="s">
        <v>4</v>
      </c>
      <c r="F2284" t="s">
        <v>208</v>
      </c>
      <c r="G2284" t="s">
        <v>209</v>
      </c>
      <c r="H2284" t="s">
        <v>5687</v>
      </c>
      <c r="I2284" s="2">
        <v>432</v>
      </c>
      <c r="J2284" s="2">
        <v>0</v>
      </c>
      <c r="K2284" s="2">
        <v>0</v>
      </c>
      <c r="L2284" s="3">
        <v>45859</v>
      </c>
      <c r="M2284" s="3">
        <v>45859</v>
      </c>
      <c r="N2284" s="3">
        <v>45859</v>
      </c>
      <c r="O2284" t="s">
        <v>4</v>
      </c>
      <c r="P2284" t="s">
        <v>20</v>
      </c>
      <c r="Q2284" s="4">
        <v>0.80850694444444005</v>
      </c>
      <c r="R2284" t="s">
        <v>208</v>
      </c>
      <c r="S2284" t="s">
        <v>4</v>
      </c>
      <c r="T2284" t="s">
        <v>2261</v>
      </c>
      <c r="U2284" t="s">
        <v>10</v>
      </c>
      <c r="V2284" s="5">
        <v>0</v>
      </c>
      <c r="W2284" s="5">
        <v>0</v>
      </c>
      <c r="X2284" s="2">
        <v>0</v>
      </c>
      <c r="Y2284" t="s">
        <v>4</v>
      </c>
      <c r="Z2284" t="s">
        <v>4</v>
      </c>
      <c r="AA2284" t="s">
        <v>4</v>
      </c>
      <c r="AB2284" t="s">
        <v>4</v>
      </c>
    </row>
    <row r="2285" spans="1:28" hidden="1" x14ac:dyDescent="0.2">
      <c r="A2285" t="s">
        <v>2251</v>
      </c>
      <c r="B2285" t="s">
        <v>4</v>
      </c>
      <c r="C2285" t="s">
        <v>4</v>
      </c>
      <c r="D2285" t="s">
        <v>4</v>
      </c>
      <c r="E2285" t="s">
        <v>4</v>
      </c>
      <c r="F2285" t="s">
        <v>208</v>
      </c>
      <c r="G2285" t="s">
        <v>209</v>
      </c>
      <c r="H2285" t="s">
        <v>5688</v>
      </c>
      <c r="I2285" s="5">
        <v>0</v>
      </c>
      <c r="J2285" s="5">
        <v>0</v>
      </c>
      <c r="K2285" s="5">
        <v>0</v>
      </c>
      <c r="L2285" s="3"/>
      <c r="M2285" s="3"/>
      <c r="N2285" s="3"/>
      <c r="O2285" t="s">
        <v>4</v>
      </c>
      <c r="P2285" t="s">
        <v>20</v>
      </c>
      <c r="Q2285" s="4">
        <v>0.65643518518518995</v>
      </c>
      <c r="R2285" t="s">
        <v>4</v>
      </c>
      <c r="S2285" t="s">
        <v>4</v>
      </c>
      <c r="T2285" t="s">
        <v>2256</v>
      </c>
      <c r="U2285" t="s">
        <v>4</v>
      </c>
      <c r="V2285" s="5">
        <v>0</v>
      </c>
      <c r="W2285" s="5">
        <v>0</v>
      </c>
      <c r="X2285" s="2">
        <v>0</v>
      </c>
      <c r="Y2285" t="s">
        <v>4</v>
      </c>
      <c r="Z2285" t="s">
        <v>4</v>
      </c>
      <c r="AA2285" t="s">
        <v>4</v>
      </c>
      <c r="AB2285" t="s">
        <v>4</v>
      </c>
    </row>
    <row r="2286" spans="1:28" hidden="1" x14ac:dyDescent="0.2">
      <c r="A2286" t="s">
        <v>1022</v>
      </c>
      <c r="B2286" t="s">
        <v>2</v>
      </c>
      <c r="C2286" t="s">
        <v>3</v>
      </c>
      <c r="D2286" t="s">
        <v>4</v>
      </c>
      <c r="E2286" t="s">
        <v>4</v>
      </c>
      <c r="F2286" t="s">
        <v>208</v>
      </c>
      <c r="G2286" t="s">
        <v>209</v>
      </c>
      <c r="H2286" t="s">
        <v>5689</v>
      </c>
      <c r="I2286" s="2">
        <v>1050</v>
      </c>
      <c r="J2286" s="2">
        <v>0</v>
      </c>
      <c r="K2286" s="2">
        <v>0</v>
      </c>
      <c r="L2286" s="3">
        <v>45855</v>
      </c>
      <c r="M2286" s="3">
        <v>45855</v>
      </c>
      <c r="N2286" s="3"/>
      <c r="O2286" t="s">
        <v>4</v>
      </c>
      <c r="P2286" t="s">
        <v>20</v>
      </c>
      <c r="Q2286" s="4">
        <v>0.55645833333332995</v>
      </c>
      <c r="R2286" t="s">
        <v>208</v>
      </c>
      <c r="S2286" t="s">
        <v>4</v>
      </c>
      <c r="T2286" t="s">
        <v>2350</v>
      </c>
      <c r="U2286" t="s">
        <v>10</v>
      </c>
      <c r="V2286" s="5">
        <v>0</v>
      </c>
      <c r="W2286" s="5">
        <v>0</v>
      </c>
      <c r="X2286" s="2">
        <v>0</v>
      </c>
      <c r="Y2286" t="s">
        <v>4</v>
      </c>
      <c r="Z2286" t="s">
        <v>4</v>
      </c>
      <c r="AA2286" t="s">
        <v>4</v>
      </c>
      <c r="AB2286" t="s">
        <v>4</v>
      </c>
    </row>
    <row r="2287" spans="1:28" hidden="1" x14ac:dyDescent="0.2">
      <c r="A2287" t="s">
        <v>1987</v>
      </c>
      <c r="B2287" t="s">
        <v>2</v>
      </c>
      <c r="C2287" t="s">
        <v>3</v>
      </c>
      <c r="D2287" t="s">
        <v>4</v>
      </c>
      <c r="E2287" t="s">
        <v>4</v>
      </c>
      <c r="F2287" t="s">
        <v>208</v>
      </c>
      <c r="G2287" t="s">
        <v>209</v>
      </c>
      <c r="H2287" t="s">
        <v>5690</v>
      </c>
      <c r="I2287" s="2">
        <v>7800</v>
      </c>
      <c r="J2287" s="2">
        <v>0</v>
      </c>
      <c r="K2287" s="2">
        <v>0</v>
      </c>
      <c r="L2287" s="3">
        <v>45842</v>
      </c>
      <c r="M2287" s="3">
        <v>45857</v>
      </c>
      <c r="N2287" s="3"/>
      <c r="O2287" t="s">
        <v>4</v>
      </c>
      <c r="P2287" t="s">
        <v>20</v>
      </c>
      <c r="Q2287" s="4">
        <v>0.35035879629630001</v>
      </c>
      <c r="R2287" t="s">
        <v>208</v>
      </c>
      <c r="S2287" t="s">
        <v>4</v>
      </c>
      <c r="T2287" t="s">
        <v>2610</v>
      </c>
      <c r="U2287" t="s">
        <v>10</v>
      </c>
      <c r="V2287" s="5">
        <v>0</v>
      </c>
      <c r="W2287" s="5">
        <v>0</v>
      </c>
      <c r="X2287" s="2">
        <v>0</v>
      </c>
      <c r="Y2287" t="s">
        <v>4</v>
      </c>
      <c r="Z2287" t="s">
        <v>4</v>
      </c>
      <c r="AA2287" t="s">
        <v>4</v>
      </c>
      <c r="AB2287" t="s">
        <v>4</v>
      </c>
    </row>
    <row r="2288" spans="1:28" hidden="1" x14ac:dyDescent="0.2">
      <c r="A2288" t="s">
        <v>2251</v>
      </c>
      <c r="B2288" t="s">
        <v>4</v>
      </c>
      <c r="C2288" t="s">
        <v>4</v>
      </c>
      <c r="D2288" t="s">
        <v>4</v>
      </c>
      <c r="E2288" t="s">
        <v>4</v>
      </c>
      <c r="F2288" t="s">
        <v>208</v>
      </c>
      <c r="G2288" t="s">
        <v>209</v>
      </c>
      <c r="H2288" t="s">
        <v>5691</v>
      </c>
      <c r="I2288" s="5">
        <v>0</v>
      </c>
      <c r="J2288" s="5">
        <v>0</v>
      </c>
      <c r="K2288" s="5">
        <v>0</v>
      </c>
      <c r="L2288" s="3"/>
      <c r="M2288" s="3"/>
      <c r="N2288" s="3"/>
      <c r="O2288" t="s">
        <v>4</v>
      </c>
      <c r="P2288" t="s">
        <v>20</v>
      </c>
      <c r="Q2288" s="4">
        <v>0.35856481481481001</v>
      </c>
      <c r="R2288" t="s">
        <v>4</v>
      </c>
      <c r="S2288" t="s">
        <v>4</v>
      </c>
      <c r="T2288" t="s">
        <v>2256</v>
      </c>
      <c r="U2288" t="s">
        <v>4</v>
      </c>
      <c r="V2288" s="5">
        <v>0</v>
      </c>
      <c r="W2288" s="5">
        <v>0</v>
      </c>
      <c r="X2288" s="2">
        <v>0</v>
      </c>
      <c r="Y2288" t="s">
        <v>4</v>
      </c>
      <c r="Z2288" t="s">
        <v>4</v>
      </c>
      <c r="AA2288" t="s">
        <v>4</v>
      </c>
      <c r="AB2288" t="s">
        <v>4</v>
      </c>
    </row>
    <row r="2289" spans="1:28" hidden="1" x14ac:dyDescent="0.2">
      <c r="A2289" t="s">
        <v>662</v>
      </c>
      <c r="B2289" t="s">
        <v>2</v>
      </c>
      <c r="C2289" t="s">
        <v>3</v>
      </c>
      <c r="D2289" t="s">
        <v>4</v>
      </c>
      <c r="E2289" t="s">
        <v>4</v>
      </c>
      <c r="F2289" t="s">
        <v>208</v>
      </c>
      <c r="G2289" t="s">
        <v>209</v>
      </c>
      <c r="H2289" t="s">
        <v>5692</v>
      </c>
      <c r="I2289" s="2">
        <v>270</v>
      </c>
      <c r="J2289" s="2">
        <v>0</v>
      </c>
      <c r="K2289" s="2">
        <v>0</v>
      </c>
      <c r="L2289" s="3">
        <v>45860</v>
      </c>
      <c r="M2289" s="3">
        <v>45860</v>
      </c>
      <c r="N2289" s="3">
        <v>45860</v>
      </c>
      <c r="O2289" t="s">
        <v>4</v>
      </c>
      <c r="P2289" t="s">
        <v>20</v>
      </c>
      <c r="Q2289" s="4">
        <v>0.38887731481481003</v>
      </c>
      <c r="R2289" t="s">
        <v>208</v>
      </c>
      <c r="S2289" t="s">
        <v>4</v>
      </c>
      <c r="T2289" t="s">
        <v>2256</v>
      </c>
      <c r="U2289" t="s">
        <v>10</v>
      </c>
      <c r="V2289" s="5">
        <v>0</v>
      </c>
      <c r="W2289" s="5">
        <v>0</v>
      </c>
      <c r="X2289" s="2">
        <v>0</v>
      </c>
      <c r="Y2289" t="s">
        <v>4</v>
      </c>
      <c r="Z2289" t="s">
        <v>4</v>
      </c>
      <c r="AA2289" t="s">
        <v>4</v>
      </c>
      <c r="AB2289" t="s">
        <v>4</v>
      </c>
    </row>
    <row r="2290" spans="1:28" hidden="1" x14ac:dyDescent="0.2">
      <c r="A2290" t="s">
        <v>1815</v>
      </c>
      <c r="B2290" t="s">
        <v>2</v>
      </c>
      <c r="C2290" t="s">
        <v>3</v>
      </c>
      <c r="D2290" t="s">
        <v>4</v>
      </c>
      <c r="E2290" t="s">
        <v>4</v>
      </c>
      <c r="F2290" t="s">
        <v>208</v>
      </c>
      <c r="G2290" t="s">
        <v>209</v>
      </c>
      <c r="H2290" t="s">
        <v>5693</v>
      </c>
      <c r="I2290" s="2">
        <v>2052</v>
      </c>
      <c r="J2290" s="2">
        <v>0</v>
      </c>
      <c r="K2290" s="2">
        <v>0</v>
      </c>
      <c r="L2290" s="3">
        <v>45857</v>
      </c>
      <c r="M2290" s="3">
        <v>45859</v>
      </c>
      <c r="N2290" s="3">
        <v>45858</v>
      </c>
      <c r="O2290" t="s">
        <v>4</v>
      </c>
      <c r="P2290" t="s">
        <v>20</v>
      </c>
      <c r="Q2290" s="4">
        <v>0.92570601851851997</v>
      </c>
      <c r="R2290" t="s">
        <v>208</v>
      </c>
      <c r="S2290" t="s">
        <v>4</v>
      </c>
      <c r="T2290" t="s">
        <v>2262</v>
      </c>
      <c r="U2290" t="s">
        <v>10</v>
      </c>
      <c r="V2290" s="5">
        <v>0</v>
      </c>
      <c r="W2290" s="5">
        <v>0</v>
      </c>
      <c r="X2290" s="2">
        <v>0</v>
      </c>
      <c r="Y2290" t="s">
        <v>4</v>
      </c>
      <c r="Z2290" t="s">
        <v>4</v>
      </c>
      <c r="AA2290" t="s">
        <v>4</v>
      </c>
      <c r="AB2290" t="s">
        <v>4</v>
      </c>
    </row>
    <row r="2291" spans="1:28" hidden="1" x14ac:dyDescent="0.2">
      <c r="A2291" t="s">
        <v>1148</v>
      </c>
      <c r="B2291" t="s">
        <v>2</v>
      </c>
      <c r="C2291" t="s">
        <v>3</v>
      </c>
      <c r="D2291" t="s">
        <v>4</v>
      </c>
      <c r="E2291" t="s">
        <v>4</v>
      </c>
      <c r="F2291" t="s">
        <v>208</v>
      </c>
      <c r="G2291" t="s">
        <v>209</v>
      </c>
      <c r="H2291" t="s">
        <v>5694</v>
      </c>
      <c r="I2291" s="2">
        <v>25</v>
      </c>
      <c r="J2291" s="2">
        <v>0</v>
      </c>
      <c r="K2291" s="2">
        <v>0</v>
      </c>
      <c r="L2291" s="3">
        <v>45846</v>
      </c>
      <c r="M2291" s="3">
        <v>45855</v>
      </c>
      <c r="N2291" s="3">
        <v>45854</v>
      </c>
      <c r="O2291" t="s">
        <v>4</v>
      </c>
      <c r="P2291" t="s">
        <v>20</v>
      </c>
      <c r="Q2291" s="4">
        <v>0.93223379629629999</v>
      </c>
      <c r="R2291" t="s">
        <v>208</v>
      </c>
      <c r="S2291" t="s">
        <v>4</v>
      </c>
      <c r="T2291" t="s">
        <v>2318</v>
      </c>
      <c r="U2291" t="s">
        <v>10</v>
      </c>
      <c r="V2291" s="5">
        <v>0</v>
      </c>
      <c r="W2291" s="5">
        <v>0</v>
      </c>
      <c r="X2291" s="2">
        <v>0</v>
      </c>
      <c r="Y2291" t="s">
        <v>4</v>
      </c>
      <c r="Z2291" t="s">
        <v>4</v>
      </c>
      <c r="AA2291" t="s">
        <v>4</v>
      </c>
      <c r="AB2291" t="s">
        <v>4</v>
      </c>
    </row>
    <row r="2292" spans="1:28" hidden="1" x14ac:dyDescent="0.2">
      <c r="A2292" t="s">
        <v>1155</v>
      </c>
      <c r="B2292" t="s">
        <v>2</v>
      </c>
      <c r="C2292" t="s">
        <v>3</v>
      </c>
      <c r="D2292" t="s">
        <v>4</v>
      </c>
      <c r="E2292" t="s">
        <v>4</v>
      </c>
      <c r="F2292" t="s">
        <v>208</v>
      </c>
      <c r="G2292" t="s">
        <v>209</v>
      </c>
      <c r="H2292" t="s">
        <v>5695</v>
      </c>
      <c r="I2292" s="2">
        <v>900</v>
      </c>
      <c r="J2292" s="2">
        <v>0</v>
      </c>
      <c r="K2292" s="2">
        <v>0</v>
      </c>
      <c r="L2292" s="3">
        <v>45859</v>
      </c>
      <c r="M2292" s="3">
        <v>45859</v>
      </c>
      <c r="N2292" s="3"/>
      <c r="O2292" t="s">
        <v>4</v>
      </c>
      <c r="P2292" t="s">
        <v>20</v>
      </c>
      <c r="Q2292" s="4">
        <v>0.94811342592592995</v>
      </c>
      <c r="R2292" t="s">
        <v>208</v>
      </c>
      <c r="S2292" t="s">
        <v>4</v>
      </c>
      <c r="T2292" t="s">
        <v>2261</v>
      </c>
      <c r="U2292" t="s">
        <v>10</v>
      </c>
      <c r="V2292" s="5">
        <v>0</v>
      </c>
      <c r="W2292" s="5">
        <v>0</v>
      </c>
      <c r="X2292" s="2">
        <v>0</v>
      </c>
      <c r="Y2292" t="s">
        <v>4</v>
      </c>
      <c r="Z2292" t="s">
        <v>4</v>
      </c>
      <c r="AA2292" t="s">
        <v>4</v>
      </c>
      <c r="AB2292" t="s">
        <v>4</v>
      </c>
    </row>
    <row r="2293" spans="1:28" hidden="1" x14ac:dyDescent="0.2">
      <c r="A2293" t="s">
        <v>1152</v>
      </c>
      <c r="B2293" t="s">
        <v>2</v>
      </c>
      <c r="C2293" t="s">
        <v>3</v>
      </c>
      <c r="D2293" t="s">
        <v>4</v>
      </c>
      <c r="E2293" t="s">
        <v>4</v>
      </c>
      <c r="F2293" t="s">
        <v>208</v>
      </c>
      <c r="G2293" t="s">
        <v>209</v>
      </c>
      <c r="H2293" t="s">
        <v>5696</v>
      </c>
      <c r="I2293" s="2">
        <v>625</v>
      </c>
      <c r="J2293" s="2">
        <v>0</v>
      </c>
      <c r="K2293" s="2">
        <v>0</v>
      </c>
      <c r="L2293" s="3">
        <v>45857</v>
      </c>
      <c r="M2293" s="3">
        <v>45858</v>
      </c>
      <c r="N2293" s="3">
        <v>45858</v>
      </c>
      <c r="O2293" t="s">
        <v>4</v>
      </c>
      <c r="P2293" t="s">
        <v>20</v>
      </c>
      <c r="Q2293" s="4">
        <v>0.55798611111110996</v>
      </c>
      <c r="R2293" t="s">
        <v>208</v>
      </c>
      <c r="S2293" t="s">
        <v>4</v>
      </c>
      <c r="T2293" t="s">
        <v>2262</v>
      </c>
      <c r="U2293" t="s">
        <v>10</v>
      </c>
      <c r="V2293" s="5">
        <v>0</v>
      </c>
      <c r="W2293" s="5">
        <v>0</v>
      </c>
      <c r="X2293" s="2">
        <v>0</v>
      </c>
      <c r="Y2293" t="s">
        <v>4</v>
      </c>
      <c r="Z2293" t="s">
        <v>4</v>
      </c>
      <c r="AA2293" t="s">
        <v>4</v>
      </c>
      <c r="AB2293" t="s">
        <v>4</v>
      </c>
    </row>
    <row r="2294" spans="1:28" hidden="1" x14ac:dyDescent="0.2">
      <c r="A2294" t="s">
        <v>1158</v>
      </c>
      <c r="B2294" t="s">
        <v>2</v>
      </c>
      <c r="C2294" t="s">
        <v>3</v>
      </c>
      <c r="D2294" t="s">
        <v>4</v>
      </c>
      <c r="E2294" t="s">
        <v>4</v>
      </c>
      <c r="F2294" t="s">
        <v>208</v>
      </c>
      <c r="G2294" t="s">
        <v>209</v>
      </c>
      <c r="H2294" t="s">
        <v>5697</v>
      </c>
      <c r="I2294" s="2">
        <v>600</v>
      </c>
      <c r="J2294" s="2">
        <v>0</v>
      </c>
      <c r="K2294" s="2">
        <v>0</v>
      </c>
      <c r="L2294" s="3">
        <v>45854</v>
      </c>
      <c r="M2294" s="3">
        <v>45854</v>
      </c>
      <c r="N2294" s="3"/>
      <c r="O2294" t="s">
        <v>4</v>
      </c>
      <c r="P2294" t="s">
        <v>20</v>
      </c>
      <c r="Q2294" s="4">
        <v>0.67099537037037005</v>
      </c>
      <c r="R2294" t="s">
        <v>208</v>
      </c>
      <c r="S2294" t="s">
        <v>4</v>
      </c>
      <c r="T2294" t="s">
        <v>2299</v>
      </c>
      <c r="U2294" t="s">
        <v>10</v>
      </c>
      <c r="V2294" s="5">
        <v>0</v>
      </c>
      <c r="W2294" s="5">
        <v>0</v>
      </c>
      <c r="X2294" s="2">
        <v>0</v>
      </c>
      <c r="Y2294" t="s">
        <v>4</v>
      </c>
      <c r="Z2294" t="s">
        <v>4</v>
      </c>
      <c r="AA2294" t="s">
        <v>4</v>
      </c>
      <c r="AB2294" t="s">
        <v>4</v>
      </c>
    </row>
    <row r="2295" spans="1:28" hidden="1" x14ac:dyDescent="0.2">
      <c r="A2295" t="s">
        <v>2251</v>
      </c>
      <c r="B2295" t="s">
        <v>4</v>
      </c>
      <c r="C2295" t="s">
        <v>4</v>
      </c>
      <c r="D2295" t="s">
        <v>4</v>
      </c>
      <c r="E2295" t="s">
        <v>4</v>
      </c>
      <c r="F2295" t="s">
        <v>208</v>
      </c>
      <c r="G2295" t="s">
        <v>209</v>
      </c>
      <c r="H2295" t="s">
        <v>5698</v>
      </c>
      <c r="I2295" s="5">
        <v>0</v>
      </c>
      <c r="J2295" s="5">
        <v>0</v>
      </c>
      <c r="K2295" s="5">
        <v>0</v>
      </c>
      <c r="L2295" s="3"/>
      <c r="M2295" s="3"/>
      <c r="N2295" s="3"/>
      <c r="O2295" t="s">
        <v>4</v>
      </c>
      <c r="P2295" t="s">
        <v>20</v>
      </c>
      <c r="Q2295" s="4">
        <v>0.70282407407406999</v>
      </c>
      <c r="R2295" t="s">
        <v>4</v>
      </c>
      <c r="S2295" t="s">
        <v>4</v>
      </c>
      <c r="T2295" t="s">
        <v>2256</v>
      </c>
      <c r="U2295" t="s">
        <v>4</v>
      </c>
      <c r="V2295" s="5">
        <v>0</v>
      </c>
      <c r="W2295" s="5">
        <v>0</v>
      </c>
      <c r="X2295" s="2">
        <v>0</v>
      </c>
      <c r="Y2295" t="s">
        <v>4</v>
      </c>
      <c r="Z2295" t="s">
        <v>4</v>
      </c>
      <c r="AA2295" t="s">
        <v>4</v>
      </c>
      <c r="AB2295" t="s">
        <v>4</v>
      </c>
    </row>
    <row r="2296" spans="1:28" hidden="1" x14ac:dyDescent="0.2">
      <c r="A2296" t="s">
        <v>2251</v>
      </c>
      <c r="B2296" t="s">
        <v>4</v>
      </c>
      <c r="C2296" t="s">
        <v>4</v>
      </c>
      <c r="D2296" t="s">
        <v>4</v>
      </c>
      <c r="E2296" t="s">
        <v>4</v>
      </c>
      <c r="F2296" t="s">
        <v>208</v>
      </c>
      <c r="G2296" t="s">
        <v>209</v>
      </c>
      <c r="H2296" t="s">
        <v>5699</v>
      </c>
      <c r="I2296" s="5">
        <v>0</v>
      </c>
      <c r="J2296" s="5">
        <v>0</v>
      </c>
      <c r="K2296" s="5">
        <v>0</v>
      </c>
      <c r="L2296" s="3"/>
      <c r="M2296" s="3"/>
      <c r="N2296" s="3"/>
      <c r="O2296" t="s">
        <v>4</v>
      </c>
      <c r="P2296" t="s">
        <v>9</v>
      </c>
      <c r="Q2296" s="4">
        <v>0.58606481481480999</v>
      </c>
      <c r="R2296" t="s">
        <v>4</v>
      </c>
      <c r="S2296" t="s">
        <v>4</v>
      </c>
      <c r="T2296" t="s">
        <v>2256</v>
      </c>
      <c r="U2296" t="s">
        <v>4</v>
      </c>
      <c r="V2296" s="5">
        <v>0</v>
      </c>
      <c r="W2296" s="5">
        <v>0</v>
      </c>
      <c r="X2296" s="2">
        <v>0</v>
      </c>
      <c r="Y2296" t="s">
        <v>4</v>
      </c>
      <c r="Z2296" t="s">
        <v>4</v>
      </c>
      <c r="AA2296" t="s">
        <v>4</v>
      </c>
      <c r="AB2296" t="s">
        <v>4</v>
      </c>
    </row>
    <row r="2297" spans="1:28" hidden="1" x14ac:dyDescent="0.2">
      <c r="A2297" t="s">
        <v>2251</v>
      </c>
      <c r="B2297" t="s">
        <v>4</v>
      </c>
      <c r="C2297" t="s">
        <v>4</v>
      </c>
      <c r="D2297" t="s">
        <v>4</v>
      </c>
      <c r="E2297" t="s">
        <v>4</v>
      </c>
      <c r="F2297" t="s">
        <v>208</v>
      </c>
      <c r="G2297" t="s">
        <v>209</v>
      </c>
      <c r="H2297" t="s">
        <v>5700</v>
      </c>
      <c r="I2297" s="5">
        <v>0</v>
      </c>
      <c r="J2297" s="5">
        <v>0</v>
      </c>
      <c r="K2297" s="5">
        <v>0</v>
      </c>
      <c r="L2297" s="3"/>
      <c r="M2297" s="3"/>
      <c r="N2297" s="3"/>
      <c r="O2297" t="s">
        <v>4</v>
      </c>
      <c r="P2297" t="s">
        <v>9</v>
      </c>
      <c r="Q2297" s="4">
        <v>0.64405092592593005</v>
      </c>
      <c r="R2297" t="s">
        <v>4</v>
      </c>
      <c r="S2297" t="s">
        <v>4</v>
      </c>
      <c r="T2297" t="s">
        <v>2256</v>
      </c>
      <c r="U2297" t="s">
        <v>4</v>
      </c>
      <c r="V2297" s="5">
        <v>0</v>
      </c>
      <c r="W2297" s="5">
        <v>0</v>
      </c>
      <c r="X2297" s="2">
        <v>0</v>
      </c>
      <c r="Y2297" t="s">
        <v>4</v>
      </c>
      <c r="Z2297" t="s">
        <v>4</v>
      </c>
      <c r="AA2297" t="s">
        <v>4</v>
      </c>
      <c r="AB2297" t="s">
        <v>4</v>
      </c>
    </row>
    <row r="2298" spans="1:28" hidden="1" x14ac:dyDescent="0.2">
      <c r="A2298" t="s">
        <v>614</v>
      </c>
      <c r="B2298" t="s">
        <v>2</v>
      </c>
      <c r="C2298" t="s">
        <v>3</v>
      </c>
      <c r="D2298" t="s">
        <v>4</v>
      </c>
      <c r="E2298" t="s">
        <v>4</v>
      </c>
      <c r="F2298" t="s">
        <v>208</v>
      </c>
      <c r="G2298" t="s">
        <v>209</v>
      </c>
      <c r="H2298" t="s">
        <v>5701</v>
      </c>
      <c r="I2298" s="2">
        <v>1980</v>
      </c>
      <c r="J2298" s="2">
        <v>0</v>
      </c>
      <c r="K2298" s="2">
        <v>0</v>
      </c>
      <c r="L2298" s="3">
        <v>45659</v>
      </c>
      <c r="M2298" s="3">
        <v>45840</v>
      </c>
      <c r="N2298" s="3">
        <v>45801</v>
      </c>
      <c r="O2298" t="s">
        <v>4</v>
      </c>
      <c r="P2298" t="s">
        <v>9</v>
      </c>
      <c r="Q2298" s="4">
        <v>0.52443287037037001</v>
      </c>
      <c r="R2298" t="s">
        <v>208</v>
      </c>
      <c r="S2298" t="s">
        <v>4</v>
      </c>
      <c r="T2298" t="s">
        <v>5386</v>
      </c>
      <c r="U2298" t="s">
        <v>10</v>
      </c>
      <c r="V2298" s="5">
        <v>0</v>
      </c>
      <c r="W2298" s="5">
        <v>0</v>
      </c>
      <c r="X2298" s="2">
        <v>0</v>
      </c>
      <c r="Y2298" t="s">
        <v>4</v>
      </c>
      <c r="Z2298" t="s">
        <v>4</v>
      </c>
      <c r="AA2298" t="s">
        <v>4</v>
      </c>
      <c r="AB2298" t="s">
        <v>4</v>
      </c>
    </row>
    <row r="2299" spans="1:28" hidden="1" x14ac:dyDescent="0.2">
      <c r="A2299" t="s">
        <v>646</v>
      </c>
      <c r="B2299" t="s">
        <v>2</v>
      </c>
      <c r="C2299" t="s">
        <v>3</v>
      </c>
      <c r="D2299" t="s">
        <v>4</v>
      </c>
      <c r="E2299" t="s">
        <v>4</v>
      </c>
      <c r="F2299" t="s">
        <v>208</v>
      </c>
      <c r="G2299" t="s">
        <v>209</v>
      </c>
      <c r="H2299" t="s">
        <v>5702</v>
      </c>
      <c r="I2299" s="2">
        <v>2330</v>
      </c>
      <c r="J2299" s="2">
        <v>0</v>
      </c>
      <c r="K2299" s="2">
        <v>0</v>
      </c>
      <c r="L2299" s="3">
        <v>45842</v>
      </c>
      <c r="M2299" s="3">
        <v>45853</v>
      </c>
      <c r="N2299" s="3">
        <v>45853</v>
      </c>
      <c r="O2299" t="s">
        <v>4</v>
      </c>
      <c r="P2299" t="s">
        <v>9</v>
      </c>
      <c r="Q2299" s="4">
        <v>0.34269675925926002</v>
      </c>
      <c r="R2299" t="s">
        <v>208</v>
      </c>
      <c r="S2299" t="s">
        <v>4</v>
      </c>
      <c r="T2299" t="s">
        <v>2610</v>
      </c>
      <c r="U2299" t="s">
        <v>10</v>
      </c>
      <c r="V2299" s="5">
        <v>0</v>
      </c>
      <c r="W2299" s="5">
        <v>0</v>
      </c>
      <c r="X2299" s="2">
        <v>0</v>
      </c>
      <c r="Y2299" t="s">
        <v>4</v>
      </c>
      <c r="Z2299" t="s">
        <v>4</v>
      </c>
      <c r="AA2299" t="s">
        <v>4</v>
      </c>
      <c r="AB2299" t="s">
        <v>4</v>
      </c>
    </row>
    <row r="2300" spans="1:28" hidden="1" x14ac:dyDescent="0.2">
      <c r="A2300" t="s">
        <v>715</v>
      </c>
      <c r="B2300" t="s">
        <v>2</v>
      </c>
      <c r="C2300" t="s">
        <v>3</v>
      </c>
      <c r="D2300" t="s">
        <v>4</v>
      </c>
      <c r="E2300" t="s">
        <v>4</v>
      </c>
      <c r="F2300" t="s">
        <v>208</v>
      </c>
      <c r="G2300" t="s">
        <v>209</v>
      </c>
      <c r="H2300" t="s">
        <v>5703</v>
      </c>
      <c r="I2300" s="2">
        <v>88</v>
      </c>
      <c r="J2300" s="2">
        <v>0</v>
      </c>
      <c r="K2300" s="2">
        <v>0</v>
      </c>
      <c r="L2300" s="3">
        <v>45858</v>
      </c>
      <c r="M2300" s="3">
        <v>45858</v>
      </c>
      <c r="N2300" s="3"/>
      <c r="O2300" t="s">
        <v>4</v>
      </c>
      <c r="P2300" t="s">
        <v>9</v>
      </c>
      <c r="Q2300" s="4">
        <v>0.41273148148147998</v>
      </c>
      <c r="R2300" t="s">
        <v>208</v>
      </c>
      <c r="S2300" t="s">
        <v>4</v>
      </c>
      <c r="T2300" t="s">
        <v>2337</v>
      </c>
      <c r="U2300" t="s">
        <v>10</v>
      </c>
      <c r="V2300" s="5">
        <v>0</v>
      </c>
      <c r="W2300" s="5">
        <v>0</v>
      </c>
      <c r="X2300" s="2">
        <v>0</v>
      </c>
      <c r="Y2300" t="s">
        <v>4</v>
      </c>
      <c r="Z2300" t="s">
        <v>4</v>
      </c>
      <c r="AA2300" t="s">
        <v>4</v>
      </c>
      <c r="AB2300" t="s">
        <v>4</v>
      </c>
    </row>
    <row r="2301" spans="1:28" hidden="1" x14ac:dyDescent="0.2">
      <c r="A2301" t="s">
        <v>2251</v>
      </c>
      <c r="B2301" t="s">
        <v>4</v>
      </c>
      <c r="C2301" t="s">
        <v>4</v>
      </c>
      <c r="D2301" t="s">
        <v>4</v>
      </c>
      <c r="E2301" t="s">
        <v>4</v>
      </c>
      <c r="F2301" t="s">
        <v>208</v>
      </c>
      <c r="G2301" t="s">
        <v>209</v>
      </c>
      <c r="H2301" t="s">
        <v>5704</v>
      </c>
      <c r="I2301" s="5">
        <v>0</v>
      </c>
      <c r="J2301" s="5">
        <v>0</v>
      </c>
      <c r="K2301" s="5">
        <v>0</v>
      </c>
      <c r="L2301" s="3"/>
      <c r="M2301" s="3"/>
      <c r="N2301" s="3"/>
      <c r="O2301" t="s">
        <v>4</v>
      </c>
      <c r="P2301" t="s">
        <v>9</v>
      </c>
      <c r="Q2301" s="4">
        <v>0</v>
      </c>
      <c r="R2301" t="s">
        <v>4</v>
      </c>
      <c r="S2301" t="s">
        <v>4</v>
      </c>
      <c r="T2301" t="s">
        <v>2256</v>
      </c>
      <c r="U2301" t="s">
        <v>4</v>
      </c>
      <c r="V2301" s="5">
        <v>0</v>
      </c>
      <c r="W2301" s="5">
        <v>0</v>
      </c>
      <c r="X2301" s="2">
        <v>0</v>
      </c>
      <c r="Y2301" t="s">
        <v>4</v>
      </c>
      <c r="Z2301" t="s">
        <v>4</v>
      </c>
      <c r="AA2301" t="s">
        <v>4</v>
      </c>
      <c r="AB2301" t="s">
        <v>4</v>
      </c>
    </row>
    <row r="2302" spans="1:28" hidden="1" x14ac:dyDescent="0.2">
      <c r="A2302" t="s">
        <v>1346</v>
      </c>
      <c r="B2302" t="s">
        <v>2</v>
      </c>
      <c r="C2302" t="s">
        <v>3</v>
      </c>
      <c r="D2302" t="s">
        <v>4</v>
      </c>
      <c r="E2302" t="s">
        <v>4</v>
      </c>
      <c r="F2302" t="s">
        <v>208</v>
      </c>
      <c r="G2302" t="s">
        <v>209</v>
      </c>
      <c r="H2302" t="s">
        <v>5705</v>
      </c>
      <c r="I2302" s="2">
        <v>1000</v>
      </c>
      <c r="J2302" s="2">
        <v>0</v>
      </c>
      <c r="K2302" s="2">
        <v>0</v>
      </c>
      <c r="L2302" s="3">
        <v>45859</v>
      </c>
      <c r="M2302" s="3">
        <v>45859</v>
      </c>
      <c r="N2302" s="3">
        <v>45859</v>
      </c>
      <c r="O2302" t="s">
        <v>4</v>
      </c>
      <c r="P2302" t="s">
        <v>9</v>
      </c>
      <c r="Q2302" s="4">
        <v>0.92524305555555997</v>
      </c>
      <c r="R2302" t="s">
        <v>208</v>
      </c>
      <c r="S2302" t="s">
        <v>4</v>
      </c>
      <c r="T2302" t="s">
        <v>2261</v>
      </c>
      <c r="U2302" t="s">
        <v>10</v>
      </c>
      <c r="V2302" s="5">
        <v>0</v>
      </c>
      <c r="W2302" s="5">
        <v>0</v>
      </c>
      <c r="X2302" s="2">
        <v>0</v>
      </c>
      <c r="Y2302" t="s">
        <v>4</v>
      </c>
      <c r="Z2302" t="s">
        <v>4</v>
      </c>
      <c r="AA2302" t="s">
        <v>4</v>
      </c>
      <c r="AB2302" t="s">
        <v>4</v>
      </c>
    </row>
    <row r="2303" spans="1:28" hidden="1" x14ac:dyDescent="0.2">
      <c r="A2303" t="s">
        <v>1339</v>
      </c>
      <c r="B2303" t="s">
        <v>2</v>
      </c>
      <c r="C2303" t="s">
        <v>3</v>
      </c>
      <c r="D2303" t="s">
        <v>4</v>
      </c>
      <c r="E2303" t="s">
        <v>4</v>
      </c>
      <c r="F2303" t="s">
        <v>208</v>
      </c>
      <c r="G2303" t="s">
        <v>209</v>
      </c>
      <c r="H2303" t="s">
        <v>5706</v>
      </c>
      <c r="I2303" s="2">
        <v>1000</v>
      </c>
      <c r="J2303" s="2">
        <v>0</v>
      </c>
      <c r="K2303" s="2">
        <v>0</v>
      </c>
      <c r="L2303" s="3">
        <v>45859</v>
      </c>
      <c r="M2303" s="3">
        <v>45859</v>
      </c>
      <c r="N2303" s="3">
        <v>45859</v>
      </c>
      <c r="O2303" t="s">
        <v>4</v>
      </c>
      <c r="P2303" t="s">
        <v>9</v>
      </c>
      <c r="Q2303" s="4">
        <v>0.41476851851851998</v>
      </c>
      <c r="R2303" t="s">
        <v>208</v>
      </c>
      <c r="S2303" t="s">
        <v>4</v>
      </c>
      <c r="T2303" t="s">
        <v>2261</v>
      </c>
      <c r="U2303" t="s">
        <v>10</v>
      </c>
      <c r="V2303" s="5">
        <v>0</v>
      </c>
      <c r="W2303" s="5">
        <v>0</v>
      </c>
      <c r="X2303" s="2">
        <v>0</v>
      </c>
      <c r="Y2303" t="s">
        <v>4</v>
      </c>
      <c r="Z2303" t="s">
        <v>4</v>
      </c>
      <c r="AA2303" t="s">
        <v>4</v>
      </c>
      <c r="AB2303" t="s">
        <v>4</v>
      </c>
    </row>
    <row r="2304" spans="1:28" hidden="1" x14ac:dyDescent="0.2">
      <c r="A2304" t="s">
        <v>678</v>
      </c>
      <c r="B2304" t="s">
        <v>2</v>
      </c>
      <c r="C2304" t="s">
        <v>3</v>
      </c>
      <c r="D2304" t="s">
        <v>4</v>
      </c>
      <c r="E2304" t="s">
        <v>4</v>
      </c>
      <c r="F2304" t="s">
        <v>208</v>
      </c>
      <c r="G2304" t="s">
        <v>209</v>
      </c>
      <c r="H2304" t="s">
        <v>5707</v>
      </c>
      <c r="I2304" s="2">
        <v>1250</v>
      </c>
      <c r="J2304" s="2">
        <v>0</v>
      </c>
      <c r="K2304" s="2">
        <v>0</v>
      </c>
      <c r="L2304" s="3">
        <v>45843</v>
      </c>
      <c r="M2304" s="3">
        <v>45856</v>
      </c>
      <c r="N2304" s="3">
        <v>45856</v>
      </c>
      <c r="O2304" t="s">
        <v>4</v>
      </c>
      <c r="P2304" t="s">
        <v>9</v>
      </c>
      <c r="Q2304" s="4">
        <v>0.74541666666666995</v>
      </c>
      <c r="R2304" t="s">
        <v>208</v>
      </c>
      <c r="S2304" t="s">
        <v>4</v>
      </c>
      <c r="T2304" t="s">
        <v>2783</v>
      </c>
      <c r="U2304" t="s">
        <v>10</v>
      </c>
      <c r="V2304" s="5">
        <v>0</v>
      </c>
      <c r="W2304" s="5">
        <v>0</v>
      </c>
      <c r="X2304" s="2">
        <v>0</v>
      </c>
      <c r="Y2304" t="s">
        <v>4</v>
      </c>
      <c r="Z2304" t="s">
        <v>4</v>
      </c>
      <c r="AA2304" t="s">
        <v>4</v>
      </c>
      <c r="AB2304" t="s">
        <v>4</v>
      </c>
    </row>
    <row r="2305" spans="1:28" hidden="1" x14ac:dyDescent="0.2">
      <c r="A2305" t="s">
        <v>2251</v>
      </c>
      <c r="B2305" t="s">
        <v>4</v>
      </c>
      <c r="C2305" t="s">
        <v>4</v>
      </c>
      <c r="D2305" t="s">
        <v>4</v>
      </c>
      <c r="E2305" t="s">
        <v>4</v>
      </c>
      <c r="F2305" t="s">
        <v>208</v>
      </c>
      <c r="G2305" t="s">
        <v>209</v>
      </c>
      <c r="H2305" t="s">
        <v>5708</v>
      </c>
      <c r="I2305" s="5">
        <v>0</v>
      </c>
      <c r="J2305" s="5">
        <v>0</v>
      </c>
      <c r="K2305" s="5">
        <v>0</v>
      </c>
      <c r="L2305" s="3"/>
      <c r="M2305" s="3"/>
      <c r="N2305" s="3"/>
      <c r="O2305" t="s">
        <v>4</v>
      </c>
      <c r="P2305" t="s">
        <v>9</v>
      </c>
      <c r="Q2305" s="4">
        <v>0.55990740740740996</v>
      </c>
      <c r="R2305" t="s">
        <v>4</v>
      </c>
      <c r="S2305" t="s">
        <v>4</v>
      </c>
      <c r="T2305" t="s">
        <v>2256</v>
      </c>
      <c r="U2305" t="s">
        <v>4</v>
      </c>
      <c r="V2305" s="5">
        <v>0</v>
      </c>
      <c r="W2305" s="5">
        <v>0</v>
      </c>
      <c r="X2305" s="2">
        <v>0</v>
      </c>
      <c r="Y2305" t="s">
        <v>4</v>
      </c>
      <c r="Z2305" t="s">
        <v>4</v>
      </c>
      <c r="AA2305" t="s">
        <v>4</v>
      </c>
      <c r="AB2305" t="s">
        <v>4</v>
      </c>
    </row>
    <row r="2306" spans="1:28" hidden="1" x14ac:dyDescent="0.2">
      <c r="A2306" t="s">
        <v>472</v>
      </c>
      <c r="B2306" t="s">
        <v>2</v>
      </c>
      <c r="C2306" t="s">
        <v>3</v>
      </c>
      <c r="D2306" t="s">
        <v>4</v>
      </c>
      <c r="E2306" t="s">
        <v>4</v>
      </c>
      <c r="F2306" t="s">
        <v>208</v>
      </c>
      <c r="G2306" t="s">
        <v>209</v>
      </c>
      <c r="H2306" t="s">
        <v>5709</v>
      </c>
      <c r="I2306" s="2">
        <v>1300</v>
      </c>
      <c r="J2306" s="2">
        <v>0</v>
      </c>
      <c r="K2306" s="2">
        <v>0</v>
      </c>
      <c r="L2306" s="3">
        <v>45853</v>
      </c>
      <c r="M2306" s="3">
        <v>45855</v>
      </c>
      <c r="N2306" s="3">
        <v>45855</v>
      </c>
      <c r="O2306" t="s">
        <v>4</v>
      </c>
      <c r="P2306" t="s">
        <v>9</v>
      </c>
      <c r="Q2306" s="4">
        <v>0.52597222222221995</v>
      </c>
      <c r="R2306" t="s">
        <v>208</v>
      </c>
      <c r="S2306" t="s">
        <v>4</v>
      </c>
      <c r="T2306" t="s">
        <v>2272</v>
      </c>
      <c r="U2306" t="s">
        <v>10</v>
      </c>
      <c r="V2306" s="5">
        <v>0</v>
      </c>
      <c r="W2306" s="5">
        <v>0</v>
      </c>
      <c r="X2306" s="2">
        <v>0</v>
      </c>
      <c r="Y2306" t="s">
        <v>4</v>
      </c>
      <c r="Z2306" t="s">
        <v>4</v>
      </c>
      <c r="AA2306" t="s">
        <v>4</v>
      </c>
      <c r="AB2306" t="s">
        <v>4</v>
      </c>
    </row>
    <row r="2307" spans="1:28" hidden="1" x14ac:dyDescent="0.2">
      <c r="A2307" t="s">
        <v>1984</v>
      </c>
      <c r="B2307" t="s">
        <v>2</v>
      </c>
      <c r="C2307" t="s">
        <v>3</v>
      </c>
      <c r="D2307" t="s">
        <v>4</v>
      </c>
      <c r="E2307" t="s">
        <v>4</v>
      </c>
      <c r="F2307" t="s">
        <v>208</v>
      </c>
      <c r="G2307" t="s">
        <v>209</v>
      </c>
      <c r="H2307" t="s">
        <v>5710</v>
      </c>
      <c r="I2307" s="2">
        <v>1350</v>
      </c>
      <c r="J2307" s="2">
        <v>0</v>
      </c>
      <c r="K2307" s="2">
        <v>0</v>
      </c>
      <c r="L2307" s="3">
        <v>45850</v>
      </c>
      <c r="M2307" s="3">
        <v>45854</v>
      </c>
      <c r="N2307" s="3">
        <v>45850</v>
      </c>
      <c r="O2307" t="s">
        <v>4</v>
      </c>
      <c r="P2307" t="s">
        <v>9</v>
      </c>
      <c r="Q2307" s="4">
        <v>0.39156249999999998</v>
      </c>
      <c r="R2307" t="s">
        <v>208</v>
      </c>
      <c r="S2307" t="s">
        <v>4</v>
      </c>
      <c r="T2307" t="s">
        <v>2680</v>
      </c>
      <c r="U2307" t="s">
        <v>10</v>
      </c>
      <c r="V2307" s="5">
        <v>0</v>
      </c>
      <c r="W2307" s="5">
        <v>0</v>
      </c>
      <c r="X2307" s="2">
        <v>0</v>
      </c>
      <c r="Y2307" t="s">
        <v>4</v>
      </c>
      <c r="Z2307" t="s">
        <v>4</v>
      </c>
      <c r="AA2307" t="s">
        <v>4</v>
      </c>
      <c r="AB2307" t="s">
        <v>4</v>
      </c>
    </row>
    <row r="2308" spans="1:28" hidden="1" x14ac:dyDescent="0.2">
      <c r="A2308" t="s">
        <v>672</v>
      </c>
      <c r="B2308" t="s">
        <v>2</v>
      </c>
      <c r="C2308" t="s">
        <v>3</v>
      </c>
      <c r="D2308" t="s">
        <v>4</v>
      </c>
      <c r="E2308" t="s">
        <v>4</v>
      </c>
      <c r="F2308" t="s">
        <v>208</v>
      </c>
      <c r="G2308" t="s">
        <v>209</v>
      </c>
      <c r="H2308" t="s">
        <v>5711</v>
      </c>
      <c r="I2308" s="2">
        <v>2700</v>
      </c>
      <c r="J2308" s="2">
        <v>0</v>
      </c>
      <c r="K2308" s="2">
        <v>0</v>
      </c>
      <c r="L2308" s="3">
        <v>45860</v>
      </c>
      <c r="M2308" s="3">
        <v>45860</v>
      </c>
      <c r="N2308" s="3">
        <v>45860</v>
      </c>
      <c r="O2308" t="s">
        <v>4</v>
      </c>
      <c r="P2308" t="s">
        <v>9</v>
      </c>
      <c r="Q2308" s="4">
        <v>0.40848379629629999</v>
      </c>
      <c r="R2308" t="s">
        <v>208</v>
      </c>
      <c r="S2308" t="s">
        <v>4</v>
      </c>
      <c r="T2308" t="s">
        <v>2256</v>
      </c>
      <c r="U2308" t="s">
        <v>10</v>
      </c>
      <c r="V2308" s="5">
        <v>0</v>
      </c>
      <c r="W2308" s="5">
        <v>0</v>
      </c>
      <c r="X2308" s="2">
        <v>0</v>
      </c>
      <c r="Y2308" t="s">
        <v>4</v>
      </c>
      <c r="Z2308" t="s">
        <v>4</v>
      </c>
      <c r="AA2308" t="s">
        <v>4</v>
      </c>
      <c r="AB2308" t="s">
        <v>4</v>
      </c>
    </row>
    <row r="2309" spans="1:28" hidden="1" x14ac:dyDescent="0.2">
      <c r="A2309" t="s">
        <v>845</v>
      </c>
      <c r="B2309" t="s">
        <v>2</v>
      </c>
      <c r="C2309" t="s">
        <v>3</v>
      </c>
      <c r="D2309" t="s">
        <v>4</v>
      </c>
      <c r="E2309" t="s">
        <v>4</v>
      </c>
      <c r="F2309" t="s">
        <v>208</v>
      </c>
      <c r="G2309" t="s">
        <v>209</v>
      </c>
      <c r="H2309" t="s">
        <v>5712</v>
      </c>
      <c r="I2309" s="2">
        <v>6510</v>
      </c>
      <c r="J2309" s="2">
        <v>0</v>
      </c>
      <c r="K2309" s="2">
        <v>0</v>
      </c>
      <c r="L2309" s="3">
        <v>45859</v>
      </c>
      <c r="M2309" s="3">
        <v>45860</v>
      </c>
      <c r="N2309" s="3"/>
      <c r="O2309" t="s">
        <v>4</v>
      </c>
      <c r="P2309" t="s">
        <v>9</v>
      </c>
      <c r="Q2309" s="4">
        <v>0.39100694444444001</v>
      </c>
      <c r="R2309" t="s">
        <v>208</v>
      </c>
      <c r="S2309" t="s">
        <v>4</v>
      </c>
      <c r="T2309" t="s">
        <v>2261</v>
      </c>
      <c r="U2309" t="s">
        <v>10</v>
      </c>
      <c r="V2309" s="5">
        <v>0</v>
      </c>
      <c r="W2309" s="5">
        <v>0</v>
      </c>
      <c r="X2309" s="2">
        <v>0</v>
      </c>
      <c r="Y2309" t="s">
        <v>4</v>
      </c>
      <c r="Z2309" t="s">
        <v>4</v>
      </c>
      <c r="AA2309" t="s">
        <v>4</v>
      </c>
      <c r="AB2309" t="s">
        <v>4</v>
      </c>
    </row>
    <row r="2310" spans="1:28" hidden="1" x14ac:dyDescent="0.2">
      <c r="A2310" t="s">
        <v>617</v>
      </c>
      <c r="B2310" t="s">
        <v>2</v>
      </c>
      <c r="C2310" t="s">
        <v>3</v>
      </c>
      <c r="D2310" t="s">
        <v>4</v>
      </c>
      <c r="E2310" t="s">
        <v>4</v>
      </c>
      <c r="F2310" t="s">
        <v>208</v>
      </c>
      <c r="G2310" t="s">
        <v>209</v>
      </c>
      <c r="H2310" t="s">
        <v>5713</v>
      </c>
      <c r="I2310" s="2">
        <v>5633</v>
      </c>
      <c r="J2310" s="2">
        <v>0</v>
      </c>
      <c r="K2310" s="2">
        <v>0</v>
      </c>
      <c r="L2310" s="3">
        <v>45659</v>
      </c>
      <c r="M2310" s="3">
        <v>45783</v>
      </c>
      <c r="N2310" s="3">
        <v>45761</v>
      </c>
      <c r="O2310" t="s">
        <v>4</v>
      </c>
      <c r="P2310" t="s">
        <v>9</v>
      </c>
      <c r="Q2310" s="4">
        <v>0.96361111111110997</v>
      </c>
      <c r="R2310" t="s">
        <v>208</v>
      </c>
      <c r="S2310" t="s">
        <v>4</v>
      </c>
      <c r="T2310" t="s">
        <v>5386</v>
      </c>
      <c r="U2310" t="s">
        <v>10</v>
      </c>
      <c r="V2310" s="5">
        <v>0</v>
      </c>
      <c r="W2310" s="5">
        <v>0</v>
      </c>
      <c r="X2310" s="2">
        <v>0</v>
      </c>
      <c r="Y2310" t="s">
        <v>4</v>
      </c>
      <c r="Z2310" t="s">
        <v>4</v>
      </c>
      <c r="AA2310" t="s">
        <v>4</v>
      </c>
      <c r="AB2310" t="s">
        <v>4</v>
      </c>
    </row>
    <row r="2311" spans="1:28" hidden="1" x14ac:dyDescent="0.2">
      <c r="A2311" t="s">
        <v>1582</v>
      </c>
      <c r="B2311" t="s">
        <v>2</v>
      </c>
      <c r="C2311" t="s">
        <v>3</v>
      </c>
      <c r="D2311" t="s">
        <v>4</v>
      </c>
      <c r="E2311" t="s">
        <v>4</v>
      </c>
      <c r="F2311" t="s">
        <v>208</v>
      </c>
      <c r="G2311" t="s">
        <v>209</v>
      </c>
      <c r="H2311" t="s">
        <v>5714</v>
      </c>
      <c r="I2311" s="2">
        <v>930</v>
      </c>
      <c r="J2311" s="2">
        <v>0</v>
      </c>
      <c r="K2311" s="2">
        <v>0</v>
      </c>
      <c r="L2311" s="3">
        <v>45768</v>
      </c>
      <c r="M2311" s="3">
        <v>45852</v>
      </c>
      <c r="N2311" s="3">
        <v>45852</v>
      </c>
      <c r="O2311" t="s">
        <v>4</v>
      </c>
      <c r="P2311" t="s">
        <v>9</v>
      </c>
      <c r="Q2311" s="4">
        <v>0.89730324074073997</v>
      </c>
      <c r="R2311" t="s">
        <v>208</v>
      </c>
      <c r="S2311" t="s">
        <v>4</v>
      </c>
      <c r="T2311" t="s">
        <v>2777</v>
      </c>
      <c r="U2311" t="s">
        <v>10</v>
      </c>
      <c r="V2311" s="5">
        <v>0</v>
      </c>
      <c r="W2311" s="5">
        <v>0</v>
      </c>
      <c r="X2311" s="2">
        <v>0</v>
      </c>
      <c r="Y2311" t="s">
        <v>4</v>
      </c>
      <c r="Z2311" t="s">
        <v>4</v>
      </c>
      <c r="AA2311" t="s">
        <v>4</v>
      </c>
      <c r="AB2311" t="s">
        <v>4</v>
      </c>
    </row>
    <row r="2312" spans="1:28" hidden="1" x14ac:dyDescent="0.2">
      <c r="A2312" t="s">
        <v>1281</v>
      </c>
      <c r="B2312" t="s">
        <v>2</v>
      </c>
      <c r="C2312" t="s">
        <v>3</v>
      </c>
      <c r="D2312" t="s">
        <v>4</v>
      </c>
      <c r="E2312" t="s">
        <v>4</v>
      </c>
      <c r="F2312" t="s">
        <v>208</v>
      </c>
      <c r="G2312" t="s">
        <v>209</v>
      </c>
      <c r="H2312" t="s">
        <v>5715</v>
      </c>
      <c r="I2312" s="2">
        <v>7677</v>
      </c>
      <c r="J2312" s="2">
        <v>0</v>
      </c>
      <c r="K2312" s="2">
        <v>0</v>
      </c>
      <c r="L2312" s="3">
        <v>45851</v>
      </c>
      <c r="M2312" s="3">
        <v>45854</v>
      </c>
      <c r="N2312" s="3">
        <v>45854</v>
      </c>
      <c r="O2312" t="s">
        <v>4</v>
      </c>
      <c r="P2312" t="s">
        <v>9</v>
      </c>
      <c r="Q2312" s="4">
        <v>0.39899305555555997</v>
      </c>
      <c r="R2312" t="s">
        <v>208</v>
      </c>
      <c r="S2312" t="s">
        <v>4</v>
      </c>
      <c r="T2312" t="s">
        <v>2747</v>
      </c>
      <c r="U2312" t="s">
        <v>10</v>
      </c>
      <c r="V2312" s="5">
        <v>0</v>
      </c>
      <c r="W2312" s="5">
        <v>0</v>
      </c>
      <c r="X2312" s="2">
        <v>0</v>
      </c>
      <c r="Y2312" t="s">
        <v>4</v>
      </c>
      <c r="Z2312" t="s">
        <v>4</v>
      </c>
      <c r="AA2312" t="s">
        <v>4</v>
      </c>
      <c r="AB2312" t="s">
        <v>4</v>
      </c>
    </row>
    <row r="2313" spans="1:28" hidden="1" x14ac:dyDescent="0.2">
      <c r="A2313" t="s">
        <v>2251</v>
      </c>
      <c r="B2313" t="s">
        <v>4</v>
      </c>
      <c r="C2313" t="s">
        <v>4</v>
      </c>
      <c r="D2313" t="s">
        <v>4</v>
      </c>
      <c r="E2313" t="s">
        <v>4</v>
      </c>
      <c r="F2313" t="s">
        <v>208</v>
      </c>
      <c r="G2313" t="s">
        <v>209</v>
      </c>
      <c r="H2313" t="s">
        <v>5716</v>
      </c>
      <c r="I2313" s="5">
        <v>0</v>
      </c>
      <c r="J2313" s="5">
        <v>0</v>
      </c>
      <c r="K2313" s="5">
        <v>0</v>
      </c>
      <c r="L2313" s="3"/>
      <c r="M2313" s="3"/>
      <c r="N2313" s="3"/>
      <c r="O2313" t="s">
        <v>4</v>
      </c>
      <c r="P2313" t="s">
        <v>9</v>
      </c>
      <c r="Q2313" s="4">
        <v>0.46475694444443999</v>
      </c>
      <c r="R2313" t="s">
        <v>4</v>
      </c>
      <c r="S2313" t="s">
        <v>4</v>
      </c>
      <c r="T2313" t="s">
        <v>2256</v>
      </c>
      <c r="U2313" t="s">
        <v>4</v>
      </c>
      <c r="V2313" s="5">
        <v>0</v>
      </c>
      <c r="W2313" s="5">
        <v>0</v>
      </c>
      <c r="X2313" s="2">
        <v>0</v>
      </c>
      <c r="Y2313" t="s">
        <v>4</v>
      </c>
      <c r="Z2313" t="s">
        <v>4</v>
      </c>
      <c r="AA2313" t="s">
        <v>4</v>
      </c>
      <c r="AB2313" t="s">
        <v>4</v>
      </c>
    </row>
    <row r="2314" spans="1:28" hidden="1" x14ac:dyDescent="0.2">
      <c r="A2314" t="s">
        <v>1585</v>
      </c>
      <c r="B2314" t="s">
        <v>2</v>
      </c>
      <c r="C2314" t="s">
        <v>3</v>
      </c>
      <c r="D2314" t="s">
        <v>4</v>
      </c>
      <c r="E2314" t="s">
        <v>4</v>
      </c>
      <c r="F2314" t="s">
        <v>208</v>
      </c>
      <c r="G2314" t="s">
        <v>209</v>
      </c>
      <c r="H2314" t="s">
        <v>5717</v>
      </c>
      <c r="I2314" s="2">
        <v>1600</v>
      </c>
      <c r="J2314" s="2">
        <v>0</v>
      </c>
      <c r="K2314" s="2">
        <v>0</v>
      </c>
      <c r="L2314" s="3">
        <v>45850</v>
      </c>
      <c r="M2314" s="3">
        <v>45857</v>
      </c>
      <c r="N2314" s="3"/>
      <c r="O2314" t="s">
        <v>4</v>
      </c>
      <c r="P2314" t="s">
        <v>9</v>
      </c>
      <c r="Q2314" s="4">
        <v>0.61589120370369999</v>
      </c>
      <c r="R2314" t="s">
        <v>208</v>
      </c>
      <c r="S2314" t="s">
        <v>4</v>
      </c>
      <c r="T2314" t="s">
        <v>2680</v>
      </c>
      <c r="U2314" t="s">
        <v>10</v>
      </c>
      <c r="V2314" s="5">
        <v>0</v>
      </c>
      <c r="W2314" s="5">
        <v>0</v>
      </c>
      <c r="X2314" s="2">
        <v>0</v>
      </c>
      <c r="Y2314" t="s">
        <v>4</v>
      </c>
      <c r="Z2314" t="s">
        <v>4</v>
      </c>
      <c r="AA2314" t="s">
        <v>4</v>
      </c>
      <c r="AB2314" t="s">
        <v>4</v>
      </c>
    </row>
    <row r="2315" spans="1:28" hidden="1" x14ac:dyDescent="0.2">
      <c r="A2315" t="s">
        <v>681</v>
      </c>
      <c r="B2315" t="s">
        <v>2</v>
      </c>
      <c r="C2315" t="s">
        <v>3</v>
      </c>
      <c r="D2315" t="s">
        <v>4</v>
      </c>
      <c r="E2315" t="s">
        <v>4</v>
      </c>
      <c r="F2315" t="s">
        <v>208</v>
      </c>
      <c r="G2315" t="s">
        <v>209</v>
      </c>
      <c r="H2315" t="s">
        <v>5718</v>
      </c>
      <c r="I2315" s="2">
        <v>423</v>
      </c>
      <c r="J2315" s="2">
        <v>0</v>
      </c>
      <c r="K2315" s="2">
        <v>0</v>
      </c>
      <c r="L2315" s="3">
        <v>45850</v>
      </c>
      <c r="M2315" s="3">
        <v>45854</v>
      </c>
      <c r="N2315" s="3">
        <v>45854</v>
      </c>
      <c r="O2315" t="s">
        <v>4</v>
      </c>
      <c r="P2315" t="s">
        <v>9</v>
      </c>
      <c r="Q2315" s="4">
        <v>0.64380787037037002</v>
      </c>
      <c r="R2315" t="s">
        <v>208</v>
      </c>
      <c r="S2315" t="s">
        <v>4</v>
      </c>
      <c r="T2315" t="s">
        <v>2680</v>
      </c>
      <c r="U2315" t="s">
        <v>10</v>
      </c>
      <c r="V2315" s="5">
        <v>0</v>
      </c>
      <c r="W2315" s="5">
        <v>0</v>
      </c>
      <c r="X2315" s="2">
        <v>0</v>
      </c>
      <c r="Y2315" t="s">
        <v>4</v>
      </c>
      <c r="Z2315" t="s">
        <v>4</v>
      </c>
      <c r="AA2315" t="s">
        <v>4</v>
      </c>
      <c r="AB2315" t="s">
        <v>4</v>
      </c>
    </row>
    <row r="2316" spans="1:28" hidden="1" x14ac:dyDescent="0.2">
      <c r="A2316" t="s">
        <v>620</v>
      </c>
      <c r="B2316" t="s">
        <v>2</v>
      </c>
      <c r="C2316" t="s">
        <v>3</v>
      </c>
      <c r="D2316" t="s">
        <v>4</v>
      </c>
      <c r="E2316" t="s">
        <v>4</v>
      </c>
      <c r="F2316" t="s">
        <v>208</v>
      </c>
      <c r="G2316" t="s">
        <v>209</v>
      </c>
      <c r="H2316" t="s">
        <v>5719</v>
      </c>
      <c r="I2316" s="2">
        <v>1890</v>
      </c>
      <c r="J2316" s="2">
        <v>0</v>
      </c>
      <c r="K2316" s="2">
        <v>0</v>
      </c>
      <c r="L2316" s="3">
        <v>45854</v>
      </c>
      <c r="M2316" s="3">
        <v>45857</v>
      </c>
      <c r="N2316" s="3">
        <v>45857</v>
      </c>
      <c r="O2316" t="s">
        <v>4</v>
      </c>
      <c r="P2316" t="s">
        <v>9</v>
      </c>
      <c r="Q2316" s="4">
        <v>0.61590277777778002</v>
      </c>
      <c r="R2316" t="s">
        <v>208</v>
      </c>
      <c r="S2316" t="s">
        <v>4</v>
      </c>
      <c r="T2316" t="s">
        <v>2299</v>
      </c>
      <c r="U2316" t="s">
        <v>10</v>
      </c>
      <c r="V2316" s="5">
        <v>0</v>
      </c>
      <c r="W2316" s="5">
        <v>0</v>
      </c>
      <c r="X2316" s="2">
        <v>0</v>
      </c>
      <c r="Y2316" t="s">
        <v>4</v>
      </c>
      <c r="Z2316" t="s">
        <v>4</v>
      </c>
      <c r="AA2316" t="s">
        <v>4</v>
      </c>
      <c r="AB2316" t="s">
        <v>4</v>
      </c>
    </row>
    <row r="2317" spans="1:28" hidden="1" x14ac:dyDescent="0.2">
      <c r="A2317" t="s">
        <v>1275</v>
      </c>
      <c r="B2317" t="s">
        <v>2</v>
      </c>
      <c r="C2317" t="s">
        <v>3</v>
      </c>
      <c r="D2317" t="s">
        <v>4</v>
      </c>
      <c r="E2317" t="s">
        <v>4</v>
      </c>
      <c r="F2317" t="s">
        <v>208</v>
      </c>
      <c r="G2317" t="s">
        <v>209</v>
      </c>
      <c r="H2317" t="s">
        <v>5720</v>
      </c>
      <c r="I2317" s="2">
        <v>4500</v>
      </c>
      <c r="J2317" s="2">
        <v>0</v>
      </c>
      <c r="K2317" s="2">
        <v>0</v>
      </c>
      <c r="L2317" s="3">
        <v>45859</v>
      </c>
      <c r="M2317" s="3">
        <v>45860</v>
      </c>
      <c r="N2317" s="3"/>
      <c r="O2317" t="s">
        <v>4</v>
      </c>
      <c r="P2317" t="s">
        <v>9</v>
      </c>
      <c r="Q2317" s="4">
        <v>0.44734953703704</v>
      </c>
      <c r="R2317" t="s">
        <v>208</v>
      </c>
      <c r="S2317" t="s">
        <v>4</v>
      </c>
      <c r="T2317" t="s">
        <v>2261</v>
      </c>
      <c r="U2317" t="s">
        <v>10</v>
      </c>
      <c r="V2317" s="5">
        <v>0</v>
      </c>
      <c r="W2317" s="5">
        <v>0</v>
      </c>
      <c r="X2317" s="2">
        <v>0</v>
      </c>
      <c r="Y2317" t="s">
        <v>4</v>
      </c>
      <c r="Z2317" t="s">
        <v>4</v>
      </c>
      <c r="AA2317" t="s">
        <v>4</v>
      </c>
      <c r="AB2317" t="s">
        <v>4</v>
      </c>
    </row>
    <row r="2318" spans="1:28" hidden="1" x14ac:dyDescent="0.2">
      <c r="A2318" t="s">
        <v>1145</v>
      </c>
      <c r="B2318" t="s">
        <v>2</v>
      </c>
      <c r="C2318" t="s">
        <v>3</v>
      </c>
      <c r="D2318" t="s">
        <v>4</v>
      </c>
      <c r="E2318" t="s">
        <v>4</v>
      </c>
      <c r="F2318" t="s">
        <v>208</v>
      </c>
      <c r="G2318" t="s">
        <v>209</v>
      </c>
      <c r="H2318" t="s">
        <v>5721</v>
      </c>
      <c r="I2318" s="2">
        <v>840</v>
      </c>
      <c r="J2318" s="2">
        <v>0</v>
      </c>
      <c r="K2318" s="2">
        <v>0</v>
      </c>
      <c r="L2318" s="3">
        <v>45851</v>
      </c>
      <c r="M2318" s="3">
        <v>45851</v>
      </c>
      <c r="N2318" s="3">
        <v>45851</v>
      </c>
      <c r="O2318" t="s">
        <v>4</v>
      </c>
      <c r="P2318" t="s">
        <v>9</v>
      </c>
      <c r="Q2318" s="4">
        <v>0.54937499999999995</v>
      </c>
      <c r="R2318" t="s">
        <v>208</v>
      </c>
      <c r="S2318" t="s">
        <v>4</v>
      </c>
      <c r="T2318" t="s">
        <v>2747</v>
      </c>
      <c r="U2318" t="s">
        <v>10</v>
      </c>
      <c r="V2318" s="5">
        <v>0</v>
      </c>
      <c r="W2318" s="5">
        <v>0</v>
      </c>
      <c r="X2318" s="2">
        <v>0</v>
      </c>
      <c r="Y2318" t="s">
        <v>4</v>
      </c>
      <c r="Z2318" t="s">
        <v>4</v>
      </c>
      <c r="AA2318" t="s">
        <v>4</v>
      </c>
      <c r="AB2318" t="s">
        <v>4</v>
      </c>
    </row>
    <row r="2319" spans="1:28" hidden="1" x14ac:dyDescent="0.2">
      <c r="A2319" t="s">
        <v>2251</v>
      </c>
      <c r="B2319" t="s">
        <v>4</v>
      </c>
      <c r="C2319" t="s">
        <v>4</v>
      </c>
      <c r="D2319" t="s">
        <v>4</v>
      </c>
      <c r="E2319" t="s">
        <v>4</v>
      </c>
      <c r="F2319" t="s">
        <v>208</v>
      </c>
      <c r="G2319" t="s">
        <v>209</v>
      </c>
      <c r="H2319" t="s">
        <v>5722</v>
      </c>
      <c r="I2319" s="5">
        <v>0</v>
      </c>
      <c r="J2319" s="5">
        <v>0</v>
      </c>
      <c r="K2319" s="5">
        <v>0</v>
      </c>
      <c r="L2319" s="3"/>
      <c r="M2319" s="3"/>
      <c r="N2319" s="3"/>
      <c r="O2319" t="s">
        <v>4</v>
      </c>
      <c r="P2319" t="s">
        <v>9</v>
      </c>
      <c r="Q2319" s="4">
        <v>0</v>
      </c>
      <c r="R2319" t="s">
        <v>4</v>
      </c>
      <c r="S2319" t="s">
        <v>4</v>
      </c>
      <c r="T2319" t="s">
        <v>2256</v>
      </c>
      <c r="U2319" t="s">
        <v>4</v>
      </c>
      <c r="V2319" s="5">
        <v>0</v>
      </c>
      <c r="W2319" s="5">
        <v>0</v>
      </c>
      <c r="X2319" s="2">
        <v>0</v>
      </c>
      <c r="Y2319" t="s">
        <v>4</v>
      </c>
      <c r="Z2319" t="s">
        <v>4</v>
      </c>
      <c r="AA2319" t="s">
        <v>4</v>
      </c>
      <c r="AB2319" t="s">
        <v>4</v>
      </c>
    </row>
    <row r="2320" spans="1:28" hidden="1" x14ac:dyDescent="0.2">
      <c r="A2320" t="s">
        <v>802</v>
      </c>
      <c r="B2320" t="s">
        <v>2</v>
      </c>
      <c r="C2320" t="s">
        <v>3</v>
      </c>
      <c r="D2320" t="s">
        <v>4</v>
      </c>
      <c r="E2320" t="s">
        <v>4</v>
      </c>
      <c r="F2320" t="s">
        <v>208</v>
      </c>
      <c r="G2320" t="s">
        <v>209</v>
      </c>
      <c r="H2320" t="s">
        <v>5723</v>
      </c>
      <c r="I2320" s="2">
        <v>700</v>
      </c>
      <c r="J2320" s="2">
        <v>0</v>
      </c>
      <c r="K2320" s="2">
        <v>0</v>
      </c>
      <c r="L2320" s="3">
        <v>45860</v>
      </c>
      <c r="M2320" s="3">
        <v>45860</v>
      </c>
      <c r="N2320" s="3"/>
      <c r="O2320" t="s">
        <v>4</v>
      </c>
      <c r="P2320" t="s">
        <v>9</v>
      </c>
      <c r="Q2320" s="4">
        <v>0.44662037037037</v>
      </c>
      <c r="R2320" t="s">
        <v>208</v>
      </c>
      <c r="S2320" t="s">
        <v>4</v>
      </c>
      <c r="T2320" t="s">
        <v>2256</v>
      </c>
      <c r="U2320" t="s">
        <v>10</v>
      </c>
      <c r="V2320" s="5">
        <v>0</v>
      </c>
      <c r="W2320" s="5">
        <v>0</v>
      </c>
      <c r="X2320" s="2">
        <v>0</v>
      </c>
      <c r="Y2320" t="s">
        <v>4</v>
      </c>
      <c r="Z2320" t="s">
        <v>4</v>
      </c>
      <c r="AA2320" t="s">
        <v>4</v>
      </c>
      <c r="AB2320" t="s">
        <v>4</v>
      </c>
    </row>
    <row r="2321" spans="1:28" hidden="1" x14ac:dyDescent="0.2">
      <c r="A2321" t="s">
        <v>2251</v>
      </c>
      <c r="B2321" t="s">
        <v>4</v>
      </c>
      <c r="C2321" t="s">
        <v>4</v>
      </c>
      <c r="D2321" t="s">
        <v>4</v>
      </c>
      <c r="E2321" t="s">
        <v>4</v>
      </c>
      <c r="F2321" t="s">
        <v>208</v>
      </c>
      <c r="G2321" t="s">
        <v>209</v>
      </c>
      <c r="H2321" t="s">
        <v>5724</v>
      </c>
      <c r="I2321" s="5">
        <v>0</v>
      </c>
      <c r="J2321" s="5">
        <v>0</v>
      </c>
      <c r="K2321" s="5">
        <v>0</v>
      </c>
      <c r="L2321" s="3"/>
      <c r="M2321" s="3"/>
      <c r="N2321" s="3"/>
      <c r="O2321" t="s">
        <v>4</v>
      </c>
      <c r="P2321" t="s">
        <v>9</v>
      </c>
      <c r="Q2321" s="4">
        <v>0.62898148148148003</v>
      </c>
      <c r="R2321" t="s">
        <v>4</v>
      </c>
      <c r="S2321" t="s">
        <v>4</v>
      </c>
      <c r="T2321" t="s">
        <v>2256</v>
      </c>
      <c r="U2321" t="s">
        <v>4</v>
      </c>
      <c r="V2321" s="5">
        <v>0</v>
      </c>
      <c r="W2321" s="5">
        <v>0</v>
      </c>
      <c r="X2321" s="2">
        <v>0</v>
      </c>
      <c r="Y2321" t="s">
        <v>4</v>
      </c>
      <c r="Z2321" t="s">
        <v>4</v>
      </c>
      <c r="AA2321" t="s">
        <v>4</v>
      </c>
      <c r="AB2321" t="s">
        <v>4</v>
      </c>
    </row>
    <row r="2322" spans="1:28" hidden="1" x14ac:dyDescent="0.2">
      <c r="A2322" t="s">
        <v>2251</v>
      </c>
      <c r="B2322" t="s">
        <v>4</v>
      </c>
      <c r="C2322" t="s">
        <v>4</v>
      </c>
      <c r="D2322" t="s">
        <v>4</v>
      </c>
      <c r="E2322" t="s">
        <v>4</v>
      </c>
      <c r="F2322" t="s">
        <v>208</v>
      </c>
      <c r="G2322" t="s">
        <v>209</v>
      </c>
      <c r="H2322" t="s">
        <v>5725</v>
      </c>
      <c r="I2322" s="5">
        <v>0</v>
      </c>
      <c r="J2322" s="5">
        <v>0</v>
      </c>
      <c r="K2322" s="5">
        <v>0</v>
      </c>
      <c r="L2322" s="3"/>
      <c r="M2322" s="3"/>
      <c r="N2322" s="3"/>
      <c r="O2322" t="s">
        <v>4</v>
      </c>
      <c r="P2322" t="s">
        <v>9</v>
      </c>
      <c r="Q2322" s="4">
        <v>0</v>
      </c>
      <c r="R2322" t="s">
        <v>4</v>
      </c>
      <c r="S2322" t="s">
        <v>4</v>
      </c>
      <c r="T2322" t="s">
        <v>2256</v>
      </c>
      <c r="U2322" t="s">
        <v>4</v>
      </c>
      <c r="V2322" s="5">
        <v>0</v>
      </c>
      <c r="W2322" s="5">
        <v>0</v>
      </c>
      <c r="X2322" s="2">
        <v>0</v>
      </c>
      <c r="Y2322" t="s">
        <v>4</v>
      </c>
      <c r="Z2322" t="s">
        <v>4</v>
      </c>
      <c r="AA2322" t="s">
        <v>4</v>
      </c>
      <c r="AB2322" t="s">
        <v>4</v>
      </c>
    </row>
    <row r="2323" spans="1:28" hidden="1" x14ac:dyDescent="0.2">
      <c r="A2323" t="s">
        <v>805</v>
      </c>
      <c r="B2323" t="s">
        <v>2</v>
      </c>
      <c r="C2323" t="s">
        <v>3</v>
      </c>
      <c r="D2323" t="s">
        <v>4</v>
      </c>
      <c r="E2323" t="s">
        <v>4</v>
      </c>
      <c r="F2323" t="s">
        <v>208</v>
      </c>
      <c r="G2323" t="s">
        <v>209</v>
      </c>
      <c r="H2323" t="s">
        <v>5726</v>
      </c>
      <c r="I2323" s="2">
        <v>256</v>
      </c>
      <c r="J2323" s="2">
        <v>0</v>
      </c>
      <c r="K2323" s="2">
        <v>0</v>
      </c>
      <c r="L2323" s="3">
        <v>45818</v>
      </c>
      <c r="M2323" s="3">
        <v>45856</v>
      </c>
      <c r="N2323" s="3">
        <v>45856</v>
      </c>
      <c r="O2323" t="s">
        <v>4</v>
      </c>
      <c r="P2323" t="s">
        <v>9</v>
      </c>
      <c r="Q2323" s="4">
        <v>0.33728009259259001</v>
      </c>
      <c r="R2323" t="s">
        <v>208</v>
      </c>
      <c r="S2323" t="s">
        <v>4</v>
      </c>
      <c r="T2323" t="s">
        <v>2290</v>
      </c>
      <c r="U2323" t="s">
        <v>10</v>
      </c>
      <c r="V2323" s="5">
        <v>0</v>
      </c>
      <c r="W2323" s="5">
        <v>0</v>
      </c>
      <c r="X2323" s="2">
        <v>0</v>
      </c>
      <c r="Y2323" t="s">
        <v>4</v>
      </c>
      <c r="Z2323" t="s">
        <v>4</v>
      </c>
      <c r="AA2323" t="s">
        <v>4</v>
      </c>
      <c r="AB2323" t="s">
        <v>4</v>
      </c>
    </row>
    <row r="2324" spans="1:28" hidden="1" x14ac:dyDescent="0.2">
      <c r="A2324" t="s">
        <v>2251</v>
      </c>
      <c r="B2324" t="s">
        <v>4</v>
      </c>
      <c r="C2324" t="s">
        <v>4</v>
      </c>
      <c r="D2324" t="s">
        <v>4</v>
      </c>
      <c r="E2324" t="s">
        <v>4</v>
      </c>
      <c r="F2324" t="s">
        <v>208</v>
      </c>
      <c r="G2324" t="s">
        <v>209</v>
      </c>
      <c r="H2324" t="s">
        <v>5727</v>
      </c>
      <c r="I2324" s="5">
        <v>0</v>
      </c>
      <c r="J2324" s="5">
        <v>0</v>
      </c>
      <c r="K2324" s="5">
        <v>0</v>
      </c>
      <c r="L2324" s="3"/>
      <c r="M2324" s="3"/>
      <c r="N2324" s="3"/>
      <c r="O2324" t="s">
        <v>4</v>
      </c>
      <c r="P2324" t="s">
        <v>9</v>
      </c>
      <c r="Q2324" s="4">
        <v>0.63115740740741</v>
      </c>
      <c r="R2324" t="s">
        <v>4</v>
      </c>
      <c r="S2324" t="s">
        <v>4</v>
      </c>
      <c r="T2324" t="s">
        <v>2256</v>
      </c>
      <c r="U2324" t="s">
        <v>4</v>
      </c>
      <c r="V2324" s="5">
        <v>0</v>
      </c>
      <c r="W2324" s="5">
        <v>0</v>
      </c>
      <c r="X2324" s="2">
        <v>0</v>
      </c>
      <c r="Y2324" t="s">
        <v>4</v>
      </c>
      <c r="Z2324" t="s">
        <v>4</v>
      </c>
      <c r="AA2324" t="s">
        <v>4</v>
      </c>
      <c r="AB2324" t="s">
        <v>4</v>
      </c>
    </row>
    <row r="2325" spans="1:28" hidden="1" x14ac:dyDescent="0.2">
      <c r="A2325" t="s">
        <v>799</v>
      </c>
      <c r="B2325" t="s">
        <v>2</v>
      </c>
      <c r="C2325" t="s">
        <v>3</v>
      </c>
      <c r="D2325" t="s">
        <v>4</v>
      </c>
      <c r="E2325" t="s">
        <v>4</v>
      </c>
      <c r="F2325" t="s">
        <v>208</v>
      </c>
      <c r="G2325" t="s">
        <v>209</v>
      </c>
      <c r="H2325" t="s">
        <v>5728</v>
      </c>
      <c r="I2325" s="2">
        <v>274</v>
      </c>
      <c r="J2325" s="2">
        <v>0</v>
      </c>
      <c r="K2325" s="2">
        <v>0</v>
      </c>
      <c r="L2325" s="3">
        <v>45854</v>
      </c>
      <c r="M2325" s="3">
        <v>45855</v>
      </c>
      <c r="N2325" s="3">
        <v>45855</v>
      </c>
      <c r="O2325" t="s">
        <v>4</v>
      </c>
      <c r="P2325" t="s">
        <v>9</v>
      </c>
      <c r="Q2325" s="4">
        <v>0.96552083333333005</v>
      </c>
      <c r="R2325" t="s">
        <v>208</v>
      </c>
      <c r="S2325" t="s">
        <v>4</v>
      </c>
      <c r="T2325" t="s">
        <v>2299</v>
      </c>
      <c r="U2325" t="s">
        <v>10</v>
      </c>
      <c r="V2325" s="5">
        <v>0</v>
      </c>
      <c r="W2325" s="5">
        <v>0</v>
      </c>
      <c r="X2325" s="2">
        <v>0</v>
      </c>
      <c r="Y2325" t="s">
        <v>4</v>
      </c>
      <c r="Z2325" t="s">
        <v>4</v>
      </c>
      <c r="AA2325" t="s">
        <v>4</v>
      </c>
      <c r="AB2325" t="s">
        <v>4</v>
      </c>
    </row>
    <row r="2326" spans="1:28" hidden="1" x14ac:dyDescent="0.2">
      <c r="A2326" t="s">
        <v>1892</v>
      </c>
      <c r="B2326" t="s">
        <v>2</v>
      </c>
      <c r="C2326" t="s">
        <v>3</v>
      </c>
      <c r="D2326" t="s">
        <v>4</v>
      </c>
      <c r="E2326" t="s">
        <v>4</v>
      </c>
      <c r="F2326" t="s">
        <v>208</v>
      </c>
      <c r="G2326" t="s">
        <v>209</v>
      </c>
      <c r="H2326" t="s">
        <v>5729</v>
      </c>
      <c r="I2326" s="2">
        <v>502</v>
      </c>
      <c r="J2326" s="2">
        <v>0</v>
      </c>
      <c r="K2326" s="2">
        <v>0</v>
      </c>
      <c r="L2326" s="3">
        <v>45679</v>
      </c>
      <c r="M2326" s="3">
        <v>45833</v>
      </c>
      <c r="N2326" s="3">
        <v>45833</v>
      </c>
      <c r="O2326" t="s">
        <v>4</v>
      </c>
      <c r="P2326" t="s">
        <v>9</v>
      </c>
      <c r="Q2326" s="4">
        <v>0.69914351851851997</v>
      </c>
      <c r="R2326" t="s">
        <v>208</v>
      </c>
      <c r="S2326" t="s">
        <v>4</v>
      </c>
      <c r="T2326" t="s">
        <v>5730</v>
      </c>
      <c r="U2326" t="s">
        <v>10</v>
      </c>
      <c r="V2326" s="5">
        <v>0</v>
      </c>
      <c r="W2326" s="5">
        <v>0</v>
      </c>
      <c r="X2326" s="2">
        <v>0</v>
      </c>
      <c r="Y2326" t="s">
        <v>4</v>
      </c>
      <c r="Z2326" t="s">
        <v>4</v>
      </c>
      <c r="AA2326" t="s">
        <v>4</v>
      </c>
      <c r="AB2326" t="s">
        <v>4</v>
      </c>
    </row>
    <row r="2327" spans="1:28" hidden="1" x14ac:dyDescent="0.2">
      <c r="A2327" t="s">
        <v>1898</v>
      </c>
      <c r="B2327" t="s">
        <v>2</v>
      </c>
      <c r="C2327" t="s">
        <v>3</v>
      </c>
      <c r="D2327" t="s">
        <v>4</v>
      </c>
      <c r="E2327" t="s">
        <v>4</v>
      </c>
      <c r="F2327" t="s">
        <v>208</v>
      </c>
      <c r="G2327" t="s">
        <v>209</v>
      </c>
      <c r="H2327" t="s">
        <v>5731</v>
      </c>
      <c r="I2327" s="2">
        <v>410</v>
      </c>
      <c r="J2327" s="2">
        <v>0</v>
      </c>
      <c r="K2327" s="2">
        <v>0</v>
      </c>
      <c r="L2327" s="3">
        <v>45679</v>
      </c>
      <c r="M2327" s="3">
        <v>45833</v>
      </c>
      <c r="N2327" s="3">
        <v>45833</v>
      </c>
      <c r="O2327" t="s">
        <v>4</v>
      </c>
      <c r="P2327" t="s">
        <v>9</v>
      </c>
      <c r="Q2327" s="4">
        <v>0.69701388888889004</v>
      </c>
      <c r="R2327" t="s">
        <v>208</v>
      </c>
      <c r="S2327" t="s">
        <v>4</v>
      </c>
      <c r="T2327" t="s">
        <v>5730</v>
      </c>
      <c r="U2327" t="s">
        <v>10</v>
      </c>
      <c r="V2327" s="5">
        <v>0</v>
      </c>
      <c r="W2327" s="5">
        <v>0</v>
      </c>
      <c r="X2327" s="2">
        <v>0</v>
      </c>
      <c r="Y2327" t="s">
        <v>4</v>
      </c>
      <c r="Z2327" t="s">
        <v>4</v>
      </c>
      <c r="AA2327" t="s">
        <v>4</v>
      </c>
      <c r="AB2327" t="s">
        <v>4</v>
      </c>
    </row>
    <row r="2328" spans="1:28" hidden="1" x14ac:dyDescent="0.2">
      <c r="A2328" t="s">
        <v>1888</v>
      </c>
      <c r="B2328" t="s">
        <v>2</v>
      </c>
      <c r="C2328" t="s">
        <v>3</v>
      </c>
      <c r="D2328" t="s">
        <v>4</v>
      </c>
      <c r="E2328" t="s">
        <v>4</v>
      </c>
      <c r="F2328" t="s">
        <v>208</v>
      </c>
      <c r="G2328" t="s">
        <v>209</v>
      </c>
      <c r="H2328" t="s">
        <v>5732</v>
      </c>
      <c r="I2328" s="2">
        <v>600</v>
      </c>
      <c r="J2328" s="2">
        <v>0</v>
      </c>
      <c r="K2328" s="2">
        <v>0</v>
      </c>
      <c r="L2328" s="3">
        <v>45847</v>
      </c>
      <c r="M2328" s="3">
        <v>45860</v>
      </c>
      <c r="N2328" s="3">
        <v>45854</v>
      </c>
      <c r="O2328" t="s">
        <v>4</v>
      </c>
      <c r="P2328" t="s">
        <v>9</v>
      </c>
      <c r="Q2328" s="4">
        <v>0.52156250000000004</v>
      </c>
      <c r="R2328" t="s">
        <v>208</v>
      </c>
      <c r="S2328" t="s">
        <v>4</v>
      </c>
      <c r="T2328" t="s">
        <v>2341</v>
      </c>
      <c r="U2328" t="s">
        <v>10</v>
      </c>
      <c r="V2328" s="5">
        <v>0</v>
      </c>
      <c r="W2328" s="5">
        <v>0</v>
      </c>
      <c r="X2328" s="2">
        <v>0</v>
      </c>
      <c r="Y2328" t="s">
        <v>4</v>
      </c>
      <c r="Z2328" t="s">
        <v>4</v>
      </c>
      <c r="AA2328" t="s">
        <v>4</v>
      </c>
      <c r="AB2328" t="s">
        <v>4</v>
      </c>
    </row>
    <row r="2329" spans="1:28" hidden="1" x14ac:dyDescent="0.2">
      <c r="A2329" t="s">
        <v>1895</v>
      </c>
      <c r="B2329" t="s">
        <v>2</v>
      </c>
      <c r="C2329" t="s">
        <v>3</v>
      </c>
      <c r="D2329" t="s">
        <v>4</v>
      </c>
      <c r="E2329" t="s">
        <v>4</v>
      </c>
      <c r="F2329" t="s">
        <v>208</v>
      </c>
      <c r="G2329" t="s">
        <v>209</v>
      </c>
      <c r="H2329" t="s">
        <v>5733</v>
      </c>
      <c r="I2329" s="2">
        <v>1200</v>
      </c>
      <c r="J2329" s="2">
        <v>0</v>
      </c>
      <c r="K2329" s="2">
        <v>0</v>
      </c>
      <c r="L2329" s="3">
        <v>45859</v>
      </c>
      <c r="M2329" s="3">
        <v>45859</v>
      </c>
      <c r="N2329" s="3"/>
      <c r="O2329" t="s">
        <v>4</v>
      </c>
      <c r="P2329" t="s">
        <v>9</v>
      </c>
      <c r="Q2329" s="4">
        <v>0.92731481481481004</v>
      </c>
      <c r="R2329" t="s">
        <v>208</v>
      </c>
      <c r="S2329" t="s">
        <v>4</v>
      </c>
      <c r="T2329" t="s">
        <v>2261</v>
      </c>
      <c r="U2329" t="s">
        <v>10</v>
      </c>
      <c r="V2329" s="5">
        <v>0</v>
      </c>
      <c r="W2329" s="5">
        <v>0</v>
      </c>
      <c r="X2329" s="2">
        <v>0</v>
      </c>
      <c r="Y2329" t="s">
        <v>4</v>
      </c>
      <c r="Z2329" t="s">
        <v>4</v>
      </c>
      <c r="AA2329" t="s">
        <v>4</v>
      </c>
      <c r="AB2329" t="s">
        <v>4</v>
      </c>
    </row>
    <row r="2330" spans="1:28" hidden="1" x14ac:dyDescent="0.2">
      <c r="A2330" t="s">
        <v>1356</v>
      </c>
      <c r="B2330" t="s">
        <v>2</v>
      </c>
      <c r="C2330" t="s">
        <v>3</v>
      </c>
      <c r="D2330" t="s">
        <v>4</v>
      </c>
      <c r="E2330" t="s">
        <v>4</v>
      </c>
      <c r="F2330" t="s">
        <v>208</v>
      </c>
      <c r="G2330" t="s">
        <v>209</v>
      </c>
      <c r="H2330" t="s">
        <v>5734</v>
      </c>
      <c r="I2330" s="2">
        <v>700</v>
      </c>
      <c r="J2330" s="2">
        <v>800</v>
      </c>
      <c r="K2330" s="2">
        <v>800</v>
      </c>
      <c r="L2330" s="3">
        <v>45846</v>
      </c>
      <c r="M2330" s="3">
        <v>45858</v>
      </c>
      <c r="N2330" s="3">
        <v>45858</v>
      </c>
      <c r="O2330" t="s">
        <v>4</v>
      </c>
      <c r="P2330" t="s">
        <v>9</v>
      </c>
      <c r="Q2330" s="4">
        <v>0.53429398148148</v>
      </c>
      <c r="R2330" t="s">
        <v>208</v>
      </c>
      <c r="S2330" t="s">
        <v>4</v>
      </c>
      <c r="T2330" t="s">
        <v>2318</v>
      </c>
      <c r="U2330" t="s">
        <v>35</v>
      </c>
      <c r="V2330" s="5">
        <v>0</v>
      </c>
      <c r="W2330" s="5">
        <v>0</v>
      </c>
      <c r="X2330" s="2">
        <v>0</v>
      </c>
      <c r="Y2330" t="s">
        <v>4</v>
      </c>
      <c r="Z2330" t="s">
        <v>4</v>
      </c>
      <c r="AA2330" t="s">
        <v>4</v>
      </c>
      <c r="AB2330" t="s">
        <v>4</v>
      </c>
    </row>
    <row r="2331" spans="1:28" hidden="1" x14ac:dyDescent="0.2">
      <c r="A2331" t="s">
        <v>1349</v>
      </c>
      <c r="B2331" t="s">
        <v>2</v>
      </c>
      <c r="C2331" t="s">
        <v>3</v>
      </c>
      <c r="D2331" t="s">
        <v>4</v>
      </c>
      <c r="E2331" t="s">
        <v>4</v>
      </c>
      <c r="F2331" t="s">
        <v>208</v>
      </c>
      <c r="G2331" t="s">
        <v>209</v>
      </c>
      <c r="H2331" t="s">
        <v>5735</v>
      </c>
      <c r="I2331" s="2">
        <v>1000</v>
      </c>
      <c r="J2331" s="2">
        <v>0</v>
      </c>
      <c r="K2331" s="2">
        <v>0</v>
      </c>
      <c r="L2331" s="3">
        <v>45852</v>
      </c>
      <c r="M2331" s="3">
        <v>45852</v>
      </c>
      <c r="N2331" s="3"/>
      <c r="O2331" t="s">
        <v>4</v>
      </c>
      <c r="P2331" t="s">
        <v>9</v>
      </c>
      <c r="Q2331" s="4">
        <v>0.62101851851851997</v>
      </c>
      <c r="R2331" t="s">
        <v>208</v>
      </c>
      <c r="S2331" t="s">
        <v>4</v>
      </c>
      <c r="T2331" t="s">
        <v>2669</v>
      </c>
      <c r="U2331" t="s">
        <v>10</v>
      </c>
      <c r="V2331" s="5">
        <v>0</v>
      </c>
      <c r="W2331" s="5">
        <v>0</v>
      </c>
      <c r="X2331" s="2">
        <v>0</v>
      </c>
      <c r="Y2331" t="s">
        <v>4</v>
      </c>
      <c r="Z2331" t="s">
        <v>4</v>
      </c>
      <c r="AA2331" t="s">
        <v>4</v>
      </c>
      <c r="AB2331" t="s">
        <v>4</v>
      </c>
    </row>
    <row r="2332" spans="1:28" hidden="1" x14ac:dyDescent="0.2">
      <c r="A2332" t="s">
        <v>1278</v>
      </c>
      <c r="B2332" t="s">
        <v>2</v>
      </c>
      <c r="C2332" t="s">
        <v>3</v>
      </c>
      <c r="D2332" t="s">
        <v>4</v>
      </c>
      <c r="E2332" t="s">
        <v>4</v>
      </c>
      <c r="F2332" t="s">
        <v>208</v>
      </c>
      <c r="G2332" t="s">
        <v>209</v>
      </c>
      <c r="H2332" t="s">
        <v>5736</v>
      </c>
      <c r="I2332" s="2">
        <v>3600</v>
      </c>
      <c r="J2332" s="2">
        <v>0</v>
      </c>
      <c r="K2332" s="2">
        <v>0</v>
      </c>
      <c r="L2332" s="3">
        <v>45855</v>
      </c>
      <c r="M2332" s="3">
        <v>45858</v>
      </c>
      <c r="N2332" s="3"/>
      <c r="O2332" t="s">
        <v>4</v>
      </c>
      <c r="P2332" t="s">
        <v>9</v>
      </c>
      <c r="Q2332" s="4">
        <v>0.56259259259258998</v>
      </c>
      <c r="R2332" t="s">
        <v>208</v>
      </c>
      <c r="S2332" t="s">
        <v>4</v>
      </c>
      <c r="T2332" t="s">
        <v>2350</v>
      </c>
      <c r="U2332" t="s">
        <v>10</v>
      </c>
      <c r="V2332" s="5">
        <v>0</v>
      </c>
      <c r="W2332" s="5">
        <v>0</v>
      </c>
      <c r="X2332" s="2">
        <v>0</v>
      </c>
      <c r="Y2332" t="s">
        <v>4</v>
      </c>
      <c r="Z2332" t="s">
        <v>4</v>
      </c>
      <c r="AA2332" t="s">
        <v>4</v>
      </c>
      <c r="AB2332" t="s">
        <v>4</v>
      </c>
    </row>
    <row r="2333" spans="1:28" hidden="1" x14ac:dyDescent="0.2">
      <c r="A2333" t="s">
        <v>796</v>
      </c>
      <c r="B2333" t="s">
        <v>2</v>
      </c>
      <c r="C2333" t="s">
        <v>3</v>
      </c>
      <c r="D2333" t="s">
        <v>4</v>
      </c>
      <c r="E2333" t="s">
        <v>4</v>
      </c>
      <c r="F2333" t="s">
        <v>208</v>
      </c>
      <c r="G2333" t="s">
        <v>209</v>
      </c>
      <c r="H2333" t="s">
        <v>5737</v>
      </c>
      <c r="I2333" s="2">
        <v>1040</v>
      </c>
      <c r="J2333" s="2">
        <v>0</v>
      </c>
      <c r="K2333" s="2">
        <v>0</v>
      </c>
      <c r="L2333" s="3">
        <v>45858</v>
      </c>
      <c r="M2333" s="3">
        <v>45859</v>
      </c>
      <c r="N2333" s="3"/>
      <c r="O2333" t="s">
        <v>4</v>
      </c>
      <c r="P2333" t="s">
        <v>20</v>
      </c>
      <c r="Q2333" s="4">
        <v>0.35583333333333</v>
      </c>
      <c r="R2333" t="s">
        <v>208</v>
      </c>
      <c r="S2333" t="s">
        <v>4</v>
      </c>
      <c r="T2333" t="s">
        <v>2337</v>
      </c>
      <c r="U2333" t="s">
        <v>10</v>
      </c>
      <c r="V2333" s="5">
        <v>0</v>
      </c>
      <c r="W2333" s="5">
        <v>0</v>
      </c>
      <c r="X2333" s="2">
        <v>0</v>
      </c>
      <c r="Y2333" t="s">
        <v>4</v>
      </c>
      <c r="Z2333" t="s">
        <v>4</v>
      </c>
      <c r="AA2333" t="s">
        <v>4</v>
      </c>
      <c r="AB2333" t="s">
        <v>4</v>
      </c>
    </row>
    <row r="2334" spans="1:28" hidden="1" x14ac:dyDescent="0.2">
      <c r="A2334" t="s">
        <v>1343</v>
      </c>
      <c r="B2334" t="s">
        <v>2</v>
      </c>
      <c r="C2334" t="s">
        <v>3</v>
      </c>
      <c r="D2334" t="s">
        <v>4</v>
      </c>
      <c r="E2334" t="s">
        <v>4</v>
      </c>
      <c r="F2334" t="s">
        <v>208</v>
      </c>
      <c r="G2334" t="s">
        <v>209</v>
      </c>
      <c r="H2334" t="s">
        <v>5738</v>
      </c>
      <c r="I2334" s="2">
        <v>1000</v>
      </c>
      <c r="J2334" s="2">
        <v>0</v>
      </c>
      <c r="K2334" s="2">
        <v>0</v>
      </c>
      <c r="L2334" s="3">
        <v>45852</v>
      </c>
      <c r="M2334" s="3">
        <v>45852</v>
      </c>
      <c r="N2334" s="3">
        <v>45852</v>
      </c>
      <c r="O2334" t="s">
        <v>4</v>
      </c>
      <c r="P2334" t="s">
        <v>9</v>
      </c>
      <c r="Q2334" s="4">
        <v>0.62100694444444005</v>
      </c>
      <c r="R2334" t="s">
        <v>208</v>
      </c>
      <c r="S2334" t="s">
        <v>4</v>
      </c>
      <c r="T2334" t="s">
        <v>2669</v>
      </c>
      <c r="U2334" t="s">
        <v>10</v>
      </c>
      <c r="V2334" s="5">
        <v>0</v>
      </c>
      <c r="W2334" s="5">
        <v>0</v>
      </c>
      <c r="X2334" s="2">
        <v>0</v>
      </c>
      <c r="Y2334" t="s">
        <v>4</v>
      </c>
      <c r="Z2334" t="s">
        <v>4</v>
      </c>
      <c r="AA2334" t="s">
        <v>4</v>
      </c>
      <c r="AB2334" t="s">
        <v>4</v>
      </c>
    </row>
    <row r="2335" spans="1:28" hidden="1" x14ac:dyDescent="0.2">
      <c r="A2335" t="s">
        <v>1352</v>
      </c>
      <c r="B2335" t="s">
        <v>2</v>
      </c>
      <c r="C2335" t="s">
        <v>3</v>
      </c>
      <c r="D2335" t="s">
        <v>4</v>
      </c>
      <c r="E2335" t="s">
        <v>4</v>
      </c>
      <c r="F2335" t="s">
        <v>208</v>
      </c>
      <c r="G2335" t="s">
        <v>209</v>
      </c>
      <c r="H2335" t="s">
        <v>5739</v>
      </c>
      <c r="I2335" s="2">
        <v>0</v>
      </c>
      <c r="J2335" s="2">
        <v>700</v>
      </c>
      <c r="K2335" s="2">
        <v>700</v>
      </c>
      <c r="L2335" s="3">
        <v>45856</v>
      </c>
      <c r="M2335" s="3">
        <v>45856</v>
      </c>
      <c r="N2335" s="3"/>
      <c r="O2335" t="s">
        <v>4</v>
      </c>
      <c r="P2335" t="s">
        <v>9</v>
      </c>
      <c r="Q2335" s="4">
        <v>0.62107638888889005</v>
      </c>
      <c r="R2335" t="s">
        <v>208</v>
      </c>
      <c r="S2335" t="s">
        <v>4</v>
      </c>
      <c r="T2335" t="s">
        <v>2260</v>
      </c>
      <c r="U2335" t="s">
        <v>35</v>
      </c>
      <c r="V2335" s="5">
        <v>0</v>
      </c>
      <c r="W2335" s="5">
        <v>0</v>
      </c>
      <c r="X2335" s="2">
        <v>0</v>
      </c>
      <c r="Y2335" t="s">
        <v>4</v>
      </c>
      <c r="Z2335" t="s">
        <v>4</v>
      </c>
      <c r="AA2335" t="s">
        <v>4</v>
      </c>
      <c r="AB2335" t="s">
        <v>4</v>
      </c>
    </row>
    <row r="2336" spans="1:28" hidden="1" x14ac:dyDescent="0.2">
      <c r="A2336" t="s">
        <v>1396</v>
      </c>
      <c r="B2336" t="s">
        <v>2</v>
      </c>
      <c r="C2336" t="s">
        <v>3</v>
      </c>
      <c r="D2336" t="s">
        <v>4</v>
      </c>
      <c r="E2336" t="s">
        <v>4</v>
      </c>
      <c r="F2336" t="s">
        <v>208</v>
      </c>
      <c r="G2336" t="s">
        <v>209</v>
      </c>
      <c r="H2336" t="s">
        <v>5740</v>
      </c>
      <c r="I2336" s="2">
        <v>1590</v>
      </c>
      <c r="J2336" s="2">
        <v>0</v>
      </c>
      <c r="K2336" s="2">
        <v>0</v>
      </c>
      <c r="L2336" s="3">
        <v>45801</v>
      </c>
      <c r="M2336" s="3">
        <v>45857</v>
      </c>
      <c r="N2336" s="3">
        <v>45857</v>
      </c>
      <c r="O2336" t="s">
        <v>4</v>
      </c>
      <c r="P2336" t="s">
        <v>5741</v>
      </c>
      <c r="Q2336" s="4">
        <v>0.99591435185184995</v>
      </c>
      <c r="R2336" t="s">
        <v>208</v>
      </c>
      <c r="S2336" t="s">
        <v>4</v>
      </c>
      <c r="T2336" t="s">
        <v>4744</v>
      </c>
      <c r="U2336" t="s">
        <v>5742</v>
      </c>
      <c r="V2336" s="5">
        <v>0</v>
      </c>
      <c r="W2336" s="5">
        <v>0</v>
      </c>
      <c r="X2336" s="2">
        <v>0</v>
      </c>
      <c r="Y2336" t="s">
        <v>4</v>
      </c>
      <c r="Z2336" t="s">
        <v>4</v>
      </c>
      <c r="AA2336" t="s">
        <v>4</v>
      </c>
      <c r="AB2336" t="s">
        <v>4</v>
      </c>
    </row>
    <row r="2337" spans="1:28" hidden="1" x14ac:dyDescent="0.2">
      <c r="A2337" t="s">
        <v>364</v>
      </c>
      <c r="B2337" t="s">
        <v>2</v>
      </c>
      <c r="C2337" t="s">
        <v>3</v>
      </c>
      <c r="D2337" t="s">
        <v>4</v>
      </c>
      <c r="E2337" t="s">
        <v>4</v>
      </c>
      <c r="F2337" t="s">
        <v>208</v>
      </c>
      <c r="G2337" t="s">
        <v>209</v>
      </c>
      <c r="H2337" t="s">
        <v>5740</v>
      </c>
      <c r="I2337" s="2">
        <v>937</v>
      </c>
      <c r="J2337" s="2">
        <v>0</v>
      </c>
      <c r="K2337" s="2">
        <v>0</v>
      </c>
      <c r="L2337" s="3">
        <v>45829</v>
      </c>
      <c r="M2337" s="3">
        <v>45847</v>
      </c>
      <c r="N2337" s="3">
        <v>45847</v>
      </c>
      <c r="O2337" t="s">
        <v>4</v>
      </c>
      <c r="P2337" t="s">
        <v>5741</v>
      </c>
      <c r="Q2337" s="4">
        <v>0.99591435185184995</v>
      </c>
      <c r="R2337" t="s">
        <v>208</v>
      </c>
      <c r="S2337" t="s">
        <v>4</v>
      </c>
      <c r="T2337" t="s">
        <v>3242</v>
      </c>
      <c r="U2337" t="s">
        <v>10</v>
      </c>
      <c r="V2337" s="5">
        <v>0</v>
      </c>
      <c r="W2337" s="5">
        <v>0</v>
      </c>
      <c r="X2337" s="2">
        <v>0</v>
      </c>
      <c r="Y2337" t="s">
        <v>4</v>
      </c>
      <c r="Z2337" t="s">
        <v>4</v>
      </c>
      <c r="AA2337" t="s">
        <v>4</v>
      </c>
      <c r="AB2337" t="s">
        <v>4</v>
      </c>
    </row>
    <row r="2338" spans="1:28" hidden="1" x14ac:dyDescent="0.2">
      <c r="A2338" t="s">
        <v>1399</v>
      </c>
      <c r="B2338" t="s">
        <v>2</v>
      </c>
      <c r="C2338" t="s">
        <v>3</v>
      </c>
      <c r="D2338" t="s">
        <v>4</v>
      </c>
      <c r="E2338" t="s">
        <v>4</v>
      </c>
      <c r="F2338" t="s">
        <v>208</v>
      </c>
      <c r="G2338" t="s">
        <v>209</v>
      </c>
      <c r="H2338" t="s">
        <v>5740</v>
      </c>
      <c r="I2338" s="2">
        <v>1932</v>
      </c>
      <c r="J2338" s="2">
        <v>0</v>
      </c>
      <c r="K2338" s="2">
        <v>0</v>
      </c>
      <c r="L2338" s="3">
        <v>45847</v>
      </c>
      <c r="M2338" s="3">
        <v>45859</v>
      </c>
      <c r="N2338" s="3">
        <v>45857</v>
      </c>
      <c r="O2338" t="s">
        <v>4</v>
      </c>
      <c r="P2338" t="s">
        <v>5741</v>
      </c>
      <c r="Q2338" s="4">
        <v>0.99591435185184995</v>
      </c>
      <c r="R2338" t="s">
        <v>208</v>
      </c>
      <c r="S2338" t="s">
        <v>4</v>
      </c>
      <c r="T2338" t="s">
        <v>2341</v>
      </c>
      <c r="U2338" t="s">
        <v>10</v>
      </c>
      <c r="V2338" s="5">
        <v>0</v>
      </c>
      <c r="W2338" s="5">
        <v>0</v>
      </c>
      <c r="X2338" s="2">
        <v>0</v>
      </c>
      <c r="Y2338" t="s">
        <v>4</v>
      </c>
      <c r="Z2338" t="s">
        <v>4</v>
      </c>
      <c r="AA2338" t="s">
        <v>4</v>
      </c>
      <c r="AB2338" t="s">
        <v>4</v>
      </c>
    </row>
    <row r="2339" spans="1:28" hidden="1" x14ac:dyDescent="0.2">
      <c r="A2339" t="s">
        <v>1392</v>
      </c>
      <c r="B2339" t="s">
        <v>2</v>
      </c>
      <c r="C2339" t="s">
        <v>3</v>
      </c>
      <c r="D2339" t="s">
        <v>4</v>
      </c>
      <c r="E2339" t="s">
        <v>4</v>
      </c>
      <c r="F2339" t="s">
        <v>208</v>
      </c>
      <c r="G2339" t="s">
        <v>209</v>
      </c>
      <c r="H2339" t="s">
        <v>5740</v>
      </c>
      <c r="I2339" s="2">
        <v>813</v>
      </c>
      <c r="J2339" s="2">
        <v>0</v>
      </c>
      <c r="K2339" s="2">
        <v>0</v>
      </c>
      <c r="L2339" s="3">
        <v>45819</v>
      </c>
      <c r="M2339" s="3">
        <v>45854</v>
      </c>
      <c r="N2339" s="3">
        <v>45854</v>
      </c>
      <c r="O2339" t="s">
        <v>4</v>
      </c>
      <c r="P2339" t="s">
        <v>5741</v>
      </c>
      <c r="Q2339" s="4">
        <v>0.99591435185184995</v>
      </c>
      <c r="R2339" t="s">
        <v>208</v>
      </c>
      <c r="S2339" t="s">
        <v>4</v>
      </c>
      <c r="T2339" t="s">
        <v>2263</v>
      </c>
      <c r="U2339" t="s">
        <v>5742</v>
      </c>
      <c r="V2339" s="5">
        <v>0</v>
      </c>
      <c r="W2339" s="5">
        <v>0</v>
      </c>
      <c r="X2339" s="2">
        <v>0</v>
      </c>
      <c r="Y2339" t="s">
        <v>4</v>
      </c>
      <c r="Z2339" t="s">
        <v>4</v>
      </c>
      <c r="AA2339" t="s">
        <v>4</v>
      </c>
      <c r="AB2339" t="s">
        <v>4</v>
      </c>
    </row>
    <row r="2340" spans="1:28" hidden="1" x14ac:dyDescent="0.2">
      <c r="A2340" t="s">
        <v>368</v>
      </c>
      <c r="B2340" t="s">
        <v>2</v>
      </c>
      <c r="C2340" t="s">
        <v>3</v>
      </c>
      <c r="D2340" t="s">
        <v>4</v>
      </c>
      <c r="E2340" t="s">
        <v>4</v>
      </c>
      <c r="F2340" t="s">
        <v>208</v>
      </c>
      <c r="G2340" t="s">
        <v>209</v>
      </c>
      <c r="H2340" t="s">
        <v>5743</v>
      </c>
      <c r="I2340" s="2">
        <v>428</v>
      </c>
      <c r="J2340" s="2">
        <v>0</v>
      </c>
      <c r="K2340" s="2">
        <v>0</v>
      </c>
      <c r="L2340" s="3">
        <v>45829</v>
      </c>
      <c r="M2340" s="3">
        <v>45850</v>
      </c>
      <c r="N2340" s="3"/>
      <c r="O2340" t="s">
        <v>4</v>
      </c>
      <c r="P2340" t="s">
        <v>5744</v>
      </c>
      <c r="Q2340" s="4">
        <v>0.64603009259259003</v>
      </c>
      <c r="R2340" t="s">
        <v>208</v>
      </c>
      <c r="S2340" t="s">
        <v>4</v>
      </c>
      <c r="T2340" t="s">
        <v>3242</v>
      </c>
      <c r="U2340" t="s">
        <v>10</v>
      </c>
      <c r="V2340" s="5">
        <v>0</v>
      </c>
      <c r="W2340" s="5">
        <v>0</v>
      </c>
      <c r="X2340" s="2">
        <v>0</v>
      </c>
      <c r="Y2340" t="s">
        <v>4</v>
      </c>
      <c r="Z2340" t="s">
        <v>4</v>
      </c>
      <c r="AA2340" t="s">
        <v>4</v>
      </c>
      <c r="AB2340" t="s">
        <v>4</v>
      </c>
    </row>
    <row r="2341" spans="1:28" hidden="1" x14ac:dyDescent="0.2">
      <c r="A2341" t="s">
        <v>1407</v>
      </c>
      <c r="B2341" t="s">
        <v>2</v>
      </c>
      <c r="C2341" t="s">
        <v>3</v>
      </c>
      <c r="D2341" t="s">
        <v>4</v>
      </c>
      <c r="E2341" t="s">
        <v>4</v>
      </c>
      <c r="F2341" t="s">
        <v>208</v>
      </c>
      <c r="G2341" t="s">
        <v>209</v>
      </c>
      <c r="H2341" t="s">
        <v>5743</v>
      </c>
      <c r="I2341" s="2">
        <v>3136</v>
      </c>
      <c r="J2341" s="2">
        <v>0</v>
      </c>
      <c r="K2341" s="2">
        <v>0</v>
      </c>
      <c r="L2341" s="3">
        <v>45807</v>
      </c>
      <c r="M2341" s="3">
        <v>45854</v>
      </c>
      <c r="N2341" s="3">
        <v>45854</v>
      </c>
      <c r="O2341" t="s">
        <v>4</v>
      </c>
      <c r="P2341" t="s">
        <v>5744</v>
      </c>
      <c r="Q2341" s="4">
        <v>0.64603009259259003</v>
      </c>
      <c r="R2341" t="s">
        <v>208</v>
      </c>
      <c r="S2341" t="s">
        <v>4</v>
      </c>
      <c r="T2341" t="s">
        <v>3482</v>
      </c>
      <c r="U2341" t="s">
        <v>10</v>
      </c>
      <c r="V2341" s="5">
        <v>0</v>
      </c>
      <c r="W2341" s="5">
        <v>0</v>
      </c>
      <c r="X2341" s="2">
        <v>0</v>
      </c>
      <c r="Y2341" t="s">
        <v>4</v>
      </c>
      <c r="Z2341" t="s">
        <v>4</v>
      </c>
      <c r="AA2341" t="s">
        <v>4</v>
      </c>
      <c r="AB2341" t="s">
        <v>4</v>
      </c>
    </row>
    <row r="2342" spans="1:28" hidden="1" x14ac:dyDescent="0.2">
      <c r="A2342" t="s">
        <v>31</v>
      </c>
      <c r="B2342" t="s">
        <v>2</v>
      </c>
      <c r="C2342" t="s">
        <v>3</v>
      </c>
      <c r="D2342" t="s">
        <v>4</v>
      </c>
      <c r="E2342" t="s">
        <v>4</v>
      </c>
      <c r="F2342" t="s">
        <v>208</v>
      </c>
      <c r="G2342" t="s">
        <v>209</v>
      </c>
      <c r="H2342" t="s">
        <v>210</v>
      </c>
      <c r="I2342" s="2">
        <v>147</v>
      </c>
      <c r="J2342" s="2">
        <v>0</v>
      </c>
      <c r="K2342" s="2">
        <v>0</v>
      </c>
      <c r="L2342" s="3">
        <v>45859</v>
      </c>
      <c r="M2342" s="3">
        <v>45859</v>
      </c>
      <c r="N2342" s="3"/>
      <c r="O2342" t="s">
        <v>4</v>
      </c>
      <c r="P2342" t="s">
        <v>20</v>
      </c>
      <c r="Q2342" s="4">
        <v>0.55230324074074</v>
      </c>
      <c r="R2342" t="s">
        <v>208</v>
      </c>
      <c r="S2342" t="s">
        <v>4</v>
      </c>
      <c r="T2342" t="s">
        <v>2261</v>
      </c>
      <c r="U2342" t="s">
        <v>35</v>
      </c>
      <c r="V2342" s="5">
        <v>0</v>
      </c>
      <c r="W2342" s="5">
        <v>0</v>
      </c>
      <c r="X2342" s="2">
        <v>0</v>
      </c>
      <c r="Y2342" t="s">
        <v>4</v>
      </c>
      <c r="Z2342" t="s">
        <v>4</v>
      </c>
      <c r="AA2342" t="s">
        <v>4</v>
      </c>
      <c r="AB2342" t="s">
        <v>4</v>
      </c>
    </row>
    <row r="2343" spans="1:28" hidden="1" x14ac:dyDescent="0.2">
      <c r="A2343" t="s">
        <v>12</v>
      </c>
      <c r="B2343" t="s">
        <v>2</v>
      </c>
      <c r="C2343" t="s">
        <v>3</v>
      </c>
      <c r="D2343" t="s">
        <v>4</v>
      </c>
      <c r="E2343" t="s">
        <v>4</v>
      </c>
      <c r="F2343" t="s">
        <v>208</v>
      </c>
      <c r="G2343" t="s">
        <v>209</v>
      </c>
      <c r="H2343" t="s">
        <v>210</v>
      </c>
      <c r="I2343" s="2">
        <v>196</v>
      </c>
      <c r="J2343" s="2">
        <v>0</v>
      </c>
      <c r="K2343" s="2">
        <v>0</v>
      </c>
      <c r="L2343" s="3">
        <v>45859</v>
      </c>
      <c r="M2343" s="3">
        <v>45859</v>
      </c>
      <c r="N2343" s="3"/>
      <c r="O2343" t="s">
        <v>4</v>
      </c>
      <c r="P2343" t="s">
        <v>20</v>
      </c>
      <c r="Q2343" s="4">
        <v>0.55230324074074</v>
      </c>
      <c r="R2343" t="s">
        <v>208</v>
      </c>
      <c r="S2343" t="s">
        <v>4</v>
      </c>
      <c r="T2343" t="s">
        <v>2261</v>
      </c>
      <c r="U2343" t="s">
        <v>10</v>
      </c>
      <c r="V2343" s="5">
        <v>0</v>
      </c>
      <c r="W2343" s="5">
        <v>0</v>
      </c>
      <c r="X2343" s="2">
        <v>0</v>
      </c>
      <c r="Y2343" t="s">
        <v>4</v>
      </c>
      <c r="Z2343" t="s">
        <v>4</v>
      </c>
      <c r="AA2343" t="s">
        <v>4</v>
      </c>
      <c r="AB2343" t="s">
        <v>4</v>
      </c>
    </row>
    <row r="2344" spans="1:28" hidden="1" x14ac:dyDescent="0.2">
      <c r="A2344" t="s">
        <v>0</v>
      </c>
      <c r="B2344" t="s">
        <v>2</v>
      </c>
      <c r="C2344" t="s">
        <v>3</v>
      </c>
      <c r="D2344" t="s">
        <v>4</v>
      </c>
      <c r="E2344" t="s">
        <v>4</v>
      </c>
      <c r="F2344" t="s">
        <v>208</v>
      </c>
      <c r="G2344" t="s">
        <v>209</v>
      </c>
      <c r="H2344" t="s">
        <v>211</v>
      </c>
      <c r="I2344" s="2">
        <v>196</v>
      </c>
      <c r="J2344" s="2">
        <v>196</v>
      </c>
      <c r="K2344" s="2">
        <v>0</v>
      </c>
      <c r="L2344" s="3">
        <v>45860</v>
      </c>
      <c r="M2344" s="3">
        <v>45860</v>
      </c>
      <c r="N2344" s="3">
        <v>45860</v>
      </c>
      <c r="O2344" t="s">
        <v>4</v>
      </c>
      <c r="P2344" t="s">
        <v>9</v>
      </c>
      <c r="Q2344" s="4">
        <v>0.39812500000000001</v>
      </c>
      <c r="R2344" t="s">
        <v>208</v>
      </c>
      <c r="S2344" t="s">
        <v>4</v>
      </c>
      <c r="T2344" t="s">
        <v>2256</v>
      </c>
      <c r="U2344" t="s">
        <v>10</v>
      </c>
      <c r="V2344" s="5">
        <v>0</v>
      </c>
      <c r="W2344" s="5">
        <v>0</v>
      </c>
      <c r="X2344" s="2">
        <v>0</v>
      </c>
      <c r="Y2344" t="s">
        <v>4</v>
      </c>
      <c r="Z2344" t="s">
        <v>4</v>
      </c>
      <c r="AA2344" t="s">
        <v>4</v>
      </c>
      <c r="AB2344" t="s">
        <v>4</v>
      </c>
    </row>
    <row r="2345" spans="1:28" hidden="1" x14ac:dyDescent="0.2">
      <c r="A2345" t="s">
        <v>2251</v>
      </c>
      <c r="B2345" t="s">
        <v>4</v>
      </c>
      <c r="C2345" t="s">
        <v>4</v>
      </c>
      <c r="D2345" t="s">
        <v>4</v>
      </c>
      <c r="E2345" t="s">
        <v>4</v>
      </c>
      <c r="F2345" t="s">
        <v>208</v>
      </c>
      <c r="G2345" t="s">
        <v>209</v>
      </c>
      <c r="H2345" t="s">
        <v>5745</v>
      </c>
      <c r="I2345" s="5">
        <v>0</v>
      </c>
      <c r="J2345" s="5">
        <v>0</v>
      </c>
      <c r="K2345" s="5">
        <v>0</v>
      </c>
      <c r="L2345" s="3"/>
      <c r="M2345" s="3"/>
      <c r="N2345" s="3"/>
      <c r="O2345" t="s">
        <v>4</v>
      </c>
      <c r="P2345" t="s">
        <v>9</v>
      </c>
      <c r="Q2345" s="4">
        <v>0.52520833333332995</v>
      </c>
      <c r="R2345" t="s">
        <v>4</v>
      </c>
      <c r="S2345" t="s">
        <v>4</v>
      </c>
      <c r="T2345" t="s">
        <v>2256</v>
      </c>
      <c r="U2345" t="s">
        <v>4</v>
      </c>
      <c r="V2345" s="5">
        <v>0</v>
      </c>
      <c r="W2345" s="5">
        <v>0</v>
      </c>
      <c r="X2345" s="2">
        <v>0</v>
      </c>
      <c r="Y2345" t="s">
        <v>2351</v>
      </c>
      <c r="Z2345" t="s">
        <v>2351</v>
      </c>
      <c r="AA2345" t="s">
        <v>4</v>
      </c>
      <c r="AB2345" t="s">
        <v>4</v>
      </c>
    </row>
    <row r="2346" spans="1:28" hidden="1" x14ac:dyDescent="0.2">
      <c r="A2346" t="s">
        <v>5746</v>
      </c>
      <c r="B2346" t="s">
        <v>2</v>
      </c>
      <c r="C2346" t="s">
        <v>3</v>
      </c>
      <c r="D2346" t="s">
        <v>4</v>
      </c>
      <c r="E2346" t="s">
        <v>4</v>
      </c>
      <c r="F2346" t="s">
        <v>208</v>
      </c>
      <c r="G2346" t="s">
        <v>209</v>
      </c>
      <c r="H2346" t="s">
        <v>5747</v>
      </c>
      <c r="I2346" s="2">
        <v>2200</v>
      </c>
      <c r="J2346" s="2">
        <v>0</v>
      </c>
      <c r="K2346" s="2">
        <v>0</v>
      </c>
      <c r="L2346" s="3">
        <v>45859</v>
      </c>
      <c r="M2346" s="3">
        <v>45860</v>
      </c>
      <c r="N2346" s="3">
        <v>45859</v>
      </c>
      <c r="O2346" t="s">
        <v>4</v>
      </c>
      <c r="P2346" t="s">
        <v>20</v>
      </c>
      <c r="Q2346" s="4">
        <v>0.43892361111111</v>
      </c>
      <c r="R2346" t="s">
        <v>208</v>
      </c>
      <c r="S2346" t="s">
        <v>4</v>
      </c>
      <c r="T2346" t="s">
        <v>2261</v>
      </c>
      <c r="U2346" t="s">
        <v>10</v>
      </c>
      <c r="V2346" s="5">
        <v>0</v>
      </c>
      <c r="W2346" s="5">
        <v>0</v>
      </c>
      <c r="X2346" s="2">
        <v>0</v>
      </c>
      <c r="Y2346" t="s">
        <v>4</v>
      </c>
      <c r="Z2346" t="s">
        <v>4</v>
      </c>
      <c r="AA2346" t="s">
        <v>4</v>
      </c>
      <c r="AB2346" t="s">
        <v>4</v>
      </c>
    </row>
    <row r="2347" spans="1:28" hidden="1" x14ac:dyDescent="0.2">
      <c r="A2347" t="s">
        <v>1352</v>
      </c>
      <c r="B2347" t="s">
        <v>2</v>
      </c>
      <c r="C2347" t="s">
        <v>3</v>
      </c>
      <c r="D2347" t="s">
        <v>4</v>
      </c>
      <c r="E2347" t="s">
        <v>4</v>
      </c>
      <c r="F2347" t="s">
        <v>5748</v>
      </c>
      <c r="G2347" t="s">
        <v>5749</v>
      </c>
      <c r="H2347" t="s">
        <v>5750</v>
      </c>
      <c r="I2347" s="2">
        <v>700</v>
      </c>
      <c r="J2347" s="2">
        <v>0</v>
      </c>
      <c r="K2347" s="2">
        <v>0</v>
      </c>
      <c r="L2347" s="3">
        <v>45847</v>
      </c>
      <c r="M2347" s="3">
        <v>45847</v>
      </c>
      <c r="N2347" s="3"/>
      <c r="O2347" t="s">
        <v>5751</v>
      </c>
      <c r="P2347" t="s">
        <v>5752</v>
      </c>
      <c r="Q2347" s="4">
        <v>0.65068287037036998</v>
      </c>
      <c r="R2347" t="s">
        <v>5748</v>
      </c>
      <c r="S2347" t="s">
        <v>4</v>
      </c>
      <c r="T2347" t="s">
        <v>2341</v>
      </c>
      <c r="U2347" t="s">
        <v>35</v>
      </c>
      <c r="V2347" s="5">
        <v>0</v>
      </c>
      <c r="W2347" s="5">
        <v>0</v>
      </c>
      <c r="X2347" s="2">
        <v>0</v>
      </c>
      <c r="Y2347" t="s">
        <v>4</v>
      </c>
      <c r="Z2347" t="s">
        <v>4</v>
      </c>
      <c r="AA2347" t="s">
        <v>4</v>
      </c>
      <c r="AB2347" t="s">
        <v>4</v>
      </c>
    </row>
    <row r="2348" spans="1:28" hidden="1" x14ac:dyDescent="0.2">
      <c r="A2348" t="s">
        <v>1269</v>
      </c>
      <c r="B2348" t="s">
        <v>2</v>
      </c>
      <c r="C2348" t="s">
        <v>3</v>
      </c>
      <c r="D2348" t="s">
        <v>4</v>
      </c>
      <c r="E2348" t="s">
        <v>4</v>
      </c>
      <c r="F2348" t="s">
        <v>5748</v>
      </c>
      <c r="G2348" t="s">
        <v>5749</v>
      </c>
      <c r="H2348" t="s">
        <v>5753</v>
      </c>
      <c r="I2348" s="2">
        <v>240</v>
      </c>
      <c r="J2348" s="2">
        <v>0</v>
      </c>
      <c r="K2348" s="2">
        <v>0</v>
      </c>
      <c r="L2348" s="3">
        <v>45812</v>
      </c>
      <c r="M2348" s="3">
        <v>45812</v>
      </c>
      <c r="N2348" s="3"/>
      <c r="O2348" t="s">
        <v>5754</v>
      </c>
      <c r="P2348" t="s">
        <v>5752</v>
      </c>
      <c r="Q2348" s="4">
        <v>0.61820601851851997</v>
      </c>
      <c r="R2348" t="s">
        <v>5748</v>
      </c>
      <c r="S2348" t="s">
        <v>4</v>
      </c>
      <c r="T2348" t="s">
        <v>4095</v>
      </c>
      <c r="U2348" t="s">
        <v>35</v>
      </c>
      <c r="V2348" s="5">
        <v>0</v>
      </c>
      <c r="W2348" s="5">
        <v>0</v>
      </c>
      <c r="X2348" s="2">
        <v>0</v>
      </c>
      <c r="Y2348" t="s">
        <v>4</v>
      </c>
      <c r="Z2348" t="s">
        <v>4</v>
      </c>
      <c r="AA2348" t="s">
        <v>4</v>
      </c>
      <c r="AB2348" t="s">
        <v>4</v>
      </c>
    </row>
    <row r="2349" spans="1:28" hidden="1" x14ac:dyDescent="0.2">
      <c r="A2349" t="s">
        <v>1269</v>
      </c>
      <c r="B2349" t="s">
        <v>2</v>
      </c>
      <c r="C2349" t="s">
        <v>3</v>
      </c>
      <c r="D2349" t="s">
        <v>4</v>
      </c>
      <c r="E2349" t="s">
        <v>4</v>
      </c>
      <c r="F2349" t="s">
        <v>5748</v>
      </c>
      <c r="G2349" t="s">
        <v>5749</v>
      </c>
      <c r="H2349" t="s">
        <v>5753</v>
      </c>
      <c r="I2349" s="2">
        <v>240</v>
      </c>
      <c r="J2349" s="2">
        <v>0</v>
      </c>
      <c r="K2349" s="2">
        <v>0</v>
      </c>
      <c r="L2349" s="3">
        <v>45812</v>
      </c>
      <c r="M2349" s="3">
        <v>45812</v>
      </c>
      <c r="N2349" s="3"/>
      <c r="O2349" t="s">
        <v>5755</v>
      </c>
      <c r="P2349" t="s">
        <v>5752</v>
      </c>
      <c r="Q2349" s="4">
        <v>0.61820601851851997</v>
      </c>
      <c r="R2349" t="s">
        <v>5748</v>
      </c>
      <c r="S2349" t="s">
        <v>4</v>
      </c>
      <c r="T2349" t="s">
        <v>4095</v>
      </c>
      <c r="U2349" t="s">
        <v>35</v>
      </c>
      <c r="V2349" s="5">
        <v>0</v>
      </c>
      <c r="W2349" s="5">
        <v>0</v>
      </c>
      <c r="X2349" s="2">
        <v>0</v>
      </c>
      <c r="Y2349" t="s">
        <v>4</v>
      </c>
      <c r="Z2349" t="s">
        <v>4</v>
      </c>
      <c r="AA2349" t="s">
        <v>4</v>
      </c>
      <c r="AB2349" t="s">
        <v>4</v>
      </c>
    </row>
    <row r="2350" spans="1:28" hidden="1" x14ac:dyDescent="0.2">
      <c r="A2350" t="s">
        <v>1266</v>
      </c>
      <c r="B2350" t="s">
        <v>2</v>
      </c>
      <c r="C2350" t="s">
        <v>3</v>
      </c>
      <c r="D2350" t="s">
        <v>4</v>
      </c>
      <c r="E2350" t="s">
        <v>4</v>
      </c>
      <c r="F2350" t="s">
        <v>5748</v>
      </c>
      <c r="G2350" t="s">
        <v>5749</v>
      </c>
      <c r="H2350" t="s">
        <v>5756</v>
      </c>
      <c r="I2350" s="2">
        <v>0</v>
      </c>
      <c r="J2350" s="2">
        <v>240</v>
      </c>
      <c r="K2350" s="2">
        <v>0</v>
      </c>
      <c r="L2350" s="3">
        <v>45856</v>
      </c>
      <c r="M2350" s="3">
        <v>45856</v>
      </c>
      <c r="N2350" s="3"/>
      <c r="O2350" t="s">
        <v>5757</v>
      </c>
      <c r="P2350" t="s">
        <v>5752</v>
      </c>
      <c r="Q2350" s="4">
        <v>0.65629629629630004</v>
      </c>
      <c r="R2350" t="s">
        <v>5748</v>
      </c>
      <c r="S2350" t="s">
        <v>4</v>
      </c>
      <c r="T2350" t="s">
        <v>2260</v>
      </c>
      <c r="U2350" t="s">
        <v>35</v>
      </c>
      <c r="V2350" s="5">
        <v>0</v>
      </c>
      <c r="W2350" s="5">
        <v>0</v>
      </c>
      <c r="X2350" s="2">
        <v>0</v>
      </c>
      <c r="Y2350" t="s">
        <v>4</v>
      </c>
      <c r="Z2350" t="s">
        <v>4</v>
      </c>
      <c r="AA2350" t="s">
        <v>4</v>
      </c>
      <c r="AB2350" t="s">
        <v>4</v>
      </c>
    </row>
    <row r="2351" spans="1:28" hidden="1" x14ac:dyDescent="0.2">
      <c r="A2351" t="s">
        <v>1266</v>
      </c>
      <c r="B2351" t="s">
        <v>2</v>
      </c>
      <c r="C2351" t="s">
        <v>3</v>
      </c>
      <c r="D2351" t="s">
        <v>4</v>
      </c>
      <c r="E2351" t="s">
        <v>4</v>
      </c>
      <c r="F2351" t="s">
        <v>5748</v>
      </c>
      <c r="G2351" t="s">
        <v>5749</v>
      </c>
      <c r="H2351" t="s">
        <v>5756</v>
      </c>
      <c r="I2351" s="2">
        <v>0</v>
      </c>
      <c r="J2351" s="2">
        <v>240</v>
      </c>
      <c r="K2351" s="2">
        <v>0</v>
      </c>
      <c r="L2351" s="3">
        <v>45856</v>
      </c>
      <c r="M2351" s="3">
        <v>45856</v>
      </c>
      <c r="N2351" s="3"/>
      <c r="O2351" t="s">
        <v>5758</v>
      </c>
      <c r="P2351" t="s">
        <v>5752</v>
      </c>
      <c r="Q2351" s="4">
        <v>0.65629629629630004</v>
      </c>
      <c r="R2351" t="s">
        <v>5748</v>
      </c>
      <c r="S2351" t="s">
        <v>4</v>
      </c>
      <c r="T2351" t="s">
        <v>2260</v>
      </c>
      <c r="U2351" t="s">
        <v>35</v>
      </c>
      <c r="V2351" s="5">
        <v>0</v>
      </c>
      <c r="W2351" s="5">
        <v>0</v>
      </c>
      <c r="X2351" s="2">
        <v>0</v>
      </c>
      <c r="Y2351" t="s">
        <v>4</v>
      </c>
      <c r="Z2351" t="s">
        <v>4</v>
      </c>
      <c r="AA2351" t="s">
        <v>4</v>
      </c>
      <c r="AB2351" t="s">
        <v>4</v>
      </c>
    </row>
    <row r="2352" spans="1:28" hidden="1" x14ac:dyDescent="0.2">
      <c r="A2352" t="s">
        <v>1266</v>
      </c>
      <c r="B2352" t="s">
        <v>2</v>
      </c>
      <c r="C2352" t="s">
        <v>3</v>
      </c>
      <c r="D2352" t="s">
        <v>4</v>
      </c>
      <c r="E2352" t="s">
        <v>4</v>
      </c>
      <c r="F2352" t="s">
        <v>5748</v>
      </c>
      <c r="G2352" t="s">
        <v>5749</v>
      </c>
      <c r="H2352" t="s">
        <v>5756</v>
      </c>
      <c r="I2352" s="2">
        <v>0</v>
      </c>
      <c r="J2352" s="2">
        <v>240</v>
      </c>
      <c r="K2352" s="2">
        <v>0</v>
      </c>
      <c r="L2352" s="3">
        <v>45856</v>
      </c>
      <c r="M2352" s="3">
        <v>45856</v>
      </c>
      <c r="N2352" s="3"/>
      <c r="O2352" t="s">
        <v>5759</v>
      </c>
      <c r="P2352" t="s">
        <v>5752</v>
      </c>
      <c r="Q2352" s="4">
        <v>0.65629629629630004</v>
      </c>
      <c r="R2352" t="s">
        <v>5748</v>
      </c>
      <c r="S2352" t="s">
        <v>4</v>
      </c>
      <c r="T2352" t="s">
        <v>2260</v>
      </c>
      <c r="U2352" t="s">
        <v>35</v>
      </c>
      <c r="V2352" s="5">
        <v>0</v>
      </c>
      <c r="W2352" s="5">
        <v>0</v>
      </c>
      <c r="X2352" s="2">
        <v>0</v>
      </c>
      <c r="Y2352" t="s">
        <v>4</v>
      </c>
      <c r="Z2352" t="s">
        <v>4</v>
      </c>
      <c r="AA2352" t="s">
        <v>4</v>
      </c>
      <c r="AB2352" t="s">
        <v>4</v>
      </c>
    </row>
    <row r="2353" spans="1:28" hidden="1" x14ac:dyDescent="0.2">
      <c r="A2353" t="s">
        <v>1356</v>
      </c>
      <c r="B2353" t="s">
        <v>2</v>
      </c>
      <c r="C2353" t="s">
        <v>3</v>
      </c>
      <c r="D2353" t="s">
        <v>4</v>
      </c>
      <c r="E2353" t="s">
        <v>4</v>
      </c>
      <c r="F2353" t="s">
        <v>5748</v>
      </c>
      <c r="G2353" t="s">
        <v>5749</v>
      </c>
      <c r="H2353" t="s">
        <v>5760</v>
      </c>
      <c r="I2353" s="2">
        <v>700</v>
      </c>
      <c r="J2353" s="2">
        <v>0</v>
      </c>
      <c r="K2353" s="2">
        <v>0</v>
      </c>
      <c r="L2353" s="3">
        <v>45821</v>
      </c>
      <c r="M2353" s="3">
        <v>45821</v>
      </c>
      <c r="N2353" s="3"/>
      <c r="O2353" t="s">
        <v>5761</v>
      </c>
      <c r="P2353" t="s">
        <v>5752</v>
      </c>
      <c r="Q2353" s="4">
        <v>0.96480324074073998</v>
      </c>
      <c r="R2353" t="s">
        <v>5748</v>
      </c>
      <c r="S2353" t="s">
        <v>4</v>
      </c>
      <c r="T2353" t="s">
        <v>4228</v>
      </c>
      <c r="U2353" t="s">
        <v>35</v>
      </c>
      <c r="V2353" s="5">
        <v>0</v>
      </c>
      <c r="W2353" s="5">
        <v>0</v>
      </c>
      <c r="X2353" s="2">
        <v>0</v>
      </c>
      <c r="Y2353" t="s">
        <v>4</v>
      </c>
      <c r="Z2353" t="s">
        <v>4</v>
      </c>
      <c r="AA2353" t="s">
        <v>4</v>
      </c>
      <c r="AB2353" t="s">
        <v>4</v>
      </c>
    </row>
    <row r="2354" spans="1:28" hidden="1" x14ac:dyDescent="0.2">
      <c r="A2354" t="s">
        <v>1356</v>
      </c>
      <c r="B2354" t="s">
        <v>2</v>
      </c>
      <c r="C2354" t="s">
        <v>3</v>
      </c>
      <c r="D2354" t="s">
        <v>4</v>
      </c>
      <c r="E2354" t="s">
        <v>4</v>
      </c>
      <c r="F2354" t="s">
        <v>5748</v>
      </c>
      <c r="G2354" t="s">
        <v>5749</v>
      </c>
      <c r="H2354" t="s">
        <v>5760</v>
      </c>
      <c r="I2354" s="2">
        <v>700</v>
      </c>
      <c r="J2354" s="2">
        <v>0</v>
      </c>
      <c r="K2354" s="2">
        <v>0</v>
      </c>
      <c r="L2354" s="3">
        <v>45853</v>
      </c>
      <c r="M2354" s="3">
        <v>45853</v>
      </c>
      <c r="N2354" s="3"/>
      <c r="O2354" t="s">
        <v>5762</v>
      </c>
      <c r="P2354" t="s">
        <v>5752</v>
      </c>
      <c r="Q2354" s="4">
        <v>0.96480324074073998</v>
      </c>
      <c r="R2354" t="s">
        <v>5748</v>
      </c>
      <c r="S2354" t="s">
        <v>4</v>
      </c>
      <c r="T2354" t="s">
        <v>2272</v>
      </c>
      <c r="U2354" t="s">
        <v>35</v>
      </c>
      <c r="V2354" s="5">
        <v>0</v>
      </c>
      <c r="W2354" s="5">
        <v>0</v>
      </c>
      <c r="X2354" s="2">
        <v>0</v>
      </c>
      <c r="Y2354" t="s">
        <v>4</v>
      </c>
      <c r="Z2354" t="s">
        <v>4</v>
      </c>
      <c r="AA2354" t="s">
        <v>4</v>
      </c>
      <c r="AB2354" t="s">
        <v>4</v>
      </c>
    </row>
    <row r="2355" spans="1:28" hidden="1" x14ac:dyDescent="0.2">
      <c r="A2355" t="s">
        <v>1266</v>
      </c>
      <c r="B2355" t="s">
        <v>2</v>
      </c>
      <c r="C2355" t="s">
        <v>3</v>
      </c>
      <c r="D2355" t="s">
        <v>4</v>
      </c>
      <c r="E2355" t="s">
        <v>4</v>
      </c>
      <c r="F2355" t="s">
        <v>5748</v>
      </c>
      <c r="G2355" t="s">
        <v>5749</v>
      </c>
      <c r="H2355" t="s">
        <v>5763</v>
      </c>
      <c r="I2355" s="2">
        <v>0</v>
      </c>
      <c r="J2355" s="2">
        <v>240</v>
      </c>
      <c r="K2355" s="2">
        <v>0</v>
      </c>
      <c r="L2355" s="3">
        <v>45859</v>
      </c>
      <c r="M2355" s="3">
        <v>45859</v>
      </c>
      <c r="N2355" s="3"/>
      <c r="O2355" t="s">
        <v>5764</v>
      </c>
      <c r="P2355" t="s">
        <v>5752</v>
      </c>
      <c r="Q2355" s="4">
        <v>0.96210648148148004</v>
      </c>
      <c r="R2355" t="s">
        <v>5748</v>
      </c>
      <c r="S2355" t="s">
        <v>4</v>
      </c>
      <c r="T2355" t="s">
        <v>2261</v>
      </c>
      <c r="U2355" t="s">
        <v>35</v>
      </c>
      <c r="V2355" s="5">
        <v>0</v>
      </c>
      <c r="W2355" s="5">
        <v>0</v>
      </c>
      <c r="X2355" s="2">
        <v>0</v>
      </c>
      <c r="Y2355" t="s">
        <v>4</v>
      </c>
      <c r="Z2355" t="s">
        <v>4</v>
      </c>
      <c r="AA2355" t="s">
        <v>4</v>
      </c>
      <c r="AB2355" t="s">
        <v>4</v>
      </c>
    </row>
    <row r="2356" spans="1:28" hidden="1" x14ac:dyDescent="0.2">
      <c r="A2356" t="s">
        <v>1266</v>
      </c>
      <c r="B2356" t="s">
        <v>2</v>
      </c>
      <c r="C2356" t="s">
        <v>3</v>
      </c>
      <c r="D2356" t="s">
        <v>4</v>
      </c>
      <c r="E2356" t="s">
        <v>4</v>
      </c>
      <c r="F2356" t="s">
        <v>5748</v>
      </c>
      <c r="G2356" t="s">
        <v>5749</v>
      </c>
      <c r="H2356" t="s">
        <v>5763</v>
      </c>
      <c r="I2356" s="2">
        <v>0</v>
      </c>
      <c r="J2356" s="2">
        <v>240</v>
      </c>
      <c r="K2356" s="2">
        <v>0</v>
      </c>
      <c r="L2356" s="3">
        <v>45859</v>
      </c>
      <c r="M2356" s="3">
        <v>45859</v>
      </c>
      <c r="N2356" s="3"/>
      <c r="O2356" t="s">
        <v>5765</v>
      </c>
      <c r="P2356" t="s">
        <v>5752</v>
      </c>
      <c r="Q2356" s="4">
        <v>0.96210648148148004</v>
      </c>
      <c r="R2356" t="s">
        <v>5748</v>
      </c>
      <c r="S2356" t="s">
        <v>4</v>
      </c>
      <c r="T2356" t="s">
        <v>2261</v>
      </c>
      <c r="U2356" t="s">
        <v>35</v>
      </c>
      <c r="V2356" s="5">
        <v>0</v>
      </c>
      <c r="W2356" s="5">
        <v>0</v>
      </c>
      <c r="X2356" s="2">
        <v>0</v>
      </c>
      <c r="Y2356" t="s">
        <v>4</v>
      </c>
      <c r="Z2356" t="s">
        <v>4</v>
      </c>
      <c r="AA2356" t="s">
        <v>4</v>
      </c>
      <c r="AB2356" t="s">
        <v>4</v>
      </c>
    </row>
    <row r="2357" spans="1:28" hidden="1" x14ac:dyDescent="0.2">
      <c r="A2357" t="s">
        <v>1266</v>
      </c>
      <c r="B2357" t="s">
        <v>2</v>
      </c>
      <c r="C2357" t="s">
        <v>3</v>
      </c>
      <c r="D2357" t="s">
        <v>4</v>
      </c>
      <c r="E2357" t="s">
        <v>4</v>
      </c>
      <c r="F2357" t="s">
        <v>5748</v>
      </c>
      <c r="G2357" t="s">
        <v>5749</v>
      </c>
      <c r="H2357" t="s">
        <v>5763</v>
      </c>
      <c r="I2357" s="2">
        <v>0</v>
      </c>
      <c r="J2357" s="2">
        <v>240</v>
      </c>
      <c r="K2357" s="2">
        <v>0</v>
      </c>
      <c r="L2357" s="3">
        <v>45859</v>
      </c>
      <c r="M2357" s="3">
        <v>45859</v>
      </c>
      <c r="N2357" s="3"/>
      <c r="O2357" t="s">
        <v>5766</v>
      </c>
      <c r="P2357" t="s">
        <v>5752</v>
      </c>
      <c r="Q2357" s="4">
        <v>0.96210648148148004</v>
      </c>
      <c r="R2357" t="s">
        <v>5748</v>
      </c>
      <c r="S2357" t="s">
        <v>4</v>
      </c>
      <c r="T2357" t="s">
        <v>2261</v>
      </c>
      <c r="U2357" t="s">
        <v>35</v>
      </c>
      <c r="V2357" s="5">
        <v>0</v>
      </c>
      <c r="W2357" s="5">
        <v>0</v>
      </c>
      <c r="X2357" s="2">
        <v>0</v>
      </c>
      <c r="Y2357" t="s">
        <v>4</v>
      </c>
      <c r="Z2357" t="s">
        <v>4</v>
      </c>
      <c r="AA2357" t="s">
        <v>4</v>
      </c>
      <c r="AB2357" t="s">
        <v>4</v>
      </c>
    </row>
    <row r="2358" spans="1:28" hidden="1" x14ac:dyDescent="0.2">
      <c r="A2358" t="s">
        <v>1266</v>
      </c>
      <c r="B2358" t="s">
        <v>2</v>
      </c>
      <c r="C2358" t="s">
        <v>3</v>
      </c>
      <c r="D2358" t="s">
        <v>4</v>
      </c>
      <c r="E2358" t="s">
        <v>4</v>
      </c>
      <c r="F2358" t="s">
        <v>5748</v>
      </c>
      <c r="G2358" t="s">
        <v>5749</v>
      </c>
      <c r="H2358" t="s">
        <v>5763</v>
      </c>
      <c r="I2358" s="2">
        <v>0</v>
      </c>
      <c r="J2358" s="2">
        <v>240</v>
      </c>
      <c r="K2358" s="2">
        <v>0</v>
      </c>
      <c r="L2358" s="3">
        <v>45856</v>
      </c>
      <c r="M2358" s="3">
        <v>45856</v>
      </c>
      <c r="N2358" s="3"/>
      <c r="O2358" t="s">
        <v>5767</v>
      </c>
      <c r="P2358" t="s">
        <v>5752</v>
      </c>
      <c r="Q2358" s="4">
        <v>0.96210648148148004</v>
      </c>
      <c r="R2358" t="s">
        <v>5748</v>
      </c>
      <c r="S2358" t="s">
        <v>4</v>
      </c>
      <c r="T2358" t="s">
        <v>2260</v>
      </c>
      <c r="U2358" t="s">
        <v>35</v>
      </c>
      <c r="V2358" s="5">
        <v>0</v>
      </c>
      <c r="W2358" s="5">
        <v>0</v>
      </c>
      <c r="X2358" s="2">
        <v>0</v>
      </c>
      <c r="Y2358" t="s">
        <v>4</v>
      </c>
      <c r="Z2358" t="s">
        <v>4</v>
      </c>
      <c r="AA2358" t="s">
        <v>4</v>
      </c>
      <c r="AB2358" t="s">
        <v>4</v>
      </c>
    </row>
    <row r="2359" spans="1:28" hidden="1" x14ac:dyDescent="0.2">
      <c r="A2359" t="s">
        <v>2251</v>
      </c>
      <c r="B2359" t="s">
        <v>4</v>
      </c>
      <c r="C2359" t="s">
        <v>4</v>
      </c>
      <c r="D2359" t="s">
        <v>4</v>
      </c>
      <c r="E2359" t="s">
        <v>4</v>
      </c>
      <c r="F2359" t="s">
        <v>5748</v>
      </c>
      <c r="G2359" t="s">
        <v>5749</v>
      </c>
      <c r="H2359" t="s">
        <v>5768</v>
      </c>
      <c r="I2359" s="5">
        <v>0</v>
      </c>
      <c r="J2359" s="5">
        <v>0</v>
      </c>
      <c r="K2359" s="5">
        <v>0</v>
      </c>
      <c r="L2359" s="3"/>
      <c r="M2359" s="3"/>
      <c r="N2359" s="3"/>
      <c r="O2359" t="s">
        <v>4</v>
      </c>
      <c r="P2359" t="s">
        <v>5752</v>
      </c>
      <c r="Q2359" s="4">
        <v>0.92247685185185002</v>
      </c>
      <c r="R2359" t="s">
        <v>4</v>
      </c>
      <c r="S2359" t="s">
        <v>4</v>
      </c>
      <c r="T2359" t="s">
        <v>2256</v>
      </c>
      <c r="U2359" t="s">
        <v>4</v>
      </c>
      <c r="V2359" s="5">
        <v>0</v>
      </c>
      <c r="W2359" s="5">
        <v>0</v>
      </c>
      <c r="X2359" s="2">
        <v>0</v>
      </c>
      <c r="Y2359" t="s">
        <v>4</v>
      </c>
      <c r="Z2359" t="s">
        <v>4</v>
      </c>
      <c r="AA2359" t="s">
        <v>4</v>
      </c>
      <c r="AB2359" t="s">
        <v>4</v>
      </c>
    </row>
    <row r="2360" spans="1:28" hidden="1" x14ac:dyDescent="0.2">
      <c r="A2360" t="s">
        <v>2251</v>
      </c>
      <c r="B2360" t="s">
        <v>4</v>
      </c>
      <c r="C2360" t="s">
        <v>4</v>
      </c>
      <c r="D2360" t="s">
        <v>4</v>
      </c>
      <c r="E2360" t="s">
        <v>4</v>
      </c>
      <c r="F2360" t="s">
        <v>5748</v>
      </c>
      <c r="G2360" t="s">
        <v>5749</v>
      </c>
      <c r="H2360" t="s">
        <v>5769</v>
      </c>
      <c r="I2360" s="5">
        <v>0</v>
      </c>
      <c r="J2360" s="5">
        <v>0</v>
      </c>
      <c r="K2360" s="5">
        <v>0</v>
      </c>
      <c r="L2360" s="3"/>
      <c r="M2360" s="3"/>
      <c r="N2360" s="3"/>
      <c r="O2360" t="s">
        <v>4</v>
      </c>
      <c r="P2360" t="s">
        <v>5752</v>
      </c>
      <c r="Q2360" s="4">
        <v>0.62291666666667</v>
      </c>
      <c r="R2360" t="s">
        <v>4</v>
      </c>
      <c r="S2360" t="s">
        <v>4</v>
      </c>
      <c r="T2360" t="s">
        <v>2256</v>
      </c>
      <c r="U2360" t="s">
        <v>4</v>
      </c>
      <c r="V2360" s="5">
        <v>0</v>
      </c>
      <c r="W2360" s="5">
        <v>0</v>
      </c>
      <c r="X2360" s="2">
        <v>0</v>
      </c>
      <c r="Y2360" t="s">
        <v>4</v>
      </c>
      <c r="Z2360" t="s">
        <v>4</v>
      </c>
      <c r="AA2360" t="s">
        <v>4</v>
      </c>
      <c r="AB2360" t="s">
        <v>4</v>
      </c>
    </row>
    <row r="2361" spans="1:28" hidden="1" x14ac:dyDescent="0.2">
      <c r="A2361" t="s">
        <v>2251</v>
      </c>
      <c r="B2361" t="s">
        <v>4</v>
      </c>
      <c r="C2361" t="s">
        <v>4</v>
      </c>
      <c r="D2361" t="s">
        <v>4</v>
      </c>
      <c r="E2361" t="s">
        <v>4</v>
      </c>
      <c r="F2361" t="s">
        <v>5748</v>
      </c>
      <c r="G2361" t="s">
        <v>5749</v>
      </c>
      <c r="H2361" t="s">
        <v>5770</v>
      </c>
      <c r="I2361" s="5">
        <v>0</v>
      </c>
      <c r="J2361" s="5">
        <v>0</v>
      </c>
      <c r="K2361" s="5">
        <v>0</v>
      </c>
      <c r="L2361" s="3"/>
      <c r="M2361" s="3"/>
      <c r="N2361" s="3"/>
      <c r="O2361" t="s">
        <v>4</v>
      </c>
      <c r="P2361" t="s">
        <v>5752</v>
      </c>
      <c r="Q2361" s="4">
        <v>0.96200231481481002</v>
      </c>
      <c r="R2361" t="s">
        <v>4</v>
      </c>
      <c r="S2361" t="s">
        <v>4</v>
      </c>
      <c r="T2361" t="s">
        <v>2256</v>
      </c>
      <c r="U2361" t="s">
        <v>4</v>
      </c>
      <c r="V2361" s="5">
        <v>0</v>
      </c>
      <c r="W2361" s="5">
        <v>0</v>
      </c>
      <c r="X2361" s="2">
        <v>0</v>
      </c>
      <c r="Y2361" t="s">
        <v>4</v>
      </c>
      <c r="Z2361" t="s">
        <v>4</v>
      </c>
      <c r="AA2361" t="s">
        <v>4</v>
      </c>
      <c r="AB2361" t="s">
        <v>4</v>
      </c>
    </row>
    <row r="2362" spans="1:28" hidden="1" x14ac:dyDescent="0.2">
      <c r="A2362" t="s">
        <v>2251</v>
      </c>
      <c r="B2362" t="s">
        <v>4</v>
      </c>
      <c r="C2362" t="s">
        <v>4</v>
      </c>
      <c r="D2362" t="s">
        <v>4</v>
      </c>
      <c r="E2362" t="s">
        <v>4</v>
      </c>
      <c r="F2362" t="s">
        <v>5748</v>
      </c>
      <c r="G2362" t="s">
        <v>5749</v>
      </c>
      <c r="H2362" t="s">
        <v>5771</v>
      </c>
      <c r="I2362" s="5">
        <v>0</v>
      </c>
      <c r="J2362" s="5">
        <v>0</v>
      </c>
      <c r="K2362" s="5">
        <v>0</v>
      </c>
      <c r="L2362" s="3"/>
      <c r="M2362" s="3"/>
      <c r="N2362" s="3"/>
      <c r="O2362" t="s">
        <v>4</v>
      </c>
      <c r="P2362" t="s">
        <v>5752</v>
      </c>
      <c r="Q2362" s="4">
        <v>0.43813657407406997</v>
      </c>
      <c r="R2362" t="s">
        <v>4</v>
      </c>
      <c r="S2362" t="s">
        <v>4</v>
      </c>
      <c r="T2362" t="s">
        <v>2256</v>
      </c>
      <c r="U2362" t="s">
        <v>4</v>
      </c>
      <c r="V2362" s="5">
        <v>0</v>
      </c>
      <c r="W2362" s="5">
        <v>0</v>
      </c>
      <c r="X2362" s="2">
        <v>0</v>
      </c>
      <c r="Y2362" t="s">
        <v>4</v>
      </c>
      <c r="Z2362" t="s">
        <v>4</v>
      </c>
      <c r="AA2362" t="s">
        <v>4</v>
      </c>
      <c r="AB2362" t="s">
        <v>4</v>
      </c>
    </row>
    <row r="2363" spans="1:28" hidden="1" x14ac:dyDescent="0.2">
      <c r="A2363" t="s">
        <v>2251</v>
      </c>
      <c r="B2363" t="s">
        <v>4</v>
      </c>
      <c r="C2363" t="s">
        <v>4</v>
      </c>
      <c r="D2363" t="s">
        <v>4</v>
      </c>
      <c r="E2363" t="s">
        <v>4</v>
      </c>
      <c r="F2363" t="s">
        <v>5748</v>
      </c>
      <c r="G2363" t="s">
        <v>5749</v>
      </c>
      <c r="H2363" t="s">
        <v>5772</v>
      </c>
      <c r="I2363" s="5">
        <v>0</v>
      </c>
      <c r="J2363" s="5">
        <v>0</v>
      </c>
      <c r="K2363" s="5">
        <v>0</v>
      </c>
      <c r="L2363" s="3"/>
      <c r="M2363" s="3"/>
      <c r="N2363" s="3"/>
      <c r="O2363" t="s">
        <v>4</v>
      </c>
      <c r="P2363" t="s">
        <v>5752</v>
      </c>
      <c r="Q2363" s="4">
        <v>0.58385416666667</v>
      </c>
      <c r="R2363" t="s">
        <v>4</v>
      </c>
      <c r="S2363" t="s">
        <v>4</v>
      </c>
      <c r="T2363" t="s">
        <v>2256</v>
      </c>
      <c r="U2363" t="s">
        <v>4</v>
      </c>
      <c r="V2363" s="5">
        <v>0</v>
      </c>
      <c r="W2363" s="5">
        <v>0</v>
      </c>
      <c r="X2363" s="2">
        <v>0</v>
      </c>
      <c r="Y2363" t="s">
        <v>4</v>
      </c>
      <c r="Z2363" t="s">
        <v>4</v>
      </c>
      <c r="AA2363" t="s">
        <v>4</v>
      </c>
      <c r="AB2363" t="s">
        <v>4</v>
      </c>
    </row>
    <row r="2364" spans="1:28" hidden="1" x14ac:dyDescent="0.2">
      <c r="A2364" t="s">
        <v>2251</v>
      </c>
      <c r="B2364" t="s">
        <v>4</v>
      </c>
      <c r="C2364" t="s">
        <v>4</v>
      </c>
      <c r="D2364" t="s">
        <v>4</v>
      </c>
      <c r="E2364" t="s">
        <v>4</v>
      </c>
      <c r="F2364" t="s">
        <v>5748</v>
      </c>
      <c r="G2364" t="s">
        <v>5749</v>
      </c>
      <c r="H2364" t="s">
        <v>5773</v>
      </c>
      <c r="I2364" s="5">
        <v>0</v>
      </c>
      <c r="J2364" s="5">
        <v>0</v>
      </c>
      <c r="K2364" s="5">
        <v>0</v>
      </c>
      <c r="L2364" s="3"/>
      <c r="M2364" s="3"/>
      <c r="N2364" s="3"/>
      <c r="O2364" t="s">
        <v>4</v>
      </c>
      <c r="P2364" t="s">
        <v>5752</v>
      </c>
      <c r="Q2364" s="4">
        <v>0.54938657407406999</v>
      </c>
      <c r="R2364" t="s">
        <v>4</v>
      </c>
      <c r="S2364" t="s">
        <v>4</v>
      </c>
      <c r="T2364" t="s">
        <v>2256</v>
      </c>
      <c r="U2364" t="s">
        <v>4</v>
      </c>
      <c r="V2364" s="5">
        <v>0</v>
      </c>
      <c r="W2364" s="5">
        <v>0</v>
      </c>
      <c r="X2364" s="2">
        <v>0</v>
      </c>
      <c r="Y2364" t="s">
        <v>4</v>
      </c>
      <c r="Z2364" t="s">
        <v>4</v>
      </c>
      <c r="AA2364" t="s">
        <v>4</v>
      </c>
      <c r="AB2364" t="s">
        <v>4</v>
      </c>
    </row>
    <row r="2365" spans="1:28" hidden="1" x14ac:dyDescent="0.2">
      <c r="A2365" t="s">
        <v>2251</v>
      </c>
      <c r="B2365" t="s">
        <v>4</v>
      </c>
      <c r="C2365" t="s">
        <v>4</v>
      </c>
      <c r="D2365" t="s">
        <v>4</v>
      </c>
      <c r="E2365" t="s">
        <v>4</v>
      </c>
      <c r="F2365" t="s">
        <v>5748</v>
      </c>
      <c r="G2365" t="s">
        <v>5749</v>
      </c>
      <c r="H2365" t="s">
        <v>5774</v>
      </c>
      <c r="I2365" s="5">
        <v>0</v>
      </c>
      <c r="J2365" s="5">
        <v>0</v>
      </c>
      <c r="K2365" s="5">
        <v>0</v>
      </c>
      <c r="L2365" s="3"/>
      <c r="M2365" s="3"/>
      <c r="N2365" s="3"/>
      <c r="O2365" t="s">
        <v>4</v>
      </c>
      <c r="P2365" t="s">
        <v>5752</v>
      </c>
      <c r="Q2365" s="4">
        <v>0.51815972222221995</v>
      </c>
      <c r="R2365" t="s">
        <v>4</v>
      </c>
      <c r="S2365" t="s">
        <v>4</v>
      </c>
      <c r="T2365" t="s">
        <v>2256</v>
      </c>
      <c r="U2365" t="s">
        <v>4</v>
      </c>
      <c r="V2365" s="5">
        <v>0</v>
      </c>
      <c r="W2365" s="5">
        <v>0</v>
      </c>
      <c r="X2365" s="2">
        <v>0</v>
      </c>
      <c r="Y2365" t="s">
        <v>4</v>
      </c>
      <c r="Z2365" t="s">
        <v>4</v>
      </c>
      <c r="AA2365" t="s">
        <v>4</v>
      </c>
      <c r="AB2365" t="s">
        <v>4</v>
      </c>
    </row>
    <row r="2366" spans="1:28" hidden="1" x14ac:dyDescent="0.2">
      <c r="A2366" t="s">
        <v>2251</v>
      </c>
      <c r="B2366" t="s">
        <v>4</v>
      </c>
      <c r="C2366" t="s">
        <v>4</v>
      </c>
      <c r="D2366" t="s">
        <v>4</v>
      </c>
      <c r="E2366" t="s">
        <v>4</v>
      </c>
      <c r="F2366" t="s">
        <v>5748</v>
      </c>
      <c r="G2366" t="s">
        <v>5749</v>
      </c>
      <c r="H2366" t="s">
        <v>5775</v>
      </c>
      <c r="I2366" s="5">
        <v>0</v>
      </c>
      <c r="J2366" s="5">
        <v>0</v>
      </c>
      <c r="K2366" s="5">
        <v>0</v>
      </c>
      <c r="L2366" s="3"/>
      <c r="M2366" s="3"/>
      <c r="N2366" s="3"/>
      <c r="O2366" t="s">
        <v>4</v>
      </c>
      <c r="P2366" t="s">
        <v>5752</v>
      </c>
      <c r="Q2366" s="4">
        <v>0.90638888888889002</v>
      </c>
      <c r="R2366" t="s">
        <v>4</v>
      </c>
      <c r="S2366" t="s">
        <v>4</v>
      </c>
      <c r="T2366" t="s">
        <v>2256</v>
      </c>
      <c r="U2366" t="s">
        <v>4</v>
      </c>
      <c r="V2366" s="5">
        <v>0</v>
      </c>
      <c r="W2366" s="5">
        <v>0</v>
      </c>
      <c r="X2366" s="2">
        <v>0</v>
      </c>
      <c r="Y2366" t="s">
        <v>4</v>
      </c>
      <c r="Z2366" t="s">
        <v>4</v>
      </c>
      <c r="AA2366" t="s">
        <v>4</v>
      </c>
      <c r="AB2366" t="s">
        <v>4</v>
      </c>
    </row>
    <row r="2367" spans="1:28" hidden="1" x14ac:dyDescent="0.2">
      <c r="A2367" t="s">
        <v>2251</v>
      </c>
      <c r="B2367" t="s">
        <v>4</v>
      </c>
      <c r="C2367" t="s">
        <v>4</v>
      </c>
      <c r="D2367" t="s">
        <v>4</v>
      </c>
      <c r="E2367" t="s">
        <v>4</v>
      </c>
      <c r="F2367" t="s">
        <v>5748</v>
      </c>
      <c r="G2367" t="s">
        <v>5749</v>
      </c>
      <c r="H2367" t="s">
        <v>5776</v>
      </c>
      <c r="I2367" s="5">
        <v>0</v>
      </c>
      <c r="J2367" s="5">
        <v>0</v>
      </c>
      <c r="K2367" s="5">
        <v>0</v>
      </c>
      <c r="L2367" s="3"/>
      <c r="M2367" s="3"/>
      <c r="N2367" s="3"/>
      <c r="O2367" t="s">
        <v>4</v>
      </c>
      <c r="P2367" t="s">
        <v>5752</v>
      </c>
      <c r="Q2367" s="4">
        <v>0.55929398148148002</v>
      </c>
      <c r="R2367" t="s">
        <v>4</v>
      </c>
      <c r="S2367" t="s">
        <v>4</v>
      </c>
      <c r="T2367" t="s">
        <v>2256</v>
      </c>
      <c r="U2367" t="s">
        <v>4</v>
      </c>
      <c r="V2367" s="5">
        <v>0</v>
      </c>
      <c r="W2367" s="5">
        <v>0</v>
      </c>
      <c r="X2367" s="2">
        <v>0</v>
      </c>
      <c r="Y2367" t="s">
        <v>4</v>
      </c>
      <c r="Z2367" t="s">
        <v>4</v>
      </c>
      <c r="AA2367" t="s">
        <v>4</v>
      </c>
      <c r="AB2367" t="s">
        <v>4</v>
      </c>
    </row>
    <row r="2368" spans="1:28" hidden="1" x14ac:dyDescent="0.2">
      <c r="A2368" t="s">
        <v>2251</v>
      </c>
      <c r="B2368" t="s">
        <v>4</v>
      </c>
      <c r="C2368" t="s">
        <v>4</v>
      </c>
      <c r="D2368" t="s">
        <v>4</v>
      </c>
      <c r="E2368" t="s">
        <v>4</v>
      </c>
      <c r="F2368" t="s">
        <v>5777</v>
      </c>
      <c r="G2368" t="s">
        <v>5778</v>
      </c>
      <c r="H2368" t="s">
        <v>5779</v>
      </c>
      <c r="I2368" s="5">
        <v>0</v>
      </c>
      <c r="J2368" s="5">
        <v>0</v>
      </c>
      <c r="K2368" s="5">
        <v>0</v>
      </c>
      <c r="L2368" s="3"/>
      <c r="M2368" s="3"/>
      <c r="N2368" s="3"/>
      <c r="O2368" t="s">
        <v>4</v>
      </c>
      <c r="P2368" t="s">
        <v>5780</v>
      </c>
      <c r="Q2368" s="4">
        <v>0</v>
      </c>
      <c r="R2368" t="s">
        <v>4</v>
      </c>
      <c r="S2368" t="s">
        <v>4</v>
      </c>
      <c r="T2368" t="s">
        <v>2256</v>
      </c>
      <c r="U2368" t="s">
        <v>4</v>
      </c>
      <c r="V2368" s="5">
        <v>0</v>
      </c>
      <c r="W2368" s="5">
        <v>0</v>
      </c>
      <c r="X2368" s="2">
        <v>0</v>
      </c>
      <c r="Y2368" t="s">
        <v>4</v>
      </c>
      <c r="Z2368" t="s">
        <v>4</v>
      </c>
      <c r="AA2368" t="s">
        <v>4</v>
      </c>
      <c r="AB2368" t="s">
        <v>4</v>
      </c>
    </row>
    <row r="2369" spans="1:28" hidden="1" x14ac:dyDescent="0.2">
      <c r="A2369" t="s">
        <v>2251</v>
      </c>
      <c r="B2369" t="s">
        <v>4</v>
      </c>
      <c r="C2369" t="s">
        <v>4</v>
      </c>
      <c r="D2369" t="s">
        <v>4</v>
      </c>
      <c r="E2369" t="s">
        <v>4</v>
      </c>
      <c r="F2369" t="s">
        <v>5777</v>
      </c>
      <c r="G2369" t="s">
        <v>5778</v>
      </c>
      <c r="H2369" t="s">
        <v>5781</v>
      </c>
      <c r="I2369" s="5">
        <v>0</v>
      </c>
      <c r="J2369" s="5">
        <v>0</v>
      </c>
      <c r="K2369" s="5">
        <v>0</v>
      </c>
      <c r="L2369" s="3"/>
      <c r="M2369" s="3"/>
      <c r="N2369" s="3"/>
      <c r="O2369" t="s">
        <v>4</v>
      </c>
      <c r="P2369" t="s">
        <v>5780</v>
      </c>
      <c r="Q2369" s="4">
        <v>0</v>
      </c>
      <c r="R2369" t="s">
        <v>4</v>
      </c>
      <c r="S2369" t="s">
        <v>4</v>
      </c>
      <c r="T2369" t="s">
        <v>2256</v>
      </c>
      <c r="U2369" t="s">
        <v>4</v>
      </c>
      <c r="V2369" s="5">
        <v>0</v>
      </c>
      <c r="W2369" s="5">
        <v>0</v>
      </c>
      <c r="X2369" s="2">
        <v>0</v>
      </c>
      <c r="Y2369" t="s">
        <v>4</v>
      </c>
      <c r="Z2369" t="s">
        <v>4</v>
      </c>
      <c r="AA2369" t="s">
        <v>4</v>
      </c>
      <c r="AB2369" t="s">
        <v>4</v>
      </c>
    </row>
    <row r="2370" spans="1:28" hidden="1" x14ac:dyDescent="0.2">
      <c r="A2370" s="6" t="s">
        <v>4</v>
      </c>
      <c r="B2370" s="6" t="s">
        <v>4</v>
      </c>
      <c r="C2370" s="6" t="s">
        <v>4</v>
      </c>
      <c r="D2370" s="6" t="s">
        <v>4</v>
      </c>
      <c r="E2370" s="6" t="s">
        <v>4</v>
      </c>
      <c r="F2370" s="6" t="s">
        <v>4</v>
      </c>
      <c r="G2370" s="6" t="s">
        <v>4</v>
      </c>
      <c r="H2370" s="6" t="s">
        <v>4</v>
      </c>
      <c r="I2370" s="7">
        <v>1411200</v>
      </c>
      <c r="J2370" s="7">
        <v>0</v>
      </c>
      <c r="K2370" s="7">
        <v>0</v>
      </c>
      <c r="L2370" s="8"/>
      <c r="M2370" s="8"/>
      <c r="N2370" s="8"/>
      <c r="O2370" s="6" t="s">
        <v>4</v>
      </c>
      <c r="P2370" s="6" t="s">
        <v>4</v>
      </c>
      <c r="Q2370" s="9"/>
      <c r="R2370" s="6" t="s">
        <v>4</v>
      </c>
      <c r="S2370" s="6" t="s">
        <v>4</v>
      </c>
      <c r="T2370" s="6" t="s">
        <v>4</v>
      </c>
      <c r="U2370" s="6" t="s">
        <v>4</v>
      </c>
      <c r="V2370" s="7"/>
      <c r="W2370" s="7"/>
      <c r="X2370" s="7"/>
      <c r="Y2370" s="6" t="s">
        <v>4</v>
      </c>
      <c r="Z2370" s="6" t="s">
        <v>4</v>
      </c>
      <c r="AA2370" s="6" t="s">
        <v>4</v>
      </c>
      <c r="AB2370" s="6" t="s">
        <v>4</v>
      </c>
    </row>
    <row r="2371" spans="1:28" hidden="1" x14ac:dyDescent="0.2">
      <c r="A2371" s="6" t="s">
        <v>4</v>
      </c>
      <c r="B2371" s="6" t="s">
        <v>4</v>
      </c>
      <c r="C2371" s="6" t="s">
        <v>4</v>
      </c>
      <c r="D2371" s="6" t="s">
        <v>4</v>
      </c>
      <c r="E2371" s="6" t="s">
        <v>4</v>
      </c>
      <c r="F2371" s="6" t="s">
        <v>4</v>
      </c>
      <c r="G2371" s="6" t="s">
        <v>4</v>
      </c>
      <c r="H2371" s="6" t="s">
        <v>4</v>
      </c>
      <c r="I2371" s="48">
        <v>68140.179999999993</v>
      </c>
      <c r="J2371" s="7">
        <v>0</v>
      </c>
      <c r="K2371" s="7">
        <v>0</v>
      </c>
      <c r="L2371" s="8"/>
      <c r="M2371" s="8"/>
      <c r="N2371" s="8"/>
      <c r="O2371" s="6" t="s">
        <v>4</v>
      </c>
      <c r="P2371" s="6" t="s">
        <v>4</v>
      </c>
      <c r="Q2371" s="9"/>
      <c r="R2371" s="6" t="s">
        <v>4</v>
      </c>
      <c r="S2371" s="6" t="s">
        <v>4</v>
      </c>
      <c r="T2371" s="6" t="s">
        <v>4</v>
      </c>
      <c r="U2371" s="6" t="s">
        <v>4</v>
      </c>
      <c r="V2371" s="7"/>
      <c r="W2371" s="7"/>
      <c r="X2371" s="7"/>
      <c r="Y2371" s="6" t="s">
        <v>4</v>
      </c>
      <c r="Z2371" s="6" t="s">
        <v>4</v>
      </c>
      <c r="AA2371" s="6" t="s">
        <v>4</v>
      </c>
      <c r="AB2371" s="6" t="s">
        <v>4</v>
      </c>
    </row>
    <row r="2372" spans="1:28" hidden="1" x14ac:dyDescent="0.2">
      <c r="A2372" s="6" t="s">
        <v>4</v>
      </c>
      <c r="B2372" s="6" t="s">
        <v>4</v>
      </c>
      <c r="C2372" s="6" t="s">
        <v>4</v>
      </c>
      <c r="D2372" s="6" t="s">
        <v>4</v>
      </c>
      <c r="E2372" s="6" t="s">
        <v>4</v>
      </c>
      <c r="F2372" s="6" t="s">
        <v>4</v>
      </c>
      <c r="G2372" s="6" t="s">
        <v>4</v>
      </c>
      <c r="H2372" s="6" t="s">
        <v>4</v>
      </c>
      <c r="I2372" s="7">
        <v>199641</v>
      </c>
      <c r="J2372" s="7">
        <v>0</v>
      </c>
      <c r="K2372" s="7">
        <v>0</v>
      </c>
      <c r="L2372" s="8"/>
      <c r="M2372" s="8"/>
      <c r="N2372" s="8"/>
      <c r="O2372" s="6" t="s">
        <v>4</v>
      </c>
      <c r="P2372" s="6" t="s">
        <v>4</v>
      </c>
      <c r="Q2372" s="9"/>
      <c r="R2372" s="6" t="s">
        <v>4</v>
      </c>
      <c r="S2372" s="6" t="s">
        <v>4</v>
      </c>
      <c r="T2372" s="6" t="s">
        <v>4</v>
      </c>
      <c r="U2372" s="6" t="s">
        <v>4</v>
      </c>
      <c r="V2372" s="7"/>
      <c r="W2372" s="7"/>
      <c r="X2372" s="7"/>
      <c r="Y2372" s="6" t="s">
        <v>4</v>
      </c>
      <c r="Z2372" s="6" t="s">
        <v>4</v>
      </c>
      <c r="AA2372" s="6" t="s">
        <v>4</v>
      </c>
      <c r="AB2372" s="6" t="s">
        <v>4</v>
      </c>
    </row>
    <row r="2373" spans="1:28" hidden="1" x14ac:dyDescent="0.2">
      <c r="A2373" s="6" t="s">
        <v>4</v>
      </c>
      <c r="B2373" s="6" t="s">
        <v>4</v>
      </c>
      <c r="C2373" s="6" t="s">
        <v>4</v>
      </c>
      <c r="D2373" s="6" t="s">
        <v>4</v>
      </c>
      <c r="E2373" s="6" t="s">
        <v>4</v>
      </c>
      <c r="F2373" s="6" t="s">
        <v>4</v>
      </c>
      <c r="G2373" s="6" t="s">
        <v>4</v>
      </c>
      <c r="H2373" s="6" t="s">
        <v>4</v>
      </c>
      <c r="I2373" s="7">
        <v>255100</v>
      </c>
      <c r="J2373" s="7">
        <v>0</v>
      </c>
      <c r="K2373" s="7">
        <v>0</v>
      </c>
      <c r="L2373" s="8"/>
      <c r="M2373" s="8"/>
      <c r="N2373" s="8"/>
      <c r="O2373" s="6" t="s">
        <v>4</v>
      </c>
      <c r="P2373" s="6" t="s">
        <v>4</v>
      </c>
      <c r="Q2373" s="9"/>
      <c r="R2373" s="6" t="s">
        <v>4</v>
      </c>
      <c r="S2373" s="6" t="s">
        <v>4</v>
      </c>
      <c r="T2373" s="6" t="s">
        <v>4</v>
      </c>
      <c r="U2373" s="6" t="s">
        <v>4</v>
      </c>
      <c r="V2373" s="7"/>
      <c r="W2373" s="7"/>
      <c r="X2373" s="7"/>
      <c r="Y2373" s="6" t="s">
        <v>4</v>
      </c>
      <c r="Z2373" s="6" t="s">
        <v>4</v>
      </c>
      <c r="AA2373" s="6" t="s">
        <v>4</v>
      </c>
      <c r="AB2373" s="6" t="s">
        <v>4</v>
      </c>
    </row>
    <row r="2374" spans="1:28" hidden="1" x14ac:dyDescent="0.2">
      <c r="A2374" s="6" t="s">
        <v>4</v>
      </c>
      <c r="B2374" s="6" t="s">
        <v>4</v>
      </c>
      <c r="C2374" s="6" t="s">
        <v>4</v>
      </c>
      <c r="D2374" s="6" t="s">
        <v>4</v>
      </c>
      <c r="E2374" s="6" t="s">
        <v>4</v>
      </c>
      <c r="F2374" s="6" t="s">
        <v>4</v>
      </c>
      <c r="G2374" s="6" t="s">
        <v>4</v>
      </c>
      <c r="H2374" s="6" t="s">
        <v>4</v>
      </c>
      <c r="I2374" s="7">
        <v>5804561</v>
      </c>
      <c r="J2374" s="7">
        <v>36818</v>
      </c>
      <c r="K2374" s="7">
        <v>36818</v>
      </c>
      <c r="L2374" s="8"/>
      <c r="M2374" s="8"/>
      <c r="N2374" s="8"/>
      <c r="O2374" s="6" t="s">
        <v>4</v>
      </c>
      <c r="P2374" s="6" t="s">
        <v>4</v>
      </c>
      <c r="Q2374" s="9"/>
      <c r="R2374" s="6" t="s">
        <v>4</v>
      </c>
      <c r="S2374" s="6" t="s">
        <v>4</v>
      </c>
      <c r="T2374" s="6" t="s">
        <v>4</v>
      </c>
      <c r="U2374" s="6" t="s">
        <v>4</v>
      </c>
      <c r="V2374" s="7"/>
      <c r="W2374" s="7"/>
      <c r="X2374" s="7"/>
      <c r="Y2374" s="6" t="s">
        <v>4</v>
      </c>
      <c r="Z2374" s="6" t="s">
        <v>4</v>
      </c>
      <c r="AA2374" s="6" t="s">
        <v>4</v>
      </c>
      <c r="AB2374" s="6" t="s">
        <v>4</v>
      </c>
    </row>
    <row r="2375" spans="1:28" hidden="1" x14ac:dyDescent="0.2">
      <c r="A2375" s="6" t="s">
        <v>4</v>
      </c>
      <c r="B2375" s="6" t="s">
        <v>4</v>
      </c>
      <c r="C2375" s="6" t="s">
        <v>4</v>
      </c>
      <c r="D2375" s="6" t="s">
        <v>4</v>
      </c>
      <c r="E2375" s="6" t="s">
        <v>4</v>
      </c>
      <c r="F2375" s="6" t="s">
        <v>4</v>
      </c>
      <c r="G2375" s="6" t="s">
        <v>4</v>
      </c>
      <c r="H2375" s="6" t="s">
        <v>4</v>
      </c>
      <c r="I2375" s="7">
        <v>28359</v>
      </c>
      <c r="J2375" s="7">
        <v>0</v>
      </c>
      <c r="K2375" s="7">
        <v>0</v>
      </c>
      <c r="L2375" s="8"/>
      <c r="M2375" s="8"/>
      <c r="N2375" s="8"/>
      <c r="O2375" s="6" t="s">
        <v>4</v>
      </c>
      <c r="P2375" s="6" t="s">
        <v>4</v>
      </c>
      <c r="Q2375" s="9"/>
      <c r="R2375" s="6" t="s">
        <v>4</v>
      </c>
      <c r="S2375" s="6" t="s">
        <v>4</v>
      </c>
      <c r="T2375" s="6" t="s">
        <v>4</v>
      </c>
      <c r="U2375" s="6" t="s">
        <v>4</v>
      </c>
      <c r="V2375" s="7"/>
      <c r="W2375" s="7"/>
      <c r="X2375" s="7"/>
      <c r="Y2375" s="6" t="s">
        <v>4</v>
      </c>
      <c r="Z2375" s="6" t="s">
        <v>4</v>
      </c>
      <c r="AA2375" s="6" t="s">
        <v>4</v>
      </c>
      <c r="AB2375" s="6" t="s">
        <v>4</v>
      </c>
    </row>
  </sheetData>
  <autoFilter ref="A1:AB2375" xr:uid="{593DDD8D-AE87-4182-8E81-8C266AEB6321}">
    <filterColumn colId="5">
      <filters>
        <filter val="922"/>
        <filter val="COL"/>
        <filter val="DOP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F5A9-D24D-4F6D-A02C-753377825E37}">
  <sheetPr>
    <tabColor rgb="FFFFFF00"/>
  </sheetPr>
  <dimension ref="A1:L2113"/>
  <sheetViews>
    <sheetView workbookViewId="0">
      <selection activeCell="H8" sqref="H8"/>
    </sheetView>
  </sheetViews>
  <sheetFormatPr baseColWidth="10" defaultRowHeight="12.75" x14ac:dyDescent="0.2"/>
  <cols>
    <col min="2" max="2" width="44.5703125" bestFit="1" customWidth="1"/>
  </cols>
  <sheetData>
    <row r="1" spans="1:6" ht="38.25" x14ac:dyDescent="0.2">
      <c r="A1" s="49" t="s">
        <v>212</v>
      </c>
      <c r="B1" s="50" t="s">
        <v>5782</v>
      </c>
      <c r="C1" s="49" t="s">
        <v>218</v>
      </c>
      <c r="D1" s="51" t="s">
        <v>219</v>
      </c>
      <c r="E1" s="49" t="s">
        <v>220</v>
      </c>
      <c r="F1" s="50" t="s">
        <v>5783</v>
      </c>
    </row>
    <row r="2" spans="1:6" x14ac:dyDescent="0.2">
      <c r="A2" s="12" t="s">
        <v>2251</v>
      </c>
      <c r="B2" s="11" t="e">
        <f>VLOOKUP(A2,'[1]Base de datos_2025'!$A:$D,4,FALSE)</f>
        <v>#N/A</v>
      </c>
      <c r="C2" s="12" t="s">
        <v>208</v>
      </c>
      <c r="D2" s="12" t="s">
        <v>209</v>
      </c>
      <c r="E2" s="12" t="s">
        <v>5458</v>
      </c>
      <c r="F2" s="47"/>
    </row>
    <row r="3" spans="1:6" x14ac:dyDescent="0.2">
      <c r="A3" s="12" t="s">
        <v>2251</v>
      </c>
      <c r="B3" s="11" t="e">
        <f>VLOOKUP(A3,'[1]Base de datos_2025'!$A:$D,4,FALSE)</f>
        <v>#N/A</v>
      </c>
      <c r="C3" s="12" t="s">
        <v>208</v>
      </c>
      <c r="D3" s="12" t="s">
        <v>209</v>
      </c>
      <c r="E3" s="12" t="s">
        <v>5459</v>
      </c>
      <c r="F3" s="47"/>
    </row>
    <row r="4" spans="1:6" x14ac:dyDescent="0.2">
      <c r="A4" s="12" t="s">
        <v>1553</v>
      </c>
      <c r="B4" s="11" t="str">
        <f>VLOOKUP(A4,'[1]Base de datos_2025'!$A:$D,4,FALSE)</f>
        <v>GAVETA WHP (TEMPEST) P SIN ETIQ</v>
      </c>
      <c r="C4" s="12" t="s">
        <v>208</v>
      </c>
      <c r="D4" s="12" t="s">
        <v>209</v>
      </c>
      <c r="E4" s="12" t="s">
        <v>5460</v>
      </c>
      <c r="F4" s="13"/>
    </row>
    <row r="5" spans="1:6" x14ac:dyDescent="0.2">
      <c r="A5" s="12" t="s">
        <v>1528</v>
      </c>
      <c r="B5" s="11" t="str">
        <f>VLOOKUP(A5,'[1]Base de datos_2025'!$A:$D,4,FALSE)</f>
        <v>GAVETA ACROS TEMPEST SIN ETIQ</v>
      </c>
      <c r="C5" s="12" t="s">
        <v>208</v>
      </c>
      <c r="D5" s="12" t="s">
        <v>209</v>
      </c>
      <c r="E5" s="12" t="s">
        <v>5461</v>
      </c>
      <c r="F5" s="13"/>
    </row>
    <row r="6" spans="1:6" x14ac:dyDescent="0.2">
      <c r="A6" s="12" t="s">
        <v>482</v>
      </c>
      <c r="B6" s="11" t="str">
        <f>VLOOKUP(A6,'[1]Base de datos_2025'!$A:$D,4,FALSE)</f>
        <v>VALVULA DE AGUA CAL (ROJA OSC) COPA 2.0</v>
      </c>
      <c r="C6" s="12" t="s">
        <v>208</v>
      </c>
      <c r="D6" s="12" t="s">
        <v>209</v>
      </c>
      <c r="E6" s="12" t="s">
        <v>5463</v>
      </c>
      <c r="F6" s="13"/>
    </row>
    <row r="7" spans="1:6" x14ac:dyDescent="0.2">
      <c r="A7" s="12" t="s">
        <v>404</v>
      </c>
      <c r="B7" s="11" t="str">
        <f>VLOOKUP(A7,'[1]Base de datos_2025'!$A:$D,4,FALSE)</f>
        <v>TAPA TRASERA TF NEGRA BOTERO 2.0</v>
      </c>
      <c r="C7" s="12" t="s">
        <v>208</v>
      </c>
      <c r="D7" s="12" t="s">
        <v>209</v>
      </c>
      <c r="E7" s="12" t="s">
        <v>5464</v>
      </c>
      <c r="F7" s="13"/>
    </row>
    <row r="8" spans="1:6" x14ac:dyDescent="0.2">
      <c r="A8" s="12" t="s">
        <v>1334</v>
      </c>
      <c r="B8" s="11" t="str">
        <f>VLOOKUP(A8,'[1]Base de datos_2025'!$A:$D,4,FALSE)</f>
        <v>MANGUERA PRESOSTATO GOOD AZUL</v>
      </c>
      <c r="C8" s="12" t="s">
        <v>208</v>
      </c>
      <c r="D8" s="12" t="s">
        <v>209</v>
      </c>
      <c r="E8" s="12" t="s">
        <v>5465</v>
      </c>
      <c r="F8" s="13"/>
    </row>
    <row r="9" spans="1:6" x14ac:dyDescent="0.2">
      <c r="A9" s="12" t="s">
        <v>1337</v>
      </c>
      <c r="B9" s="11" t="str">
        <f>VLOOKUP(A9,'[1]Base de datos_2025'!$A:$D,4,FALSE)</f>
        <v>MANGUERA PRESOSTATO GOOD ROJA COPA 2.0</v>
      </c>
      <c r="C9" s="12" t="s">
        <v>208</v>
      </c>
      <c r="D9" s="12" t="s">
        <v>209</v>
      </c>
      <c r="E9" s="12" t="s">
        <v>5466</v>
      </c>
      <c r="F9" s="13"/>
    </row>
    <row r="10" spans="1:6" x14ac:dyDescent="0.2">
      <c r="A10" s="12" t="s">
        <v>1901</v>
      </c>
      <c r="B10" s="11" t="str">
        <f>VLOOKUP(A10,'[1]Base de datos_2025'!$A:$D,4,FALSE)</f>
        <v>CORREA POLI V</v>
      </c>
      <c r="C10" s="12" t="s">
        <v>5</v>
      </c>
      <c r="D10" s="12" t="s">
        <v>6</v>
      </c>
      <c r="E10" s="12" t="s">
        <v>2663</v>
      </c>
      <c r="F10" s="13"/>
    </row>
    <row r="11" spans="1:6" x14ac:dyDescent="0.2">
      <c r="A11" s="12" t="s">
        <v>1888</v>
      </c>
      <c r="B11" s="11" t="str">
        <f>VLOOKUP(A11,'[1]Base de datos_2025'!$A:$D,4,FALSE)</f>
        <v>CUBIERTA BISAG DER NEGRO COPA 2.0</v>
      </c>
      <c r="C11" s="12" t="s">
        <v>5</v>
      </c>
      <c r="D11" s="12" t="s">
        <v>6</v>
      </c>
      <c r="E11" s="12" t="s">
        <v>2666</v>
      </c>
      <c r="F11" s="13"/>
    </row>
    <row r="12" spans="1:6" x14ac:dyDescent="0.2">
      <c r="A12" s="12" t="s">
        <v>1888</v>
      </c>
      <c r="B12" s="11" t="str">
        <f>VLOOKUP(A12,'[1]Base de datos_2025'!$A:$D,4,FALSE)</f>
        <v>CUBIERTA BISAG DER NEGRO COPA 2.0</v>
      </c>
      <c r="C12" s="12" t="s">
        <v>5</v>
      </c>
      <c r="D12" s="12" t="s">
        <v>6</v>
      </c>
      <c r="E12" s="12" t="s">
        <v>2666</v>
      </c>
      <c r="F12" s="13"/>
    </row>
    <row r="13" spans="1:6" x14ac:dyDescent="0.2">
      <c r="A13" s="12" t="s">
        <v>715</v>
      </c>
      <c r="B13" s="11"/>
      <c r="C13" s="12" t="s">
        <v>5</v>
      </c>
      <c r="D13" s="12" t="s">
        <v>6</v>
      </c>
      <c r="E13" s="12" t="s">
        <v>2670</v>
      </c>
      <c r="F13" s="13"/>
    </row>
    <row r="14" spans="1:6" x14ac:dyDescent="0.2">
      <c r="A14" s="12" t="s">
        <v>715</v>
      </c>
      <c r="B14" s="11"/>
      <c r="C14" s="12" t="s">
        <v>5</v>
      </c>
      <c r="D14" s="12" t="s">
        <v>6</v>
      </c>
      <c r="E14" s="12" t="s">
        <v>2670</v>
      </c>
      <c r="F14" s="13"/>
    </row>
    <row r="15" spans="1:6" x14ac:dyDescent="0.2">
      <c r="A15" s="12" t="s">
        <v>1209</v>
      </c>
      <c r="B15" s="11"/>
      <c r="C15" s="12" t="s">
        <v>5</v>
      </c>
      <c r="D15" s="12" t="s">
        <v>6</v>
      </c>
      <c r="E15" s="12" t="s">
        <v>2673</v>
      </c>
      <c r="F15" s="13"/>
    </row>
    <row r="16" spans="1:6" x14ac:dyDescent="0.2">
      <c r="A16" s="12" t="s">
        <v>1209</v>
      </c>
      <c r="B16" s="11"/>
      <c r="C16" s="12" t="s">
        <v>5</v>
      </c>
      <c r="D16" s="12" t="s">
        <v>6</v>
      </c>
      <c r="E16" s="12" t="s">
        <v>2673</v>
      </c>
      <c r="F16" s="13"/>
    </row>
    <row r="17" spans="1:12" x14ac:dyDescent="0.2">
      <c r="A17" s="12" t="s">
        <v>1054</v>
      </c>
      <c r="B17" s="11"/>
      <c r="C17" s="12" t="s">
        <v>5</v>
      </c>
      <c r="D17" s="12" t="s">
        <v>6</v>
      </c>
      <c r="E17" s="12" t="s">
        <v>2678</v>
      </c>
      <c r="F17" s="13"/>
      <c r="I17" s="69" t="s">
        <v>5789</v>
      </c>
      <c r="J17" s="69"/>
      <c r="K17" s="69"/>
      <c r="L17" s="69"/>
    </row>
    <row r="18" spans="1:12" x14ac:dyDescent="0.2">
      <c r="A18" s="12" t="s">
        <v>2095</v>
      </c>
      <c r="B18" s="11"/>
      <c r="C18" s="12" t="s">
        <v>5</v>
      </c>
      <c r="D18" s="12" t="s">
        <v>6</v>
      </c>
      <c r="E18" s="12" t="s">
        <v>2681</v>
      </c>
      <c r="F18" s="13"/>
    </row>
    <row r="19" spans="1:12" x14ac:dyDescent="0.2">
      <c r="A19" s="12" t="s">
        <v>2095</v>
      </c>
      <c r="B19" s="11"/>
      <c r="C19" s="12" t="s">
        <v>5</v>
      </c>
      <c r="D19" s="12" t="s">
        <v>6</v>
      </c>
      <c r="E19" s="12" t="s">
        <v>2681</v>
      </c>
      <c r="F19" s="13"/>
    </row>
    <row r="20" spans="1:12" x14ac:dyDescent="0.2">
      <c r="A20" s="12" t="s">
        <v>1982</v>
      </c>
      <c r="B20" s="11"/>
      <c r="C20" s="12" t="s">
        <v>5</v>
      </c>
      <c r="D20" s="12" t="s">
        <v>6</v>
      </c>
      <c r="E20" s="12" t="s">
        <v>2684</v>
      </c>
      <c r="F20" s="13"/>
    </row>
    <row r="21" spans="1:12" x14ac:dyDescent="0.2">
      <c r="A21" s="12" t="s">
        <v>1982</v>
      </c>
      <c r="B21" s="11"/>
      <c r="C21" s="12" t="s">
        <v>5</v>
      </c>
      <c r="D21" s="12" t="s">
        <v>6</v>
      </c>
      <c r="E21" s="12" t="s">
        <v>2684</v>
      </c>
      <c r="F21" s="13"/>
    </row>
    <row r="22" spans="1:12" x14ac:dyDescent="0.2">
      <c r="A22" s="12" t="s">
        <v>1471</v>
      </c>
      <c r="B22" s="11"/>
      <c r="C22" s="12" t="s">
        <v>5</v>
      </c>
      <c r="D22" s="12" t="s">
        <v>6</v>
      </c>
      <c r="E22" s="12" t="s">
        <v>2687</v>
      </c>
      <c r="F22" s="13"/>
    </row>
    <row r="23" spans="1:12" x14ac:dyDescent="0.2">
      <c r="A23" s="12" t="s">
        <v>1203</v>
      </c>
      <c r="B23" s="11"/>
      <c r="C23" s="12" t="s">
        <v>208</v>
      </c>
      <c r="D23" s="12" t="s">
        <v>209</v>
      </c>
      <c r="E23" s="12" t="s">
        <v>5452</v>
      </c>
      <c r="F23" s="13"/>
    </row>
    <row r="24" spans="1:12" x14ac:dyDescent="0.2">
      <c r="A24" s="12" t="s">
        <v>1199</v>
      </c>
      <c r="B24" s="11"/>
      <c r="C24" s="12" t="s">
        <v>208</v>
      </c>
      <c r="D24" s="12" t="s">
        <v>209</v>
      </c>
      <c r="E24" s="12" t="s">
        <v>5454</v>
      </c>
      <c r="F24" s="13"/>
    </row>
    <row r="25" spans="1:12" x14ac:dyDescent="0.2">
      <c r="A25" s="12" t="s">
        <v>1207</v>
      </c>
      <c r="B25" s="11"/>
      <c r="C25" s="12" t="s">
        <v>208</v>
      </c>
      <c r="D25" s="12" t="s">
        <v>209</v>
      </c>
      <c r="E25" s="12" t="s">
        <v>5455</v>
      </c>
      <c r="F25" s="13"/>
    </row>
    <row r="26" spans="1:12" x14ac:dyDescent="0.2">
      <c r="A26" s="12" t="s">
        <v>1211</v>
      </c>
      <c r="B26" s="11"/>
      <c r="C26" s="12" t="s">
        <v>208</v>
      </c>
      <c r="D26" s="12" t="s">
        <v>209</v>
      </c>
      <c r="E26" s="12" t="s">
        <v>5457</v>
      </c>
      <c r="F26" s="13"/>
    </row>
    <row r="27" spans="1:12" x14ac:dyDescent="0.2">
      <c r="A27" s="12" t="s">
        <v>1994</v>
      </c>
      <c r="B27" s="11"/>
      <c r="C27" s="12" t="s">
        <v>16</v>
      </c>
      <c r="D27" s="12" t="s">
        <v>6</v>
      </c>
      <c r="E27" s="12" t="s">
        <v>4212</v>
      </c>
      <c r="F27" s="13"/>
    </row>
    <row r="28" spans="1:12" x14ac:dyDescent="0.2">
      <c r="A28" s="12" t="s">
        <v>1854</v>
      </c>
      <c r="B28" s="11"/>
      <c r="C28" s="12" t="s">
        <v>16</v>
      </c>
      <c r="D28" s="12" t="s">
        <v>6</v>
      </c>
      <c r="E28" s="12" t="s">
        <v>4215</v>
      </c>
      <c r="F28" s="13"/>
    </row>
    <row r="29" spans="1:12" x14ac:dyDescent="0.2">
      <c r="A29" s="12" t="s">
        <v>632</v>
      </c>
      <c r="B29" s="11"/>
      <c r="C29" s="12" t="s">
        <v>16</v>
      </c>
      <c r="D29" s="12" t="s">
        <v>6</v>
      </c>
      <c r="E29" s="12" t="s">
        <v>4218</v>
      </c>
      <c r="F29" s="13"/>
    </row>
    <row r="30" spans="1:12" x14ac:dyDescent="0.2">
      <c r="A30" s="12" t="s">
        <v>1199</v>
      </c>
      <c r="B30" s="11"/>
      <c r="C30" s="12" t="s">
        <v>16</v>
      </c>
      <c r="D30" s="12" t="s">
        <v>6</v>
      </c>
      <c r="E30" s="12" t="s">
        <v>4220</v>
      </c>
      <c r="F30" s="13"/>
    </row>
    <row r="31" spans="1:12" x14ac:dyDescent="0.2">
      <c r="A31" s="12" t="s">
        <v>2251</v>
      </c>
      <c r="B31" s="11"/>
      <c r="C31" s="12" t="s">
        <v>16</v>
      </c>
      <c r="D31" s="12" t="s">
        <v>6</v>
      </c>
      <c r="E31" s="12" t="s">
        <v>4222</v>
      </c>
      <c r="F31" s="47"/>
    </row>
    <row r="32" spans="1:12" x14ac:dyDescent="0.2">
      <c r="A32" s="12" t="s">
        <v>1199</v>
      </c>
      <c r="B32" s="11"/>
      <c r="C32" s="12" t="s">
        <v>16</v>
      </c>
      <c r="D32" s="12" t="s">
        <v>6</v>
      </c>
      <c r="E32" s="12" t="s">
        <v>4223</v>
      </c>
      <c r="F32" s="13"/>
    </row>
    <row r="33" spans="1:6" x14ac:dyDescent="0.2">
      <c r="A33" s="12" t="s">
        <v>1857</v>
      </c>
      <c r="B33" s="11"/>
      <c r="C33" s="12" t="s">
        <v>16</v>
      </c>
      <c r="D33" s="12" t="s">
        <v>6</v>
      </c>
      <c r="E33" s="12" t="s">
        <v>4226</v>
      </c>
      <c r="F33" s="13"/>
    </row>
    <row r="34" spans="1:6" x14ac:dyDescent="0.2">
      <c r="A34" s="12" t="s">
        <v>1505</v>
      </c>
      <c r="B34" s="11"/>
      <c r="C34" s="12" t="s">
        <v>16</v>
      </c>
      <c r="D34" s="12" t="s">
        <v>6</v>
      </c>
      <c r="E34" s="12" t="s">
        <v>4229</v>
      </c>
      <c r="F34" s="13"/>
    </row>
    <row r="35" spans="1:6" x14ac:dyDescent="0.2">
      <c r="A35" s="12" t="s">
        <v>2251</v>
      </c>
      <c r="B35" s="11"/>
      <c r="C35" s="12" t="s">
        <v>208</v>
      </c>
      <c r="D35" s="12" t="s">
        <v>209</v>
      </c>
      <c r="E35" s="12" t="s">
        <v>5467</v>
      </c>
      <c r="F35" s="47"/>
    </row>
    <row r="36" spans="1:6" x14ac:dyDescent="0.2">
      <c r="A36" s="12" t="s">
        <v>2251</v>
      </c>
      <c r="B36" s="11"/>
      <c r="C36" s="12" t="s">
        <v>208</v>
      </c>
      <c r="D36" s="12" t="s">
        <v>209</v>
      </c>
      <c r="E36" s="12" t="s">
        <v>5468</v>
      </c>
      <c r="F36" s="47"/>
    </row>
    <row r="37" spans="1:6" x14ac:dyDescent="0.2">
      <c r="A37" s="12" t="s">
        <v>1861</v>
      </c>
      <c r="B37" s="11"/>
      <c r="C37" s="12" t="s">
        <v>208</v>
      </c>
      <c r="D37" s="12" t="s">
        <v>209</v>
      </c>
      <c r="E37" s="12" t="s">
        <v>5469</v>
      </c>
      <c r="F37" s="13"/>
    </row>
    <row r="38" spans="1:6" x14ac:dyDescent="0.2">
      <c r="A38" s="12" t="s">
        <v>2076</v>
      </c>
      <c r="B38" s="11"/>
      <c r="C38" s="12" t="s">
        <v>208</v>
      </c>
      <c r="D38" s="12" t="s">
        <v>209</v>
      </c>
      <c r="E38" s="12" t="s">
        <v>5470</v>
      </c>
      <c r="F38" s="13"/>
    </row>
    <row r="39" spans="1:6" x14ac:dyDescent="0.2">
      <c r="A39" s="12" t="s">
        <v>2251</v>
      </c>
      <c r="B39" s="11"/>
      <c r="C39" s="12" t="s">
        <v>208</v>
      </c>
      <c r="D39" s="12" t="s">
        <v>209</v>
      </c>
      <c r="E39" s="12" t="s">
        <v>5471</v>
      </c>
      <c r="F39" s="47"/>
    </row>
    <row r="40" spans="1:6" x14ac:dyDescent="0.2">
      <c r="A40" s="12" t="s">
        <v>2251</v>
      </c>
      <c r="B40" s="11"/>
      <c r="C40" s="12" t="s">
        <v>208</v>
      </c>
      <c r="D40" s="12" t="s">
        <v>209</v>
      </c>
      <c r="E40" s="12" t="s">
        <v>5472</v>
      </c>
      <c r="F40" s="47"/>
    </row>
    <row r="41" spans="1:6" x14ac:dyDescent="0.2">
      <c r="A41" s="12" t="s">
        <v>665</v>
      </c>
      <c r="B41" s="11"/>
      <c r="C41" s="12" t="s">
        <v>208</v>
      </c>
      <c r="D41" s="12" t="s">
        <v>209</v>
      </c>
      <c r="E41" s="12" t="s">
        <v>5473</v>
      </c>
      <c r="F41" s="13"/>
    </row>
    <row r="42" spans="1:6" x14ac:dyDescent="0.2">
      <c r="A42" s="12" t="s">
        <v>614</v>
      </c>
      <c r="B42" s="11"/>
      <c r="C42" s="12" t="s">
        <v>208</v>
      </c>
      <c r="D42" s="12" t="s">
        <v>209</v>
      </c>
      <c r="E42" s="12" t="s">
        <v>5474</v>
      </c>
      <c r="F42" s="13"/>
    </row>
    <row r="43" spans="1:6" x14ac:dyDescent="0.2">
      <c r="A43" s="12" t="s">
        <v>1812</v>
      </c>
      <c r="B43" s="11"/>
      <c r="C43" s="12" t="s">
        <v>5</v>
      </c>
      <c r="D43" s="12" t="s">
        <v>6</v>
      </c>
      <c r="E43" s="12" t="s">
        <v>2689</v>
      </c>
      <c r="F43" s="13"/>
    </row>
    <row r="44" spans="1:6" x14ac:dyDescent="0.2">
      <c r="A44" s="12" t="s">
        <v>1812</v>
      </c>
      <c r="B44" s="11"/>
      <c r="C44" s="12" t="s">
        <v>5</v>
      </c>
      <c r="D44" s="12" t="s">
        <v>6</v>
      </c>
      <c r="E44" s="12" t="s">
        <v>2689</v>
      </c>
      <c r="F44" s="13"/>
    </row>
    <row r="45" spans="1:6" x14ac:dyDescent="0.2">
      <c r="A45" s="12" t="s">
        <v>2043</v>
      </c>
      <c r="B45" s="11"/>
      <c r="C45" s="12" t="s">
        <v>5</v>
      </c>
      <c r="D45" s="12" t="s">
        <v>6</v>
      </c>
      <c r="E45" s="12" t="s">
        <v>2693</v>
      </c>
      <c r="F45" s="13"/>
    </row>
    <row r="46" spans="1:6" x14ac:dyDescent="0.2">
      <c r="A46" s="12" t="s">
        <v>2043</v>
      </c>
      <c r="B46" s="11"/>
      <c r="C46" s="12" t="s">
        <v>5</v>
      </c>
      <c r="D46" s="12" t="s">
        <v>6</v>
      </c>
      <c r="E46" s="12" t="s">
        <v>2693</v>
      </c>
      <c r="F46" s="13"/>
    </row>
    <row r="47" spans="1:6" x14ac:dyDescent="0.2">
      <c r="A47" s="12" t="s">
        <v>1038</v>
      </c>
      <c r="B47" s="11"/>
      <c r="C47" s="12" t="s">
        <v>5</v>
      </c>
      <c r="D47" s="12" t="s">
        <v>6</v>
      </c>
      <c r="E47" s="12" t="s">
        <v>2696</v>
      </c>
      <c r="F47" s="13"/>
    </row>
    <row r="48" spans="1:6" x14ac:dyDescent="0.2">
      <c r="A48" s="12" t="s">
        <v>662</v>
      </c>
      <c r="B48" s="11"/>
      <c r="C48" s="12" t="s">
        <v>5</v>
      </c>
      <c r="D48" s="12" t="s">
        <v>6</v>
      </c>
      <c r="E48" s="12" t="s">
        <v>2698</v>
      </c>
      <c r="F48" s="13"/>
    </row>
    <row r="49" spans="1:6" x14ac:dyDescent="0.2">
      <c r="A49" s="12" t="s">
        <v>662</v>
      </c>
      <c r="B49" s="11"/>
      <c r="C49" s="12" t="s">
        <v>5</v>
      </c>
      <c r="D49" s="12" t="s">
        <v>6</v>
      </c>
      <c r="E49" s="12" t="s">
        <v>2698</v>
      </c>
      <c r="F49" s="13"/>
    </row>
    <row r="50" spans="1:6" x14ac:dyDescent="0.2">
      <c r="A50" s="12" t="s">
        <v>1135</v>
      </c>
      <c r="B50" s="11"/>
      <c r="C50" s="12" t="s">
        <v>5</v>
      </c>
      <c r="D50" s="12" t="s">
        <v>6</v>
      </c>
      <c r="E50" s="12" t="s">
        <v>2702</v>
      </c>
      <c r="F50" s="13"/>
    </row>
    <row r="51" spans="1:6" x14ac:dyDescent="0.2">
      <c r="A51" s="12" t="s">
        <v>1135</v>
      </c>
      <c r="B51" s="11"/>
      <c r="C51" s="12" t="s">
        <v>5</v>
      </c>
      <c r="D51" s="12" t="s">
        <v>6</v>
      </c>
      <c r="E51" s="12" t="s">
        <v>2702</v>
      </c>
      <c r="F51" s="13"/>
    </row>
    <row r="52" spans="1:6" x14ac:dyDescent="0.2">
      <c r="A52" s="12" t="s">
        <v>1822</v>
      </c>
      <c r="B52" s="11"/>
      <c r="C52" s="12" t="s">
        <v>5</v>
      </c>
      <c r="D52" s="12" t="s">
        <v>6</v>
      </c>
      <c r="E52" s="12" t="s">
        <v>2705</v>
      </c>
      <c r="F52" s="13"/>
    </row>
    <row r="53" spans="1:6" x14ac:dyDescent="0.2">
      <c r="A53" s="12" t="s">
        <v>1822</v>
      </c>
      <c r="B53" s="11"/>
      <c r="C53" s="12" t="s">
        <v>5</v>
      </c>
      <c r="D53" s="12" t="s">
        <v>6</v>
      </c>
      <c r="E53" s="12" t="s">
        <v>2705</v>
      </c>
      <c r="F53" s="13"/>
    </row>
    <row r="54" spans="1:6" x14ac:dyDescent="0.2">
      <c r="A54" s="12" t="s">
        <v>699</v>
      </c>
      <c r="B54" s="11"/>
      <c r="C54" s="12" t="s">
        <v>5</v>
      </c>
      <c r="D54" s="12" t="s">
        <v>6</v>
      </c>
      <c r="E54" s="12" t="s">
        <v>2708</v>
      </c>
      <c r="F54" s="13"/>
    </row>
    <row r="55" spans="1:6" x14ac:dyDescent="0.2">
      <c r="A55" s="12" t="s">
        <v>699</v>
      </c>
      <c r="B55" s="11"/>
      <c r="C55" s="12" t="s">
        <v>5</v>
      </c>
      <c r="D55" s="12" t="s">
        <v>6</v>
      </c>
      <c r="E55" s="12" t="s">
        <v>2708</v>
      </c>
      <c r="F55" s="13"/>
    </row>
    <row r="56" spans="1:6" x14ac:dyDescent="0.2">
      <c r="A56" s="12" t="s">
        <v>1812</v>
      </c>
      <c r="B56" s="11"/>
      <c r="C56" s="12" t="s">
        <v>5</v>
      </c>
      <c r="D56" s="12" t="s">
        <v>6</v>
      </c>
      <c r="E56" s="12" t="s">
        <v>2711</v>
      </c>
      <c r="F56" s="13"/>
    </row>
    <row r="57" spans="1:6" x14ac:dyDescent="0.2">
      <c r="A57" s="12" t="s">
        <v>2251</v>
      </c>
      <c r="B57" s="11"/>
      <c r="C57" s="12" t="s">
        <v>208</v>
      </c>
      <c r="D57" s="12" t="s">
        <v>209</v>
      </c>
      <c r="E57" s="12" t="s">
        <v>5475</v>
      </c>
      <c r="F57" s="47"/>
    </row>
    <row r="58" spans="1:6" x14ac:dyDescent="0.2">
      <c r="A58" s="12" t="s">
        <v>2251</v>
      </c>
      <c r="B58" s="11"/>
      <c r="C58" s="12" t="s">
        <v>208</v>
      </c>
      <c r="D58" s="12" t="s">
        <v>209</v>
      </c>
      <c r="E58" s="12" t="s">
        <v>5476</v>
      </c>
      <c r="F58" s="47"/>
    </row>
    <row r="59" spans="1:6" x14ac:dyDescent="0.2">
      <c r="A59" s="12" t="s">
        <v>1884</v>
      </c>
      <c r="B59" s="11"/>
      <c r="C59" s="12" t="s">
        <v>208</v>
      </c>
      <c r="D59" s="12" t="s">
        <v>209</v>
      </c>
      <c r="E59" s="12" t="s">
        <v>5477</v>
      </c>
      <c r="F59" s="13"/>
    </row>
    <row r="60" spans="1:6" x14ac:dyDescent="0.2">
      <c r="A60" s="12" t="s">
        <v>975</v>
      </c>
      <c r="B60" s="11"/>
      <c r="C60" s="12" t="s">
        <v>208</v>
      </c>
      <c r="D60" s="12" t="s">
        <v>209</v>
      </c>
      <c r="E60" s="12" t="s">
        <v>5478</v>
      </c>
      <c r="F60" s="13"/>
    </row>
    <row r="61" spans="1:6" x14ac:dyDescent="0.2">
      <c r="A61" s="12" t="s">
        <v>2092</v>
      </c>
      <c r="B61" s="11"/>
      <c r="C61" s="12" t="s">
        <v>208</v>
      </c>
      <c r="D61" s="12" t="s">
        <v>209</v>
      </c>
      <c r="E61" s="12" t="s">
        <v>5479</v>
      </c>
      <c r="F61" s="13"/>
    </row>
    <row r="62" spans="1:6" x14ac:dyDescent="0.2">
      <c r="A62" s="12" t="s">
        <v>2251</v>
      </c>
      <c r="B62" s="11"/>
      <c r="C62" s="12" t="s">
        <v>208</v>
      </c>
      <c r="D62" s="12" t="s">
        <v>209</v>
      </c>
      <c r="E62" s="12" t="s">
        <v>5480</v>
      </c>
      <c r="F62" s="47"/>
    </row>
    <row r="63" spans="1:6" x14ac:dyDescent="0.2">
      <c r="A63" s="12" t="s">
        <v>2251</v>
      </c>
      <c r="B63" s="11"/>
      <c r="C63" s="12" t="s">
        <v>208</v>
      </c>
      <c r="D63" s="12" t="s">
        <v>209</v>
      </c>
      <c r="E63" s="12" t="s">
        <v>5481</v>
      </c>
      <c r="F63" s="47"/>
    </row>
    <row r="64" spans="1:6" x14ac:dyDescent="0.2">
      <c r="A64" s="12" t="s">
        <v>2251</v>
      </c>
      <c r="B64" s="11"/>
      <c r="C64" s="12" t="s">
        <v>208</v>
      </c>
      <c r="D64" s="12" t="s">
        <v>209</v>
      </c>
      <c r="E64" s="12" t="s">
        <v>5482</v>
      </c>
      <c r="F64" s="47"/>
    </row>
    <row r="65" spans="1:6" x14ac:dyDescent="0.2">
      <c r="A65" s="12" t="s">
        <v>1139</v>
      </c>
      <c r="B65" s="11"/>
      <c r="C65" s="12" t="s">
        <v>5</v>
      </c>
      <c r="D65" s="12" t="s">
        <v>6</v>
      </c>
      <c r="E65" s="12" t="s">
        <v>2713</v>
      </c>
      <c r="F65" s="13"/>
    </row>
    <row r="66" spans="1:6" x14ac:dyDescent="0.2">
      <c r="A66" s="12" t="s">
        <v>1139</v>
      </c>
      <c r="B66" s="11"/>
      <c r="C66" s="12" t="s">
        <v>5</v>
      </c>
      <c r="D66" s="12" t="s">
        <v>6</v>
      </c>
      <c r="E66" s="12" t="s">
        <v>2713</v>
      </c>
      <c r="F66" s="13"/>
    </row>
    <row r="67" spans="1:6" x14ac:dyDescent="0.2">
      <c r="A67" s="12" t="s">
        <v>1145</v>
      </c>
      <c r="B67" s="11"/>
      <c r="C67" s="12" t="s">
        <v>5</v>
      </c>
      <c r="D67" s="12" t="s">
        <v>6</v>
      </c>
      <c r="E67" s="12" t="s">
        <v>2716</v>
      </c>
      <c r="F67" s="13"/>
    </row>
    <row r="68" spans="1:6" x14ac:dyDescent="0.2">
      <c r="A68" s="12" t="s">
        <v>1145</v>
      </c>
      <c r="B68" s="11"/>
      <c r="C68" s="12" t="s">
        <v>5</v>
      </c>
      <c r="D68" s="12" t="s">
        <v>6</v>
      </c>
      <c r="E68" s="12" t="s">
        <v>2716</v>
      </c>
      <c r="F68" s="13"/>
    </row>
    <row r="69" spans="1:6" x14ac:dyDescent="0.2">
      <c r="A69" s="12" t="s">
        <v>1468</v>
      </c>
      <c r="B69" s="11"/>
      <c r="C69" s="12" t="s">
        <v>5</v>
      </c>
      <c r="D69" s="12" t="s">
        <v>6</v>
      </c>
      <c r="E69" s="12" t="s">
        <v>2720</v>
      </c>
      <c r="F69" s="13"/>
    </row>
    <row r="70" spans="1:6" x14ac:dyDescent="0.2">
      <c r="A70" s="12" t="s">
        <v>1468</v>
      </c>
      <c r="B70" s="11"/>
      <c r="C70" s="12" t="s">
        <v>5</v>
      </c>
      <c r="D70" s="12" t="s">
        <v>6</v>
      </c>
      <c r="E70" s="12" t="s">
        <v>2720</v>
      </c>
      <c r="F70" s="13"/>
    </row>
    <row r="71" spans="1:6" x14ac:dyDescent="0.2">
      <c r="A71" s="12" t="s">
        <v>837</v>
      </c>
      <c r="B71" s="11"/>
      <c r="C71" s="12" t="s">
        <v>5</v>
      </c>
      <c r="D71" s="12" t="s">
        <v>6</v>
      </c>
      <c r="E71" s="12" t="s">
        <v>2724</v>
      </c>
      <c r="F71" s="13"/>
    </row>
    <row r="72" spans="1:6" x14ac:dyDescent="0.2">
      <c r="A72" s="12" t="s">
        <v>1573</v>
      </c>
      <c r="B72" s="11"/>
      <c r="C72" s="12" t="s">
        <v>5</v>
      </c>
      <c r="D72" s="12" t="s">
        <v>6</v>
      </c>
      <c r="E72" s="12" t="s">
        <v>2726</v>
      </c>
      <c r="F72" s="13"/>
    </row>
    <row r="73" spans="1:6" x14ac:dyDescent="0.2">
      <c r="A73" s="12" t="s">
        <v>1145</v>
      </c>
      <c r="B73" s="11"/>
      <c r="C73" s="12" t="s">
        <v>5</v>
      </c>
      <c r="D73" s="12" t="s">
        <v>6</v>
      </c>
      <c r="E73" s="12" t="s">
        <v>2728</v>
      </c>
      <c r="F73" s="13"/>
    </row>
    <row r="74" spans="1:6" x14ac:dyDescent="0.2">
      <c r="A74" s="12" t="s">
        <v>1145</v>
      </c>
      <c r="B74" s="11"/>
      <c r="C74" s="12" t="s">
        <v>5</v>
      </c>
      <c r="D74" s="12" t="s">
        <v>6</v>
      </c>
      <c r="E74" s="12" t="s">
        <v>2728</v>
      </c>
      <c r="F74" s="13"/>
    </row>
    <row r="75" spans="1:6" x14ac:dyDescent="0.2">
      <c r="A75" s="12" t="s">
        <v>646</v>
      </c>
      <c r="B75" s="11"/>
      <c r="C75" s="12" t="s">
        <v>5</v>
      </c>
      <c r="D75" s="12" t="s">
        <v>6</v>
      </c>
      <c r="E75" s="12" t="s">
        <v>2731</v>
      </c>
      <c r="F75" s="13"/>
    </row>
    <row r="76" spans="1:6" x14ac:dyDescent="0.2">
      <c r="A76" s="12" t="s">
        <v>2030</v>
      </c>
      <c r="B76" s="11"/>
      <c r="C76" s="12" t="s">
        <v>5</v>
      </c>
      <c r="D76" s="12" t="s">
        <v>6</v>
      </c>
      <c r="E76" s="12" t="s">
        <v>2733</v>
      </c>
      <c r="F76" s="13"/>
    </row>
    <row r="77" spans="1:6" x14ac:dyDescent="0.2">
      <c r="A77" s="12" t="s">
        <v>2030</v>
      </c>
      <c r="B77" s="11"/>
      <c r="C77" s="12" t="s">
        <v>5</v>
      </c>
      <c r="D77" s="12" t="s">
        <v>6</v>
      </c>
      <c r="E77" s="12" t="s">
        <v>2733</v>
      </c>
      <c r="F77" s="13"/>
    </row>
    <row r="78" spans="1:6" x14ac:dyDescent="0.2">
      <c r="A78" s="12" t="s">
        <v>2030</v>
      </c>
      <c r="B78" s="11"/>
      <c r="C78" s="12" t="s">
        <v>208</v>
      </c>
      <c r="D78" s="12" t="s">
        <v>209</v>
      </c>
      <c r="E78" s="12" t="s">
        <v>5483</v>
      </c>
      <c r="F78" s="13"/>
    </row>
    <row r="79" spans="1:6" x14ac:dyDescent="0.2">
      <c r="A79" s="12" t="s">
        <v>268</v>
      </c>
      <c r="B79" s="11"/>
      <c r="C79" s="12" t="s">
        <v>208</v>
      </c>
      <c r="D79" s="12" t="s">
        <v>209</v>
      </c>
      <c r="E79" s="12" t="s">
        <v>5484</v>
      </c>
      <c r="F79" s="13"/>
    </row>
    <row r="80" spans="1:6" x14ac:dyDescent="0.2">
      <c r="A80" s="12" t="s">
        <v>1359</v>
      </c>
      <c r="B80" s="11"/>
      <c r="C80" s="12" t="s">
        <v>208</v>
      </c>
      <c r="D80" s="12" t="s">
        <v>209</v>
      </c>
      <c r="E80" s="12" t="s">
        <v>5485</v>
      </c>
      <c r="F80" s="13"/>
    </row>
    <row r="81" spans="1:6" x14ac:dyDescent="0.2">
      <c r="A81" s="12" t="s">
        <v>389</v>
      </c>
      <c r="B81" s="11"/>
      <c r="C81" s="12" t="s">
        <v>208</v>
      </c>
      <c r="D81" s="12" t="s">
        <v>209</v>
      </c>
      <c r="E81" s="12" t="s">
        <v>5486</v>
      </c>
      <c r="F81" s="13"/>
    </row>
    <row r="82" spans="1:6" x14ac:dyDescent="0.2">
      <c r="A82" s="12" t="s">
        <v>1175</v>
      </c>
      <c r="B82" s="11"/>
      <c r="C82" s="12" t="s">
        <v>208</v>
      </c>
      <c r="D82" s="12" t="s">
        <v>209</v>
      </c>
      <c r="E82" s="12" t="s">
        <v>5487</v>
      </c>
      <c r="F82" s="13"/>
    </row>
    <row r="83" spans="1:6" x14ac:dyDescent="0.2">
      <c r="A83" s="12" t="s">
        <v>1178</v>
      </c>
      <c r="B83" s="11"/>
      <c r="C83" s="12" t="s">
        <v>208</v>
      </c>
      <c r="D83" s="12" t="s">
        <v>209</v>
      </c>
      <c r="E83" s="12" t="s">
        <v>5488</v>
      </c>
      <c r="F83" s="13"/>
    </row>
    <row r="84" spans="1:6" x14ac:dyDescent="0.2">
      <c r="A84" s="12" t="s">
        <v>623</v>
      </c>
      <c r="B84" s="11"/>
      <c r="C84" s="12" t="s">
        <v>208</v>
      </c>
      <c r="D84" s="12" t="s">
        <v>209</v>
      </c>
      <c r="E84" s="12" t="s">
        <v>5490</v>
      </c>
      <c r="F84" s="13"/>
    </row>
    <row r="85" spans="1:6" x14ac:dyDescent="0.2">
      <c r="A85" s="12" t="s">
        <v>2251</v>
      </c>
      <c r="B85" s="11"/>
      <c r="C85" s="12" t="s">
        <v>208</v>
      </c>
      <c r="D85" s="12" t="s">
        <v>209</v>
      </c>
      <c r="E85" s="12" t="s">
        <v>5491</v>
      </c>
      <c r="F85" s="47"/>
    </row>
    <row r="86" spans="1:6" x14ac:dyDescent="0.2">
      <c r="A86" s="12" t="s">
        <v>1901</v>
      </c>
      <c r="B86" s="11"/>
      <c r="C86" s="12" t="s">
        <v>5</v>
      </c>
      <c r="D86" s="12" t="s">
        <v>6</v>
      </c>
      <c r="E86" s="12" t="s">
        <v>2737</v>
      </c>
      <c r="F86" s="13"/>
    </row>
    <row r="87" spans="1:6" x14ac:dyDescent="0.2">
      <c r="A87" s="12" t="s">
        <v>1901</v>
      </c>
      <c r="B87" s="11"/>
      <c r="C87" s="12" t="s">
        <v>5</v>
      </c>
      <c r="D87" s="12" t="s">
        <v>6</v>
      </c>
      <c r="E87" s="12" t="s">
        <v>2737</v>
      </c>
      <c r="F87" s="13"/>
    </row>
    <row r="88" spans="1:6" x14ac:dyDescent="0.2">
      <c r="A88" s="12" t="s">
        <v>1982</v>
      </c>
      <c r="B88" s="11"/>
      <c r="C88" s="12" t="s">
        <v>5</v>
      </c>
      <c r="D88" s="12" t="s">
        <v>6</v>
      </c>
      <c r="E88" s="12" t="s">
        <v>2740</v>
      </c>
      <c r="F88" s="13"/>
    </row>
    <row r="89" spans="1:6" x14ac:dyDescent="0.2">
      <c r="A89" s="12" t="s">
        <v>1982</v>
      </c>
      <c r="B89" s="11"/>
      <c r="C89" s="12" t="s">
        <v>5</v>
      </c>
      <c r="D89" s="12" t="s">
        <v>6</v>
      </c>
      <c r="E89" s="12" t="s">
        <v>2740</v>
      </c>
      <c r="F89" s="13"/>
    </row>
    <row r="90" spans="1:6" x14ac:dyDescent="0.2">
      <c r="A90" s="12" t="s">
        <v>854</v>
      </c>
      <c r="B90" s="11"/>
      <c r="C90" s="12" t="s">
        <v>5</v>
      </c>
      <c r="D90" s="12" t="s">
        <v>6</v>
      </c>
      <c r="E90" s="12" t="s">
        <v>2743</v>
      </c>
      <c r="F90" s="13"/>
    </row>
    <row r="91" spans="1:6" x14ac:dyDescent="0.2">
      <c r="A91" s="12" t="s">
        <v>854</v>
      </c>
      <c r="B91" s="11"/>
      <c r="C91" s="12" t="s">
        <v>5</v>
      </c>
      <c r="D91" s="12" t="s">
        <v>6</v>
      </c>
      <c r="E91" s="12" t="s">
        <v>2743</v>
      </c>
      <c r="F91" s="13"/>
    </row>
    <row r="92" spans="1:6" x14ac:dyDescent="0.2">
      <c r="A92" s="12" t="s">
        <v>1346</v>
      </c>
      <c r="B92" s="11"/>
      <c r="C92" s="12" t="s">
        <v>5</v>
      </c>
      <c r="D92" s="12" t="s">
        <v>6</v>
      </c>
      <c r="E92" s="12" t="s">
        <v>2748</v>
      </c>
      <c r="F92" s="13"/>
    </row>
    <row r="93" spans="1:6" x14ac:dyDescent="0.2">
      <c r="A93" s="12" t="s">
        <v>1131</v>
      </c>
      <c r="B93" s="11"/>
      <c r="C93" s="12" t="s">
        <v>5</v>
      </c>
      <c r="D93" s="12" t="s">
        <v>6</v>
      </c>
      <c r="E93" s="12" t="s">
        <v>2750</v>
      </c>
      <c r="F93" s="47"/>
    </row>
    <row r="94" spans="1:6" x14ac:dyDescent="0.2">
      <c r="A94" s="12" t="s">
        <v>1131</v>
      </c>
      <c r="B94" s="11"/>
      <c r="C94" s="12" t="s">
        <v>5</v>
      </c>
      <c r="D94" s="12" t="s">
        <v>6</v>
      </c>
      <c r="E94" s="12" t="s">
        <v>2750</v>
      </c>
      <c r="F94" s="47"/>
    </row>
    <row r="95" spans="1:6" x14ac:dyDescent="0.2">
      <c r="A95" s="12" t="s">
        <v>1135</v>
      </c>
      <c r="B95" s="11"/>
      <c r="C95" s="12" t="s">
        <v>5</v>
      </c>
      <c r="D95" s="12" t="s">
        <v>6</v>
      </c>
      <c r="E95" s="12" t="s">
        <v>2753</v>
      </c>
      <c r="F95" s="13"/>
    </row>
    <row r="96" spans="1:6" x14ac:dyDescent="0.2">
      <c r="A96" s="12" t="s">
        <v>1135</v>
      </c>
      <c r="B96" s="11"/>
      <c r="C96" s="12" t="s">
        <v>5</v>
      </c>
      <c r="D96" s="12" t="s">
        <v>6</v>
      </c>
      <c r="E96" s="12" t="s">
        <v>2753</v>
      </c>
      <c r="F96" s="13"/>
    </row>
    <row r="97" spans="1:6" x14ac:dyDescent="0.2">
      <c r="A97" s="12" t="s">
        <v>641</v>
      </c>
      <c r="B97" s="11"/>
      <c r="C97" s="12" t="s">
        <v>5</v>
      </c>
      <c r="D97" s="12" t="s">
        <v>6</v>
      </c>
      <c r="E97" s="12" t="s">
        <v>2756</v>
      </c>
      <c r="F97" s="13"/>
    </row>
    <row r="98" spans="1:6" x14ac:dyDescent="0.2">
      <c r="A98" s="12" t="s">
        <v>641</v>
      </c>
      <c r="B98" s="11"/>
      <c r="C98" s="12" t="s">
        <v>5</v>
      </c>
      <c r="D98" s="12" t="s">
        <v>6</v>
      </c>
      <c r="E98" s="12" t="s">
        <v>2756</v>
      </c>
      <c r="F98" s="13"/>
    </row>
    <row r="99" spans="1:6" x14ac:dyDescent="0.2">
      <c r="A99" s="12" t="s">
        <v>2251</v>
      </c>
      <c r="B99" s="11"/>
      <c r="C99" s="12" t="s">
        <v>5</v>
      </c>
      <c r="D99" s="12" t="s">
        <v>6</v>
      </c>
      <c r="E99" s="12" t="s">
        <v>2759</v>
      </c>
      <c r="F99" s="47"/>
    </row>
    <row r="100" spans="1:6" x14ac:dyDescent="0.2">
      <c r="A100" s="12" t="s">
        <v>822</v>
      </c>
      <c r="B100" s="11"/>
      <c r="C100" s="12" t="s">
        <v>208</v>
      </c>
      <c r="D100" s="12" t="s">
        <v>209</v>
      </c>
      <c r="E100" s="12" t="s">
        <v>5492</v>
      </c>
      <c r="F100" s="13"/>
    </row>
    <row r="101" spans="1:6" x14ac:dyDescent="0.2">
      <c r="A101" s="12" t="s">
        <v>296</v>
      </c>
      <c r="B101" s="11"/>
      <c r="C101" s="12" t="s">
        <v>208</v>
      </c>
      <c r="D101" s="12" t="s">
        <v>209</v>
      </c>
      <c r="E101" s="12" t="s">
        <v>5493</v>
      </c>
      <c r="F101" s="13"/>
    </row>
    <row r="102" spans="1:6" x14ac:dyDescent="0.2">
      <c r="A102" s="12" t="s">
        <v>1916</v>
      </c>
      <c r="B102" s="11"/>
      <c r="C102" s="12" t="s">
        <v>208</v>
      </c>
      <c r="D102" s="12" t="s">
        <v>209</v>
      </c>
      <c r="E102" s="12" t="s">
        <v>5494</v>
      </c>
      <c r="F102" s="13"/>
    </row>
    <row r="103" spans="1:6" x14ac:dyDescent="0.2">
      <c r="A103" s="12" t="s">
        <v>1913</v>
      </c>
      <c r="B103" s="11"/>
      <c r="C103" s="12" t="s">
        <v>208</v>
      </c>
      <c r="D103" s="12" t="s">
        <v>209</v>
      </c>
      <c r="E103" s="12" t="s">
        <v>5495</v>
      </c>
      <c r="F103" s="13"/>
    </row>
    <row r="104" spans="1:6" x14ac:dyDescent="0.2">
      <c r="A104" s="12" t="s">
        <v>1181</v>
      </c>
      <c r="B104" s="11"/>
      <c r="C104" s="12" t="s">
        <v>208</v>
      </c>
      <c r="D104" s="12" t="s">
        <v>209</v>
      </c>
      <c r="E104" s="12" t="s">
        <v>5496</v>
      </c>
      <c r="F104" s="13"/>
    </row>
    <row r="105" spans="1:6" x14ac:dyDescent="0.2">
      <c r="A105" s="12" t="s">
        <v>2251</v>
      </c>
      <c r="B105" s="11"/>
      <c r="C105" s="12" t="s">
        <v>208</v>
      </c>
      <c r="D105" s="12" t="s">
        <v>209</v>
      </c>
      <c r="E105" s="12" t="s">
        <v>5497</v>
      </c>
      <c r="F105" s="47"/>
    </row>
    <row r="106" spans="1:6" x14ac:dyDescent="0.2">
      <c r="A106" s="12" t="s">
        <v>500</v>
      </c>
      <c r="B106" s="11"/>
      <c r="C106" s="12" t="s">
        <v>208</v>
      </c>
      <c r="D106" s="12" t="s">
        <v>209</v>
      </c>
      <c r="E106" s="12" t="s">
        <v>5498</v>
      </c>
      <c r="F106" s="13"/>
    </row>
    <row r="107" spans="1:6" x14ac:dyDescent="0.2">
      <c r="A107" s="12" t="s">
        <v>488</v>
      </c>
      <c r="B107" s="11"/>
      <c r="C107" s="12" t="s">
        <v>208</v>
      </c>
      <c r="D107" s="12" t="s">
        <v>209</v>
      </c>
      <c r="E107" s="12" t="s">
        <v>5499</v>
      </c>
      <c r="F107" s="13"/>
    </row>
    <row r="108" spans="1:6" x14ac:dyDescent="0.2">
      <c r="A108" s="12" t="s">
        <v>1822</v>
      </c>
      <c r="B108" s="11"/>
      <c r="C108" s="12" t="s">
        <v>5</v>
      </c>
      <c r="D108" s="12" t="s">
        <v>6</v>
      </c>
      <c r="E108" s="12" t="s">
        <v>2760</v>
      </c>
      <c r="F108" s="13"/>
    </row>
    <row r="109" spans="1:6" x14ac:dyDescent="0.2">
      <c r="A109" s="12" t="s">
        <v>1834</v>
      </c>
      <c r="B109" s="11"/>
      <c r="C109" s="12" t="s">
        <v>5</v>
      </c>
      <c r="D109" s="12" t="s">
        <v>6</v>
      </c>
      <c r="E109" s="12" t="s">
        <v>2762</v>
      </c>
      <c r="F109" s="13"/>
    </row>
    <row r="110" spans="1:6" x14ac:dyDescent="0.2">
      <c r="A110" s="12" t="s">
        <v>662</v>
      </c>
      <c r="B110" s="11"/>
      <c r="C110" s="12" t="s">
        <v>5</v>
      </c>
      <c r="D110" s="12" t="s">
        <v>6</v>
      </c>
      <c r="E110" s="12" t="s">
        <v>2764</v>
      </c>
      <c r="F110" s="13"/>
    </row>
    <row r="111" spans="1:6" x14ac:dyDescent="0.2">
      <c r="A111" s="12" t="s">
        <v>662</v>
      </c>
      <c r="B111" s="11"/>
      <c r="C111" s="12" t="s">
        <v>5</v>
      </c>
      <c r="D111" s="12" t="s">
        <v>6</v>
      </c>
      <c r="E111" s="12" t="s">
        <v>2764</v>
      </c>
      <c r="F111" s="13"/>
    </row>
    <row r="112" spans="1:6" x14ac:dyDescent="0.2">
      <c r="A112" s="12" t="s">
        <v>268</v>
      </c>
      <c r="B112" s="11"/>
      <c r="C112" s="12" t="s">
        <v>5</v>
      </c>
      <c r="D112" s="12" t="s">
        <v>6</v>
      </c>
      <c r="E112" s="12" t="s">
        <v>2768</v>
      </c>
      <c r="F112" s="13"/>
    </row>
    <row r="113" spans="1:6" x14ac:dyDescent="0.2">
      <c r="A113" s="12" t="s">
        <v>675</v>
      </c>
      <c r="B113" s="11"/>
      <c r="C113" s="12" t="s">
        <v>5</v>
      </c>
      <c r="D113" s="12" t="s">
        <v>6</v>
      </c>
      <c r="E113" s="12" t="s">
        <v>2770</v>
      </c>
      <c r="F113" s="13"/>
    </row>
    <row r="114" spans="1:6" x14ac:dyDescent="0.2">
      <c r="A114" s="12" t="s">
        <v>675</v>
      </c>
      <c r="B114" s="11"/>
      <c r="C114" s="12" t="s">
        <v>5</v>
      </c>
      <c r="D114" s="12" t="s">
        <v>6</v>
      </c>
      <c r="E114" s="12" t="s">
        <v>2770</v>
      </c>
      <c r="F114" s="13"/>
    </row>
    <row r="115" spans="1:6" x14ac:dyDescent="0.2">
      <c r="A115" s="12" t="s">
        <v>635</v>
      </c>
      <c r="B115" s="11"/>
      <c r="C115" s="12" t="s">
        <v>5</v>
      </c>
      <c r="D115" s="12" t="s">
        <v>6</v>
      </c>
      <c r="E115" s="12" t="s">
        <v>2773</v>
      </c>
      <c r="F115" s="13"/>
    </row>
    <row r="116" spans="1:6" x14ac:dyDescent="0.2">
      <c r="A116" s="12" t="s">
        <v>635</v>
      </c>
      <c r="B116" s="11"/>
      <c r="C116" s="12" t="s">
        <v>5</v>
      </c>
      <c r="D116" s="12" t="s">
        <v>6</v>
      </c>
      <c r="E116" s="12" t="s">
        <v>2773</v>
      </c>
      <c r="F116" s="13"/>
    </row>
    <row r="117" spans="1:6" x14ac:dyDescent="0.2">
      <c r="A117" s="12" t="s">
        <v>641</v>
      </c>
      <c r="B117" s="11"/>
      <c r="C117" s="12" t="s">
        <v>5</v>
      </c>
      <c r="D117" s="12" t="s">
        <v>6</v>
      </c>
      <c r="E117" s="12" t="s">
        <v>2778</v>
      </c>
      <c r="F117" s="13"/>
    </row>
    <row r="118" spans="1:6" x14ac:dyDescent="0.2">
      <c r="A118" s="12" t="s">
        <v>641</v>
      </c>
      <c r="B118" s="11"/>
      <c r="C118" s="12" t="s">
        <v>5</v>
      </c>
      <c r="D118" s="12" t="s">
        <v>6</v>
      </c>
      <c r="E118" s="12" t="s">
        <v>2778</v>
      </c>
      <c r="F118" s="13"/>
    </row>
    <row r="119" spans="1:6" x14ac:dyDescent="0.2">
      <c r="A119" s="12" t="s">
        <v>0</v>
      </c>
      <c r="B119" s="11"/>
      <c r="C119" s="12" t="s">
        <v>5</v>
      </c>
      <c r="D119" s="12" t="s">
        <v>6</v>
      </c>
      <c r="E119" s="12" t="s">
        <v>7</v>
      </c>
      <c r="F119" s="13"/>
    </row>
    <row r="120" spans="1:6" x14ac:dyDescent="0.2">
      <c r="A120" s="12" t="s">
        <v>0</v>
      </c>
      <c r="B120" s="11"/>
      <c r="C120" s="12" t="s">
        <v>5</v>
      </c>
      <c r="D120" s="12" t="s">
        <v>6</v>
      </c>
      <c r="E120" s="12" t="s">
        <v>7</v>
      </c>
      <c r="F120" s="13"/>
    </row>
    <row r="121" spans="1:6" x14ac:dyDescent="0.2">
      <c r="A121" s="12" t="s">
        <v>1905</v>
      </c>
      <c r="B121" s="11"/>
      <c r="C121" s="12" t="s">
        <v>208</v>
      </c>
      <c r="D121" s="12" t="s">
        <v>209</v>
      </c>
      <c r="E121" s="12" t="s">
        <v>5501</v>
      </c>
      <c r="F121" s="13"/>
    </row>
    <row r="122" spans="1:6" x14ac:dyDescent="0.2">
      <c r="A122" s="12" t="s">
        <v>467</v>
      </c>
      <c r="B122" s="11"/>
      <c r="C122" s="12" t="s">
        <v>208</v>
      </c>
      <c r="D122" s="12" t="s">
        <v>209</v>
      </c>
      <c r="E122" s="12" t="s">
        <v>5502</v>
      </c>
      <c r="F122" s="13"/>
    </row>
    <row r="123" spans="1:6" x14ac:dyDescent="0.2">
      <c r="A123" s="12" t="s">
        <v>1932</v>
      </c>
      <c r="B123" s="11"/>
      <c r="C123" s="12" t="s">
        <v>208</v>
      </c>
      <c r="D123" s="12" t="s">
        <v>209</v>
      </c>
      <c r="E123" s="12" t="s">
        <v>5503</v>
      </c>
      <c r="F123" s="13"/>
    </row>
    <row r="124" spans="1:6" x14ac:dyDescent="0.2">
      <c r="A124" s="12" t="s">
        <v>1919</v>
      </c>
      <c r="B124" s="11"/>
      <c r="C124" s="12" t="s">
        <v>208</v>
      </c>
      <c r="D124" s="12" t="s">
        <v>209</v>
      </c>
      <c r="E124" s="12" t="s">
        <v>5504</v>
      </c>
      <c r="F124" s="13"/>
    </row>
    <row r="125" spans="1:6" x14ac:dyDescent="0.2">
      <c r="A125" s="12" t="s">
        <v>1046</v>
      </c>
      <c r="B125" s="11"/>
      <c r="C125" s="12" t="s">
        <v>208</v>
      </c>
      <c r="D125" s="12" t="s">
        <v>209</v>
      </c>
      <c r="E125" s="12" t="s">
        <v>5506</v>
      </c>
      <c r="F125" s="13"/>
    </row>
    <row r="126" spans="1:6" x14ac:dyDescent="0.2">
      <c r="A126" s="12" t="s">
        <v>1028</v>
      </c>
      <c r="B126" s="11"/>
      <c r="C126" s="12" t="s">
        <v>208</v>
      </c>
      <c r="D126" s="12" t="s">
        <v>209</v>
      </c>
      <c r="E126" s="12" t="s">
        <v>5507</v>
      </c>
      <c r="F126" s="13"/>
    </row>
    <row r="127" spans="1:6" x14ac:dyDescent="0.2">
      <c r="A127" s="12" t="s">
        <v>2251</v>
      </c>
      <c r="B127" s="11"/>
      <c r="C127" s="12" t="s">
        <v>208</v>
      </c>
      <c r="D127" s="12" t="s">
        <v>209</v>
      </c>
      <c r="E127" s="12" t="s">
        <v>5508</v>
      </c>
      <c r="F127" s="47"/>
    </row>
    <row r="128" spans="1:6" x14ac:dyDescent="0.2">
      <c r="A128" s="12" t="s">
        <v>1851</v>
      </c>
      <c r="B128" s="11"/>
      <c r="C128" s="12" t="s">
        <v>208</v>
      </c>
      <c r="D128" s="12" t="s">
        <v>209</v>
      </c>
      <c r="E128" s="12" t="s">
        <v>5509</v>
      </c>
      <c r="F128" s="13"/>
    </row>
    <row r="129" spans="1:6" x14ac:dyDescent="0.2">
      <c r="A129" s="12" t="s">
        <v>2039</v>
      </c>
      <c r="B129" s="11"/>
      <c r="C129" s="12" t="s">
        <v>5</v>
      </c>
      <c r="D129" s="12" t="s">
        <v>6</v>
      </c>
      <c r="E129" s="12" t="s">
        <v>2784</v>
      </c>
      <c r="F129" s="13"/>
    </row>
    <row r="130" spans="1:6" x14ac:dyDescent="0.2">
      <c r="A130" s="12" t="s">
        <v>2039</v>
      </c>
      <c r="B130" s="11"/>
      <c r="C130" s="12" t="s">
        <v>5</v>
      </c>
      <c r="D130" s="12" t="s">
        <v>6</v>
      </c>
      <c r="E130" s="12" t="s">
        <v>2784</v>
      </c>
      <c r="F130" s="13"/>
    </row>
    <row r="131" spans="1:6" x14ac:dyDescent="0.2">
      <c r="A131" s="12" t="s">
        <v>730</v>
      </c>
      <c r="B131" s="11"/>
      <c r="C131" s="12" t="s">
        <v>5</v>
      </c>
      <c r="D131" s="12" t="s">
        <v>6</v>
      </c>
      <c r="E131" s="12" t="s">
        <v>2787</v>
      </c>
      <c r="F131" s="13"/>
    </row>
    <row r="132" spans="1:6" x14ac:dyDescent="0.2">
      <c r="A132" s="12" t="s">
        <v>730</v>
      </c>
      <c r="B132" s="11"/>
      <c r="C132" s="12" t="s">
        <v>5</v>
      </c>
      <c r="D132" s="12" t="s">
        <v>6</v>
      </c>
      <c r="E132" s="12" t="s">
        <v>2787</v>
      </c>
      <c r="F132" s="13"/>
    </row>
    <row r="133" spans="1:6" x14ac:dyDescent="0.2">
      <c r="A133" s="12" t="s">
        <v>1139</v>
      </c>
      <c r="B133" s="11"/>
      <c r="C133" s="12" t="s">
        <v>5</v>
      </c>
      <c r="D133" s="12" t="s">
        <v>6</v>
      </c>
      <c r="E133" s="12" t="s">
        <v>2790</v>
      </c>
      <c r="F133" s="13"/>
    </row>
    <row r="134" spans="1:6" x14ac:dyDescent="0.2">
      <c r="A134" s="12" t="s">
        <v>1139</v>
      </c>
      <c r="B134" s="11"/>
      <c r="C134" s="12" t="s">
        <v>5</v>
      </c>
      <c r="D134" s="12" t="s">
        <v>6</v>
      </c>
      <c r="E134" s="12" t="s">
        <v>2790</v>
      </c>
      <c r="F134" s="13"/>
    </row>
    <row r="135" spans="1:6" x14ac:dyDescent="0.2">
      <c r="A135" s="12" t="s">
        <v>1822</v>
      </c>
      <c r="B135" s="11"/>
      <c r="C135" s="12" t="s">
        <v>5</v>
      </c>
      <c r="D135" s="12" t="s">
        <v>6</v>
      </c>
      <c r="E135" s="12" t="s">
        <v>2794</v>
      </c>
      <c r="F135" s="13"/>
    </row>
    <row r="136" spans="1:6" x14ac:dyDescent="0.2">
      <c r="A136" s="12" t="s">
        <v>1466</v>
      </c>
      <c r="B136" s="11"/>
      <c r="C136" s="12" t="s">
        <v>5</v>
      </c>
      <c r="D136" s="12" t="s">
        <v>6</v>
      </c>
      <c r="E136" s="12" t="s">
        <v>2796</v>
      </c>
      <c r="F136" s="13"/>
    </row>
    <row r="137" spans="1:6" x14ac:dyDescent="0.2">
      <c r="A137" s="12" t="s">
        <v>1327</v>
      </c>
      <c r="B137" s="11"/>
      <c r="C137" s="12" t="s">
        <v>5</v>
      </c>
      <c r="D137" s="12" t="s">
        <v>6</v>
      </c>
      <c r="E137" s="12" t="s">
        <v>2798</v>
      </c>
      <c r="F137" s="13"/>
    </row>
    <row r="138" spans="1:6" x14ac:dyDescent="0.2">
      <c r="A138" s="12" t="s">
        <v>1582</v>
      </c>
      <c r="B138" s="11"/>
      <c r="C138" s="12" t="s">
        <v>5</v>
      </c>
      <c r="D138" s="12" t="s">
        <v>6</v>
      </c>
      <c r="E138" s="12" t="s">
        <v>2800</v>
      </c>
      <c r="F138" s="13"/>
    </row>
    <row r="139" spans="1:6" x14ac:dyDescent="0.2">
      <c r="A139" s="12" t="s">
        <v>1468</v>
      </c>
      <c r="B139" s="11"/>
      <c r="C139" s="12" t="s">
        <v>5</v>
      </c>
      <c r="D139" s="12" t="s">
        <v>6</v>
      </c>
      <c r="E139" s="12" t="s">
        <v>2802</v>
      </c>
      <c r="F139" s="13"/>
    </row>
    <row r="140" spans="1:6" x14ac:dyDescent="0.2">
      <c r="A140" s="12" t="s">
        <v>1468</v>
      </c>
      <c r="B140" s="11"/>
      <c r="C140" s="12" t="s">
        <v>5</v>
      </c>
      <c r="D140" s="12" t="s">
        <v>6</v>
      </c>
      <c r="E140" s="12" t="s">
        <v>2802</v>
      </c>
      <c r="F140" s="13"/>
    </row>
    <row r="141" spans="1:6" x14ac:dyDescent="0.2">
      <c r="A141" s="12" t="s">
        <v>518</v>
      </c>
      <c r="B141" s="11"/>
      <c r="C141" s="12" t="s">
        <v>208</v>
      </c>
      <c r="D141" s="12" t="s">
        <v>209</v>
      </c>
      <c r="E141" s="12" t="s">
        <v>5510</v>
      </c>
      <c r="F141" s="13"/>
    </row>
    <row r="142" spans="1:6" x14ac:dyDescent="0.2">
      <c r="A142" s="12" t="s">
        <v>1805</v>
      </c>
      <c r="B142" s="11"/>
      <c r="C142" s="12" t="s">
        <v>208</v>
      </c>
      <c r="D142" s="12" t="s">
        <v>209</v>
      </c>
      <c r="E142" s="12" t="s">
        <v>5511</v>
      </c>
      <c r="F142" s="13"/>
    </row>
    <row r="143" spans="1:6" x14ac:dyDescent="0.2">
      <c r="A143" s="12" t="s">
        <v>1922</v>
      </c>
      <c r="B143" s="11"/>
      <c r="C143" s="12" t="s">
        <v>208</v>
      </c>
      <c r="D143" s="12" t="s">
        <v>209</v>
      </c>
      <c r="E143" s="12" t="s">
        <v>5512</v>
      </c>
      <c r="F143" s="13"/>
    </row>
    <row r="144" spans="1:6" x14ac:dyDescent="0.2">
      <c r="A144" s="12" t="s">
        <v>2251</v>
      </c>
      <c r="B144" s="11"/>
      <c r="C144" s="12" t="s">
        <v>208</v>
      </c>
      <c r="D144" s="12" t="s">
        <v>209</v>
      </c>
      <c r="E144" s="12" t="s">
        <v>5513</v>
      </c>
      <c r="F144" s="47"/>
    </row>
    <row r="145" spans="1:6" x14ac:dyDescent="0.2">
      <c r="A145" s="12" t="s">
        <v>854</v>
      </c>
      <c r="B145" s="11"/>
      <c r="C145" s="12" t="s">
        <v>208</v>
      </c>
      <c r="D145" s="12" t="s">
        <v>209</v>
      </c>
      <c r="E145" s="12" t="s">
        <v>5514</v>
      </c>
      <c r="F145" s="13"/>
    </row>
    <row r="146" spans="1:6" x14ac:dyDescent="0.2">
      <c r="A146" s="12" t="s">
        <v>819</v>
      </c>
      <c r="B146" s="11"/>
      <c r="C146" s="12" t="s">
        <v>208</v>
      </c>
      <c r="D146" s="12" t="s">
        <v>209</v>
      </c>
      <c r="E146" s="12" t="s">
        <v>5515</v>
      </c>
      <c r="F146" s="13"/>
    </row>
    <row r="147" spans="1:6" x14ac:dyDescent="0.2">
      <c r="A147" s="12" t="s">
        <v>2251</v>
      </c>
      <c r="B147" s="11"/>
      <c r="C147" s="12" t="s">
        <v>208</v>
      </c>
      <c r="D147" s="12" t="s">
        <v>209</v>
      </c>
      <c r="E147" s="12" t="s">
        <v>5516</v>
      </c>
      <c r="F147" s="47"/>
    </row>
    <row r="148" spans="1:6" x14ac:dyDescent="0.2">
      <c r="A148" s="12" t="s">
        <v>1142</v>
      </c>
      <c r="B148" s="11"/>
      <c r="C148" s="12" t="s">
        <v>208</v>
      </c>
      <c r="D148" s="12" t="s">
        <v>209</v>
      </c>
      <c r="E148" s="12" t="s">
        <v>5517</v>
      </c>
      <c r="F148" s="13"/>
    </row>
    <row r="149" spans="1:6" x14ac:dyDescent="0.2">
      <c r="A149" s="12" t="s">
        <v>689</v>
      </c>
      <c r="B149" s="11"/>
      <c r="C149" s="12" t="s">
        <v>5</v>
      </c>
      <c r="D149" s="12" t="s">
        <v>6</v>
      </c>
      <c r="E149" s="12" t="s">
        <v>2805</v>
      </c>
      <c r="F149" s="13"/>
    </row>
    <row r="150" spans="1:6" x14ac:dyDescent="0.2">
      <c r="A150" s="12" t="s">
        <v>699</v>
      </c>
      <c r="B150" s="11"/>
      <c r="C150" s="12" t="s">
        <v>5</v>
      </c>
      <c r="D150" s="12" t="s">
        <v>6</v>
      </c>
      <c r="E150" s="12" t="s">
        <v>2807</v>
      </c>
      <c r="F150" s="13"/>
    </row>
    <row r="151" spans="1:6" x14ac:dyDescent="0.2">
      <c r="A151" s="12" t="s">
        <v>2030</v>
      </c>
      <c r="B151" s="11"/>
      <c r="C151" s="12" t="s">
        <v>5</v>
      </c>
      <c r="D151" s="12" t="s">
        <v>6</v>
      </c>
      <c r="E151" s="12" t="s">
        <v>2809</v>
      </c>
      <c r="F151" s="13"/>
    </row>
    <row r="152" spans="1:6" x14ac:dyDescent="0.2">
      <c r="A152" s="12" t="s">
        <v>2030</v>
      </c>
      <c r="B152" s="11"/>
      <c r="C152" s="12" t="s">
        <v>5</v>
      </c>
      <c r="D152" s="12" t="s">
        <v>6</v>
      </c>
      <c r="E152" s="12" t="s">
        <v>2809</v>
      </c>
      <c r="F152" s="13"/>
    </row>
    <row r="153" spans="1:6" x14ac:dyDescent="0.2">
      <c r="A153" s="12" t="s">
        <v>641</v>
      </c>
      <c r="B153" s="11"/>
      <c r="C153" s="12" t="s">
        <v>5</v>
      </c>
      <c r="D153" s="12" t="s">
        <v>6</v>
      </c>
      <c r="E153" s="12" t="s">
        <v>2812</v>
      </c>
      <c r="F153" s="13"/>
    </row>
    <row r="154" spans="1:6" x14ac:dyDescent="0.2">
      <c r="A154" s="12" t="s">
        <v>641</v>
      </c>
      <c r="B154" s="11"/>
      <c r="C154" s="12" t="s">
        <v>5</v>
      </c>
      <c r="D154" s="12" t="s">
        <v>6</v>
      </c>
      <c r="E154" s="12" t="s">
        <v>2812</v>
      </c>
      <c r="F154" s="13"/>
    </row>
    <row r="155" spans="1:6" x14ac:dyDescent="0.2">
      <c r="A155" s="12" t="s">
        <v>1139</v>
      </c>
      <c r="B155" s="11"/>
      <c r="C155" s="12" t="s">
        <v>5</v>
      </c>
      <c r="D155" s="12" t="s">
        <v>6</v>
      </c>
      <c r="E155" s="12" t="s">
        <v>2815</v>
      </c>
      <c r="F155" s="13"/>
    </row>
    <row r="156" spans="1:6" x14ac:dyDescent="0.2">
      <c r="A156" s="12" t="s">
        <v>1139</v>
      </c>
      <c r="B156" s="11"/>
      <c r="C156" s="12" t="s">
        <v>5</v>
      </c>
      <c r="D156" s="12" t="s">
        <v>6</v>
      </c>
      <c r="E156" s="12" t="s">
        <v>2815</v>
      </c>
      <c r="F156" s="13"/>
    </row>
    <row r="157" spans="1:6" x14ac:dyDescent="0.2">
      <c r="A157" s="12" t="s">
        <v>2043</v>
      </c>
      <c r="B157" s="11"/>
      <c r="C157" s="12" t="s">
        <v>5</v>
      </c>
      <c r="D157" s="12" t="s">
        <v>6</v>
      </c>
      <c r="E157" s="12" t="s">
        <v>2819</v>
      </c>
      <c r="F157" s="13"/>
    </row>
    <row r="158" spans="1:6" x14ac:dyDescent="0.2">
      <c r="A158" s="12" t="s">
        <v>2043</v>
      </c>
      <c r="B158" s="11"/>
      <c r="C158" s="12" t="s">
        <v>5</v>
      </c>
      <c r="D158" s="12" t="s">
        <v>6</v>
      </c>
      <c r="E158" s="12" t="s">
        <v>2819</v>
      </c>
      <c r="F158" s="13"/>
    </row>
    <row r="159" spans="1:6" x14ac:dyDescent="0.2">
      <c r="A159" s="12" t="s">
        <v>718</v>
      </c>
      <c r="B159" s="11"/>
      <c r="C159" s="12" t="s">
        <v>5</v>
      </c>
      <c r="D159" s="12" t="s">
        <v>6</v>
      </c>
      <c r="E159" s="12" t="s">
        <v>2822</v>
      </c>
      <c r="F159" s="13"/>
    </row>
    <row r="160" spans="1:6" x14ac:dyDescent="0.2">
      <c r="A160" s="12" t="s">
        <v>718</v>
      </c>
      <c r="B160" s="11"/>
      <c r="C160" s="12" t="s">
        <v>5</v>
      </c>
      <c r="D160" s="12" t="s">
        <v>6</v>
      </c>
      <c r="E160" s="12" t="s">
        <v>2822</v>
      </c>
      <c r="F160" s="13"/>
    </row>
    <row r="161" spans="1:6" x14ac:dyDescent="0.2">
      <c r="A161" s="12" t="s">
        <v>1131</v>
      </c>
      <c r="B161" s="11"/>
      <c r="C161" s="12" t="s">
        <v>5</v>
      </c>
      <c r="D161" s="12" t="s">
        <v>6</v>
      </c>
      <c r="E161" s="12" t="s">
        <v>2825</v>
      </c>
      <c r="F161" s="47"/>
    </row>
    <row r="162" spans="1:6" x14ac:dyDescent="0.2">
      <c r="A162" s="12" t="s">
        <v>1131</v>
      </c>
      <c r="B162" s="11"/>
      <c r="C162" s="12" t="s">
        <v>5</v>
      </c>
      <c r="D162" s="12" t="s">
        <v>6</v>
      </c>
      <c r="E162" s="12" t="s">
        <v>2825</v>
      </c>
      <c r="F162" s="47"/>
    </row>
    <row r="163" spans="1:6" x14ac:dyDescent="0.2">
      <c r="A163" s="12" t="s">
        <v>2251</v>
      </c>
      <c r="B163" s="11"/>
      <c r="C163" s="12" t="s">
        <v>208</v>
      </c>
      <c r="D163" s="12" t="s">
        <v>209</v>
      </c>
      <c r="E163" s="12" t="s">
        <v>5518</v>
      </c>
      <c r="F163" s="47"/>
    </row>
    <row r="164" spans="1:6" x14ac:dyDescent="0.2">
      <c r="A164" s="12" t="s">
        <v>1809</v>
      </c>
      <c r="B164" s="11"/>
      <c r="C164" s="12" t="s">
        <v>208</v>
      </c>
      <c r="D164" s="12" t="s">
        <v>209</v>
      </c>
      <c r="E164" s="12" t="s">
        <v>5519</v>
      </c>
      <c r="F164" s="13"/>
    </row>
    <row r="165" spans="1:6" x14ac:dyDescent="0.2">
      <c r="A165" s="12" t="s">
        <v>1930</v>
      </c>
      <c r="B165" s="11"/>
      <c r="C165" s="12" t="s">
        <v>208</v>
      </c>
      <c r="D165" s="12" t="s">
        <v>209</v>
      </c>
      <c r="E165" s="12" t="s">
        <v>5520</v>
      </c>
      <c r="F165" s="13"/>
    </row>
    <row r="166" spans="1:6" x14ac:dyDescent="0.2">
      <c r="A166" s="12" t="s">
        <v>2187</v>
      </c>
      <c r="B166" s="11"/>
      <c r="C166" s="12" t="s">
        <v>208</v>
      </c>
      <c r="D166" s="12" t="s">
        <v>209</v>
      </c>
      <c r="E166" s="12" t="s">
        <v>5521</v>
      </c>
      <c r="F166" s="13"/>
    </row>
    <row r="167" spans="1:6" x14ac:dyDescent="0.2">
      <c r="A167" s="12" t="s">
        <v>808</v>
      </c>
      <c r="B167" s="11"/>
      <c r="C167" s="12" t="s">
        <v>208</v>
      </c>
      <c r="D167" s="12" t="s">
        <v>209</v>
      </c>
      <c r="E167" s="12" t="s">
        <v>5522</v>
      </c>
      <c r="F167" s="13"/>
    </row>
    <row r="168" spans="1:6" x14ac:dyDescent="0.2">
      <c r="A168" s="12" t="s">
        <v>2251</v>
      </c>
      <c r="B168" s="11"/>
      <c r="C168" s="12" t="s">
        <v>208</v>
      </c>
      <c r="D168" s="12" t="s">
        <v>209</v>
      </c>
      <c r="E168" s="12" t="s">
        <v>5523</v>
      </c>
      <c r="F168" s="47"/>
    </row>
    <row r="169" spans="1:6" x14ac:dyDescent="0.2">
      <c r="A169" s="12" t="s">
        <v>1952</v>
      </c>
      <c r="B169" s="11"/>
      <c r="C169" s="12" t="s">
        <v>208</v>
      </c>
      <c r="D169" s="12" t="s">
        <v>209</v>
      </c>
      <c r="E169" s="12" t="s">
        <v>5524</v>
      </c>
      <c r="F169" s="13"/>
    </row>
    <row r="170" spans="1:6" x14ac:dyDescent="0.2">
      <c r="A170" s="12" t="s">
        <v>2251</v>
      </c>
      <c r="B170" s="11"/>
      <c r="C170" s="12" t="s">
        <v>208</v>
      </c>
      <c r="D170" s="12" t="s">
        <v>209</v>
      </c>
      <c r="E170" s="12" t="s">
        <v>5525</v>
      </c>
      <c r="F170" s="47"/>
    </row>
    <row r="171" spans="1:6" x14ac:dyDescent="0.2">
      <c r="A171" s="12" t="s">
        <v>1845</v>
      </c>
      <c r="B171" s="11"/>
      <c r="C171" s="12" t="s">
        <v>5</v>
      </c>
      <c r="D171" s="12" t="s">
        <v>6</v>
      </c>
      <c r="E171" s="12" t="s">
        <v>2828</v>
      </c>
      <c r="F171" s="13"/>
    </row>
    <row r="172" spans="1:6" x14ac:dyDescent="0.2">
      <c r="A172" s="12" t="s">
        <v>1905</v>
      </c>
      <c r="B172" s="11"/>
      <c r="C172" s="12" t="s">
        <v>5</v>
      </c>
      <c r="D172" s="12" t="s">
        <v>6</v>
      </c>
      <c r="E172" s="12" t="s">
        <v>2830</v>
      </c>
      <c r="F172" s="13"/>
    </row>
    <row r="173" spans="1:6" x14ac:dyDescent="0.2">
      <c r="A173" s="12" t="s">
        <v>1573</v>
      </c>
      <c r="B173" s="11"/>
      <c r="C173" s="12" t="s">
        <v>5</v>
      </c>
      <c r="D173" s="12" t="s">
        <v>6</v>
      </c>
      <c r="E173" s="12" t="s">
        <v>2832</v>
      </c>
      <c r="F173" s="13"/>
    </row>
    <row r="174" spans="1:6" x14ac:dyDescent="0.2">
      <c r="A174" s="12" t="s">
        <v>1135</v>
      </c>
      <c r="B174" s="11"/>
      <c r="C174" s="12" t="s">
        <v>5</v>
      </c>
      <c r="D174" s="12" t="s">
        <v>6</v>
      </c>
      <c r="E174" s="12" t="s">
        <v>2834</v>
      </c>
      <c r="F174" s="13"/>
    </row>
    <row r="175" spans="1:6" x14ac:dyDescent="0.2">
      <c r="A175" s="12" t="s">
        <v>1135</v>
      </c>
      <c r="B175" s="11"/>
      <c r="C175" s="12" t="s">
        <v>5</v>
      </c>
      <c r="D175" s="12" t="s">
        <v>6</v>
      </c>
      <c r="E175" s="12" t="s">
        <v>2834</v>
      </c>
      <c r="F175" s="13"/>
    </row>
    <row r="176" spans="1:6" x14ac:dyDescent="0.2">
      <c r="A176" s="12" t="s">
        <v>1135</v>
      </c>
      <c r="B176" s="11"/>
      <c r="C176" s="12" t="s">
        <v>5</v>
      </c>
      <c r="D176" s="12" t="s">
        <v>6</v>
      </c>
      <c r="E176" s="12" t="s">
        <v>2837</v>
      </c>
      <c r="F176" s="13"/>
    </row>
    <row r="177" spans="1:6" x14ac:dyDescent="0.2">
      <c r="A177" s="12" t="s">
        <v>1135</v>
      </c>
      <c r="B177" s="11"/>
      <c r="C177" s="12" t="s">
        <v>5</v>
      </c>
      <c r="D177" s="12" t="s">
        <v>6</v>
      </c>
      <c r="E177" s="12" t="s">
        <v>2837</v>
      </c>
      <c r="F177" s="13"/>
    </row>
    <row r="178" spans="1:6" x14ac:dyDescent="0.2">
      <c r="A178" s="12" t="s">
        <v>1131</v>
      </c>
      <c r="B178" s="11"/>
      <c r="C178" s="12" t="s">
        <v>5</v>
      </c>
      <c r="D178" s="12" t="s">
        <v>6</v>
      </c>
      <c r="E178" s="12" t="s">
        <v>2840</v>
      </c>
      <c r="F178" s="47"/>
    </row>
    <row r="179" spans="1:6" x14ac:dyDescent="0.2">
      <c r="A179" s="12" t="s">
        <v>1131</v>
      </c>
      <c r="B179" s="11"/>
      <c r="C179" s="12" t="s">
        <v>5</v>
      </c>
      <c r="D179" s="12" t="s">
        <v>6</v>
      </c>
      <c r="E179" s="12" t="s">
        <v>2840</v>
      </c>
      <c r="F179" s="47"/>
    </row>
    <row r="180" spans="1:6" x14ac:dyDescent="0.2">
      <c r="A180" s="12" t="s">
        <v>1346</v>
      </c>
      <c r="B180" s="11"/>
      <c r="C180" s="12" t="s">
        <v>5</v>
      </c>
      <c r="D180" s="12" t="s">
        <v>6</v>
      </c>
      <c r="E180" s="12" t="s">
        <v>2843</v>
      </c>
      <c r="F180" s="13"/>
    </row>
    <row r="181" spans="1:6" x14ac:dyDescent="0.2">
      <c r="A181" s="12" t="s">
        <v>1346</v>
      </c>
      <c r="B181" s="11"/>
      <c r="C181" s="12" t="s">
        <v>5</v>
      </c>
      <c r="D181" s="12" t="s">
        <v>6</v>
      </c>
      <c r="E181" s="12" t="s">
        <v>2843</v>
      </c>
      <c r="F181" s="13"/>
    </row>
    <row r="182" spans="1:6" x14ac:dyDescent="0.2">
      <c r="A182" s="12" t="s">
        <v>1278</v>
      </c>
      <c r="B182" s="11"/>
      <c r="C182" s="12" t="s">
        <v>5</v>
      </c>
      <c r="D182" s="12" t="s">
        <v>6</v>
      </c>
      <c r="E182" s="12" t="s">
        <v>2846</v>
      </c>
      <c r="F182" s="13"/>
    </row>
    <row r="183" spans="1:6" x14ac:dyDescent="0.2">
      <c r="A183" s="12" t="s">
        <v>1278</v>
      </c>
      <c r="B183" s="11"/>
      <c r="C183" s="12" t="s">
        <v>5</v>
      </c>
      <c r="D183" s="12" t="s">
        <v>6</v>
      </c>
      <c r="E183" s="12" t="s">
        <v>2846</v>
      </c>
      <c r="F183" s="13"/>
    </row>
    <row r="184" spans="1:6" x14ac:dyDescent="0.2">
      <c r="A184" s="12" t="s">
        <v>2251</v>
      </c>
      <c r="B184" s="11"/>
      <c r="C184" s="12" t="s">
        <v>208</v>
      </c>
      <c r="D184" s="12" t="s">
        <v>209</v>
      </c>
      <c r="E184" s="12" t="s">
        <v>5526</v>
      </c>
      <c r="F184" s="47"/>
    </row>
    <row r="185" spans="1:6" x14ac:dyDescent="0.2">
      <c r="A185" s="12" t="s">
        <v>2251</v>
      </c>
      <c r="B185" s="11"/>
      <c r="C185" s="12" t="s">
        <v>208</v>
      </c>
      <c r="D185" s="12" t="s">
        <v>209</v>
      </c>
      <c r="E185" s="12" t="s">
        <v>5527</v>
      </c>
      <c r="F185" s="47"/>
    </row>
    <row r="186" spans="1:6" x14ac:dyDescent="0.2">
      <c r="A186" s="12" t="s">
        <v>1547</v>
      </c>
      <c r="B186" s="11"/>
      <c r="C186" s="12" t="s">
        <v>208</v>
      </c>
      <c r="D186" s="12" t="s">
        <v>209</v>
      </c>
      <c r="E186" s="12" t="s">
        <v>5528</v>
      </c>
      <c r="F186" s="13"/>
    </row>
    <row r="187" spans="1:6" x14ac:dyDescent="0.2">
      <c r="A187" s="12" t="s">
        <v>1535</v>
      </c>
      <c r="B187" s="11"/>
      <c r="C187" s="12" t="s">
        <v>208</v>
      </c>
      <c r="D187" s="12" t="s">
        <v>209</v>
      </c>
      <c r="E187" s="12" t="s">
        <v>5529</v>
      </c>
      <c r="F187" s="13"/>
    </row>
    <row r="188" spans="1:6" x14ac:dyDescent="0.2">
      <c r="A188" s="12" t="s">
        <v>509</v>
      </c>
      <c r="B188" s="11"/>
      <c r="C188" s="12" t="s">
        <v>208</v>
      </c>
      <c r="D188" s="12" t="s">
        <v>209</v>
      </c>
      <c r="E188" s="12" t="s">
        <v>5530</v>
      </c>
      <c r="F188" s="13"/>
    </row>
    <row r="189" spans="1:6" x14ac:dyDescent="0.2">
      <c r="A189" s="12" t="s">
        <v>476</v>
      </c>
      <c r="B189" s="11"/>
      <c r="C189" s="12" t="s">
        <v>208</v>
      </c>
      <c r="D189" s="12" t="s">
        <v>209</v>
      </c>
      <c r="E189" s="12" t="s">
        <v>5531</v>
      </c>
      <c r="F189" s="13"/>
    </row>
    <row r="190" spans="1:6" x14ac:dyDescent="0.2">
      <c r="A190" s="12" t="s">
        <v>1327</v>
      </c>
      <c r="B190" s="11"/>
      <c r="C190" s="12" t="s">
        <v>208</v>
      </c>
      <c r="D190" s="12" t="s">
        <v>209</v>
      </c>
      <c r="E190" s="12" t="s">
        <v>5532</v>
      </c>
      <c r="F190" s="13"/>
    </row>
    <row r="191" spans="1:6" x14ac:dyDescent="0.2">
      <c r="A191" s="12" t="s">
        <v>1331</v>
      </c>
      <c r="B191" s="11"/>
      <c r="C191" s="12" t="s">
        <v>208</v>
      </c>
      <c r="D191" s="12" t="s">
        <v>209</v>
      </c>
      <c r="E191" s="12" t="s">
        <v>5533</v>
      </c>
      <c r="F191" s="13"/>
    </row>
    <row r="192" spans="1:6" x14ac:dyDescent="0.2">
      <c r="A192" s="12" t="s">
        <v>2043</v>
      </c>
      <c r="B192" s="11"/>
      <c r="C192" s="12" t="s">
        <v>5</v>
      </c>
      <c r="D192" s="12" t="s">
        <v>6</v>
      </c>
      <c r="E192" s="12" t="s">
        <v>2849</v>
      </c>
      <c r="F192" s="13"/>
    </row>
    <row r="193" spans="1:6" x14ac:dyDescent="0.2">
      <c r="A193" s="12" t="s">
        <v>12</v>
      </c>
      <c r="B193" s="11"/>
      <c r="C193" s="12" t="s">
        <v>5</v>
      </c>
      <c r="D193" s="12" t="s">
        <v>6</v>
      </c>
      <c r="E193" s="12" t="s">
        <v>14</v>
      </c>
      <c r="F193" s="13"/>
    </row>
    <row r="194" spans="1:6" x14ac:dyDescent="0.2">
      <c r="A194" s="12" t="s">
        <v>1363</v>
      </c>
      <c r="B194" s="11"/>
      <c r="C194" s="12" t="s">
        <v>5</v>
      </c>
      <c r="D194" s="12" t="s">
        <v>6</v>
      </c>
      <c r="E194" s="12" t="s">
        <v>2851</v>
      </c>
      <c r="F194" s="13"/>
    </row>
    <row r="195" spans="1:6" x14ac:dyDescent="0.2">
      <c r="A195" s="12" t="s">
        <v>1363</v>
      </c>
      <c r="B195" s="11"/>
      <c r="C195" s="12" t="s">
        <v>5</v>
      </c>
      <c r="D195" s="12" t="s">
        <v>6</v>
      </c>
      <c r="E195" s="12" t="s">
        <v>2851</v>
      </c>
      <c r="F195" s="13"/>
    </row>
    <row r="196" spans="1:6" x14ac:dyDescent="0.2">
      <c r="A196" s="12" t="s">
        <v>1359</v>
      </c>
      <c r="B196" s="11"/>
      <c r="C196" s="12" t="s">
        <v>5</v>
      </c>
      <c r="D196" s="12" t="s">
        <v>6</v>
      </c>
      <c r="E196" s="12" t="s">
        <v>2854</v>
      </c>
      <c r="F196" s="13"/>
    </row>
    <row r="197" spans="1:6" x14ac:dyDescent="0.2">
      <c r="A197" s="12" t="s">
        <v>1359</v>
      </c>
      <c r="B197" s="11"/>
      <c r="C197" s="12" t="s">
        <v>5</v>
      </c>
      <c r="D197" s="12" t="s">
        <v>6</v>
      </c>
      <c r="E197" s="12" t="s">
        <v>2854</v>
      </c>
      <c r="F197" s="13"/>
    </row>
    <row r="198" spans="1:6" x14ac:dyDescent="0.2">
      <c r="A198" s="12" t="s">
        <v>1031</v>
      </c>
      <c r="B198" s="11"/>
      <c r="C198" s="12" t="s">
        <v>5</v>
      </c>
      <c r="D198" s="12" t="s">
        <v>6</v>
      </c>
      <c r="E198" s="12" t="s">
        <v>2857</v>
      </c>
      <c r="F198" s="13"/>
    </row>
    <row r="199" spans="1:6" x14ac:dyDescent="0.2">
      <c r="A199" s="12" t="s">
        <v>1031</v>
      </c>
      <c r="B199" s="11"/>
      <c r="C199" s="12" t="s">
        <v>5</v>
      </c>
      <c r="D199" s="12" t="s">
        <v>6</v>
      </c>
      <c r="E199" s="12" t="s">
        <v>2857</v>
      </c>
      <c r="F199" s="13"/>
    </row>
    <row r="200" spans="1:6" x14ac:dyDescent="0.2">
      <c r="A200" s="12" t="s">
        <v>1054</v>
      </c>
      <c r="B200" s="11"/>
      <c r="C200" s="12" t="s">
        <v>5</v>
      </c>
      <c r="D200" s="12" t="s">
        <v>6</v>
      </c>
      <c r="E200" s="12" t="s">
        <v>2860</v>
      </c>
      <c r="F200" s="13"/>
    </row>
    <row r="201" spans="1:6" x14ac:dyDescent="0.2">
      <c r="A201" s="12" t="s">
        <v>1054</v>
      </c>
      <c r="B201" s="11"/>
      <c r="C201" s="12" t="s">
        <v>5</v>
      </c>
      <c r="D201" s="12" t="s">
        <v>6</v>
      </c>
      <c r="E201" s="12" t="s">
        <v>2860</v>
      </c>
      <c r="F201" s="13"/>
    </row>
    <row r="202" spans="1:6" x14ac:dyDescent="0.2">
      <c r="A202" s="12" t="s">
        <v>2039</v>
      </c>
      <c r="B202" s="11"/>
      <c r="C202" s="12" t="s">
        <v>5</v>
      </c>
      <c r="D202" s="12" t="s">
        <v>6</v>
      </c>
      <c r="E202" s="12" t="s">
        <v>2863</v>
      </c>
      <c r="F202" s="13"/>
    </row>
    <row r="203" spans="1:6" x14ac:dyDescent="0.2">
      <c r="A203" s="12" t="s">
        <v>2039</v>
      </c>
      <c r="B203" s="11"/>
      <c r="C203" s="12" t="s">
        <v>5</v>
      </c>
      <c r="D203" s="12" t="s">
        <v>6</v>
      </c>
      <c r="E203" s="12" t="s">
        <v>2863</v>
      </c>
      <c r="F203" s="13"/>
    </row>
    <row r="204" spans="1:6" x14ac:dyDescent="0.2">
      <c r="A204" s="12" t="s">
        <v>1139</v>
      </c>
      <c r="B204" s="11"/>
      <c r="C204" s="12" t="s">
        <v>5</v>
      </c>
      <c r="D204" s="12" t="s">
        <v>6</v>
      </c>
      <c r="E204" s="12" t="s">
        <v>2866</v>
      </c>
      <c r="F204" s="13"/>
    </row>
    <row r="205" spans="1:6" x14ac:dyDescent="0.2">
      <c r="A205" s="12" t="s">
        <v>1139</v>
      </c>
      <c r="B205" s="11"/>
      <c r="C205" s="12" t="s">
        <v>5</v>
      </c>
      <c r="D205" s="12" t="s">
        <v>6</v>
      </c>
      <c r="E205" s="12" t="s">
        <v>2866</v>
      </c>
      <c r="F205" s="13"/>
    </row>
    <row r="206" spans="1:6" x14ac:dyDescent="0.2">
      <c r="A206" s="12" t="s">
        <v>1365</v>
      </c>
      <c r="B206" s="11"/>
      <c r="C206" s="12" t="s">
        <v>16</v>
      </c>
      <c r="D206" s="12" t="s">
        <v>6</v>
      </c>
      <c r="E206" s="12" t="s">
        <v>4262</v>
      </c>
      <c r="F206" s="13"/>
    </row>
    <row r="207" spans="1:6" x14ac:dyDescent="0.2">
      <c r="A207" s="12" t="s">
        <v>863</v>
      </c>
      <c r="B207" s="11"/>
      <c r="C207" s="12" t="s">
        <v>16</v>
      </c>
      <c r="D207" s="12" t="s">
        <v>17</v>
      </c>
      <c r="E207" s="12" t="s">
        <v>4264</v>
      </c>
      <c r="F207" s="13"/>
    </row>
    <row r="208" spans="1:6" x14ac:dyDescent="0.2">
      <c r="A208" s="12" t="s">
        <v>1994</v>
      </c>
      <c r="B208" s="11"/>
      <c r="C208" s="12" t="s">
        <v>16</v>
      </c>
      <c r="D208" s="12" t="s">
        <v>6</v>
      </c>
      <c r="E208" s="12" t="s">
        <v>4267</v>
      </c>
      <c r="F208" s="13"/>
    </row>
    <row r="209" spans="1:6" x14ac:dyDescent="0.2">
      <c r="A209" s="12" t="s">
        <v>2174</v>
      </c>
      <c r="B209" s="11"/>
      <c r="C209" s="12" t="s">
        <v>16</v>
      </c>
      <c r="D209" s="12" t="s">
        <v>6</v>
      </c>
      <c r="E209" s="12" t="s">
        <v>4269</v>
      </c>
      <c r="F209" s="13"/>
    </row>
    <row r="210" spans="1:6" x14ac:dyDescent="0.2">
      <c r="A210" s="12" t="s">
        <v>463</v>
      </c>
      <c r="B210" s="11"/>
      <c r="C210" s="12" t="s">
        <v>16</v>
      </c>
      <c r="D210" s="12" t="s">
        <v>6</v>
      </c>
      <c r="E210" s="12" t="s">
        <v>4271</v>
      </c>
      <c r="F210" s="13"/>
    </row>
    <row r="211" spans="1:6" x14ac:dyDescent="0.2">
      <c r="A211" s="12" t="s">
        <v>1854</v>
      </c>
      <c r="B211" s="11"/>
      <c r="C211" s="12" t="s">
        <v>16</v>
      </c>
      <c r="D211" s="12" t="s">
        <v>6</v>
      </c>
      <c r="E211" s="12" t="s">
        <v>4274</v>
      </c>
      <c r="F211" s="13"/>
    </row>
    <row r="212" spans="1:6" x14ac:dyDescent="0.2">
      <c r="A212" s="12" t="s">
        <v>2046</v>
      </c>
      <c r="B212" s="11"/>
      <c r="C212" s="12" t="s">
        <v>16</v>
      </c>
      <c r="D212" s="12" t="s">
        <v>6</v>
      </c>
      <c r="E212" s="12" t="s">
        <v>4277</v>
      </c>
      <c r="F212" s="13"/>
    </row>
    <row r="213" spans="1:6" x14ac:dyDescent="0.2">
      <c r="A213" s="12" t="s">
        <v>1982</v>
      </c>
      <c r="B213" s="11"/>
      <c r="C213" s="12" t="s">
        <v>16</v>
      </c>
      <c r="D213" s="12" t="s">
        <v>6</v>
      </c>
      <c r="E213" s="12" t="s">
        <v>4279</v>
      </c>
      <c r="F213" s="13"/>
    </row>
    <row r="214" spans="1:6" x14ac:dyDescent="0.2">
      <c r="A214" s="12" t="s">
        <v>2043</v>
      </c>
      <c r="B214" s="11"/>
      <c r="C214" s="12" t="s">
        <v>16</v>
      </c>
      <c r="D214" s="12" t="s">
        <v>6</v>
      </c>
      <c r="E214" s="12" t="s">
        <v>4281</v>
      </c>
      <c r="F214" s="13"/>
    </row>
    <row r="215" spans="1:6" x14ac:dyDescent="0.2">
      <c r="A215" s="12" t="s">
        <v>623</v>
      </c>
      <c r="B215" s="11"/>
      <c r="C215" s="12" t="s">
        <v>16</v>
      </c>
      <c r="D215" s="12" t="s">
        <v>6</v>
      </c>
      <c r="E215" s="12" t="s">
        <v>4283</v>
      </c>
      <c r="F215" s="13"/>
    </row>
    <row r="216" spans="1:6" x14ac:dyDescent="0.2">
      <c r="A216" s="12" t="s">
        <v>2251</v>
      </c>
      <c r="B216" s="11"/>
      <c r="C216" s="12" t="s">
        <v>16</v>
      </c>
      <c r="D216" s="12" t="s">
        <v>21</v>
      </c>
      <c r="E216" s="12" t="s">
        <v>4285</v>
      </c>
      <c r="F216" s="47"/>
    </row>
    <row r="217" spans="1:6" x14ac:dyDescent="0.2">
      <c r="A217" s="12" t="s">
        <v>334</v>
      </c>
      <c r="B217" s="11"/>
      <c r="C217" s="12" t="s">
        <v>16</v>
      </c>
      <c r="D217" s="12" t="s">
        <v>21</v>
      </c>
      <c r="E217" s="12" t="s">
        <v>4286</v>
      </c>
      <c r="F217" s="13"/>
    </row>
    <row r="218" spans="1:6" x14ac:dyDescent="0.2">
      <c r="A218" s="12" t="s">
        <v>1207</v>
      </c>
      <c r="B218" s="11"/>
      <c r="C218" s="12" t="s">
        <v>16</v>
      </c>
      <c r="D218" s="12" t="s">
        <v>21</v>
      </c>
      <c r="E218" s="12" t="s">
        <v>4288</v>
      </c>
      <c r="F218" s="13"/>
    </row>
    <row r="219" spans="1:6" x14ac:dyDescent="0.2">
      <c r="A219" s="12" t="s">
        <v>1535</v>
      </c>
      <c r="B219" s="11"/>
      <c r="C219" s="12" t="s">
        <v>16</v>
      </c>
      <c r="D219" s="12" t="s">
        <v>21</v>
      </c>
      <c r="E219" s="12" t="s">
        <v>4291</v>
      </c>
      <c r="F219" s="13"/>
    </row>
    <row r="220" spans="1:6" x14ac:dyDescent="0.2">
      <c r="A220" s="12" t="s">
        <v>1963</v>
      </c>
      <c r="B220" s="11"/>
      <c r="C220" s="12" t="s">
        <v>16</v>
      </c>
      <c r="D220" s="12" t="s">
        <v>17</v>
      </c>
      <c r="E220" s="12" t="s">
        <v>4231</v>
      </c>
      <c r="F220" s="13"/>
    </row>
    <row r="221" spans="1:6" x14ac:dyDescent="0.2">
      <c r="A221" s="12" t="s">
        <v>0</v>
      </c>
      <c r="B221" s="11"/>
      <c r="C221" s="12" t="s">
        <v>16</v>
      </c>
      <c r="D221" s="12" t="s">
        <v>17</v>
      </c>
      <c r="E221" s="12" t="s">
        <v>18</v>
      </c>
      <c r="F221" s="13"/>
    </row>
    <row r="222" spans="1:6" x14ac:dyDescent="0.2">
      <c r="A222" s="12" t="s">
        <v>942</v>
      </c>
      <c r="B222" s="11"/>
      <c r="C222" s="12" t="s">
        <v>16</v>
      </c>
      <c r="D222" s="12" t="s">
        <v>6</v>
      </c>
      <c r="E222" s="12" t="s">
        <v>4233</v>
      </c>
      <c r="F222" s="13"/>
    </row>
    <row r="223" spans="1:6" x14ac:dyDescent="0.2">
      <c r="A223" s="12" t="s">
        <v>1947</v>
      </c>
      <c r="B223" s="11"/>
      <c r="C223" s="12" t="s">
        <v>16</v>
      </c>
      <c r="D223" s="12" t="s">
        <v>6</v>
      </c>
      <c r="E223" s="12" t="s">
        <v>4235</v>
      </c>
      <c r="F223" s="13"/>
    </row>
    <row r="224" spans="1:6" x14ac:dyDescent="0.2">
      <c r="A224" s="12" t="s">
        <v>611</v>
      </c>
      <c r="B224" s="11"/>
      <c r="C224" s="12" t="s">
        <v>16</v>
      </c>
      <c r="D224" s="12" t="s">
        <v>6</v>
      </c>
      <c r="E224" s="12" t="s">
        <v>4238</v>
      </c>
      <c r="F224" s="13"/>
    </row>
    <row r="225" spans="1:6" x14ac:dyDescent="0.2">
      <c r="A225" s="12" t="s">
        <v>550</v>
      </c>
      <c r="B225" s="11"/>
      <c r="C225" s="12" t="s">
        <v>16</v>
      </c>
      <c r="D225" s="12" t="s">
        <v>6</v>
      </c>
      <c r="E225" s="12" t="s">
        <v>4240</v>
      </c>
      <c r="F225" s="13"/>
    </row>
    <row r="226" spans="1:6" x14ac:dyDescent="0.2">
      <c r="A226" s="12" t="s">
        <v>826</v>
      </c>
      <c r="B226" s="11"/>
      <c r="C226" s="12" t="s">
        <v>16</v>
      </c>
      <c r="D226" s="12" t="s">
        <v>21</v>
      </c>
      <c r="E226" s="12" t="s">
        <v>4242</v>
      </c>
      <c r="F226" s="13"/>
    </row>
    <row r="227" spans="1:6" x14ac:dyDescent="0.2">
      <c r="A227" s="12" t="s">
        <v>2061</v>
      </c>
      <c r="B227" s="11"/>
      <c r="C227" s="12" t="s">
        <v>16</v>
      </c>
      <c r="D227" s="12" t="s">
        <v>21</v>
      </c>
      <c r="E227" s="12" t="s">
        <v>4244</v>
      </c>
      <c r="F227" s="13"/>
    </row>
    <row r="228" spans="1:6" x14ac:dyDescent="0.2">
      <c r="A228" s="12" t="s">
        <v>2251</v>
      </c>
      <c r="B228" s="11"/>
      <c r="C228" s="12" t="s">
        <v>16</v>
      </c>
      <c r="D228" s="12" t="s">
        <v>21</v>
      </c>
      <c r="E228" s="12" t="s">
        <v>4246</v>
      </c>
      <c r="F228" s="47"/>
    </row>
    <row r="229" spans="1:6" x14ac:dyDescent="0.2">
      <c r="A229" s="12" t="s">
        <v>2050</v>
      </c>
      <c r="B229" s="11"/>
      <c r="C229" s="12" t="s">
        <v>16</v>
      </c>
      <c r="D229" s="12" t="s">
        <v>21</v>
      </c>
      <c r="E229" s="12" t="s">
        <v>4247</v>
      </c>
      <c r="F229" s="13"/>
    </row>
    <row r="230" spans="1:6" x14ac:dyDescent="0.2">
      <c r="A230" s="12" t="s">
        <v>1909</v>
      </c>
      <c r="B230" s="11"/>
      <c r="C230" s="12" t="s">
        <v>16</v>
      </c>
      <c r="D230" s="12" t="s">
        <v>21</v>
      </c>
      <c r="E230" s="12" t="s">
        <v>4249</v>
      </c>
      <c r="F230" s="13"/>
    </row>
    <row r="231" spans="1:6" x14ac:dyDescent="0.2">
      <c r="A231" s="12" t="s">
        <v>802</v>
      </c>
      <c r="B231" s="11"/>
      <c r="C231" s="12" t="s">
        <v>16</v>
      </c>
      <c r="D231" s="12" t="s">
        <v>21</v>
      </c>
      <c r="E231" s="12" t="s">
        <v>4251</v>
      </c>
      <c r="F231" s="13"/>
    </row>
    <row r="232" spans="1:6" x14ac:dyDescent="0.2">
      <c r="A232" s="12" t="s">
        <v>2001</v>
      </c>
      <c r="B232" s="11"/>
      <c r="C232" s="12" t="s">
        <v>16</v>
      </c>
      <c r="D232" s="12" t="s">
        <v>21</v>
      </c>
      <c r="E232" s="12" t="s">
        <v>4253</v>
      </c>
      <c r="F232" s="13"/>
    </row>
    <row r="233" spans="1:6" x14ac:dyDescent="0.2">
      <c r="A233" s="12" t="s">
        <v>1193</v>
      </c>
      <c r="B233" s="11"/>
      <c r="C233" s="12" t="s">
        <v>16</v>
      </c>
      <c r="D233" s="12" t="s">
        <v>21</v>
      </c>
      <c r="E233" s="12" t="s">
        <v>4256</v>
      </c>
      <c r="F233" s="13"/>
    </row>
    <row r="234" spans="1:6" x14ac:dyDescent="0.2">
      <c r="A234" s="12" t="s">
        <v>1317</v>
      </c>
      <c r="B234" s="11"/>
      <c r="C234" s="12" t="s">
        <v>16</v>
      </c>
      <c r="D234" s="12" t="s">
        <v>21</v>
      </c>
      <c r="E234" s="12" t="s">
        <v>4258</v>
      </c>
      <c r="F234" s="13"/>
    </row>
    <row r="235" spans="1:6" x14ac:dyDescent="0.2">
      <c r="A235" s="12" t="s">
        <v>1190</v>
      </c>
      <c r="B235" s="11"/>
      <c r="C235" s="12" t="s">
        <v>16</v>
      </c>
      <c r="D235" s="12" t="s">
        <v>21</v>
      </c>
      <c r="E235" s="12" t="s">
        <v>4260</v>
      </c>
      <c r="F235" s="13"/>
    </row>
    <row r="236" spans="1:6" x14ac:dyDescent="0.2">
      <c r="A236" s="12" t="s">
        <v>863</v>
      </c>
      <c r="B236" s="11"/>
      <c r="C236" s="12" t="s">
        <v>16</v>
      </c>
      <c r="D236" s="12" t="s">
        <v>17</v>
      </c>
      <c r="E236" s="12" t="s">
        <v>4293</v>
      </c>
      <c r="F236" s="13"/>
    </row>
    <row r="237" spans="1:6" x14ac:dyDescent="0.2">
      <c r="A237" s="12" t="s">
        <v>1857</v>
      </c>
      <c r="B237" s="11"/>
      <c r="C237" s="12" t="s">
        <v>16</v>
      </c>
      <c r="D237" s="12" t="s">
        <v>17</v>
      </c>
      <c r="E237" s="12" t="s">
        <v>4296</v>
      </c>
      <c r="F237" s="13"/>
    </row>
    <row r="238" spans="1:6" x14ac:dyDescent="0.2">
      <c r="A238" s="12" t="s">
        <v>1576</v>
      </c>
      <c r="B238" s="11"/>
      <c r="C238" s="12" t="s">
        <v>16</v>
      </c>
      <c r="D238" s="12" t="s">
        <v>6</v>
      </c>
      <c r="E238" s="12" t="s">
        <v>4298</v>
      </c>
      <c r="F238" s="13"/>
    </row>
    <row r="239" spans="1:6" x14ac:dyDescent="0.2">
      <c r="A239" s="12" t="s">
        <v>623</v>
      </c>
      <c r="B239" s="11"/>
      <c r="C239" s="12" t="s">
        <v>16</v>
      </c>
      <c r="D239" s="12" t="s">
        <v>6</v>
      </c>
      <c r="E239" s="12" t="s">
        <v>4300</v>
      </c>
      <c r="F239" s="13"/>
    </row>
    <row r="240" spans="1:6" x14ac:dyDescent="0.2">
      <c r="A240" s="12" t="s">
        <v>2251</v>
      </c>
      <c r="B240" s="11"/>
      <c r="C240" s="12" t="s">
        <v>16</v>
      </c>
      <c r="D240" s="12" t="s">
        <v>6</v>
      </c>
      <c r="E240" s="12" t="s">
        <v>4302</v>
      </c>
      <c r="F240" s="47"/>
    </row>
    <row r="241" spans="1:6" x14ac:dyDescent="0.2">
      <c r="A241" s="12" t="s">
        <v>863</v>
      </c>
      <c r="B241" s="11"/>
      <c r="C241" s="12" t="s">
        <v>16</v>
      </c>
      <c r="D241" s="12" t="s">
        <v>17</v>
      </c>
      <c r="E241" s="12" t="s">
        <v>4303</v>
      </c>
      <c r="F241" s="13"/>
    </row>
    <row r="242" spans="1:6" x14ac:dyDescent="0.2">
      <c r="A242" s="12" t="s">
        <v>1943</v>
      </c>
      <c r="B242" s="11"/>
      <c r="C242" s="12" t="s">
        <v>16</v>
      </c>
      <c r="D242" s="12" t="s">
        <v>21</v>
      </c>
      <c r="E242" s="12" t="s">
        <v>4305</v>
      </c>
      <c r="F242" s="13"/>
    </row>
    <row r="243" spans="1:6" x14ac:dyDescent="0.2">
      <c r="A243" s="12" t="s">
        <v>653</v>
      </c>
      <c r="B243" s="11"/>
      <c r="C243" s="12" t="s">
        <v>16</v>
      </c>
      <c r="D243" s="12" t="s">
        <v>21</v>
      </c>
      <c r="E243" s="12" t="s">
        <v>4307</v>
      </c>
      <c r="F243" s="13"/>
    </row>
    <row r="244" spans="1:6" x14ac:dyDescent="0.2">
      <c r="A244" s="12" t="s">
        <v>1123</v>
      </c>
      <c r="B244" s="11"/>
      <c r="C244" s="12" t="s">
        <v>16</v>
      </c>
      <c r="D244" s="12" t="s">
        <v>21</v>
      </c>
      <c r="E244" s="12" t="s">
        <v>4309</v>
      </c>
      <c r="F244" s="13"/>
    </row>
    <row r="245" spans="1:6" x14ac:dyDescent="0.2">
      <c r="A245" s="12" t="s">
        <v>721</v>
      </c>
      <c r="B245" s="11"/>
      <c r="C245" s="12" t="s">
        <v>16</v>
      </c>
      <c r="D245" s="12" t="s">
        <v>21</v>
      </c>
      <c r="E245" s="12" t="s">
        <v>4311</v>
      </c>
      <c r="F245" s="13"/>
    </row>
    <row r="246" spans="1:6" x14ac:dyDescent="0.2">
      <c r="A246" s="12" t="s">
        <v>1211</v>
      </c>
      <c r="B246" s="11"/>
      <c r="C246" s="12" t="s">
        <v>16</v>
      </c>
      <c r="D246" s="12" t="s">
        <v>21</v>
      </c>
      <c r="E246" s="12" t="s">
        <v>4313</v>
      </c>
      <c r="F246" s="13"/>
    </row>
    <row r="247" spans="1:6" x14ac:dyDescent="0.2">
      <c r="A247" s="12" t="s">
        <v>2039</v>
      </c>
      <c r="B247" s="11"/>
      <c r="C247" s="12" t="s">
        <v>16</v>
      </c>
      <c r="D247" s="12" t="s">
        <v>21</v>
      </c>
      <c r="E247" s="12" t="s">
        <v>4316</v>
      </c>
      <c r="F247" s="13"/>
    </row>
    <row r="248" spans="1:6" x14ac:dyDescent="0.2">
      <c r="A248" s="12" t="s">
        <v>2146</v>
      </c>
      <c r="B248" s="11"/>
      <c r="C248" s="12" t="s">
        <v>16</v>
      </c>
      <c r="D248" s="12" t="s">
        <v>21</v>
      </c>
      <c r="E248" s="12" t="s">
        <v>4318</v>
      </c>
      <c r="F248" s="13"/>
    </row>
    <row r="249" spans="1:6" x14ac:dyDescent="0.2">
      <c r="A249" s="12" t="s">
        <v>396</v>
      </c>
      <c r="B249" s="11"/>
      <c r="C249" s="12" t="s">
        <v>16</v>
      </c>
      <c r="D249" s="12" t="s">
        <v>21</v>
      </c>
      <c r="E249" s="12" t="s">
        <v>4320</v>
      </c>
      <c r="F249" s="13"/>
    </row>
    <row r="250" spans="1:6" x14ac:dyDescent="0.2">
      <c r="A250" s="12" t="s">
        <v>1186</v>
      </c>
      <c r="B250" s="11"/>
      <c r="C250" s="12" t="s">
        <v>16</v>
      </c>
      <c r="D250" s="12" t="s">
        <v>21</v>
      </c>
      <c r="E250" s="12" t="s">
        <v>4322</v>
      </c>
      <c r="F250" s="13"/>
    </row>
    <row r="251" spans="1:6" x14ac:dyDescent="0.2">
      <c r="A251" s="12" t="s">
        <v>1979</v>
      </c>
      <c r="B251" s="11"/>
      <c r="C251" s="12" t="s">
        <v>16</v>
      </c>
      <c r="D251" s="12" t="s">
        <v>21</v>
      </c>
      <c r="E251" s="12" t="s">
        <v>4324</v>
      </c>
      <c r="F251" s="13"/>
    </row>
    <row r="252" spans="1:6" x14ac:dyDescent="0.2">
      <c r="A252" s="12" t="s">
        <v>863</v>
      </c>
      <c r="B252" s="11"/>
      <c r="C252" s="12" t="s">
        <v>16</v>
      </c>
      <c r="D252" s="12" t="s">
        <v>17</v>
      </c>
      <c r="E252" s="12" t="s">
        <v>4326</v>
      </c>
      <c r="F252" s="13"/>
    </row>
    <row r="253" spans="1:6" x14ac:dyDescent="0.2">
      <c r="A253" s="12" t="s">
        <v>2196</v>
      </c>
      <c r="B253" s="11"/>
      <c r="C253" s="12" t="s">
        <v>16</v>
      </c>
      <c r="D253" s="12" t="s">
        <v>17</v>
      </c>
      <c r="E253" s="12" t="s">
        <v>4329</v>
      </c>
      <c r="F253" s="13"/>
    </row>
    <row r="254" spans="1:6" x14ac:dyDescent="0.2">
      <c r="A254" s="12" t="s">
        <v>1199</v>
      </c>
      <c r="B254" s="11"/>
      <c r="C254" s="12" t="s">
        <v>16</v>
      </c>
      <c r="D254" s="12" t="s">
        <v>6</v>
      </c>
      <c r="E254" s="12" t="s">
        <v>4332</v>
      </c>
      <c r="F254" s="13"/>
    </row>
    <row r="255" spans="1:6" x14ac:dyDescent="0.2">
      <c r="A255" s="12" t="s">
        <v>1223</v>
      </c>
      <c r="B255" s="11"/>
      <c r="C255" s="12" t="s">
        <v>16</v>
      </c>
      <c r="D255" s="12" t="s">
        <v>17</v>
      </c>
      <c r="E255" s="12" t="s">
        <v>4335</v>
      </c>
      <c r="F255" s="13"/>
    </row>
    <row r="256" spans="1:6" x14ac:dyDescent="0.2">
      <c r="A256" s="12" t="s">
        <v>482</v>
      </c>
      <c r="B256" s="11"/>
      <c r="C256" s="12" t="s">
        <v>16</v>
      </c>
      <c r="D256" s="12" t="s">
        <v>17</v>
      </c>
      <c r="E256" s="12" t="s">
        <v>4337</v>
      </c>
      <c r="F256" s="13"/>
    </row>
    <row r="257" spans="1:6" x14ac:dyDescent="0.2">
      <c r="A257" s="12" t="s">
        <v>1947</v>
      </c>
      <c r="B257" s="11"/>
      <c r="C257" s="12" t="s">
        <v>16</v>
      </c>
      <c r="D257" s="12" t="s">
        <v>6</v>
      </c>
      <c r="E257" s="12" t="s">
        <v>4339</v>
      </c>
      <c r="F257" s="13"/>
    </row>
    <row r="258" spans="1:6" x14ac:dyDescent="0.2">
      <c r="A258" s="12" t="s">
        <v>1909</v>
      </c>
      <c r="B258" s="11"/>
      <c r="C258" s="12" t="s">
        <v>16</v>
      </c>
      <c r="D258" s="12" t="s">
        <v>21</v>
      </c>
      <c r="E258" s="12" t="s">
        <v>4341</v>
      </c>
      <c r="F258" s="13"/>
    </row>
    <row r="259" spans="1:6" x14ac:dyDescent="0.2">
      <c r="A259" s="12" t="s">
        <v>2251</v>
      </c>
      <c r="B259" s="11"/>
      <c r="C259" s="12" t="s">
        <v>16</v>
      </c>
      <c r="D259" s="12" t="s">
        <v>21</v>
      </c>
      <c r="E259" s="12" t="s">
        <v>4343</v>
      </c>
      <c r="F259" s="47"/>
    </row>
    <row r="260" spans="1:6" x14ac:dyDescent="0.2">
      <c r="A260" s="12" t="s">
        <v>538</v>
      </c>
      <c r="B260" s="11"/>
      <c r="C260" s="12" t="s">
        <v>16</v>
      </c>
      <c r="D260" s="12" t="s">
        <v>21</v>
      </c>
      <c r="E260" s="12" t="s">
        <v>4344</v>
      </c>
      <c r="F260" s="13"/>
    </row>
    <row r="261" spans="1:6" x14ac:dyDescent="0.2">
      <c r="A261" s="12" t="s">
        <v>2039</v>
      </c>
      <c r="B261" s="11"/>
      <c r="C261" s="12" t="s">
        <v>16</v>
      </c>
      <c r="D261" s="12" t="s">
        <v>21</v>
      </c>
      <c r="E261" s="12" t="s">
        <v>4346</v>
      </c>
      <c r="F261" s="13"/>
    </row>
    <row r="262" spans="1:6" x14ac:dyDescent="0.2">
      <c r="A262" s="12" t="s">
        <v>0</v>
      </c>
      <c r="B262" s="11"/>
      <c r="C262" s="12" t="s">
        <v>16</v>
      </c>
      <c r="D262" s="12" t="s">
        <v>21</v>
      </c>
      <c r="E262" s="12" t="s">
        <v>22</v>
      </c>
      <c r="F262" s="13"/>
    </row>
    <row r="263" spans="1:6" x14ac:dyDescent="0.2">
      <c r="A263" s="12" t="s">
        <v>2251</v>
      </c>
      <c r="B263" s="11"/>
      <c r="C263" s="12" t="s">
        <v>16</v>
      </c>
      <c r="D263" s="12" t="s">
        <v>21</v>
      </c>
      <c r="E263" s="12" t="s">
        <v>4348</v>
      </c>
      <c r="F263" s="47"/>
    </row>
    <row r="264" spans="1:6" x14ac:dyDescent="0.2">
      <c r="A264" s="12" t="s">
        <v>2251</v>
      </c>
      <c r="B264" s="11"/>
      <c r="C264" s="12" t="s">
        <v>16</v>
      </c>
      <c r="D264" s="12" t="s">
        <v>21</v>
      </c>
      <c r="E264" s="12" t="s">
        <v>4349</v>
      </c>
      <c r="F264" s="47"/>
    </row>
    <row r="265" spans="1:6" x14ac:dyDescent="0.2">
      <c r="A265" s="12" t="s">
        <v>2152</v>
      </c>
      <c r="B265" s="11"/>
      <c r="C265" s="12" t="s">
        <v>16</v>
      </c>
      <c r="D265" s="12" t="s">
        <v>21</v>
      </c>
      <c r="E265" s="12" t="s">
        <v>4350</v>
      </c>
      <c r="F265" s="13"/>
    </row>
    <row r="266" spans="1:6" x14ac:dyDescent="0.2">
      <c r="A266" s="12" t="s">
        <v>727</v>
      </c>
      <c r="B266" s="11"/>
      <c r="C266" s="12" t="s">
        <v>16</v>
      </c>
      <c r="D266" s="12" t="s">
        <v>21</v>
      </c>
      <c r="E266" s="12" t="s">
        <v>4352</v>
      </c>
      <c r="F266" s="13"/>
    </row>
    <row r="267" spans="1:6" x14ac:dyDescent="0.2">
      <c r="A267" s="12" t="s">
        <v>2251</v>
      </c>
      <c r="B267" s="11"/>
      <c r="C267" s="12" t="s">
        <v>16</v>
      </c>
      <c r="D267" s="12" t="s">
        <v>21</v>
      </c>
      <c r="E267" s="12" t="s">
        <v>4354</v>
      </c>
      <c r="F267" s="47"/>
    </row>
    <row r="268" spans="1:6" x14ac:dyDescent="0.2">
      <c r="A268" s="12" t="s">
        <v>479</v>
      </c>
      <c r="B268" s="11"/>
      <c r="C268" s="12" t="s">
        <v>16</v>
      </c>
      <c r="D268" s="12" t="s">
        <v>17</v>
      </c>
      <c r="E268" s="12" t="s">
        <v>4355</v>
      </c>
      <c r="F268" s="13"/>
    </row>
    <row r="269" spans="1:6" x14ac:dyDescent="0.2">
      <c r="A269" s="12" t="s">
        <v>590</v>
      </c>
      <c r="B269" s="11"/>
      <c r="C269" s="12" t="s">
        <v>16</v>
      </c>
      <c r="D269" s="12" t="s">
        <v>17</v>
      </c>
      <c r="E269" s="12" t="s">
        <v>4357</v>
      </c>
      <c r="F269" s="13"/>
    </row>
    <row r="270" spans="1:6" x14ac:dyDescent="0.2">
      <c r="A270" s="12" t="s">
        <v>602</v>
      </c>
      <c r="B270" s="11"/>
      <c r="C270" s="12" t="s">
        <v>16</v>
      </c>
      <c r="D270" s="12" t="s">
        <v>6</v>
      </c>
      <c r="E270" s="12" t="s">
        <v>4359</v>
      </c>
      <c r="F270" s="13"/>
    </row>
    <row r="271" spans="1:6" x14ac:dyDescent="0.2">
      <c r="A271" s="12" t="s">
        <v>979</v>
      </c>
      <c r="B271" s="11"/>
      <c r="C271" s="12" t="s">
        <v>16</v>
      </c>
      <c r="D271" s="12" t="s">
        <v>6</v>
      </c>
      <c r="E271" s="12" t="s">
        <v>4361</v>
      </c>
      <c r="F271" s="13"/>
    </row>
    <row r="272" spans="1:6" x14ac:dyDescent="0.2">
      <c r="A272" s="12" t="s">
        <v>584</v>
      </c>
      <c r="B272" s="11"/>
      <c r="C272" s="12" t="s">
        <v>16</v>
      </c>
      <c r="D272" s="12" t="s">
        <v>6</v>
      </c>
      <c r="E272" s="12" t="s">
        <v>4363</v>
      </c>
      <c r="F272" s="13"/>
    </row>
    <row r="273" spans="1:6" x14ac:dyDescent="0.2">
      <c r="A273" s="12" t="s">
        <v>632</v>
      </c>
      <c r="B273" s="11"/>
      <c r="C273" s="12" t="s">
        <v>16</v>
      </c>
      <c r="D273" s="12" t="s">
        <v>6</v>
      </c>
      <c r="E273" s="12" t="s">
        <v>4365</v>
      </c>
      <c r="F273" s="13"/>
    </row>
    <row r="274" spans="1:6" x14ac:dyDescent="0.2">
      <c r="A274" s="12" t="s">
        <v>1116</v>
      </c>
      <c r="B274" s="11"/>
      <c r="C274" s="12" t="s">
        <v>16</v>
      </c>
      <c r="D274" s="12" t="s">
        <v>21</v>
      </c>
      <c r="E274" s="12" t="s">
        <v>4367</v>
      </c>
      <c r="F274" s="13"/>
    </row>
    <row r="275" spans="1:6" x14ac:dyDescent="0.2">
      <c r="A275" s="12" t="s">
        <v>1488</v>
      </c>
      <c r="B275" s="11"/>
      <c r="C275" s="12" t="s">
        <v>16</v>
      </c>
      <c r="D275" s="12" t="s">
        <v>21</v>
      </c>
      <c r="E275" s="12" t="s">
        <v>4369</v>
      </c>
      <c r="F275" s="13"/>
    </row>
    <row r="276" spans="1:6" x14ac:dyDescent="0.2">
      <c r="A276" s="12" t="s">
        <v>1284</v>
      </c>
      <c r="B276" s="11"/>
      <c r="C276" s="12" t="s">
        <v>16</v>
      </c>
      <c r="D276" s="12" t="s">
        <v>21</v>
      </c>
      <c r="E276" s="12" t="s">
        <v>4371</v>
      </c>
      <c r="F276" s="13"/>
    </row>
    <row r="277" spans="1:6" x14ac:dyDescent="0.2">
      <c r="A277" s="12" t="s">
        <v>1471</v>
      </c>
      <c r="B277" s="11"/>
      <c r="C277" s="12" t="s">
        <v>16</v>
      </c>
      <c r="D277" s="12" t="s">
        <v>21</v>
      </c>
      <c r="E277" s="12" t="s">
        <v>4373</v>
      </c>
      <c r="F277" s="13"/>
    </row>
    <row r="278" spans="1:6" x14ac:dyDescent="0.2">
      <c r="A278" s="12" t="s">
        <v>643</v>
      </c>
      <c r="B278" s="11"/>
      <c r="C278" s="12" t="s">
        <v>16</v>
      </c>
      <c r="D278" s="12" t="s">
        <v>21</v>
      </c>
      <c r="E278" s="12" t="s">
        <v>4375</v>
      </c>
      <c r="F278" s="13"/>
    </row>
    <row r="279" spans="1:6" x14ac:dyDescent="0.2">
      <c r="A279" s="12" t="s">
        <v>1050</v>
      </c>
      <c r="B279" s="11"/>
      <c r="C279" s="12" t="s">
        <v>16</v>
      </c>
      <c r="D279" s="12" t="s">
        <v>21</v>
      </c>
      <c r="E279" s="12" t="s">
        <v>4378</v>
      </c>
      <c r="F279" s="13"/>
    </row>
    <row r="280" spans="1:6" x14ac:dyDescent="0.2">
      <c r="A280" s="12" t="s">
        <v>1306</v>
      </c>
      <c r="B280" s="11"/>
      <c r="C280" s="12" t="s">
        <v>16</v>
      </c>
      <c r="D280" s="12" t="s">
        <v>21</v>
      </c>
      <c r="E280" s="12" t="s">
        <v>4380</v>
      </c>
      <c r="F280" s="13"/>
    </row>
    <row r="281" spans="1:6" x14ac:dyDescent="0.2">
      <c r="A281" s="12" t="s">
        <v>638</v>
      </c>
      <c r="B281" s="11"/>
      <c r="C281" s="12" t="s">
        <v>16</v>
      </c>
      <c r="D281" s="12" t="s">
        <v>21</v>
      </c>
      <c r="E281" s="12" t="s">
        <v>4383</v>
      </c>
      <c r="F281" s="13"/>
    </row>
    <row r="282" spans="1:6" x14ac:dyDescent="0.2">
      <c r="A282" s="12" t="s">
        <v>1135</v>
      </c>
      <c r="B282" s="11"/>
      <c r="C282" s="12" t="s">
        <v>16</v>
      </c>
      <c r="D282" s="12" t="s">
        <v>21</v>
      </c>
      <c r="E282" s="12" t="s">
        <v>4385</v>
      </c>
      <c r="F282" s="13"/>
    </row>
    <row r="283" spans="1:6" x14ac:dyDescent="0.2">
      <c r="A283" s="12" t="s">
        <v>2170</v>
      </c>
      <c r="B283" s="11"/>
      <c r="C283" s="12" t="s">
        <v>16</v>
      </c>
      <c r="D283" s="12" t="s">
        <v>21</v>
      </c>
      <c r="E283" s="12" t="s">
        <v>4387</v>
      </c>
      <c r="F283" s="13"/>
    </row>
    <row r="284" spans="1:6" x14ac:dyDescent="0.2">
      <c r="A284" s="12" t="s">
        <v>822</v>
      </c>
      <c r="B284" s="11"/>
      <c r="C284" s="12" t="s">
        <v>16</v>
      </c>
      <c r="D284" s="12" t="s">
        <v>17</v>
      </c>
      <c r="E284" s="12" t="s">
        <v>4389</v>
      </c>
      <c r="F284" s="13"/>
    </row>
    <row r="285" spans="1:6" x14ac:dyDescent="0.2">
      <c r="A285" s="12" t="s">
        <v>476</v>
      </c>
      <c r="B285" s="11"/>
      <c r="C285" s="12" t="s">
        <v>16</v>
      </c>
      <c r="D285" s="12" t="s">
        <v>17</v>
      </c>
      <c r="E285" s="12" t="s">
        <v>4391</v>
      </c>
      <c r="F285" s="13"/>
    </row>
    <row r="286" spans="1:6" x14ac:dyDescent="0.2">
      <c r="A286" s="12" t="s">
        <v>562</v>
      </c>
      <c r="B286" s="11"/>
      <c r="C286" s="12" t="s">
        <v>16</v>
      </c>
      <c r="D286" s="12" t="s">
        <v>6</v>
      </c>
      <c r="E286" s="12" t="s">
        <v>4393</v>
      </c>
      <c r="F286" s="13"/>
    </row>
    <row r="287" spans="1:6" x14ac:dyDescent="0.2">
      <c r="A287" s="12" t="s">
        <v>696</v>
      </c>
      <c r="B287" s="11"/>
      <c r="C287" s="12" t="s">
        <v>16</v>
      </c>
      <c r="D287" s="12" t="s">
        <v>6</v>
      </c>
      <c r="E287" s="12" t="s">
        <v>4395</v>
      </c>
      <c r="F287" s="13"/>
    </row>
    <row r="288" spans="1:6" x14ac:dyDescent="0.2">
      <c r="A288" s="12" t="s">
        <v>909</v>
      </c>
      <c r="B288" s="11"/>
      <c r="C288" s="12" t="s">
        <v>16</v>
      </c>
      <c r="D288" s="12" t="s">
        <v>6</v>
      </c>
      <c r="E288" s="12" t="s">
        <v>4398</v>
      </c>
      <c r="F288" s="13"/>
    </row>
    <row r="289" spans="1:6" x14ac:dyDescent="0.2">
      <c r="A289" s="12" t="s">
        <v>350</v>
      </c>
      <c r="B289" s="11"/>
      <c r="C289" s="12" t="s">
        <v>16</v>
      </c>
      <c r="D289" s="12" t="s">
        <v>6</v>
      </c>
      <c r="E289" s="12" t="s">
        <v>4401</v>
      </c>
      <c r="F289" s="13"/>
    </row>
    <row r="290" spans="1:6" x14ac:dyDescent="0.2">
      <c r="A290" s="12" t="s">
        <v>304</v>
      </c>
      <c r="B290" s="11"/>
      <c r="C290" s="12" t="s">
        <v>16</v>
      </c>
      <c r="D290" s="12" t="s">
        <v>21</v>
      </c>
      <c r="E290" s="12" t="s">
        <v>4403</v>
      </c>
      <c r="F290" s="13"/>
    </row>
    <row r="291" spans="1:6" x14ac:dyDescent="0.2">
      <c r="A291" s="12" t="s">
        <v>334</v>
      </c>
      <c r="B291" s="11"/>
      <c r="C291" s="12" t="s">
        <v>16</v>
      </c>
      <c r="D291" s="12" t="s">
        <v>21</v>
      </c>
      <c r="E291" s="12" t="s">
        <v>4405</v>
      </c>
      <c r="F291" s="13"/>
    </row>
    <row r="292" spans="1:6" x14ac:dyDescent="0.2">
      <c r="A292" s="12" t="s">
        <v>1227</v>
      </c>
      <c r="B292" s="11"/>
      <c r="C292" s="12" t="s">
        <v>16</v>
      </c>
      <c r="D292" s="12" t="s">
        <v>21</v>
      </c>
      <c r="E292" s="12" t="s">
        <v>4407</v>
      </c>
      <c r="F292" s="13"/>
    </row>
    <row r="293" spans="1:6" x14ac:dyDescent="0.2">
      <c r="A293" s="12" t="s">
        <v>2251</v>
      </c>
      <c r="B293" s="11"/>
      <c r="C293" s="12" t="s">
        <v>16</v>
      </c>
      <c r="D293" s="12" t="s">
        <v>21</v>
      </c>
      <c r="E293" s="12" t="s">
        <v>4410</v>
      </c>
      <c r="F293" s="47"/>
    </row>
    <row r="294" spans="1:6" x14ac:dyDescent="0.2">
      <c r="A294" s="12" t="s">
        <v>2180</v>
      </c>
      <c r="B294" s="11"/>
      <c r="C294" s="12" t="s">
        <v>16</v>
      </c>
      <c r="D294" s="12" t="s">
        <v>21</v>
      </c>
      <c r="E294" s="12" t="s">
        <v>4411</v>
      </c>
      <c r="F294" s="13"/>
    </row>
    <row r="295" spans="1:6" x14ac:dyDescent="0.2">
      <c r="A295" s="12" t="s">
        <v>1190</v>
      </c>
      <c r="B295" s="11"/>
      <c r="C295" s="12" t="s">
        <v>16</v>
      </c>
      <c r="D295" s="12" t="s">
        <v>21</v>
      </c>
      <c r="E295" s="12" t="s">
        <v>4413</v>
      </c>
      <c r="F295" s="13"/>
    </row>
    <row r="296" spans="1:6" x14ac:dyDescent="0.2">
      <c r="A296" s="12" t="s">
        <v>1022</v>
      </c>
      <c r="B296" s="11"/>
      <c r="C296" s="12" t="s">
        <v>16</v>
      </c>
      <c r="D296" s="12" t="s">
        <v>21</v>
      </c>
      <c r="E296" s="12" t="s">
        <v>4415</v>
      </c>
      <c r="F296" s="13"/>
    </row>
    <row r="297" spans="1:6" x14ac:dyDescent="0.2">
      <c r="A297" s="12" t="s">
        <v>1881</v>
      </c>
      <c r="B297" s="11"/>
      <c r="C297" s="12" t="s">
        <v>16</v>
      </c>
      <c r="D297" s="12" t="s">
        <v>21</v>
      </c>
      <c r="E297" s="12" t="s">
        <v>4417</v>
      </c>
      <c r="F297" s="13"/>
    </row>
    <row r="298" spans="1:6" x14ac:dyDescent="0.2">
      <c r="A298" s="12" t="s">
        <v>2092</v>
      </c>
      <c r="B298" s="11"/>
      <c r="C298" s="12" t="s">
        <v>16</v>
      </c>
      <c r="D298" s="12" t="s">
        <v>21</v>
      </c>
      <c r="E298" s="12" t="s">
        <v>4419</v>
      </c>
      <c r="F298" s="13"/>
    </row>
    <row r="299" spans="1:6" x14ac:dyDescent="0.2">
      <c r="A299" s="12" t="s">
        <v>2152</v>
      </c>
      <c r="B299" s="11"/>
      <c r="C299" s="12" t="s">
        <v>16</v>
      </c>
      <c r="D299" s="12" t="s">
        <v>21</v>
      </c>
      <c r="E299" s="12" t="s">
        <v>4421</v>
      </c>
      <c r="F299" s="13"/>
    </row>
    <row r="300" spans="1:6" x14ac:dyDescent="0.2">
      <c r="A300" s="12" t="s">
        <v>863</v>
      </c>
      <c r="B300" s="11"/>
      <c r="C300" s="12" t="s">
        <v>16</v>
      </c>
      <c r="D300" s="12" t="s">
        <v>17</v>
      </c>
      <c r="E300" s="12" t="s">
        <v>4423</v>
      </c>
      <c r="F300" s="13"/>
    </row>
    <row r="301" spans="1:6" x14ac:dyDescent="0.2">
      <c r="A301" s="12" t="s">
        <v>571</v>
      </c>
      <c r="B301" s="11"/>
      <c r="C301" s="12" t="s">
        <v>16</v>
      </c>
      <c r="D301" s="12" t="s">
        <v>17</v>
      </c>
      <c r="E301" s="12" t="s">
        <v>4425</v>
      </c>
      <c r="F301" s="13"/>
    </row>
    <row r="302" spans="1:6" x14ac:dyDescent="0.2">
      <c r="A302" s="12" t="s">
        <v>288</v>
      </c>
      <c r="B302" s="11"/>
      <c r="C302" s="12" t="s">
        <v>16</v>
      </c>
      <c r="D302" s="12" t="s">
        <v>6</v>
      </c>
      <c r="E302" s="12" t="s">
        <v>4427</v>
      </c>
      <c r="F302" s="13"/>
    </row>
    <row r="303" spans="1:6" x14ac:dyDescent="0.2">
      <c r="A303" s="12" t="s">
        <v>304</v>
      </c>
      <c r="B303" s="11"/>
      <c r="C303" s="12" t="s">
        <v>16</v>
      </c>
      <c r="D303" s="12" t="s">
        <v>6</v>
      </c>
      <c r="E303" s="12" t="s">
        <v>4429</v>
      </c>
      <c r="F303" s="13"/>
    </row>
    <row r="304" spans="1:6" x14ac:dyDescent="0.2">
      <c r="A304" s="12" t="s">
        <v>470</v>
      </c>
      <c r="B304" s="11"/>
      <c r="C304" s="12" t="s">
        <v>16</v>
      </c>
      <c r="D304" s="12" t="s">
        <v>6</v>
      </c>
      <c r="E304" s="12" t="s">
        <v>4431</v>
      </c>
      <c r="F304" s="13"/>
    </row>
    <row r="305" spans="1:6" x14ac:dyDescent="0.2">
      <c r="A305" s="12" t="s">
        <v>979</v>
      </c>
      <c r="B305" s="11"/>
      <c r="C305" s="12" t="s">
        <v>16</v>
      </c>
      <c r="D305" s="12" t="s">
        <v>6</v>
      </c>
      <c r="E305" s="12" t="s">
        <v>4433</v>
      </c>
      <c r="F305" s="13"/>
    </row>
    <row r="306" spans="1:6" x14ac:dyDescent="0.2">
      <c r="A306" s="12" t="s">
        <v>837</v>
      </c>
      <c r="B306" s="11"/>
      <c r="C306" s="12" t="s">
        <v>16</v>
      </c>
      <c r="D306" s="12" t="s">
        <v>21</v>
      </c>
      <c r="E306" s="12" t="s">
        <v>4435</v>
      </c>
      <c r="F306" s="13"/>
    </row>
    <row r="307" spans="1:6" x14ac:dyDescent="0.2">
      <c r="A307" s="12" t="s">
        <v>2184</v>
      </c>
      <c r="B307" s="11"/>
      <c r="C307" s="12" t="s">
        <v>16</v>
      </c>
      <c r="D307" s="12" t="s">
        <v>21</v>
      </c>
      <c r="E307" s="12" t="s">
        <v>4437</v>
      </c>
      <c r="F307" s="13"/>
    </row>
    <row r="308" spans="1:6" x14ac:dyDescent="0.2">
      <c r="A308" s="12" t="s">
        <v>623</v>
      </c>
      <c r="B308" s="11"/>
      <c r="C308" s="12" t="s">
        <v>16</v>
      </c>
      <c r="D308" s="12" t="s">
        <v>21</v>
      </c>
      <c r="E308" s="12" t="s">
        <v>4439</v>
      </c>
      <c r="F308" s="13"/>
    </row>
    <row r="309" spans="1:6" x14ac:dyDescent="0.2">
      <c r="A309" s="12" t="s">
        <v>915</v>
      </c>
      <c r="B309" s="11"/>
      <c r="C309" s="12" t="s">
        <v>16</v>
      </c>
      <c r="D309" s="12" t="s">
        <v>21</v>
      </c>
      <c r="E309" s="12" t="s">
        <v>4441</v>
      </c>
      <c r="F309" s="13"/>
    </row>
    <row r="310" spans="1:6" x14ac:dyDescent="0.2">
      <c r="A310" s="12" t="s">
        <v>1490</v>
      </c>
      <c r="B310" s="11"/>
      <c r="C310" s="12" t="s">
        <v>16</v>
      </c>
      <c r="D310" s="12" t="s">
        <v>21</v>
      </c>
      <c r="E310" s="12" t="s">
        <v>4443</v>
      </c>
      <c r="F310" s="13"/>
    </row>
    <row r="311" spans="1:6" x14ac:dyDescent="0.2">
      <c r="A311" s="12" t="s">
        <v>1481</v>
      </c>
      <c r="B311" s="11"/>
      <c r="C311" s="12" t="s">
        <v>16</v>
      </c>
      <c r="D311" s="12" t="s">
        <v>21</v>
      </c>
      <c r="E311" s="12" t="s">
        <v>4445</v>
      </c>
      <c r="F311" s="13"/>
    </row>
    <row r="312" spans="1:6" x14ac:dyDescent="0.2">
      <c r="A312" s="12" t="s">
        <v>1230</v>
      </c>
      <c r="B312" s="11"/>
      <c r="C312" s="12" t="s">
        <v>16</v>
      </c>
      <c r="D312" s="12" t="s">
        <v>21</v>
      </c>
      <c r="E312" s="12" t="s">
        <v>4447</v>
      </c>
      <c r="F312" s="13"/>
    </row>
    <row r="313" spans="1:6" x14ac:dyDescent="0.2">
      <c r="A313" s="12" t="s">
        <v>1831</v>
      </c>
      <c r="B313" s="11"/>
      <c r="C313" s="12" t="s">
        <v>16</v>
      </c>
      <c r="D313" s="12" t="s">
        <v>21</v>
      </c>
      <c r="E313" s="12" t="s">
        <v>4450</v>
      </c>
      <c r="F313" s="13"/>
    </row>
    <row r="314" spans="1:6" x14ac:dyDescent="0.2">
      <c r="A314" s="12" t="s">
        <v>1879</v>
      </c>
      <c r="B314" s="11"/>
      <c r="C314" s="12" t="s">
        <v>16</v>
      </c>
      <c r="D314" s="12" t="s">
        <v>21</v>
      </c>
      <c r="E314" s="12" t="s">
        <v>4452</v>
      </c>
      <c r="F314" s="13"/>
    </row>
    <row r="315" spans="1:6" x14ac:dyDescent="0.2">
      <c r="A315" s="12" t="s">
        <v>1317</v>
      </c>
      <c r="B315" s="11"/>
      <c r="C315" s="12" t="s">
        <v>16</v>
      </c>
      <c r="D315" s="12" t="s">
        <v>21</v>
      </c>
      <c r="E315" s="12" t="s">
        <v>4454</v>
      </c>
      <c r="F315" s="13"/>
    </row>
    <row r="316" spans="1:6" x14ac:dyDescent="0.2">
      <c r="A316" s="12" t="s">
        <v>1963</v>
      </c>
      <c r="B316" s="11"/>
      <c r="C316" s="12" t="s">
        <v>16</v>
      </c>
      <c r="D316" s="12" t="s">
        <v>17</v>
      </c>
      <c r="E316" s="12" t="s">
        <v>4456</v>
      </c>
      <c r="F316" s="13"/>
    </row>
    <row r="317" spans="1:6" x14ac:dyDescent="0.2">
      <c r="A317" s="12" t="s">
        <v>863</v>
      </c>
      <c r="B317" s="11"/>
      <c r="C317" s="12" t="s">
        <v>16</v>
      </c>
      <c r="D317" s="12" t="s">
        <v>17</v>
      </c>
      <c r="E317" s="12" t="s">
        <v>4458</v>
      </c>
      <c r="F317" s="13"/>
    </row>
    <row r="318" spans="1:6" x14ac:dyDescent="0.2">
      <c r="A318" s="12" t="s">
        <v>847</v>
      </c>
      <c r="B318" s="11"/>
      <c r="C318" s="12" t="s">
        <v>16</v>
      </c>
      <c r="D318" s="12" t="s">
        <v>6</v>
      </c>
      <c r="E318" s="12" t="s">
        <v>4460</v>
      </c>
      <c r="F318" s="13"/>
    </row>
    <row r="319" spans="1:6" x14ac:dyDescent="0.2">
      <c r="A319" s="12" t="s">
        <v>1508</v>
      </c>
      <c r="B319" s="11"/>
      <c r="C319" s="12" t="s">
        <v>16</v>
      </c>
      <c r="D319" s="12" t="s">
        <v>6</v>
      </c>
      <c r="E319" s="12" t="s">
        <v>4462</v>
      </c>
      <c r="F319" s="13"/>
    </row>
    <row r="320" spans="1:6" x14ac:dyDescent="0.2">
      <c r="A320" s="12" t="s">
        <v>550</v>
      </c>
      <c r="B320" s="11"/>
      <c r="C320" s="12" t="s">
        <v>16</v>
      </c>
      <c r="D320" s="12" t="s">
        <v>6</v>
      </c>
      <c r="E320" s="12" t="s">
        <v>4465</v>
      </c>
      <c r="F320" s="13"/>
    </row>
    <row r="321" spans="1:6" x14ac:dyDescent="0.2">
      <c r="A321" s="12" t="s">
        <v>1555</v>
      </c>
      <c r="B321" s="11"/>
      <c r="C321" s="12" t="s">
        <v>16</v>
      </c>
      <c r="D321" s="12" t="s">
        <v>6</v>
      </c>
      <c r="E321" s="12" t="s">
        <v>4467</v>
      </c>
      <c r="F321" s="13"/>
    </row>
    <row r="322" spans="1:6" x14ac:dyDescent="0.2">
      <c r="A322" s="12" t="s">
        <v>0</v>
      </c>
      <c r="B322" s="11"/>
      <c r="C322" s="12" t="s">
        <v>16</v>
      </c>
      <c r="D322" s="12" t="s">
        <v>21</v>
      </c>
      <c r="E322" s="12" t="s">
        <v>24</v>
      </c>
      <c r="F322" s="13"/>
    </row>
    <row r="323" spans="1:6" x14ac:dyDescent="0.2">
      <c r="A323" s="12" t="s">
        <v>1246</v>
      </c>
      <c r="B323" s="11"/>
      <c r="C323" s="12" t="s">
        <v>16</v>
      </c>
      <c r="D323" s="12" t="s">
        <v>21</v>
      </c>
      <c r="E323" s="12" t="s">
        <v>4469</v>
      </c>
      <c r="F323" s="13"/>
    </row>
    <row r="324" spans="1:6" x14ac:dyDescent="0.2">
      <c r="A324" s="12" t="s">
        <v>1321</v>
      </c>
      <c r="B324" s="11"/>
      <c r="C324" s="12" t="s">
        <v>16</v>
      </c>
      <c r="D324" s="12" t="s">
        <v>21</v>
      </c>
      <c r="E324" s="12" t="s">
        <v>4471</v>
      </c>
      <c r="F324" s="13"/>
    </row>
    <row r="325" spans="1:6" x14ac:dyDescent="0.2">
      <c r="A325" s="12" t="s">
        <v>1116</v>
      </c>
      <c r="B325" s="11"/>
      <c r="C325" s="12" t="s">
        <v>16</v>
      </c>
      <c r="D325" s="12" t="s">
        <v>21</v>
      </c>
      <c r="E325" s="12" t="s">
        <v>4473</v>
      </c>
      <c r="F325" s="13"/>
    </row>
    <row r="326" spans="1:6" x14ac:dyDescent="0.2">
      <c r="A326" s="12" t="s">
        <v>1207</v>
      </c>
      <c r="B326" s="11"/>
      <c r="C326" s="12" t="s">
        <v>16</v>
      </c>
      <c r="D326" s="12" t="s">
        <v>21</v>
      </c>
      <c r="E326" s="12" t="s">
        <v>4475</v>
      </c>
      <c r="F326" s="13"/>
    </row>
    <row r="327" spans="1:6" x14ac:dyDescent="0.2">
      <c r="A327" s="12" t="s">
        <v>1959</v>
      </c>
      <c r="B327" s="11"/>
      <c r="C327" s="12" t="s">
        <v>16</v>
      </c>
      <c r="D327" s="12" t="s">
        <v>21</v>
      </c>
      <c r="E327" s="12" t="s">
        <v>4477</v>
      </c>
      <c r="F327" s="13"/>
    </row>
    <row r="328" spans="1:6" x14ac:dyDescent="0.2">
      <c r="A328" s="12" t="s">
        <v>1831</v>
      </c>
      <c r="B328" s="11"/>
      <c r="C328" s="12" t="s">
        <v>16</v>
      </c>
      <c r="D328" s="12" t="s">
        <v>21</v>
      </c>
      <c r="E328" s="12" t="s">
        <v>4480</v>
      </c>
      <c r="F328" s="13"/>
    </row>
    <row r="329" spans="1:6" x14ac:dyDescent="0.2">
      <c r="A329" s="12" t="s">
        <v>1909</v>
      </c>
      <c r="B329" s="11"/>
      <c r="C329" s="12" t="s">
        <v>16</v>
      </c>
      <c r="D329" s="12" t="s">
        <v>21</v>
      </c>
      <c r="E329" s="12" t="s">
        <v>4482</v>
      </c>
      <c r="F329" s="13"/>
    </row>
    <row r="330" spans="1:6" x14ac:dyDescent="0.2">
      <c r="A330" s="12" t="s">
        <v>1867</v>
      </c>
      <c r="B330" s="11"/>
      <c r="C330" s="12" t="s">
        <v>16</v>
      </c>
      <c r="D330" s="12" t="s">
        <v>21</v>
      </c>
      <c r="E330" s="12" t="s">
        <v>4484</v>
      </c>
      <c r="F330" s="13"/>
    </row>
    <row r="331" spans="1:6" x14ac:dyDescent="0.2">
      <c r="A331" s="12" t="s">
        <v>1193</v>
      </c>
      <c r="B331" s="11"/>
      <c r="C331" s="12" t="s">
        <v>16</v>
      </c>
      <c r="D331" s="12" t="s">
        <v>21</v>
      </c>
      <c r="E331" s="12" t="s">
        <v>4486</v>
      </c>
      <c r="F331" s="13"/>
    </row>
    <row r="332" spans="1:6" x14ac:dyDescent="0.2">
      <c r="A332" s="12" t="s">
        <v>979</v>
      </c>
      <c r="B332" s="11"/>
      <c r="C332" s="12" t="s">
        <v>16</v>
      </c>
      <c r="D332" s="12" t="s">
        <v>6</v>
      </c>
      <c r="E332" s="12" t="s">
        <v>4488</v>
      </c>
      <c r="F332" s="13"/>
    </row>
    <row r="333" spans="1:6" x14ac:dyDescent="0.2">
      <c r="A333" s="12" t="s">
        <v>1199</v>
      </c>
      <c r="B333" s="11"/>
      <c r="C333" s="12" t="s">
        <v>16</v>
      </c>
      <c r="D333" s="12" t="s">
        <v>6</v>
      </c>
      <c r="E333" s="12" t="s">
        <v>4490</v>
      </c>
      <c r="F333" s="13"/>
    </row>
    <row r="334" spans="1:6" x14ac:dyDescent="0.2">
      <c r="A334" s="12" t="s">
        <v>1471</v>
      </c>
      <c r="B334" s="11"/>
      <c r="C334" s="12" t="s">
        <v>16</v>
      </c>
      <c r="D334" s="12" t="s">
        <v>6</v>
      </c>
      <c r="E334" s="12" t="s">
        <v>4492</v>
      </c>
      <c r="F334" s="13"/>
    </row>
    <row r="335" spans="1:6" x14ac:dyDescent="0.2">
      <c r="A335" s="12" t="s">
        <v>1471</v>
      </c>
      <c r="B335" s="11"/>
      <c r="C335" s="12" t="s">
        <v>16</v>
      </c>
      <c r="D335" s="12" t="s">
        <v>6</v>
      </c>
      <c r="E335" s="12" t="s">
        <v>4494</v>
      </c>
      <c r="F335" s="13"/>
    </row>
    <row r="336" spans="1:6" x14ac:dyDescent="0.2">
      <c r="A336" s="12" t="s">
        <v>1888</v>
      </c>
      <c r="B336" s="11"/>
      <c r="C336" s="12" t="s">
        <v>16</v>
      </c>
      <c r="D336" s="12" t="s">
        <v>6</v>
      </c>
      <c r="E336" s="12" t="s">
        <v>4496</v>
      </c>
      <c r="F336" s="13"/>
    </row>
    <row r="337" spans="1:6" x14ac:dyDescent="0.2">
      <c r="A337" s="12" t="s">
        <v>0</v>
      </c>
      <c r="B337" s="11"/>
      <c r="C337" s="12" t="s">
        <v>16</v>
      </c>
      <c r="D337" s="12" t="s">
        <v>6</v>
      </c>
      <c r="E337" s="12" t="s">
        <v>26</v>
      </c>
      <c r="F337" s="13"/>
    </row>
    <row r="338" spans="1:6" x14ac:dyDescent="0.2">
      <c r="A338" s="12" t="s">
        <v>632</v>
      </c>
      <c r="B338" s="11"/>
      <c r="C338" s="12" t="s">
        <v>16</v>
      </c>
      <c r="D338" s="12" t="s">
        <v>6</v>
      </c>
      <c r="E338" s="12" t="s">
        <v>4498</v>
      </c>
      <c r="F338" s="13"/>
    </row>
    <row r="339" spans="1:6" x14ac:dyDescent="0.2">
      <c r="A339" s="12" t="s">
        <v>623</v>
      </c>
      <c r="B339" s="11"/>
      <c r="C339" s="12" t="s">
        <v>16</v>
      </c>
      <c r="D339" s="12" t="s">
        <v>6</v>
      </c>
      <c r="E339" s="12" t="s">
        <v>4500</v>
      </c>
      <c r="F339" s="13"/>
    </row>
    <row r="340" spans="1:6" x14ac:dyDescent="0.2">
      <c r="A340" s="12" t="s">
        <v>1579</v>
      </c>
      <c r="B340" s="11"/>
      <c r="C340" s="12" t="s">
        <v>16</v>
      </c>
      <c r="D340" s="12" t="s">
        <v>6</v>
      </c>
      <c r="E340" s="12" t="s">
        <v>4502</v>
      </c>
      <c r="F340" s="13"/>
    </row>
    <row r="341" spans="1:6" x14ac:dyDescent="0.2">
      <c r="A341" s="12" t="s">
        <v>665</v>
      </c>
      <c r="B341" s="11"/>
      <c r="C341" s="12" t="s">
        <v>16</v>
      </c>
      <c r="D341" s="12" t="s">
        <v>6</v>
      </c>
      <c r="E341" s="12" t="s">
        <v>4504</v>
      </c>
      <c r="F341" s="13"/>
    </row>
    <row r="342" spans="1:6" x14ac:dyDescent="0.2">
      <c r="A342" s="12" t="s">
        <v>1242</v>
      </c>
      <c r="B342" s="11"/>
      <c r="C342" s="12" t="s">
        <v>16</v>
      </c>
      <c r="D342" s="12" t="s">
        <v>21</v>
      </c>
      <c r="E342" s="12" t="s">
        <v>4506</v>
      </c>
      <c r="F342" s="13"/>
    </row>
    <row r="343" spans="1:6" x14ac:dyDescent="0.2">
      <c r="A343" s="12" t="s">
        <v>2088</v>
      </c>
      <c r="B343" s="11"/>
      <c r="C343" s="12" t="s">
        <v>16</v>
      </c>
      <c r="D343" s="12" t="s">
        <v>6</v>
      </c>
      <c r="E343" s="12" t="s">
        <v>4508</v>
      </c>
      <c r="F343" s="13"/>
    </row>
    <row r="344" spans="1:6" x14ac:dyDescent="0.2">
      <c r="A344" s="12" t="s">
        <v>334</v>
      </c>
      <c r="B344" s="11"/>
      <c r="C344" s="12" t="s">
        <v>16</v>
      </c>
      <c r="D344" s="12" t="s">
        <v>21</v>
      </c>
      <c r="E344" s="12" t="s">
        <v>4510</v>
      </c>
      <c r="F344" s="13"/>
    </row>
    <row r="345" spans="1:6" x14ac:dyDescent="0.2">
      <c r="A345" s="12" t="s">
        <v>1462</v>
      </c>
      <c r="B345" s="11"/>
      <c r="C345" s="12" t="s">
        <v>16</v>
      </c>
      <c r="D345" s="12" t="s">
        <v>21</v>
      </c>
      <c r="E345" s="12" t="s">
        <v>4512</v>
      </c>
      <c r="F345" s="13"/>
    </row>
    <row r="346" spans="1:6" x14ac:dyDescent="0.2">
      <c r="A346" s="12" t="s">
        <v>1569</v>
      </c>
      <c r="B346" s="11"/>
      <c r="C346" s="12" t="s">
        <v>16</v>
      </c>
      <c r="D346" s="12" t="s">
        <v>6</v>
      </c>
      <c r="E346" s="12" t="s">
        <v>4514</v>
      </c>
      <c r="F346" s="13"/>
    </row>
    <row r="347" spans="1:6" x14ac:dyDescent="0.2">
      <c r="A347" s="12" t="s">
        <v>334</v>
      </c>
      <c r="B347" s="11"/>
      <c r="C347" s="12" t="s">
        <v>16</v>
      </c>
      <c r="D347" s="12" t="s">
        <v>6</v>
      </c>
      <c r="E347" s="12" t="s">
        <v>4516</v>
      </c>
      <c r="F347" s="13"/>
    </row>
    <row r="348" spans="1:6" x14ac:dyDescent="0.2">
      <c r="A348" s="12" t="s">
        <v>1963</v>
      </c>
      <c r="B348" s="11"/>
      <c r="C348" s="12" t="s">
        <v>16</v>
      </c>
      <c r="D348" s="12" t="s">
        <v>17</v>
      </c>
      <c r="E348" s="12" t="s">
        <v>4518</v>
      </c>
      <c r="F348" s="13"/>
    </row>
    <row r="349" spans="1:6" x14ac:dyDescent="0.2">
      <c r="A349" s="12" t="s">
        <v>805</v>
      </c>
      <c r="B349" s="11"/>
      <c r="C349" s="12" t="s">
        <v>16</v>
      </c>
      <c r="D349" s="12" t="s">
        <v>6</v>
      </c>
      <c r="E349" s="12" t="s">
        <v>4520</v>
      </c>
      <c r="F349" s="13"/>
    </row>
    <row r="350" spans="1:6" x14ac:dyDescent="0.2">
      <c r="A350" s="12" t="s">
        <v>2170</v>
      </c>
      <c r="B350" s="11"/>
      <c r="C350" s="12" t="s">
        <v>16</v>
      </c>
      <c r="D350" s="12" t="s">
        <v>6</v>
      </c>
      <c r="E350" s="12" t="s">
        <v>4522</v>
      </c>
      <c r="F350" s="13"/>
    </row>
    <row r="351" spans="1:6" x14ac:dyDescent="0.2">
      <c r="A351" s="12" t="s">
        <v>1131</v>
      </c>
      <c r="B351" s="11"/>
      <c r="C351" s="12" t="s">
        <v>16</v>
      </c>
      <c r="D351" s="12" t="s">
        <v>6</v>
      </c>
      <c r="E351" s="12" t="s">
        <v>4524</v>
      </c>
      <c r="F351" s="47"/>
    </row>
    <row r="352" spans="1:6" x14ac:dyDescent="0.2">
      <c r="A352" s="12" t="s">
        <v>1199</v>
      </c>
      <c r="B352" s="11"/>
      <c r="C352" s="12" t="s">
        <v>16</v>
      </c>
      <c r="D352" s="12" t="s">
        <v>6</v>
      </c>
      <c r="E352" s="12" t="s">
        <v>4526</v>
      </c>
      <c r="F352" s="13"/>
    </row>
    <row r="353" spans="1:6" x14ac:dyDescent="0.2">
      <c r="A353" s="12" t="s">
        <v>350</v>
      </c>
      <c r="B353" s="11"/>
      <c r="C353" s="12" t="s">
        <v>16</v>
      </c>
      <c r="D353" s="12" t="s">
        <v>6</v>
      </c>
      <c r="E353" s="12" t="s">
        <v>4528</v>
      </c>
      <c r="F353" s="13"/>
    </row>
    <row r="354" spans="1:6" x14ac:dyDescent="0.2">
      <c r="A354" s="12" t="s">
        <v>1560</v>
      </c>
      <c r="B354" s="11"/>
      <c r="C354" s="12" t="s">
        <v>16</v>
      </c>
      <c r="D354" s="12" t="s">
        <v>6</v>
      </c>
      <c r="E354" s="12" t="s">
        <v>4530</v>
      </c>
      <c r="F354" s="13"/>
    </row>
    <row r="355" spans="1:6" x14ac:dyDescent="0.2">
      <c r="A355" s="12" t="s">
        <v>632</v>
      </c>
      <c r="B355" s="11"/>
      <c r="C355" s="12" t="s">
        <v>16</v>
      </c>
      <c r="D355" s="12" t="s">
        <v>6</v>
      </c>
      <c r="E355" s="12" t="s">
        <v>4532</v>
      </c>
      <c r="F355" s="13"/>
    </row>
    <row r="356" spans="1:6" x14ac:dyDescent="0.2">
      <c r="A356" s="12" t="s">
        <v>1569</v>
      </c>
      <c r="B356" s="11"/>
      <c r="C356" s="12" t="s">
        <v>16</v>
      </c>
      <c r="D356" s="12" t="s">
        <v>21</v>
      </c>
      <c r="E356" s="12" t="s">
        <v>4534</v>
      </c>
      <c r="F356" s="13"/>
    </row>
    <row r="357" spans="1:6" x14ac:dyDescent="0.2">
      <c r="A357" s="12" t="s">
        <v>1233</v>
      </c>
      <c r="B357" s="11"/>
      <c r="C357" s="12" t="s">
        <v>16</v>
      </c>
      <c r="D357" s="12" t="s">
        <v>21</v>
      </c>
      <c r="E357" s="12" t="s">
        <v>4536</v>
      </c>
      <c r="F357" s="13"/>
    </row>
    <row r="358" spans="1:6" x14ac:dyDescent="0.2">
      <c r="A358" s="12" t="s">
        <v>2061</v>
      </c>
      <c r="B358" s="11"/>
      <c r="C358" s="12" t="s">
        <v>16</v>
      </c>
      <c r="D358" s="12" t="s">
        <v>21</v>
      </c>
      <c r="E358" s="12" t="s">
        <v>4538</v>
      </c>
      <c r="F358" s="13"/>
    </row>
    <row r="359" spans="1:6" x14ac:dyDescent="0.2">
      <c r="A359" s="12" t="s">
        <v>2200</v>
      </c>
      <c r="B359" s="11"/>
      <c r="C359" s="12" t="s">
        <v>16</v>
      </c>
      <c r="D359" s="12" t="s">
        <v>21</v>
      </c>
      <c r="E359" s="12" t="s">
        <v>4540</v>
      </c>
      <c r="F359" s="13"/>
    </row>
    <row r="360" spans="1:6" x14ac:dyDescent="0.2">
      <c r="A360" s="12" t="s">
        <v>822</v>
      </c>
      <c r="B360" s="11"/>
      <c r="C360" s="12" t="s">
        <v>5</v>
      </c>
      <c r="D360" s="12" t="s">
        <v>17</v>
      </c>
      <c r="E360" s="12" t="s">
        <v>2914</v>
      </c>
      <c r="F360" s="13"/>
    </row>
    <row r="361" spans="1:6" x14ac:dyDescent="0.2">
      <c r="A361" s="12" t="s">
        <v>822</v>
      </c>
      <c r="B361" s="11"/>
      <c r="C361" s="12" t="s">
        <v>5</v>
      </c>
      <c r="D361" s="12" t="s">
        <v>17</v>
      </c>
      <c r="E361" s="12" t="s">
        <v>2914</v>
      </c>
      <c r="F361" s="13"/>
    </row>
    <row r="362" spans="1:6" x14ac:dyDescent="0.2">
      <c r="A362" s="12" t="s">
        <v>296</v>
      </c>
      <c r="B362" s="11"/>
      <c r="C362" s="12" t="s">
        <v>5</v>
      </c>
      <c r="D362" s="12" t="s">
        <v>17</v>
      </c>
      <c r="E362" s="12" t="s">
        <v>2917</v>
      </c>
      <c r="F362" s="13"/>
    </row>
    <row r="363" spans="1:6" x14ac:dyDescent="0.2">
      <c r="A363" s="12" t="s">
        <v>817</v>
      </c>
      <c r="B363" s="11"/>
      <c r="C363" s="12" t="s">
        <v>5</v>
      </c>
      <c r="D363" s="12" t="s">
        <v>17</v>
      </c>
      <c r="E363" s="12" t="s">
        <v>2919</v>
      </c>
      <c r="F363" s="13"/>
    </row>
    <row r="364" spans="1:6" x14ac:dyDescent="0.2">
      <c r="A364" s="12" t="s">
        <v>817</v>
      </c>
      <c r="B364" s="11"/>
      <c r="C364" s="12" t="s">
        <v>5</v>
      </c>
      <c r="D364" s="12" t="s">
        <v>17</v>
      </c>
      <c r="E364" s="12" t="s">
        <v>2919</v>
      </c>
      <c r="F364" s="13"/>
    </row>
    <row r="365" spans="1:6" x14ac:dyDescent="0.2">
      <c r="A365" s="12" t="s">
        <v>0</v>
      </c>
      <c r="B365" s="11"/>
      <c r="C365" s="12" t="s">
        <v>5</v>
      </c>
      <c r="D365" s="12" t="s">
        <v>17</v>
      </c>
      <c r="E365" s="12" t="s">
        <v>28</v>
      </c>
      <c r="F365" s="13"/>
    </row>
    <row r="366" spans="1:6" x14ac:dyDescent="0.2">
      <c r="A366" s="12" t="s">
        <v>0</v>
      </c>
      <c r="B366" s="11"/>
      <c r="C366" s="12" t="s">
        <v>5</v>
      </c>
      <c r="D366" s="12" t="s">
        <v>17</v>
      </c>
      <c r="E366" s="12" t="s">
        <v>28</v>
      </c>
      <c r="F366" s="13"/>
    </row>
    <row r="367" spans="1:6" x14ac:dyDescent="0.2">
      <c r="A367" s="12" t="s">
        <v>1135</v>
      </c>
      <c r="B367" s="11"/>
      <c r="C367" s="12" t="s">
        <v>5</v>
      </c>
      <c r="D367" s="12" t="s">
        <v>17</v>
      </c>
      <c r="E367" s="12" t="s">
        <v>2923</v>
      </c>
      <c r="F367" s="13"/>
    </row>
    <row r="368" spans="1:6" x14ac:dyDescent="0.2">
      <c r="A368" s="12" t="s">
        <v>1135</v>
      </c>
      <c r="B368" s="11"/>
      <c r="C368" s="12" t="s">
        <v>5</v>
      </c>
      <c r="D368" s="12" t="s">
        <v>17</v>
      </c>
      <c r="E368" s="12" t="s">
        <v>2923</v>
      </c>
      <c r="F368" s="13"/>
    </row>
    <row r="369" spans="1:6" x14ac:dyDescent="0.2">
      <c r="A369" s="12" t="s">
        <v>285</v>
      </c>
      <c r="B369" s="11"/>
      <c r="C369" s="12" t="s">
        <v>5</v>
      </c>
      <c r="D369" s="12" t="s">
        <v>6</v>
      </c>
      <c r="E369" s="12" t="s">
        <v>2926</v>
      </c>
      <c r="F369" s="13"/>
    </row>
    <row r="370" spans="1:6" x14ac:dyDescent="0.2">
      <c r="A370" s="12" t="s">
        <v>285</v>
      </c>
      <c r="B370" s="11"/>
      <c r="C370" s="12" t="s">
        <v>5</v>
      </c>
      <c r="D370" s="12" t="s">
        <v>6</v>
      </c>
      <c r="E370" s="12" t="s">
        <v>2926</v>
      </c>
      <c r="F370" s="13"/>
    </row>
    <row r="371" spans="1:6" x14ac:dyDescent="0.2">
      <c r="A371" s="12" t="s">
        <v>662</v>
      </c>
      <c r="B371" s="11"/>
      <c r="C371" s="12" t="s">
        <v>5</v>
      </c>
      <c r="D371" s="12" t="s">
        <v>6</v>
      </c>
      <c r="E371" s="12" t="s">
        <v>2930</v>
      </c>
      <c r="F371" s="13"/>
    </row>
    <row r="372" spans="1:6" x14ac:dyDescent="0.2">
      <c r="A372" s="12" t="s">
        <v>662</v>
      </c>
      <c r="B372" s="11"/>
      <c r="C372" s="12" t="s">
        <v>5</v>
      </c>
      <c r="D372" s="12" t="s">
        <v>6</v>
      </c>
      <c r="E372" s="12" t="s">
        <v>2930</v>
      </c>
      <c r="F372" s="13"/>
    </row>
    <row r="373" spans="1:6" x14ac:dyDescent="0.2">
      <c r="A373" s="12" t="s">
        <v>1054</v>
      </c>
      <c r="B373" s="11"/>
      <c r="C373" s="12" t="s">
        <v>5</v>
      </c>
      <c r="D373" s="12" t="s">
        <v>6</v>
      </c>
      <c r="E373" s="12" t="s">
        <v>2933</v>
      </c>
      <c r="F373" s="13"/>
    </row>
    <row r="374" spans="1:6" x14ac:dyDescent="0.2">
      <c r="A374" s="12" t="s">
        <v>1054</v>
      </c>
      <c r="B374" s="11"/>
      <c r="C374" s="12" t="s">
        <v>5</v>
      </c>
      <c r="D374" s="12" t="s">
        <v>6</v>
      </c>
      <c r="E374" s="12" t="s">
        <v>2933</v>
      </c>
      <c r="F374" s="13"/>
    </row>
    <row r="375" spans="1:6" x14ac:dyDescent="0.2">
      <c r="A375" s="12" t="s">
        <v>1142</v>
      </c>
      <c r="B375" s="11"/>
      <c r="C375" s="12" t="s">
        <v>5</v>
      </c>
      <c r="D375" s="12" t="s">
        <v>6</v>
      </c>
      <c r="E375" s="12" t="s">
        <v>2936</v>
      </c>
      <c r="F375" s="13"/>
    </row>
    <row r="376" spans="1:6" x14ac:dyDescent="0.2">
      <c r="A376" s="12" t="s">
        <v>1142</v>
      </c>
      <c r="B376" s="11"/>
      <c r="C376" s="12" t="s">
        <v>5</v>
      </c>
      <c r="D376" s="12" t="s">
        <v>6</v>
      </c>
      <c r="E376" s="12" t="s">
        <v>2936</v>
      </c>
      <c r="F376" s="13"/>
    </row>
    <row r="377" spans="1:6" x14ac:dyDescent="0.2">
      <c r="A377" s="12" t="s">
        <v>662</v>
      </c>
      <c r="B377" s="11"/>
      <c r="C377" s="12" t="s">
        <v>5</v>
      </c>
      <c r="D377" s="12" t="s">
        <v>6</v>
      </c>
      <c r="E377" s="12" t="s">
        <v>2939</v>
      </c>
      <c r="F377" s="13"/>
    </row>
    <row r="378" spans="1:6" x14ac:dyDescent="0.2">
      <c r="A378" s="12" t="s">
        <v>662</v>
      </c>
      <c r="B378" s="11"/>
      <c r="C378" s="12" t="s">
        <v>5</v>
      </c>
      <c r="D378" s="12" t="s">
        <v>6</v>
      </c>
      <c r="E378" s="12" t="s">
        <v>2939</v>
      </c>
      <c r="F378" s="13"/>
    </row>
    <row r="379" spans="1:6" x14ac:dyDescent="0.2">
      <c r="A379" s="12" t="s">
        <v>1573</v>
      </c>
      <c r="B379" s="11"/>
      <c r="C379" s="12" t="s">
        <v>5</v>
      </c>
      <c r="D379" s="12" t="s">
        <v>6</v>
      </c>
      <c r="E379" s="12" t="s">
        <v>2942</v>
      </c>
      <c r="F379" s="13"/>
    </row>
    <row r="380" spans="1:6" x14ac:dyDescent="0.2">
      <c r="A380" s="12" t="s">
        <v>2095</v>
      </c>
      <c r="B380" s="11"/>
      <c r="C380" s="12" t="s">
        <v>5</v>
      </c>
      <c r="D380" s="12" t="s">
        <v>6</v>
      </c>
      <c r="E380" s="12" t="s">
        <v>2944</v>
      </c>
      <c r="F380" s="13"/>
    </row>
    <row r="381" spans="1:6" x14ac:dyDescent="0.2">
      <c r="A381" s="12" t="s">
        <v>2095</v>
      </c>
      <c r="B381" s="11"/>
      <c r="C381" s="12" t="s">
        <v>5</v>
      </c>
      <c r="D381" s="12" t="s">
        <v>6</v>
      </c>
      <c r="E381" s="12" t="s">
        <v>2944</v>
      </c>
      <c r="F381" s="13"/>
    </row>
    <row r="382" spans="1:6" x14ac:dyDescent="0.2">
      <c r="A382" s="12" t="s">
        <v>2155</v>
      </c>
      <c r="B382" s="11"/>
      <c r="C382" s="12" t="s">
        <v>5</v>
      </c>
      <c r="D382" s="12" t="s">
        <v>6</v>
      </c>
      <c r="E382" s="12" t="s">
        <v>2947</v>
      </c>
      <c r="F382" s="13"/>
    </row>
    <row r="383" spans="1:6" x14ac:dyDescent="0.2">
      <c r="A383" s="12" t="s">
        <v>2155</v>
      </c>
      <c r="B383" s="11"/>
      <c r="C383" s="12" t="s">
        <v>5</v>
      </c>
      <c r="D383" s="12" t="s">
        <v>6</v>
      </c>
      <c r="E383" s="12" t="s">
        <v>2947</v>
      </c>
      <c r="F383" s="13"/>
    </row>
    <row r="384" spans="1:6" x14ac:dyDescent="0.2">
      <c r="A384" s="12" t="s">
        <v>1135</v>
      </c>
      <c r="B384" s="11"/>
      <c r="C384" s="12" t="s">
        <v>5</v>
      </c>
      <c r="D384" s="12" t="s">
        <v>21</v>
      </c>
      <c r="E384" s="12" t="s">
        <v>2950</v>
      </c>
      <c r="F384" s="13"/>
    </row>
    <row r="385" spans="1:6" x14ac:dyDescent="0.2">
      <c r="A385" s="12" t="s">
        <v>1135</v>
      </c>
      <c r="B385" s="11"/>
      <c r="C385" s="12" t="s">
        <v>5</v>
      </c>
      <c r="D385" s="12" t="s">
        <v>21</v>
      </c>
      <c r="E385" s="12" t="s">
        <v>2950</v>
      </c>
      <c r="F385" s="13"/>
    </row>
    <row r="386" spans="1:6" x14ac:dyDescent="0.2">
      <c r="A386" s="12" t="s">
        <v>662</v>
      </c>
      <c r="B386" s="11"/>
      <c r="C386" s="12" t="s">
        <v>5</v>
      </c>
      <c r="D386" s="12" t="s">
        <v>6</v>
      </c>
      <c r="E386" s="12" t="s">
        <v>2953</v>
      </c>
      <c r="F386" s="13"/>
    </row>
    <row r="387" spans="1:6" x14ac:dyDescent="0.2">
      <c r="A387" s="12" t="s">
        <v>1541</v>
      </c>
      <c r="B387" s="11"/>
      <c r="C387" s="12" t="s">
        <v>5</v>
      </c>
      <c r="D387" s="12" t="s">
        <v>21</v>
      </c>
      <c r="E387" s="12" t="s">
        <v>2955</v>
      </c>
      <c r="F387" s="13"/>
    </row>
    <row r="388" spans="1:6" x14ac:dyDescent="0.2">
      <c r="A388" s="12" t="s">
        <v>1541</v>
      </c>
      <c r="B388" s="11"/>
      <c r="C388" s="12" t="s">
        <v>5</v>
      </c>
      <c r="D388" s="12" t="s">
        <v>21</v>
      </c>
      <c r="E388" s="12" t="s">
        <v>2955</v>
      </c>
      <c r="F388" s="13"/>
    </row>
    <row r="389" spans="1:6" x14ac:dyDescent="0.2">
      <c r="A389" s="12" t="s">
        <v>491</v>
      </c>
      <c r="B389" s="11"/>
      <c r="C389" s="12" t="s">
        <v>5</v>
      </c>
      <c r="D389" s="12" t="s">
        <v>17</v>
      </c>
      <c r="E389" s="12" t="s">
        <v>2869</v>
      </c>
      <c r="F389" s="13"/>
    </row>
    <row r="390" spans="1:6" x14ac:dyDescent="0.2">
      <c r="A390" s="12" t="s">
        <v>491</v>
      </c>
      <c r="B390" s="11"/>
      <c r="C390" s="12" t="s">
        <v>5</v>
      </c>
      <c r="D390" s="12" t="s">
        <v>17</v>
      </c>
      <c r="E390" s="12" t="s">
        <v>2869</v>
      </c>
      <c r="F390" s="13"/>
    </row>
    <row r="391" spans="1:6" x14ac:dyDescent="0.2">
      <c r="A391" s="12" t="s">
        <v>491</v>
      </c>
      <c r="B391" s="11"/>
      <c r="C391" s="12" t="s">
        <v>5</v>
      </c>
      <c r="D391" s="12" t="s">
        <v>17</v>
      </c>
      <c r="E391" s="12" t="s">
        <v>2872</v>
      </c>
      <c r="F391" s="13"/>
    </row>
    <row r="392" spans="1:6" x14ac:dyDescent="0.2">
      <c r="A392" s="12" t="s">
        <v>491</v>
      </c>
      <c r="B392" s="11"/>
      <c r="C392" s="12" t="s">
        <v>5</v>
      </c>
      <c r="D392" s="12" t="s">
        <v>17</v>
      </c>
      <c r="E392" s="12" t="s">
        <v>2872</v>
      </c>
      <c r="F392" s="13"/>
    </row>
    <row r="393" spans="1:6" x14ac:dyDescent="0.2">
      <c r="A393" s="12" t="s">
        <v>296</v>
      </c>
      <c r="B393" s="11"/>
      <c r="C393" s="12" t="s">
        <v>5</v>
      </c>
      <c r="D393" s="12" t="s">
        <v>17</v>
      </c>
      <c r="E393" s="12" t="s">
        <v>2875</v>
      </c>
      <c r="F393" s="13"/>
    </row>
    <row r="394" spans="1:6" x14ac:dyDescent="0.2">
      <c r="A394" s="12" t="s">
        <v>296</v>
      </c>
      <c r="B394" s="11"/>
      <c r="C394" s="12" t="s">
        <v>5</v>
      </c>
      <c r="D394" s="12" t="s">
        <v>17</v>
      </c>
      <c r="E394" s="12" t="s">
        <v>2875</v>
      </c>
      <c r="F394" s="13"/>
    </row>
    <row r="395" spans="1:6" x14ac:dyDescent="0.2">
      <c r="A395" s="12" t="s">
        <v>579</v>
      </c>
      <c r="B395" s="11"/>
      <c r="C395" s="12" t="s">
        <v>5</v>
      </c>
      <c r="D395" s="12" t="s">
        <v>17</v>
      </c>
      <c r="E395" s="12" t="s">
        <v>2878</v>
      </c>
      <c r="F395" s="13"/>
    </row>
    <row r="396" spans="1:6" x14ac:dyDescent="0.2">
      <c r="A396" s="12" t="s">
        <v>912</v>
      </c>
      <c r="B396" s="11"/>
      <c r="C396" s="12" t="s">
        <v>5</v>
      </c>
      <c r="D396" s="12" t="s">
        <v>17</v>
      </c>
      <c r="E396" s="12" t="s">
        <v>2880</v>
      </c>
      <c r="F396" s="13"/>
    </row>
    <row r="397" spans="1:6" x14ac:dyDescent="0.2">
      <c r="A397" s="12" t="s">
        <v>491</v>
      </c>
      <c r="B397" s="11"/>
      <c r="C397" s="12" t="s">
        <v>5</v>
      </c>
      <c r="D397" s="12" t="s">
        <v>17</v>
      </c>
      <c r="E397" s="12" t="s">
        <v>2883</v>
      </c>
      <c r="F397" s="13"/>
    </row>
    <row r="398" spans="1:6" x14ac:dyDescent="0.2">
      <c r="A398" s="12" t="s">
        <v>491</v>
      </c>
      <c r="B398" s="11"/>
      <c r="C398" s="12" t="s">
        <v>5</v>
      </c>
      <c r="D398" s="12" t="s">
        <v>17</v>
      </c>
      <c r="E398" s="12" t="s">
        <v>2883</v>
      </c>
      <c r="F398" s="13"/>
    </row>
    <row r="399" spans="1:6" x14ac:dyDescent="0.2">
      <c r="A399" s="12" t="s">
        <v>1541</v>
      </c>
      <c r="B399" s="11"/>
      <c r="C399" s="12" t="s">
        <v>5</v>
      </c>
      <c r="D399" s="12" t="s">
        <v>6</v>
      </c>
      <c r="E399" s="12" t="s">
        <v>2886</v>
      </c>
      <c r="F399" s="13"/>
    </row>
    <row r="400" spans="1:6" x14ac:dyDescent="0.2">
      <c r="A400" s="12" t="s">
        <v>1541</v>
      </c>
      <c r="B400" s="11"/>
      <c r="C400" s="12" t="s">
        <v>5</v>
      </c>
      <c r="D400" s="12" t="s">
        <v>6</v>
      </c>
      <c r="E400" s="12" t="s">
        <v>2886</v>
      </c>
      <c r="F400" s="13"/>
    </row>
    <row r="401" spans="1:6" x14ac:dyDescent="0.2">
      <c r="A401" s="12" t="s">
        <v>1209</v>
      </c>
      <c r="B401" s="11"/>
      <c r="C401" s="12" t="s">
        <v>5</v>
      </c>
      <c r="D401" s="12" t="s">
        <v>6</v>
      </c>
      <c r="E401" s="12" t="s">
        <v>2889</v>
      </c>
      <c r="F401" s="13"/>
    </row>
    <row r="402" spans="1:6" x14ac:dyDescent="0.2">
      <c r="A402" s="12" t="s">
        <v>1938</v>
      </c>
      <c r="B402" s="11"/>
      <c r="C402" s="12" t="s">
        <v>5</v>
      </c>
      <c r="D402" s="12" t="s">
        <v>6</v>
      </c>
      <c r="E402" s="12" t="s">
        <v>2892</v>
      </c>
      <c r="F402" s="13"/>
    </row>
    <row r="403" spans="1:6" x14ac:dyDescent="0.2">
      <c r="A403" s="12" t="s">
        <v>686</v>
      </c>
      <c r="B403" s="11"/>
      <c r="C403" s="12" t="s">
        <v>5</v>
      </c>
      <c r="D403" s="12" t="s">
        <v>6</v>
      </c>
      <c r="E403" s="12" t="s">
        <v>2895</v>
      </c>
      <c r="F403" s="13"/>
    </row>
    <row r="404" spans="1:6" x14ac:dyDescent="0.2">
      <c r="A404" s="12" t="s">
        <v>686</v>
      </c>
      <c r="B404" s="11"/>
      <c r="C404" s="12" t="s">
        <v>5</v>
      </c>
      <c r="D404" s="12" t="s">
        <v>6</v>
      </c>
      <c r="E404" s="12" t="s">
        <v>2895</v>
      </c>
      <c r="F404" s="13"/>
    </row>
    <row r="405" spans="1:6" x14ac:dyDescent="0.2">
      <c r="A405" s="12" t="s">
        <v>715</v>
      </c>
      <c r="B405" s="11"/>
      <c r="C405" s="12" t="s">
        <v>5</v>
      </c>
      <c r="D405" s="12" t="s">
        <v>6</v>
      </c>
      <c r="E405" s="12" t="s">
        <v>2898</v>
      </c>
      <c r="F405" s="13"/>
    </row>
    <row r="406" spans="1:6" x14ac:dyDescent="0.2">
      <c r="A406" s="12" t="s">
        <v>715</v>
      </c>
      <c r="B406" s="11"/>
      <c r="C406" s="12" t="s">
        <v>5</v>
      </c>
      <c r="D406" s="12" t="s">
        <v>6</v>
      </c>
      <c r="E406" s="12" t="s">
        <v>2898</v>
      </c>
      <c r="F406" s="13"/>
    </row>
    <row r="407" spans="1:6" x14ac:dyDescent="0.2">
      <c r="A407" s="12" t="s">
        <v>730</v>
      </c>
      <c r="B407" s="11"/>
      <c r="C407" s="12" t="s">
        <v>5</v>
      </c>
      <c r="D407" s="12" t="s">
        <v>6</v>
      </c>
      <c r="E407" s="12" t="s">
        <v>2901</v>
      </c>
      <c r="F407" s="13"/>
    </row>
    <row r="408" spans="1:6" x14ac:dyDescent="0.2">
      <c r="A408" s="12" t="s">
        <v>730</v>
      </c>
      <c r="B408" s="11"/>
      <c r="C408" s="12" t="s">
        <v>5</v>
      </c>
      <c r="D408" s="12" t="s">
        <v>6</v>
      </c>
      <c r="E408" s="12" t="s">
        <v>2901</v>
      </c>
      <c r="F408" s="13"/>
    </row>
    <row r="409" spans="1:6" x14ac:dyDescent="0.2">
      <c r="A409" s="12" t="s">
        <v>1359</v>
      </c>
      <c r="B409" s="11"/>
      <c r="C409" s="12" t="s">
        <v>5</v>
      </c>
      <c r="D409" s="12" t="s">
        <v>6</v>
      </c>
      <c r="E409" s="12" t="s">
        <v>2904</v>
      </c>
      <c r="F409" s="13"/>
    </row>
    <row r="410" spans="1:6" x14ac:dyDescent="0.2">
      <c r="A410" s="12" t="s">
        <v>1275</v>
      </c>
      <c r="B410" s="11"/>
      <c r="C410" s="12" t="s">
        <v>5</v>
      </c>
      <c r="D410" s="12" t="s">
        <v>21</v>
      </c>
      <c r="E410" s="12" t="s">
        <v>2906</v>
      </c>
      <c r="F410" s="13"/>
    </row>
    <row r="411" spans="1:6" x14ac:dyDescent="0.2">
      <c r="A411" s="12" t="s">
        <v>1275</v>
      </c>
      <c r="B411" s="11"/>
      <c r="C411" s="12" t="s">
        <v>5</v>
      </c>
      <c r="D411" s="12" t="s">
        <v>21</v>
      </c>
      <c r="E411" s="12" t="s">
        <v>2906</v>
      </c>
      <c r="F411" s="13"/>
    </row>
    <row r="412" spans="1:6" x14ac:dyDescent="0.2">
      <c r="A412" s="12" t="s">
        <v>1363</v>
      </c>
      <c r="B412" s="11"/>
      <c r="C412" s="12" t="s">
        <v>5</v>
      </c>
      <c r="D412" s="12" t="s">
        <v>6</v>
      </c>
      <c r="E412" s="12" t="s">
        <v>2909</v>
      </c>
      <c r="F412" s="13"/>
    </row>
    <row r="413" spans="1:6" x14ac:dyDescent="0.2">
      <c r="A413" s="12" t="s">
        <v>1215</v>
      </c>
      <c r="B413" s="11"/>
      <c r="C413" s="12" t="s">
        <v>5</v>
      </c>
      <c r="D413" s="12" t="s">
        <v>21</v>
      </c>
      <c r="E413" s="12" t="s">
        <v>2911</v>
      </c>
      <c r="F413" s="13"/>
    </row>
    <row r="414" spans="1:6" x14ac:dyDescent="0.2">
      <c r="A414" s="12" t="s">
        <v>1215</v>
      </c>
      <c r="B414" s="11"/>
      <c r="C414" s="12" t="s">
        <v>5</v>
      </c>
      <c r="D414" s="12" t="s">
        <v>21</v>
      </c>
      <c r="E414" s="12" t="s">
        <v>2911</v>
      </c>
      <c r="F414" s="13"/>
    </row>
    <row r="415" spans="1:6" x14ac:dyDescent="0.2">
      <c r="A415" s="12" t="s">
        <v>1532</v>
      </c>
      <c r="B415" s="11"/>
      <c r="C415" s="12" t="s">
        <v>5</v>
      </c>
      <c r="D415" s="12" t="s">
        <v>17</v>
      </c>
      <c r="E415" s="12" t="s">
        <v>2958</v>
      </c>
      <c r="F415" s="13"/>
    </row>
    <row r="416" spans="1:6" x14ac:dyDescent="0.2">
      <c r="A416" s="12" t="s">
        <v>837</v>
      </c>
      <c r="B416" s="11"/>
      <c r="C416" s="12" t="s">
        <v>5</v>
      </c>
      <c r="D416" s="12" t="s">
        <v>17</v>
      </c>
      <c r="E416" s="12" t="s">
        <v>2960</v>
      </c>
      <c r="F416" s="13"/>
    </row>
    <row r="417" spans="1:6" x14ac:dyDescent="0.2">
      <c r="A417" s="12" t="s">
        <v>837</v>
      </c>
      <c r="B417" s="11"/>
      <c r="C417" s="12" t="s">
        <v>5</v>
      </c>
      <c r="D417" s="12" t="s">
        <v>17</v>
      </c>
      <c r="E417" s="12" t="s">
        <v>2960</v>
      </c>
      <c r="F417" s="13"/>
    </row>
    <row r="418" spans="1:6" x14ac:dyDescent="0.2">
      <c r="A418" s="12" t="s">
        <v>579</v>
      </c>
      <c r="B418" s="11"/>
      <c r="C418" s="12" t="s">
        <v>5</v>
      </c>
      <c r="D418" s="12" t="s">
        <v>17</v>
      </c>
      <c r="E418" s="12" t="s">
        <v>2963</v>
      </c>
      <c r="F418" s="13"/>
    </row>
    <row r="419" spans="1:6" x14ac:dyDescent="0.2">
      <c r="A419" s="12" t="s">
        <v>2008</v>
      </c>
      <c r="B419" s="11"/>
      <c r="C419" s="12" t="s">
        <v>5</v>
      </c>
      <c r="D419" s="12" t="s">
        <v>17</v>
      </c>
      <c r="E419" s="12" t="s">
        <v>2966</v>
      </c>
      <c r="F419" s="13"/>
    </row>
    <row r="420" spans="1:6" x14ac:dyDescent="0.2">
      <c r="A420" s="12" t="s">
        <v>2008</v>
      </c>
      <c r="B420" s="11"/>
      <c r="C420" s="12" t="s">
        <v>5</v>
      </c>
      <c r="D420" s="12" t="s">
        <v>17</v>
      </c>
      <c r="E420" s="12" t="s">
        <v>2966</v>
      </c>
      <c r="F420" s="13"/>
    </row>
    <row r="421" spans="1:6" x14ac:dyDescent="0.2">
      <c r="A421" s="12" t="s">
        <v>1203</v>
      </c>
      <c r="B421" s="11"/>
      <c r="C421" s="12" t="s">
        <v>5</v>
      </c>
      <c r="D421" s="12" t="s">
        <v>17</v>
      </c>
      <c r="E421" s="12" t="s">
        <v>2969</v>
      </c>
      <c r="F421" s="13"/>
    </row>
    <row r="422" spans="1:6" x14ac:dyDescent="0.2">
      <c r="A422" s="12" t="s">
        <v>1213</v>
      </c>
      <c r="B422" s="11"/>
      <c r="C422" s="12" t="s">
        <v>5</v>
      </c>
      <c r="D422" s="12" t="s">
        <v>17</v>
      </c>
      <c r="E422" s="12" t="s">
        <v>2972</v>
      </c>
      <c r="F422" s="13"/>
    </row>
    <row r="423" spans="1:6" x14ac:dyDescent="0.2">
      <c r="A423" s="12" t="s">
        <v>1213</v>
      </c>
      <c r="B423" s="11"/>
      <c r="C423" s="12" t="s">
        <v>5</v>
      </c>
      <c r="D423" s="12" t="s">
        <v>17</v>
      </c>
      <c r="E423" s="12" t="s">
        <v>2972</v>
      </c>
      <c r="F423" s="13"/>
    </row>
    <row r="424" spans="1:6" x14ac:dyDescent="0.2">
      <c r="A424" s="12" t="s">
        <v>635</v>
      </c>
      <c r="B424" s="11"/>
      <c r="C424" s="12" t="s">
        <v>5</v>
      </c>
      <c r="D424" s="12" t="s">
        <v>6</v>
      </c>
      <c r="E424" s="12" t="s">
        <v>2975</v>
      </c>
      <c r="F424" s="13"/>
    </row>
    <row r="425" spans="1:6" x14ac:dyDescent="0.2">
      <c r="A425" s="12" t="s">
        <v>635</v>
      </c>
      <c r="B425" s="11"/>
      <c r="C425" s="12" t="s">
        <v>5</v>
      </c>
      <c r="D425" s="12" t="s">
        <v>6</v>
      </c>
      <c r="E425" s="12" t="s">
        <v>2975</v>
      </c>
      <c r="F425" s="13"/>
    </row>
    <row r="426" spans="1:6" x14ac:dyDescent="0.2">
      <c r="A426" s="12" t="s">
        <v>1131</v>
      </c>
      <c r="B426" s="11"/>
      <c r="C426" s="12" t="s">
        <v>5</v>
      </c>
      <c r="D426" s="12" t="s">
        <v>6</v>
      </c>
      <c r="E426" s="12" t="s">
        <v>2979</v>
      </c>
      <c r="F426" s="47"/>
    </row>
    <row r="427" spans="1:6" x14ac:dyDescent="0.2">
      <c r="A427" s="12" t="s">
        <v>1145</v>
      </c>
      <c r="B427" s="11"/>
      <c r="C427" s="12" t="s">
        <v>5</v>
      </c>
      <c r="D427" s="12" t="s">
        <v>6</v>
      </c>
      <c r="E427" s="12" t="s">
        <v>2981</v>
      </c>
      <c r="F427" s="13"/>
    </row>
    <row r="428" spans="1:6" x14ac:dyDescent="0.2">
      <c r="A428" s="12" t="s">
        <v>1145</v>
      </c>
      <c r="B428" s="11"/>
      <c r="C428" s="12" t="s">
        <v>5</v>
      </c>
      <c r="D428" s="12" t="s">
        <v>6</v>
      </c>
      <c r="E428" s="12" t="s">
        <v>2981</v>
      </c>
      <c r="F428" s="13"/>
    </row>
    <row r="429" spans="1:6" x14ac:dyDescent="0.2">
      <c r="A429" s="12" t="s">
        <v>1573</v>
      </c>
      <c r="B429" s="11"/>
      <c r="C429" s="12" t="s">
        <v>5</v>
      </c>
      <c r="D429" s="12" t="s">
        <v>6</v>
      </c>
      <c r="E429" s="12" t="s">
        <v>2984</v>
      </c>
      <c r="F429" s="13"/>
    </row>
    <row r="430" spans="1:6" x14ac:dyDescent="0.2">
      <c r="A430" s="12" t="s">
        <v>1139</v>
      </c>
      <c r="B430" s="11"/>
      <c r="C430" s="12" t="s">
        <v>5</v>
      </c>
      <c r="D430" s="12" t="s">
        <v>6</v>
      </c>
      <c r="E430" s="12" t="s">
        <v>2986</v>
      </c>
      <c r="F430" s="13"/>
    </row>
    <row r="431" spans="1:6" x14ac:dyDescent="0.2">
      <c r="A431" s="12" t="s">
        <v>1139</v>
      </c>
      <c r="B431" s="11"/>
      <c r="C431" s="12" t="s">
        <v>5</v>
      </c>
      <c r="D431" s="12" t="s">
        <v>6</v>
      </c>
      <c r="E431" s="12" t="s">
        <v>2986</v>
      </c>
      <c r="F431" s="13"/>
    </row>
    <row r="432" spans="1:6" x14ac:dyDescent="0.2">
      <c r="A432" s="12" t="s">
        <v>2251</v>
      </c>
      <c r="B432" s="11"/>
      <c r="C432" s="12" t="s">
        <v>5</v>
      </c>
      <c r="D432" s="12" t="s">
        <v>6</v>
      </c>
      <c r="E432" s="12" t="s">
        <v>2989</v>
      </c>
      <c r="F432" s="47"/>
    </row>
    <row r="433" spans="1:6" x14ac:dyDescent="0.2">
      <c r="A433" s="12" t="s">
        <v>463</v>
      </c>
      <c r="B433" s="11"/>
      <c r="C433" s="12" t="s">
        <v>5</v>
      </c>
      <c r="D433" s="12" t="s">
        <v>6</v>
      </c>
      <c r="E433" s="12" t="s">
        <v>2990</v>
      </c>
      <c r="F433" s="13"/>
    </row>
    <row r="434" spans="1:6" x14ac:dyDescent="0.2">
      <c r="A434" s="12" t="s">
        <v>1139</v>
      </c>
      <c r="B434" s="11"/>
      <c r="C434" s="12" t="s">
        <v>5</v>
      </c>
      <c r="D434" s="12" t="s">
        <v>21</v>
      </c>
      <c r="E434" s="12" t="s">
        <v>2993</v>
      </c>
      <c r="F434" s="13"/>
    </row>
    <row r="435" spans="1:6" x14ac:dyDescent="0.2">
      <c r="A435" s="12" t="s">
        <v>1139</v>
      </c>
      <c r="B435" s="11"/>
      <c r="C435" s="12" t="s">
        <v>5</v>
      </c>
      <c r="D435" s="12" t="s">
        <v>21</v>
      </c>
      <c r="E435" s="12" t="s">
        <v>2993</v>
      </c>
      <c r="F435" s="13"/>
    </row>
    <row r="436" spans="1:6" x14ac:dyDescent="0.2">
      <c r="A436" s="12" t="s">
        <v>327</v>
      </c>
      <c r="B436" s="11"/>
      <c r="C436" s="12" t="s">
        <v>5</v>
      </c>
      <c r="D436" s="12" t="s">
        <v>6</v>
      </c>
      <c r="E436" s="12" t="s">
        <v>2996</v>
      </c>
      <c r="F436" s="13"/>
    </row>
    <row r="437" spans="1:6" x14ac:dyDescent="0.2">
      <c r="A437" s="12" t="s">
        <v>327</v>
      </c>
      <c r="B437" s="11"/>
      <c r="C437" s="12" t="s">
        <v>5</v>
      </c>
      <c r="D437" s="12" t="s">
        <v>6</v>
      </c>
      <c r="E437" s="12" t="s">
        <v>2996</v>
      </c>
      <c r="F437" s="13"/>
    </row>
    <row r="438" spans="1:6" x14ac:dyDescent="0.2">
      <c r="A438" s="12" t="s">
        <v>331</v>
      </c>
      <c r="B438" s="11"/>
      <c r="C438" s="12" t="s">
        <v>5</v>
      </c>
      <c r="D438" s="12" t="s">
        <v>21</v>
      </c>
      <c r="E438" s="12" t="s">
        <v>2999</v>
      </c>
      <c r="F438" s="13"/>
    </row>
    <row r="439" spans="1:6" x14ac:dyDescent="0.2">
      <c r="A439" s="12" t="s">
        <v>296</v>
      </c>
      <c r="B439" s="11"/>
      <c r="C439" s="12" t="s">
        <v>5</v>
      </c>
      <c r="D439" s="12" t="s">
        <v>17</v>
      </c>
      <c r="E439" s="12" t="s">
        <v>3001</v>
      </c>
      <c r="F439" s="13"/>
    </row>
    <row r="440" spans="1:6" x14ac:dyDescent="0.2">
      <c r="A440" s="12" t="s">
        <v>296</v>
      </c>
      <c r="B440" s="11"/>
      <c r="C440" s="12" t="s">
        <v>5</v>
      </c>
      <c r="D440" s="12" t="s">
        <v>17</v>
      </c>
      <c r="E440" s="12" t="s">
        <v>3001</v>
      </c>
      <c r="F440" s="13"/>
    </row>
    <row r="441" spans="1:6" x14ac:dyDescent="0.2">
      <c r="A441" s="12" t="s">
        <v>1158</v>
      </c>
      <c r="B441" s="11"/>
      <c r="C441" s="12" t="s">
        <v>5</v>
      </c>
      <c r="D441" s="12" t="s">
        <v>17</v>
      </c>
      <c r="E441" s="12" t="s">
        <v>3004</v>
      </c>
      <c r="F441" s="13"/>
    </row>
    <row r="442" spans="1:6" x14ac:dyDescent="0.2">
      <c r="A442" s="12" t="s">
        <v>1158</v>
      </c>
      <c r="B442" s="11"/>
      <c r="C442" s="12" t="s">
        <v>5</v>
      </c>
      <c r="D442" s="12" t="s">
        <v>17</v>
      </c>
      <c r="E442" s="12" t="s">
        <v>3004</v>
      </c>
      <c r="F442" s="13"/>
    </row>
    <row r="443" spans="1:6" x14ac:dyDescent="0.2">
      <c r="A443" s="12" t="s">
        <v>491</v>
      </c>
      <c r="B443" s="11"/>
      <c r="C443" s="12" t="s">
        <v>5</v>
      </c>
      <c r="D443" s="12" t="s">
        <v>17</v>
      </c>
      <c r="E443" s="12" t="s">
        <v>3007</v>
      </c>
      <c r="F443" s="13"/>
    </row>
    <row r="444" spans="1:6" x14ac:dyDescent="0.2">
      <c r="A444" s="12" t="s">
        <v>491</v>
      </c>
      <c r="B444" s="11"/>
      <c r="C444" s="12" t="s">
        <v>5</v>
      </c>
      <c r="D444" s="12" t="s">
        <v>17</v>
      </c>
      <c r="E444" s="12" t="s">
        <v>3007</v>
      </c>
      <c r="F444" s="13"/>
    </row>
    <row r="445" spans="1:6" x14ac:dyDescent="0.2">
      <c r="A445" s="12" t="s">
        <v>296</v>
      </c>
      <c r="B445" s="11"/>
      <c r="C445" s="12" t="s">
        <v>5</v>
      </c>
      <c r="D445" s="12" t="s">
        <v>17</v>
      </c>
      <c r="E445" s="12" t="s">
        <v>3010</v>
      </c>
      <c r="F445" s="13"/>
    </row>
    <row r="446" spans="1:6" x14ac:dyDescent="0.2">
      <c r="A446" s="12" t="s">
        <v>296</v>
      </c>
      <c r="B446" s="11"/>
      <c r="C446" s="12" t="s">
        <v>5</v>
      </c>
      <c r="D446" s="12" t="s">
        <v>17</v>
      </c>
      <c r="E446" s="12" t="s">
        <v>3010</v>
      </c>
      <c r="F446" s="13"/>
    </row>
    <row r="447" spans="1:6" x14ac:dyDescent="0.2">
      <c r="A447" s="12" t="s">
        <v>285</v>
      </c>
      <c r="B447" s="11"/>
      <c r="C447" s="12" t="s">
        <v>5</v>
      </c>
      <c r="D447" s="12" t="s">
        <v>17</v>
      </c>
      <c r="E447" s="12" t="s">
        <v>3013</v>
      </c>
      <c r="F447" s="13"/>
    </row>
    <row r="448" spans="1:6" x14ac:dyDescent="0.2">
      <c r="A448" s="12" t="s">
        <v>285</v>
      </c>
      <c r="B448" s="11"/>
      <c r="C448" s="12" t="s">
        <v>5</v>
      </c>
      <c r="D448" s="12" t="s">
        <v>17</v>
      </c>
      <c r="E448" s="12" t="s">
        <v>3013</v>
      </c>
      <c r="F448" s="13"/>
    </row>
    <row r="449" spans="1:6" x14ac:dyDescent="0.2">
      <c r="A449" s="12" t="s">
        <v>296</v>
      </c>
      <c r="B449" s="11"/>
      <c r="C449" s="12" t="s">
        <v>5</v>
      </c>
      <c r="D449" s="12" t="s">
        <v>17</v>
      </c>
      <c r="E449" s="12" t="s">
        <v>3016</v>
      </c>
      <c r="F449" s="13"/>
    </row>
    <row r="450" spans="1:6" x14ac:dyDescent="0.2">
      <c r="A450" s="12" t="s">
        <v>1541</v>
      </c>
      <c r="B450" s="11"/>
      <c r="C450" s="12" t="s">
        <v>5</v>
      </c>
      <c r="D450" s="12" t="s">
        <v>6</v>
      </c>
      <c r="E450" s="12" t="s">
        <v>3018</v>
      </c>
      <c r="F450" s="13"/>
    </row>
    <row r="451" spans="1:6" x14ac:dyDescent="0.2">
      <c r="A451" s="12" t="s">
        <v>1541</v>
      </c>
      <c r="B451" s="11"/>
      <c r="C451" s="12" t="s">
        <v>5</v>
      </c>
      <c r="D451" s="12" t="s">
        <v>6</v>
      </c>
      <c r="E451" s="12" t="s">
        <v>3018</v>
      </c>
      <c r="F451" s="13"/>
    </row>
    <row r="452" spans="1:6" x14ac:dyDescent="0.2">
      <c r="A452" s="12" t="s">
        <v>1142</v>
      </c>
      <c r="B452" s="11"/>
      <c r="C452" s="12" t="s">
        <v>5</v>
      </c>
      <c r="D452" s="12" t="s">
        <v>6</v>
      </c>
      <c r="E452" s="12" t="s">
        <v>3021</v>
      </c>
      <c r="F452" s="13"/>
    </row>
    <row r="453" spans="1:6" x14ac:dyDescent="0.2">
      <c r="A453" s="12" t="s">
        <v>1142</v>
      </c>
      <c r="B453" s="11"/>
      <c r="C453" s="12" t="s">
        <v>5</v>
      </c>
      <c r="D453" s="12" t="s">
        <v>6</v>
      </c>
      <c r="E453" s="12" t="s">
        <v>3021</v>
      </c>
      <c r="F453" s="13"/>
    </row>
    <row r="454" spans="1:6" x14ac:dyDescent="0.2">
      <c r="A454" s="12" t="s">
        <v>730</v>
      </c>
      <c r="B454" s="11"/>
      <c r="C454" s="12" t="s">
        <v>5</v>
      </c>
      <c r="D454" s="12" t="s">
        <v>6</v>
      </c>
      <c r="E454" s="12" t="s">
        <v>3024</v>
      </c>
      <c r="F454" s="13"/>
    </row>
    <row r="455" spans="1:6" x14ac:dyDescent="0.2">
      <c r="A455" s="12" t="s">
        <v>1998</v>
      </c>
      <c r="B455" s="11"/>
      <c r="C455" s="12" t="s">
        <v>5</v>
      </c>
      <c r="D455" s="12" t="s">
        <v>6</v>
      </c>
      <c r="E455" s="12" t="s">
        <v>3026</v>
      </c>
      <c r="F455" s="13"/>
    </row>
    <row r="456" spans="1:6" x14ac:dyDescent="0.2">
      <c r="A456" s="12" t="s">
        <v>1998</v>
      </c>
      <c r="B456" s="11"/>
      <c r="C456" s="12" t="s">
        <v>5</v>
      </c>
      <c r="D456" s="12" t="s">
        <v>6</v>
      </c>
      <c r="E456" s="12" t="s">
        <v>3026</v>
      </c>
      <c r="F456" s="13"/>
    </row>
    <row r="457" spans="1:6" x14ac:dyDescent="0.2">
      <c r="A457" s="12" t="s">
        <v>2076</v>
      </c>
      <c r="B457" s="11"/>
      <c r="C457" s="12" t="s">
        <v>5</v>
      </c>
      <c r="D457" s="12" t="s">
        <v>6</v>
      </c>
      <c r="E457" s="12" t="s">
        <v>3029</v>
      </c>
      <c r="F457" s="13"/>
    </row>
    <row r="458" spans="1:6" x14ac:dyDescent="0.2">
      <c r="A458" s="12" t="s">
        <v>2076</v>
      </c>
      <c r="B458" s="11"/>
      <c r="C458" s="12" t="s">
        <v>5</v>
      </c>
      <c r="D458" s="12" t="s">
        <v>6</v>
      </c>
      <c r="E458" s="12" t="s">
        <v>3029</v>
      </c>
      <c r="F458" s="13"/>
    </row>
    <row r="459" spans="1:6" x14ac:dyDescent="0.2">
      <c r="A459" s="12" t="s">
        <v>641</v>
      </c>
      <c r="B459" s="11"/>
      <c r="C459" s="12" t="s">
        <v>5</v>
      </c>
      <c r="D459" s="12" t="s">
        <v>6</v>
      </c>
      <c r="E459" s="12" t="s">
        <v>3032</v>
      </c>
      <c r="F459" s="13"/>
    </row>
    <row r="460" spans="1:6" x14ac:dyDescent="0.2">
      <c r="A460" s="12" t="s">
        <v>662</v>
      </c>
      <c r="B460" s="11"/>
      <c r="C460" s="12" t="s">
        <v>5</v>
      </c>
      <c r="D460" s="12" t="s">
        <v>6</v>
      </c>
      <c r="E460" s="12" t="s">
        <v>3034</v>
      </c>
      <c r="F460" s="13"/>
    </row>
    <row r="461" spans="1:6" x14ac:dyDescent="0.2">
      <c r="A461" s="12" t="s">
        <v>662</v>
      </c>
      <c r="B461" s="11"/>
      <c r="C461" s="12" t="s">
        <v>5</v>
      </c>
      <c r="D461" s="12" t="s">
        <v>6</v>
      </c>
      <c r="E461" s="12" t="s">
        <v>3034</v>
      </c>
      <c r="F461" s="13"/>
    </row>
    <row r="462" spans="1:6" x14ac:dyDescent="0.2">
      <c r="A462" s="12" t="s">
        <v>1139</v>
      </c>
      <c r="B462" s="11"/>
      <c r="C462" s="12" t="s">
        <v>5</v>
      </c>
      <c r="D462" s="12" t="s">
        <v>21</v>
      </c>
      <c r="E462" s="12" t="s">
        <v>3037</v>
      </c>
      <c r="F462" s="13"/>
    </row>
    <row r="463" spans="1:6" x14ac:dyDescent="0.2">
      <c r="A463" s="12" t="s">
        <v>1278</v>
      </c>
      <c r="B463" s="11"/>
      <c r="C463" s="12" t="s">
        <v>5</v>
      </c>
      <c r="D463" s="12" t="s">
        <v>6</v>
      </c>
      <c r="E463" s="12" t="s">
        <v>3039</v>
      </c>
      <c r="F463" s="13"/>
    </row>
    <row r="464" spans="1:6" x14ac:dyDescent="0.2">
      <c r="A464" s="12" t="s">
        <v>1139</v>
      </c>
      <c r="B464" s="11"/>
      <c r="C464" s="12" t="s">
        <v>5</v>
      </c>
      <c r="D464" s="12" t="s">
        <v>21</v>
      </c>
      <c r="E464" s="12" t="s">
        <v>3041</v>
      </c>
      <c r="F464" s="13"/>
    </row>
    <row r="465" spans="1:6" x14ac:dyDescent="0.2">
      <c r="A465" s="12" t="s">
        <v>1139</v>
      </c>
      <c r="B465" s="11"/>
      <c r="C465" s="12" t="s">
        <v>5</v>
      </c>
      <c r="D465" s="12" t="s">
        <v>21</v>
      </c>
      <c r="E465" s="12" t="s">
        <v>3041</v>
      </c>
      <c r="F465" s="13"/>
    </row>
    <row r="466" spans="1:6" x14ac:dyDescent="0.2">
      <c r="A466" s="12" t="s">
        <v>1462</v>
      </c>
      <c r="B466" s="11"/>
      <c r="C466" s="12" t="s">
        <v>5</v>
      </c>
      <c r="D466" s="12" t="s">
        <v>17</v>
      </c>
      <c r="E466" s="12" t="s">
        <v>3044</v>
      </c>
      <c r="F466" s="13"/>
    </row>
    <row r="467" spans="1:6" x14ac:dyDescent="0.2">
      <c r="A467" s="12" t="s">
        <v>1462</v>
      </c>
      <c r="B467" s="11"/>
      <c r="C467" s="12" t="s">
        <v>5</v>
      </c>
      <c r="D467" s="12" t="s">
        <v>17</v>
      </c>
      <c r="E467" s="12" t="s">
        <v>3044</v>
      </c>
      <c r="F467" s="13"/>
    </row>
    <row r="468" spans="1:6" x14ac:dyDescent="0.2">
      <c r="A468" s="12" t="s">
        <v>1462</v>
      </c>
      <c r="B468" s="11"/>
      <c r="C468" s="12" t="s">
        <v>5</v>
      </c>
      <c r="D468" s="12" t="s">
        <v>17</v>
      </c>
      <c r="E468" s="12" t="s">
        <v>3047</v>
      </c>
      <c r="F468" s="13"/>
    </row>
    <row r="469" spans="1:6" x14ac:dyDescent="0.2">
      <c r="A469" s="12" t="s">
        <v>1462</v>
      </c>
      <c r="B469" s="11"/>
      <c r="C469" s="12" t="s">
        <v>5</v>
      </c>
      <c r="D469" s="12" t="s">
        <v>17</v>
      </c>
      <c r="E469" s="12" t="s">
        <v>3047</v>
      </c>
      <c r="F469" s="13"/>
    </row>
    <row r="470" spans="1:6" x14ac:dyDescent="0.2">
      <c r="A470" s="12" t="s">
        <v>2251</v>
      </c>
      <c r="B470" s="11"/>
      <c r="C470" s="12" t="s">
        <v>5</v>
      </c>
      <c r="D470" s="12" t="s">
        <v>17</v>
      </c>
      <c r="E470" s="12" t="s">
        <v>3050</v>
      </c>
      <c r="F470" s="47"/>
    </row>
    <row r="471" spans="1:6" x14ac:dyDescent="0.2">
      <c r="A471" s="12" t="s">
        <v>285</v>
      </c>
      <c r="B471" s="11"/>
      <c r="C471" s="12" t="s">
        <v>5</v>
      </c>
      <c r="D471" s="12" t="s">
        <v>17</v>
      </c>
      <c r="E471" s="12" t="s">
        <v>3051</v>
      </c>
      <c r="F471" s="13"/>
    </row>
    <row r="472" spans="1:6" x14ac:dyDescent="0.2">
      <c r="A472" s="12" t="s">
        <v>285</v>
      </c>
      <c r="B472" s="11"/>
      <c r="C472" s="12" t="s">
        <v>5</v>
      </c>
      <c r="D472" s="12" t="s">
        <v>17</v>
      </c>
      <c r="E472" s="12" t="s">
        <v>3051</v>
      </c>
      <c r="F472" s="13"/>
    </row>
    <row r="473" spans="1:6" x14ac:dyDescent="0.2">
      <c r="A473" s="12" t="s">
        <v>491</v>
      </c>
      <c r="B473" s="11"/>
      <c r="C473" s="12" t="s">
        <v>5</v>
      </c>
      <c r="D473" s="12" t="s">
        <v>17</v>
      </c>
      <c r="E473" s="12" t="s">
        <v>3054</v>
      </c>
      <c r="F473" s="13"/>
    </row>
    <row r="474" spans="1:6" x14ac:dyDescent="0.2">
      <c r="A474" s="12" t="s">
        <v>491</v>
      </c>
      <c r="B474" s="11"/>
      <c r="C474" s="12" t="s">
        <v>5</v>
      </c>
      <c r="D474" s="12" t="s">
        <v>17</v>
      </c>
      <c r="E474" s="12" t="s">
        <v>3054</v>
      </c>
      <c r="F474" s="13"/>
    </row>
    <row r="475" spans="1:6" x14ac:dyDescent="0.2">
      <c r="A475" s="12" t="s">
        <v>1203</v>
      </c>
      <c r="B475" s="11"/>
      <c r="C475" s="12" t="s">
        <v>5</v>
      </c>
      <c r="D475" s="12" t="s">
        <v>17</v>
      </c>
      <c r="E475" s="12" t="s">
        <v>3057</v>
      </c>
      <c r="F475" s="13"/>
    </row>
    <row r="476" spans="1:6" x14ac:dyDescent="0.2">
      <c r="A476" s="12" t="s">
        <v>1468</v>
      </c>
      <c r="B476" s="11"/>
      <c r="C476" s="12" t="s">
        <v>5</v>
      </c>
      <c r="D476" s="12" t="s">
        <v>6</v>
      </c>
      <c r="E476" s="12" t="s">
        <v>3060</v>
      </c>
      <c r="F476" s="13"/>
    </row>
    <row r="477" spans="1:6" x14ac:dyDescent="0.2">
      <c r="A477" s="12" t="s">
        <v>1468</v>
      </c>
      <c r="B477" s="11"/>
      <c r="C477" s="12" t="s">
        <v>5</v>
      </c>
      <c r="D477" s="12" t="s">
        <v>6</v>
      </c>
      <c r="E477" s="12" t="s">
        <v>3060</v>
      </c>
      <c r="F477" s="13"/>
    </row>
    <row r="478" spans="1:6" x14ac:dyDescent="0.2">
      <c r="A478" s="12" t="s">
        <v>1139</v>
      </c>
      <c r="B478" s="11"/>
      <c r="C478" s="12" t="s">
        <v>5</v>
      </c>
      <c r="D478" s="12" t="s">
        <v>6</v>
      </c>
      <c r="E478" s="12" t="s">
        <v>3064</v>
      </c>
      <c r="F478" s="13"/>
    </row>
    <row r="479" spans="1:6" x14ac:dyDescent="0.2">
      <c r="A479" s="12" t="s">
        <v>1139</v>
      </c>
      <c r="B479" s="11"/>
      <c r="C479" s="12" t="s">
        <v>5</v>
      </c>
      <c r="D479" s="12" t="s">
        <v>6</v>
      </c>
      <c r="E479" s="12" t="s">
        <v>3064</v>
      </c>
      <c r="F479" s="13"/>
    </row>
    <row r="480" spans="1:6" x14ac:dyDescent="0.2">
      <c r="A480" s="12" t="s">
        <v>1822</v>
      </c>
      <c r="B480" s="11"/>
      <c r="C480" s="12" t="s">
        <v>5</v>
      </c>
      <c r="D480" s="12" t="s">
        <v>6</v>
      </c>
      <c r="E480" s="12" t="s">
        <v>3067</v>
      </c>
      <c r="F480" s="13"/>
    </row>
    <row r="481" spans="1:6" x14ac:dyDescent="0.2">
      <c r="A481" s="12" t="s">
        <v>1822</v>
      </c>
      <c r="B481" s="11"/>
      <c r="C481" s="12" t="s">
        <v>5</v>
      </c>
      <c r="D481" s="12" t="s">
        <v>6</v>
      </c>
      <c r="E481" s="12" t="s">
        <v>3067</v>
      </c>
      <c r="F481" s="13"/>
    </row>
    <row r="482" spans="1:6" x14ac:dyDescent="0.2">
      <c r="A482" s="12" t="s">
        <v>1471</v>
      </c>
      <c r="B482" s="11"/>
      <c r="C482" s="12" t="s">
        <v>5</v>
      </c>
      <c r="D482" s="12" t="s">
        <v>6</v>
      </c>
      <c r="E482" s="12" t="s">
        <v>3070</v>
      </c>
      <c r="F482" s="13"/>
    </row>
    <row r="483" spans="1:6" x14ac:dyDescent="0.2">
      <c r="A483" s="12" t="s">
        <v>1139</v>
      </c>
      <c r="B483" s="11"/>
      <c r="C483" s="12" t="s">
        <v>5</v>
      </c>
      <c r="D483" s="12" t="s">
        <v>6</v>
      </c>
      <c r="E483" s="12" t="s">
        <v>3072</v>
      </c>
      <c r="F483" s="13"/>
    </row>
    <row r="484" spans="1:6" x14ac:dyDescent="0.2">
      <c r="A484" s="12" t="s">
        <v>1139</v>
      </c>
      <c r="B484" s="11"/>
      <c r="C484" s="12" t="s">
        <v>5</v>
      </c>
      <c r="D484" s="12" t="s">
        <v>6</v>
      </c>
      <c r="E484" s="12" t="s">
        <v>3072</v>
      </c>
      <c r="F484" s="13"/>
    </row>
    <row r="485" spans="1:6" x14ac:dyDescent="0.2">
      <c r="A485" s="12" t="s">
        <v>2053</v>
      </c>
      <c r="B485" s="11"/>
      <c r="C485" s="12" t="s">
        <v>5</v>
      </c>
      <c r="D485" s="12" t="s">
        <v>6</v>
      </c>
      <c r="E485" s="12" t="s">
        <v>3075</v>
      </c>
      <c r="F485" s="13"/>
    </row>
    <row r="486" spans="1:6" x14ac:dyDescent="0.2">
      <c r="A486" s="12" t="s">
        <v>1139</v>
      </c>
      <c r="B486" s="11"/>
      <c r="C486" s="12" t="s">
        <v>5</v>
      </c>
      <c r="D486" s="12" t="s">
        <v>6</v>
      </c>
      <c r="E486" s="12" t="s">
        <v>3077</v>
      </c>
      <c r="F486" s="13"/>
    </row>
    <row r="487" spans="1:6" x14ac:dyDescent="0.2">
      <c r="A487" s="12" t="s">
        <v>1139</v>
      </c>
      <c r="B487" s="11"/>
      <c r="C487" s="12" t="s">
        <v>5</v>
      </c>
      <c r="D487" s="12" t="s">
        <v>6</v>
      </c>
      <c r="E487" s="12" t="s">
        <v>3077</v>
      </c>
      <c r="F487" s="13"/>
    </row>
    <row r="488" spans="1:6" x14ac:dyDescent="0.2">
      <c r="A488" s="12" t="s">
        <v>285</v>
      </c>
      <c r="B488" s="11"/>
      <c r="C488" s="12" t="s">
        <v>5</v>
      </c>
      <c r="D488" s="12" t="s">
        <v>21</v>
      </c>
      <c r="E488" s="12" t="s">
        <v>3080</v>
      </c>
      <c r="F488" s="13"/>
    </row>
    <row r="489" spans="1:6" x14ac:dyDescent="0.2">
      <c r="A489" s="12" t="s">
        <v>285</v>
      </c>
      <c r="B489" s="11"/>
      <c r="C489" s="12" t="s">
        <v>5</v>
      </c>
      <c r="D489" s="12" t="s">
        <v>21</v>
      </c>
      <c r="E489" s="12" t="s">
        <v>3080</v>
      </c>
      <c r="F489" s="13"/>
    </row>
    <row r="490" spans="1:6" x14ac:dyDescent="0.2">
      <c r="A490" s="12" t="s">
        <v>1145</v>
      </c>
      <c r="B490" s="11"/>
      <c r="C490" s="12" t="s">
        <v>5</v>
      </c>
      <c r="D490" s="12" t="s">
        <v>6</v>
      </c>
      <c r="E490" s="12" t="s">
        <v>3083</v>
      </c>
      <c r="F490" s="13"/>
    </row>
    <row r="491" spans="1:6" x14ac:dyDescent="0.2">
      <c r="A491" s="12" t="s">
        <v>715</v>
      </c>
      <c r="B491" s="11"/>
      <c r="C491" s="12" t="s">
        <v>5</v>
      </c>
      <c r="D491" s="12" t="s">
        <v>21</v>
      </c>
      <c r="E491" s="12" t="s">
        <v>3085</v>
      </c>
      <c r="F491" s="13"/>
    </row>
    <row r="492" spans="1:6" x14ac:dyDescent="0.2">
      <c r="A492" s="12" t="s">
        <v>715</v>
      </c>
      <c r="B492" s="11"/>
      <c r="C492" s="12" t="s">
        <v>5</v>
      </c>
      <c r="D492" s="12" t="s">
        <v>21</v>
      </c>
      <c r="E492" s="12" t="s">
        <v>3085</v>
      </c>
      <c r="F492" s="13"/>
    </row>
    <row r="493" spans="1:6" x14ac:dyDescent="0.2">
      <c r="A493" s="12" t="s">
        <v>285</v>
      </c>
      <c r="B493" s="11"/>
      <c r="C493" s="12" t="s">
        <v>5</v>
      </c>
      <c r="D493" s="12" t="s">
        <v>17</v>
      </c>
      <c r="E493" s="12" t="s">
        <v>3088</v>
      </c>
      <c r="F493" s="13"/>
    </row>
    <row r="494" spans="1:6" x14ac:dyDescent="0.2">
      <c r="A494" s="12" t="s">
        <v>285</v>
      </c>
      <c r="B494" s="11"/>
      <c r="C494" s="12" t="s">
        <v>5</v>
      </c>
      <c r="D494" s="12" t="s">
        <v>17</v>
      </c>
      <c r="E494" s="12" t="s">
        <v>3088</v>
      </c>
      <c r="F494" s="13"/>
    </row>
    <row r="495" spans="1:6" x14ac:dyDescent="0.2">
      <c r="A495" s="12" t="s">
        <v>518</v>
      </c>
      <c r="B495" s="11"/>
      <c r="C495" s="12" t="s">
        <v>5</v>
      </c>
      <c r="D495" s="12" t="s">
        <v>17</v>
      </c>
      <c r="E495" s="12" t="s">
        <v>3091</v>
      </c>
      <c r="F495" s="13"/>
    </row>
    <row r="496" spans="1:6" x14ac:dyDescent="0.2">
      <c r="A496" s="12" t="s">
        <v>1275</v>
      </c>
      <c r="B496" s="11"/>
      <c r="C496" s="12" t="s">
        <v>5</v>
      </c>
      <c r="D496" s="12" t="s">
        <v>17</v>
      </c>
      <c r="E496" s="12" t="s">
        <v>3093</v>
      </c>
      <c r="F496" s="13"/>
    </row>
    <row r="497" spans="1:6" x14ac:dyDescent="0.2">
      <c r="A497" s="12" t="s">
        <v>491</v>
      </c>
      <c r="B497" s="11"/>
      <c r="C497" s="12" t="s">
        <v>5</v>
      </c>
      <c r="D497" s="12" t="s">
        <v>17</v>
      </c>
      <c r="E497" s="12" t="s">
        <v>3095</v>
      </c>
      <c r="F497" s="13"/>
    </row>
    <row r="498" spans="1:6" x14ac:dyDescent="0.2">
      <c r="A498" s="12" t="s">
        <v>491</v>
      </c>
      <c r="B498" s="11"/>
      <c r="C498" s="12" t="s">
        <v>5</v>
      </c>
      <c r="D498" s="12" t="s">
        <v>17</v>
      </c>
      <c r="E498" s="12" t="s">
        <v>3095</v>
      </c>
      <c r="F498" s="13"/>
    </row>
    <row r="499" spans="1:6" x14ac:dyDescent="0.2">
      <c r="A499" s="12" t="s">
        <v>1164</v>
      </c>
      <c r="B499" s="11"/>
      <c r="C499" s="12" t="s">
        <v>5</v>
      </c>
      <c r="D499" s="12" t="s">
        <v>17</v>
      </c>
      <c r="E499" s="12" t="s">
        <v>3098</v>
      </c>
      <c r="F499" s="13"/>
    </row>
    <row r="500" spans="1:6" x14ac:dyDescent="0.2">
      <c r="A500" s="12" t="s">
        <v>31</v>
      </c>
      <c r="B500" s="11"/>
      <c r="C500" s="12" t="s">
        <v>5</v>
      </c>
      <c r="D500" s="12" t="s">
        <v>17</v>
      </c>
      <c r="E500" s="12" t="s">
        <v>33</v>
      </c>
      <c r="F500" s="13"/>
    </row>
    <row r="501" spans="1:6" x14ac:dyDescent="0.2">
      <c r="A501" s="12" t="s">
        <v>31</v>
      </c>
      <c r="B501" s="11"/>
      <c r="C501" s="12" t="s">
        <v>5</v>
      </c>
      <c r="D501" s="12" t="s">
        <v>17</v>
      </c>
      <c r="E501" s="12" t="s">
        <v>33</v>
      </c>
      <c r="F501" s="13"/>
    </row>
    <row r="502" spans="1:6" x14ac:dyDescent="0.2">
      <c r="A502" s="12" t="s">
        <v>1566</v>
      </c>
      <c r="B502" s="11"/>
      <c r="C502" s="12" t="s">
        <v>5</v>
      </c>
      <c r="D502" s="12" t="s">
        <v>6</v>
      </c>
      <c r="E502" s="12" t="s">
        <v>3100</v>
      </c>
      <c r="F502" s="13"/>
    </row>
    <row r="503" spans="1:6" x14ac:dyDescent="0.2">
      <c r="A503" s="12" t="s">
        <v>1566</v>
      </c>
      <c r="B503" s="11"/>
      <c r="C503" s="12" t="s">
        <v>5</v>
      </c>
      <c r="D503" s="12" t="s">
        <v>6</v>
      </c>
      <c r="E503" s="12" t="s">
        <v>3100</v>
      </c>
      <c r="F503" s="13"/>
    </row>
    <row r="504" spans="1:6" x14ac:dyDescent="0.2">
      <c r="A504" s="12" t="s">
        <v>1913</v>
      </c>
      <c r="B504" s="11"/>
      <c r="C504" s="12" t="s">
        <v>5</v>
      </c>
      <c r="D504" s="12" t="s">
        <v>6</v>
      </c>
      <c r="E504" s="12" t="s">
        <v>3103</v>
      </c>
      <c r="F504" s="13"/>
    </row>
    <row r="505" spans="1:6" x14ac:dyDescent="0.2">
      <c r="A505" s="12" t="s">
        <v>1913</v>
      </c>
      <c r="B505" s="11"/>
      <c r="C505" s="12" t="s">
        <v>5</v>
      </c>
      <c r="D505" s="12" t="s">
        <v>6</v>
      </c>
      <c r="E505" s="12" t="s">
        <v>3103</v>
      </c>
      <c r="F505" s="13"/>
    </row>
    <row r="506" spans="1:6" x14ac:dyDescent="0.2">
      <c r="A506" s="12" t="s">
        <v>1035</v>
      </c>
      <c r="B506" s="11"/>
      <c r="C506" s="12" t="s">
        <v>5</v>
      </c>
      <c r="D506" s="12" t="s">
        <v>6</v>
      </c>
      <c r="E506" s="12" t="s">
        <v>3107</v>
      </c>
      <c r="F506" s="13"/>
    </row>
    <row r="507" spans="1:6" x14ac:dyDescent="0.2">
      <c r="A507" s="12" t="s">
        <v>1035</v>
      </c>
      <c r="B507" s="11"/>
      <c r="C507" s="12" t="s">
        <v>5</v>
      </c>
      <c r="D507" s="12" t="s">
        <v>6</v>
      </c>
      <c r="E507" s="12" t="s">
        <v>3107</v>
      </c>
      <c r="F507" s="13"/>
    </row>
    <row r="508" spans="1:6" x14ac:dyDescent="0.2">
      <c r="A508" s="12" t="s">
        <v>1135</v>
      </c>
      <c r="B508" s="11"/>
      <c r="C508" s="12" t="s">
        <v>5</v>
      </c>
      <c r="D508" s="12" t="s">
        <v>6</v>
      </c>
      <c r="E508" s="12" t="s">
        <v>3110</v>
      </c>
      <c r="F508" s="13"/>
    </row>
    <row r="509" spans="1:6" x14ac:dyDescent="0.2">
      <c r="A509" s="12" t="s">
        <v>1135</v>
      </c>
      <c r="B509" s="11"/>
      <c r="C509" s="12" t="s">
        <v>5</v>
      </c>
      <c r="D509" s="12" t="s">
        <v>6</v>
      </c>
      <c r="E509" s="12" t="s">
        <v>3110</v>
      </c>
      <c r="F509" s="13"/>
    </row>
    <row r="510" spans="1:6" x14ac:dyDescent="0.2">
      <c r="A510" s="12" t="s">
        <v>686</v>
      </c>
      <c r="B510" s="11"/>
      <c r="C510" s="12" t="s">
        <v>5</v>
      </c>
      <c r="D510" s="12" t="s">
        <v>6</v>
      </c>
      <c r="E510" s="12" t="s">
        <v>3113</v>
      </c>
      <c r="F510" s="13"/>
    </row>
    <row r="511" spans="1:6" x14ac:dyDescent="0.2">
      <c r="A511" s="12" t="s">
        <v>1209</v>
      </c>
      <c r="B511" s="11"/>
      <c r="C511" s="12" t="s">
        <v>5</v>
      </c>
      <c r="D511" s="12" t="s">
        <v>6</v>
      </c>
      <c r="E511" s="12" t="s">
        <v>3115</v>
      </c>
      <c r="F511" s="13"/>
    </row>
    <row r="512" spans="1:6" x14ac:dyDescent="0.2">
      <c r="A512" s="12" t="s">
        <v>662</v>
      </c>
      <c r="B512" s="11"/>
      <c r="C512" s="12" t="s">
        <v>5</v>
      </c>
      <c r="D512" s="12" t="s">
        <v>6</v>
      </c>
      <c r="E512" s="12" t="s">
        <v>3117</v>
      </c>
      <c r="F512" s="13"/>
    </row>
    <row r="513" spans="1:6" x14ac:dyDescent="0.2">
      <c r="A513" s="12" t="s">
        <v>662</v>
      </c>
      <c r="B513" s="11"/>
      <c r="C513" s="12" t="s">
        <v>5</v>
      </c>
      <c r="D513" s="12" t="s">
        <v>6</v>
      </c>
      <c r="E513" s="12" t="s">
        <v>3117</v>
      </c>
      <c r="F513" s="13"/>
    </row>
    <row r="514" spans="1:6" x14ac:dyDescent="0.2">
      <c r="A514" s="12" t="s">
        <v>1135</v>
      </c>
      <c r="B514" s="11"/>
      <c r="C514" s="12" t="s">
        <v>5</v>
      </c>
      <c r="D514" s="12" t="s">
        <v>21</v>
      </c>
      <c r="E514" s="12" t="s">
        <v>3120</v>
      </c>
      <c r="F514" s="13"/>
    </row>
    <row r="515" spans="1:6" x14ac:dyDescent="0.2">
      <c r="A515" s="12" t="s">
        <v>1135</v>
      </c>
      <c r="B515" s="11"/>
      <c r="C515" s="12" t="s">
        <v>5</v>
      </c>
      <c r="D515" s="12" t="s">
        <v>21</v>
      </c>
      <c r="E515" s="12" t="s">
        <v>3120</v>
      </c>
      <c r="F515" s="13"/>
    </row>
    <row r="516" spans="1:6" x14ac:dyDescent="0.2">
      <c r="A516" s="12" t="s">
        <v>1139</v>
      </c>
      <c r="B516" s="11"/>
      <c r="C516" s="12" t="s">
        <v>5</v>
      </c>
      <c r="D516" s="12" t="s">
        <v>6</v>
      </c>
      <c r="E516" s="12" t="s">
        <v>3124</v>
      </c>
      <c r="F516" s="13"/>
    </row>
    <row r="517" spans="1:6" x14ac:dyDescent="0.2">
      <c r="A517" s="12" t="s">
        <v>331</v>
      </c>
      <c r="B517" s="11"/>
      <c r="C517" s="12" t="s">
        <v>5</v>
      </c>
      <c r="D517" s="12" t="s">
        <v>21</v>
      </c>
      <c r="E517" s="12" t="s">
        <v>3126</v>
      </c>
      <c r="F517" s="13"/>
    </row>
    <row r="518" spans="1:6" x14ac:dyDescent="0.2">
      <c r="A518" s="12" t="s">
        <v>479</v>
      </c>
      <c r="B518" s="11"/>
      <c r="C518" s="12" t="s">
        <v>5</v>
      </c>
      <c r="D518" s="12" t="s">
        <v>17</v>
      </c>
      <c r="E518" s="12" t="s">
        <v>3128</v>
      </c>
      <c r="F518" s="13"/>
    </row>
    <row r="519" spans="1:6" x14ac:dyDescent="0.2">
      <c r="A519" s="12" t="s">
        <v>296</v>
      </c>
      <c r="B519" s="11"/>
      <c r="C519" s="12" t="s">
        <v>5</v>
      </c>
      <c r="D519" s="12" t="s">
        <v>17</v>
      </c>
      <c r="E519" s="12" t="s">
        <v>3130</v>
      </c>
      <c r="F519" s="13"/>
    </row>
    <row r="520" spans="1:6" x14ac:dyDescent="0.2">
      <c r="A520" s="12" t="s">
        <v>296</v>
      </c>
      <c r="B520" s="11"/>
      <c r="C520" s="12" t="s">
        <v>5</v>
      </c>
      <c r="D520" s="12" t="s">
        <v>17</v>
      </c>
      <c r="E520" s="12" t="s">
        <v>3130</v>
      </c>
      <c r="F520" s="13"/>
    </row>
    <row r="521" spans="1:6" x14ac:dyDescent="0.2">
      <c r="A521" s="12" t="s">
        <v>817</v>
      </c>
      <c r="B521" s="11"/>
      <c r="C521" s="12" t="s">
        <v>5</v>
      </c>
      <c r="D521" s="12" t="s">
        <v>17</v>
      </c>
      <c r="E521" s="12" t="s">
        <v>3133</v>
      </c>
      <c r="F521" s="13"/>
    </row>
    <row r="522" spans="1:6" x14ac:dyDescent="0.2">
      <c r="A522" s="12" t="s">
        <v>817</v>
      </c>
      <c r="B522" s="11"/>
      <c r="C522" s="12" t="s">
        <v>5</v>
      </c>
      <c r="D522" s="12" t="s">
        <v>17</v>
      </c>
      <c r="E522" s="12" t="s">
        <v>3133</v>
      </c>
      <c r="F522" s="13"/>
    </row>
    <row r="523" spans="1:6" x14ac:dyDescent="0.2">
      <c r="A523" s="12" t="s">
        <v>389</v>
      </c>
      <c r="B523" s="11"/>
      <c r="C523" s="12" t="s">
        <v>5</v>
      </c>
      <c r="D523" s="12" t="s">
        <v>17</v>
      </c>
      <c r="E523" s="12" t="s">
        <v>3136</v>
      </c>
      <c r="F523" s="13"/>
    </row>
    <row r="524" spans="1:6" x14ac:dyDescent="0.2">
      <c r="A524" s="12" t="s">
        <v>491</v>
      </c>
      <c r="B524" s="11"/>
      <c r="C524" s="12" t="s">
        <v>5</v>
      </c>
      <c r="D524" s="12" t="s">
        <v>17</v>
      </c>
      <c r="E524" s="12" t="s">
        <v>3138</v>
      </c>
      <c r="F524" s="13"/>
    </row>
    <row r="525" spans="1:6" x14ac:dyDescent="0.2">
      <c r="A525" s="12" t="s">
        <v>491</v>
      </c>
      <c r="B525" s="11"/>
      <c r="C525" s="12" t="s">
        <v>5</v>
      </c>
      <c r="D525" s="12" t="s">
        <v>17</v>
      </c>
      <c r="E525" s="12" t="s">
        <v>3138</v>
      </c>
      <c r="F525" s="13"/>
    </row>
    <row r="526" spans="1:6" x14ac:dyDescent="0.2">
      <c r="A526" s="12" t="s">
        <v>1870</v>
      </c>
      <c r="B526" s="11"/>
      <c r="C526" s="12" t="s">
        <v>5</v>
      </c>
      <c r="D526" s="12" t="s">
        <v>17</v>
      </c>
      <c r="E526" s="12" t="s">
        <v>3141</v>
      </c>
      <c r="F526" s="13"/>
    </row>
    <row r="527" spans="1:6" x14ac:dyDescent="0.2">
      <c r="A527" s="12" t="s">
        <v>1870</v>
      </c>
      <c r="B527" s="11"/>
      <c r="C527" s="12" t="s">
        <v>5</v>
      </c>
      <c r="D527" s="12" t="s">
        <v>17</v>
      </c>
      <c r="E527" s="12" t="s">
        <v>3141</v>
      </c>
      <c r="F527" s="13"/>
    </row>
    <row r="528" spans="1:6" x14ac:dyDescent="0.2">
      <c r="A528" s="12" t="s">
        <v>1205</v>
      </c>
      <c r="B528" s="11"/>
      <c r="C528" s="12" t="s">
        <v>5</v>
      </c>
      <c r="D528" s="12" t="s">
        <v>6</v>
      </c>
      <c r="E528" s="12" t="s">
        <v>3145</v>
      </c>
      <c r="F528" s="13"/>
    </row>
    <row r="529" spans="1:6" x14ac:dyDescent="0.2">
      <c r="A529" s="12" t="s">
        <v>1205</v>
      </c>
      <c r="B529" s="11"/>
      <c r="C529" s="12" t="s">
        <v>5</v>
      </c>
      <c r="D529" s="12" t="s">
        <v>6</v>
      </c>
      <c r="E529" s="12" t="s">
        <v>3145</v>
      </c>
      <c r="F529" s="13"/>
    </row>
    <row r="530" spans="1:6" x14ac:dyDescent="0.2">
      <c r="A530" s="12" t="s">
        <v>1818</v>
      </c>
      <c r="B530" s="11"/>
      <c r="C530" s="12" t="s">
        <v>5</v>
      </c>
      <c r="D530" s="12" t="s">
        <v>6</v>
      </c>
      <c r="E530" s="12" t="s">
        <v>3150</v>
      </c>
      <c r="F530" s="13"/>
    </row>
    <row r="531" spans="1:6" x14ac:dyDescent="0.2">
      <c r="A531" s="12" t="s">
        <v>327</v>
      </c>
      <c r="B531" s="11"/>
      <c r="C531" s="12" t="s">
        <v>5</v>
      </c>
      <c r="D531" s="12" t="s">
        <v>6</v>
      </c>
      <c r="E531" s="12" t="s">
        <v>3153</v>
      </c>
      <c r="F531" s="13"/>
    </row>
    <row r="532" spans="1:6" x14ac:dyDescent="0.2">
      <c r="A532" s="12" t="s">
        <v>327</v>
      </c>
      <c r="B532" s="11"/>
      <c r="C532" s="12" t="s">
        <v>5</v>
      </c>
      <c r="D532" s="12" t="s">
        <v>6</v>
      </c>
      <c r="E532" s="12" t="s">
        <v>3153</v>
      </c>
      <c r="F532" s="13"/>
    </row>
    <row r="533" spans="1:6" x14ac:dyDescent="0.2">
      <c r="A533" s="12" t="s">
        <v>1573</v>
      </c>
      <c r="B533" s="11"/>
      <c r="C533" s="12" t="s">
        <v>5</v>
      </c>
      <c r="D533" s="12" t="s">
        <v>6</v>
      </c>
      <c r="E533" s="12" t="s">
        <v>3156</v>
      </c>
      <c r="F533" s="13"/>
    </row>
    <row r="534" spans="1:6" x14ac:dyDescent="0.2">
      <c r="A534" s="12" t="s">
        <v>1035</v>
      </c>
      <c r="B534" s="11"/>
      <c r="C534" s="12" t="s">
        <v>5</v>
      </c>
      <c r="D534" s="12" t="s">
        <v>6</v>
      </c>
      <c r="E534" s="12" t="s">
        <v>3158</v>
      </c>
      <c r="F534" s="13"/>
    </row>
    <row r="535" spans="1:6" x14ac:dyDescent="0.2">
      <c r="A535" s="12" t="s">
        <v>1035</v>
      </c>
      <c r="B535" s="11"/>
      <c r="C535" s="12" t="s">
        <v>5</v>
      </c>
      <c r="D535" s="12" t="s">
        <v>6</v>
      </c>
      <c r="E535" s="12" t="s">
        <v>3158</v>
      </c>
      <c r="F535" s="13"/>
    </row>
    <row r="536" spans="1:6" x14ac:dyDescent="0.2">
      <c r="A536" s="12" t="s">
        <v>2008</v>
      </c>
      <c r="B536" s="11"/>
      <c r="C536" s="12" t="s">
        <v>5</v>
      </c>
      <c r="D536" s="12" t="s">
        <v>6</v>
      </c>
      <c r="E536" s="12" t="s">
        <v>3161</v>
      </c>
      <c r="F536" s="13"/>
    </row>
    <row r="537" spans="1:6" x14ac:dyDescent="0.2">
      <c r="A537" s="12" t="s">
        <v>2008</v>
      </c>
      <c r="B537" s="11"/>
      <c r="C537" s="12" t="s">
        <v>5</v>
      </c>
      <c r="D537" s="12" t="s">
        <v>6</v>
      </c>
      <c r="E537" s="12" t="s">
        <v>3161</v>
      </c>
      <c r="F537" s="13"/>
    </row>
    <row r="538" spans="1:6" x14ac:dyDescent="0.2">
      <c r="A538" s="12" t="s">
        <v>2088</v>
      </c>
      <c r="B538" s="11"/>
      <c r="C538" s="12" t="s">
        <v>5</v>
      </c>
      <c r="D538" s="12" t="s">
        <v>6</v>
      </c>
      <c r="E538" s="12" t="s">
        <v>3164</v>
      </c>
      <c r="F538" s="13"/>
    </row>
    <row r="539" spans="1:6" x14ac:dyDescent="0.2">
      <c r="A539" s="12" t="s">
        <v>2088</v>
      </c>
      <c r="B539" s="11"/>
      <c r="C539" s="12" t="s">
        <v>5</v>
      </c>
      <c r="D539" s="12" t="s">
        <v>6</v>
      </c>
      <c r="E539" s="12" t="s">
        <v>3164</v>
      </c>
      <c r="F539" s="13"/>
    </row>
    <row r="540" spans="1:6" x14ac:dyDescent="0.2">
      <c r="A540" s="12" t="s">
        <v>1952</v>
      </c>
      <c r="B540" s="11"/>
      <c r="C540" s="12" t="s">
        <v>5</v>
      </c>
      <c r="D540" s="12" t="s">
        <v>21</v>
      </c>
      <c r="E540" s="12" t="s">
        <v>3167</v>
      </c>
      <c r="F540" s="13"/>
    </row>
    <row r="541" spans="1:6" x14ac:dyDescent="0.2">
      <c r="A541" s="12" t="s">
        <v>1550</v>
      </c>
      <c r="B541" s="11"/>
      <c r="C541" s="12" t="s">
        <v>5</v>
      </c>
      <c r="D541" s="12" t="s">
        <v>6</v>
      </c>
      <c r="E541" s="12" t="s">
        <v>3169</v>
      </c>
      <c r="F541" s="13"/>
    </row>
    <row r="542" spans="1:6" x14ac:dyDescent="0.2">
      <c r="A542" s="12" t="s">
        <v>1550</v>
      </c>
      <c r="B542" s="11"/>
      <c r="C542" s="12" t="s">
        <v>5</v>
      </c>
      <c r="D542" s="12" t="s">
        <v>6</v>
      </c>
      <c r="E542" s="12" t="s">
        <v>3169</v>
      </c>
      <c r="F542" s="13"/>
    </row>
    <row r="543" spans="1:6" x14ac:dyDescent="0.2">
      <c r="A543" s="12" t="s">
        <v>1818</v>
      </c>
      <c r="B543" s="11"/>
      <c r="C543" s="12" t="s">
        <v>5</v>
      </c>
      <c r="D543" s="12" t="s">
        <v>21</v>
      </c>
      <c r="E543" s="12" t="s">
        <v>3172</v>
      </c>
      <c r="F543" s="13"/>
    </row>
    <row r="544" spans="1:6" x14ac:dyDescent="0.2">
      <c r="A544" s="12" t="s">
        <v>1818</v>
      </c>
      <c r="B544" s="11"/>
      <c r="C544" s="12" t="s">
        <v>5</v>
      </c>
      <c r="D544" s="12" t="s">
        <v>21</v>
      </c>
      <c r="E544" s="12" t="s">
        <v>3172</v>
      </c>
      <c r="F544" s="13"/>
    </row>
    <row r="545" spans="1:6" x14ac:dyDescent="0.2">
      <c r="A545" s="12" t="s">
        <v>1471</v>
      </c>
      <c r="B545" s="11"/>
      <c r="C545" s="12" t="s">
        <v>5</v>
      </c>
      <c r="D545" s="12" t="s">
        <v>17</v>
      </c>
      <c r="E545" s="12" t="s">
        <v>3175</v>
      </c>
      <c r="F545" s="13"/>
    </row>
    <row r="546" spans="1:6" x14ac:dyDescent="0.2">
      <c r="A546" s="12" t="s">
        <v>1471</v>
      </c>
      <c r="B546" s="11"/>
      <c r="C546" s="12" t="s">
        <v>5</v>
      </c>
      <c r="D546" s="12" t="s">
        <v>17</v>
      </c>
      <c r="E546" s="12" t="s">
        <v>3175</v>
      </c>
      <c r="F546" s="13"/>
    </row>
    <row r="547" spans="1:6" x14ac:dyDescent="0.2">
      <c r="A547" s="12" t="s">
        <v>1139</v>
      </c>
      <c r="B547" s="11"/>
      <c r="C547" s="12" t="s">
        <v>5</v>
      </c>
      <c r="D547" s="12" t="s">
        <v>17</v>
      </c>
      <c r="E547" s="12" t="s">
        <v>3178</v>
      </c>
      <c r="F547" s="13"/>
    </row>
    <row r="548" spans="1:6" x14ac:dyDescent="0.2">
      <c r="A548" s="12" t="s">
        <v>1139</v>
      </c>
      <c r="B548" s="11"/>
      <c r="C548" s="12" t="s">
        <v>5</v>
      </c>
      <c r="D548" s="12" t="s">
        <v>17</v>
      </c>
      <c r="E548" s="12" t="s">
        <v>3178</v>
      </c>
      <c r="F548" s="13"/>
    </row>
    <row r="549" spans="1:6" x14ac:dyDescent="0.2">
      <c r="A549" s="12" t="s">
        <v>491</v>
      </c>
      <c r="B549" s="11"/>
      <c r="C549" s="12" t="s">
        <v>5</v>
      </c>
      <c r="D549" s="12" t="s">
        <v>17</v>
      </c>
      <c r="E549" s="12" t="s">
        <v>3181</v>
      </c>
      <c r="F549" s="13"/>
    </row>
    <row r="550" spans="1:6" x14ac:dyDescent="0.2">
      <c r="A550" s="12" t="s">
        <v>491</v>
      </c>
      <c r="B550" s="11"/>
      <c r="C550" s="12" t="s">
        <v>5</v>
      </c>
      <c r="D550" s="12" t="s">
        <v>17</v>
      </c>
      <c r="E550" s="12" t="s">
        <v>3181</v>
      </c>
      <c r="F550" s="13"/>
    </row>
    <row r="551" spans="1:6" x14ac:dyDescent="0.2">
      <c r="A551" s="12" t="s">
        <v>1139</v>
      </c>
      <c r="B551" s="11"/>
      <c r="C551" s="12" t="s">
        <v>5</v>
      </c>
      <c r="D551" s="12" t="s">
        <v>17</v>
      </c>
      <c r="E551" s="12" t="s">
        <v>3185</v>
      </c>
      <c r="F551" s="13"/>
    </row>
    <row r="552" spans="1:6" x14ac:dyDescent="0.2">
      <c r="A552" s="12" t="s">
        <v>1139</v>
      </c>
      <c r="B552" s="11"/>
      <c r="C552" s="12" t="s">
        <v>5</v>
      </c>
      <c r="D552" s="12" t="s">
        <v>17</v>
      </c>
      <c r="E552" s="12" t="s">
        <v>3185</v>
      </c>
      <c r="F552" s="13"/>
    </row>
    <row r="553" spans="1:6" x14ac:dyDescent="0.2">
      <c r="A553" s="12" t="s">
        <v>491</v>
      </c>
      <c r="B553" s="11"/>
      <c r="C553" s="12" t="s">
        <v>5</v>
      </c>
      <c r="D553" s="12" t="s">
        <v>17</v>
      </c>
      <c r="E553" s="12" t="s">
        <v>3188</v>
      </c>
      <c r="F553" s="13"/>
    </row>
    <row r="554" spans="1:6" x14ac:dyDescent="0.2">
      <c r="A554" s="12" t="s">
        <v>491</v>
      </c>
      <c r="B554" s="11"/>
      <c r="C554" s="12" t="s">
        <v>5</v>
      </c>
      <c r="D554" s="12" t="s">
        <v>17</v>
      </c>
      <c r="E554" s="12" t="s">
        <v>3188</v>
      </c>
      <c r="F554" s="13"/>
    </row>
    <row r="555" spans="1:6" x14ac:dyDescent="0.2">
      <c r="A555" s="12" t="s">
        <v>641</v>
      </c>
      <c r="B555" s="11"/>
      <c r="C555" s="12" t="s">
        <v>5</v>
      </c>
      <c r="D555" s="12" t="s">
        <v>6</v>
      </c>
      <c r="E555" s="12" t="s">
        <v>3191</v>
      </c>
      <c r="F555" s="13"/>
    </row>
    <row r="556" spans="1:6" x14ac:dyDescent="0.2">
      <c r="A556" s="12" t="s">
        <v>641</v>
      </c>
      <c r="B556" s="11"/>
      <c r="C556" s="12" t="s">
        <v>5</v>
      </c>
      <c r="D556" s="12" t="s">
        <v>6</v>
      </c>
      <c r="E556" s="12" t="s">
        <v>3191</v>
      </c>
      <c r="F556" s="13"/>
    </row>
    <row r="557" spans="1:6" x14ac:dyDescent="0.2">
      <c r="A557" s="12" t="s">
        <v>662</v>
      </c>
      <c r="B557" s="11"/>
      <c r="C557" s="12" t="s">
        <v>5</v>
      </c>
      <c r="D557" s="12" t="s">
        <v>6</v>
      </c>
      <c r="E557" s="12" t="s">
        <v>3194</v>
      </c>
      <c r="F557" s="13"/>
    </row>
    <row r="558" spans="1:6" x14ac:dyDescent="0.2">
      <c r="A558" s="12" t="s">
        <v>718</v>
      </c>
      <c r="B558" s="11"/>
      <c r="C558" s="12" t="s">
        <v>5</v>
      </c>
      <c r="D558" s="12" t="s">
        <v>6</v>
      </c>
      <c r="E558" s="12" t="s">
        <v>3196</v>
      </c>
      <c r="F558" s="13"/>
    </row>
    <row r="559" spans="1:6" x14ac:dyDescent="0.2">
      <c r="A559" s="12" t="s">
        <v>718</v>
      </c>
      <c r="B559" s="11"/>
      <c r="C559" s="12" t="s">
        <v>5</v>
      </c>
      <c r="D559" s="12" t="s">
        <v>6</v>
      </c>
      <c r="E559" s="12" t="s">
        <v>3196</v>
      </c>
      <c r="F559" s="13"/>
    </row>
    <row r="560" spans="1:6" x14ac:dyDescent="0.2">
      <c r="A560" s="12" t="s">
        <v>1139</v>
      </c>
      <c r="B560" s="11"/>
      <c r="C560" s="12" t="s">
        <v>5</v>
      </c>
      <c r="D560" s="12" t="s">
        <v>6</v>
      </c>
      <c r="E560" s="12" t="s">
        <v>3200</v>
      </c>
      <c r="F560" s="13"/>
    </row>
    <row r="561" spans="1:6" x14ac:dyDescent="0.2">
      <c r="A561" s="12" t="s">
        <v>1139</v>
      </c>
      <c r="B561" s="11"/>
      <c r="C561" s="12" t="s">
        <v>5</v>
      </c>
      <c r="D561" s="12" t="s">
        <v>6</v>
      </c>
      <c r="E561" s="12" t="s">
        <v>3200</v>
      </c>
      <c r="F561" s="13"/>
    </row>
    <row r="562" spans="1:6" x14ac:dyDescent="0.2">
      <c r="A562" s="12" t="s">
        <v>662</v>
      </c>
      <c r="B562" s="11"/>
      <c r="C562" s="12" t="s">
        <v>5</v>
      </c>
      <c r="D562" s="12" t="s">
        <v>6</v>
      </c>
      <c r="E562" s="12" t="s">
        <v>3203</v>
      </c>
      <c r="F562" s="13"/>
    </row>
    <row r="563" spans="1:6" x14ac:dyDescent="0.2">
      <c r="A563" s="12" t="s">
        <v>662</v>
      </c>
      <c r="B563" s="11"/>
      <c r="C563" s="12" t="s">
        <v>5</v>
      </c>
      <c r="D563" s="12" t="s">
        <v>6</v>
      </c>
      <c r="E563" s="12" t="s">
        <v>3203</v>
      </c>
      <c r="F563" s="13"/>
    </row>
    <row r="564" spans="1:6" x14ac:dyDescent="0.2">
      <c r="A564" s="12" t="s">
        <v>2039</v>
      </c>
      <c r="B564" s="11"/>
      <c r="C564" s="12" t="s">
        <v>5</v>
      </c>
      <c r="D564" s="12" t="s">
        <v>6</v>
      </c>
      <c r="E564" s="12" t="s">
        <v>3206</v>
      </c>
      <c r="F564" s="13"/>
    </row>
    <row r="565" spans="1:6" x14ac:dyDescent="0.2">
      <c r="A565" s="12" t="s">
        <v>2039</v>
      </c>
      <c r="B565" s="11"/>
      <c r="C565" s="12" t="s">
        <v>5</v>
      </c>
      <c r="D565" s="12" t="s">
        <v>6</v>
      </c>
      <c r="E565" s="12" t="s">
        <v>3206</v>
      </c>
      <c r="F565" s="13"/>
    </row>
    <row r="566" spans="1:6" x14ac:dyDescent="0.2">
      <c r="A566" s="12" t="s">
        <v>288</v>
      </c>
      <c r="B566" s="11"/>
      <c r="C566" s="12" t="s">
        <v>5</v>
      </c>
      <c r="D566" s="12" t="s">
        <v>6</v>
      </c>
      <c r="E566" s="12" t="s">
        <v>3209</v>
      </c>
      <c r="F566" s="13"/>
    </row>
    <row r="567" spans="1:6" x14ac:dyDescent="0.2">
      <c r="A567" s="12" t="s">
        <v>1139</v>
      </c>
      <c r="B567" s="11"/>
      <c r="C567" s="12" t="s">
        <v>5</v>
      </c>
      <c r="D567" s="12" t="s">
        <v>6</v>
      </c>
      <c r="E567" s="12" t="s">
        <v>3211</v>
      </c>
      <c r="F567" s="13"/>
    </row>
    <row r="568" spans="1:6" x14ac:dyDescent="0.2">
      <c r="A568" s="12" t="s">
        <v>1139</v>
      </c>
      <c r="B568" s="11"/>
      <c r="C568" s="12" t="s">
        <v>5</v>
      </c>
      <c r="D568" s="12" t="s">
        <v>6</v>
      </c>
      <c r="E568" s="12" t="s">
        <v>3211</v>
      </c>
      <c r="F568" s="13"/>
    </row>
    <row r="569" spans="1:6" x14ac:dyDescent="0.2">
      <c r="A569" s="12" t="s">
        <v>2043</v>
      </c>
      <c r="B569" s="11"/>
      <c r="C569" s="12" t="s">
        <v>5</v>
      </c>
      <c r="D569" s="12" t="s">
        <v>21</v>
      </c>
      <c r="E569" s="12" t="s">
        <v>3214</v>
      </c>
      <c r="F569" s="13"/>
    </row>
    <row r="570" spans="1:6" x14ac:dyDescent="0.2">
      <c r="A570" s="12" t="s">
        <v>2043</v>
      </c>
      <c r="B570" s="11"/>
      <c r="C570" s="12" t="s">
        <v>5</v>
      </c>
      <c r="D570" s="12" t="s">
        <v>21</v>
      </c>
      <c r="E570" s="12" t="s">
        <v>3214</v>
      </c>
      <c r="F570" s="13"/>
    </row>
    <row r="571" spans="1:6" x14ac:dyDescent="0.2">
      <c r="A571" s="12" t="s">
        <v>659</v>
      </c>
      <c r="B571" s="11"/>
      <c r="C571" s="12" t="s">
        <v>5</v>
      </c>
      <c r="D571" s="12" t="s">
        <v>6</v>
      </c>
      <c r="E571" s="12" t="s">
        <v>3217</v>
      </c>
      <c r="F571" s="13"/>
    </row>
    <row r="572" spans="1:6" x14ac:dyDescent="0.2">
      <c r="A572" s="12" t="s">
        <v>659</v>
      </c>
      <c r="B572" s="11"/>
      <c r="C572" s="12" t="s">
        <v>5</v>
      </c>
      <c r="D572" s="12" t="s">
        <v>6</v>
      </c>
      <c r="E572" s="12" t="s">
        <v>3217</v>
      </c>
      <c r="F572" s="13"/>
    </row>
    <row r="573" spans="1:6" x14ac:dyDescent="0.2">
      <c r="A573" s="12" t="s">
        <v>1275</v>
      </c>
      <c r="B573" s="11"/>
      <c r="C573" s="12" t="s">
        <v>5</v>
      </c>
      <c r="D573" s="12" t="s">
        <v>21</v>
      </c>
      <c r="E573" s="12" t="s">
        <v>3220</v>
      </c>
      <c r="F573" s="13"/>
    </row>
    <row r="574" spans="1:6" x14ac:dyDescent="0.2">
      <c r="A574" s="12" t="s">
        <v>1275</v>
      </c>
      <c r="B574" s="11"/>
      <c r="C574" s="12" t="s">
        <v>5</v>
      </c>
      <c r="D574" s="12" t="s">
        <v>21</v>
      </c>
      <c r="E574" s="12" t="s">
        <v>3220</v>
      </c>
      <c r="F574" s="13"/>
    </row>
    <row r="575" spans="1:6" x14ac:dyDescent="0.2">
      <c r="A575" s="12" t="s">
        <v>702</v>
      </c>
      <c r="B575" s="11"/>
      <c r="C575" s="12" t="s">
        <v>5</v>
      </c>
      <c r="D575" s="12" t="s">
        <v>17</v>
      </c>
      <c r="E575" s="12" t="s">
        <v>3223</v>
      </c>
      <c r="F575" s="13"/>
    </row>
    <row r="576" spans="1:6" x14ac:dyDescent="0.2">
      <c r="A576" s="12" t="s">
        <v>31</v>
      </c>
      <c r="B576" s="11"/>
      <c r="C576" s="12" t="s">
        <v>5</v>
      </c>
      <c r="D576" s="12" t="s">
        <v>17</v>
      </c>
      <c r="E576" s="12" t="s">
        <v>37</v>
      </c>
      <c r="F576" s="13"/>
    </row>
    <row r="577" spans="1:6" x14ac:dyDescent="0.2">
      <c r="A577" s="12" t="s">
        <v>31</v>
      </c>
      <c r="B577" s="11"/>
      <c r="C577" s="12" t="s">
        <v>5</v>
      </c>
      <c r="D577" s="12" t="s">
        <v>17</v>
      </c>
      <c r="E577" s="12" t="s">
        <v>37</v>
      </c>
      <c r="F577" s="13"/>
    </row>
    <row r="578" spans="1:6" x14ac:dyDescent="0.2">
      <c r="A578" s="12" t="s">
        <v>491</v>
      </c>
      <c r="B578" s="11"/>
      <c r="C578" s="12" t="s">
        <v>5</v>
      </c>
      <c r="D578" s="12" t="s">
        <v>17</v>
      </c>
      <c r="E578" s="12" t="s">
        <v>3225</v>
      </c>
      <c r="F578" s="13"/>
    </row>
    <row r="579" spans="1:6" x14ac:dyDescent="0.2">
      <c r="A579" s="12" t="s">
        <v>491</v>
      </c>
      <c r="B579" s="11"/>
      <c r="C579" s="12" t="s">
        <v>5</v>
      </c>
      <c r="D579" s="12" t="s">
        <v>17</v>
      </c>
      <c r="E579" s="12" t="s">
        <v>3225</v>
      </c>
      <c r="F579" s="13"/>
    </row>
    <row r="580" spans="1:6" x14ac:dyDescent="0.2">
      <c r="A580" s="12" t="s">
        <v>1952</v>
      </c>
      <c r="B580" s="11"/>
      <c r="C580" s="12" t="s">
        <v>5</v>
      </c>
      <c r="D580" s="12" t="s">
        <v>17</v>
      </c>
      <c r="E580" s="12" t="s">
        <v>3228</v>
      </c>
      <c r="F580" s="13"/>
    </row>
    <row r="581" spans="1:6" x14ac:dyDescent="0.2">
      <c r="A581" s="12" t="s">
        <v>1952</v>
      </c>
      <c r="B581" s="11"/>
      <c r="C581" s="12" t="s">
        <v>5</v>
      </c>
      <c r="D581" s="12" t="s">
        <v>17</v>
      </c>
      <c r="E581" s="12" t="s">
        <v>3228</v>
      </c>
      <c r="F581" s="13"/>
    </row>
    <row r="582" spans="1:6" x14ac:dyDescent="0.2">
      <c r="A582" s="12" t="s">
        <v>491</v>
      </c>
      <c r="B582" s="11"/>
      <c r="C582" s="12" t="s">
        <v>5</v>
      </c>
      <c r="D582" s="12" t="s">
        <v>17</v>
      </c>
      <c r="E582" s="12" t="s">
        <v>3232</v>
      </c>
      <c r="F582" s="13"/>
    </row>
    <row r="583" spans="1:6" x14ac:dyDescent="0.2">
      <c r="A583" s="12" t="s">
        <v>491</v>
      </c>
      <c r="B583" s="11"/>
      <c r="C583" s="12" t="s">
        <v>5</v>
      </c>
      <c r="D583" s="12" t="s">
        <v>17</v>
      </c>
      <c r="E583" s="12" t="s">
        <v>3232</v>
      </c>
      <c r="F583" s="13"/>
    </row>
    <row r="584" spans="1:6" x14ac:dyDescent="0.2">
      <c r="A584" s="12" t="s">
        <v>1905</v>
      </c>
      <c r="B584" s="11"/>
      <c r="C584" s="12" t="s">
        <v>5</v>
      </c>
      <c r="D584" s="12" t="s">
        <v>6</v>
      </c>
      <c r="E584" s="12" t="s">
        <v>3235</v>
      </c>
      <c r="F584" s="13"/>
    </row>
    <row r="585" spans="1:6" x14ac:dyDescent="0.2">
      <c r="A585" s="12" t="s">
        <v>1135</v>
      </c>
      <c r="B585" s="11"/>
      <c r="C585" s="12" t="s">
        <v>5</v>
      </c>
      <c r="D585" s="12" t="s">
        <v>6</v>
      </c>
      <c r="E585" s="12" t="s">
        <v>3237</v>
      </c>
      <c r="F585" s="13"/>
    </row>
    <row r="586" spans="1:6" x14ac:dyDescent="0.2">
      <c r="A586" s="12" t="s">
        <v>1135</v>
      </c>
      <c r="B586" s="11"/>
      <c r="C586" s="12" t="s">
        <v>5</v>
      </c>
      <c r="D586" s="12" t="s">
        <v>6</v>
      </c>
      <c r="E586" s="12" t="s">
        <v>3237</v>
      </c>
      <c r="F586" s="13"/>
    </row>
    <row r="587" spans="1:6" x14ac:dyDescent="0.2">
      <c r="A587" s="12" t="s">
        <v>2120</v>
      </c>
      <c r="B587" s="11"/>
      <c r="C587" s="12" t="s">
        <v>5</v>
      </c>
      <c r="D587" s="12" t="s">
        <v>6</v>
      </c>
      <c r="E587" s="12" t="s">
        <v>3240</v>
      </c>
      <c r="F587" s="13"/>
    </row>
    <row r="588" spans="1:6" x14ac:dyDescent="0.2">
      <c r="A588" s="12" t="s">
        <v>659</v>
      </c>
      <c r="B588" s="11"/>
      <c r="C588" s="12" t="s">
        <v>5</v>
      </c>
      <c r="D588" s="12" t="s">
        <v>6</v>
      </c>
      <c r="E588" s="12" t="s">
        <v>3243</v>
      </c>
      <c r="F588" s="13"/>
    </row>
    <row r="589" spans="1:6" x14ac:dyDescent="0.2">
      <c r="A589" s="12" t="s">
        <v>525</v>
      </c>
      <c r="B589" s="11"/>
      <c r="C589" s="12" t="s">
        <v>5</v>
      </c>
      <c r="D589" s="12" t="s">
        <v>6</v>
      </c>
      <c r="E589" s="12" t="s">
        <v>3245</v>
      </c>
      <c r="F589" s="13"/>
    </row>
    <row r="590" spans="1:6" x14ac:dyDescent="0.2">
      <c r="A590" s="12" t="s">
        <v>1054</v>
      </c>
      <c r="B590" s="11"/>
      <c r="C590" s="12" t="s">
        <v>5</v>
      </c>
      <c r="D590" s="12" t="s">
        <v>6</v>
      </c>
      <c r="E590" s="12" t="s">
        <v>3247</v>
      </c>
      <c r="F590" s="13"/>
    </row>
    <row r="591" spans="1:6" x14ac:dyDescent="0.2">
      <c r="A591" s="12" t="s">
        <v>1054</v>
      </c>
      <c r="B591" s="11"/>
      <c r="C591" s="12" t="s">
        <v>5</v>
      </c>
      <c r="D591" s="12" t="s">
        <v>6</v>
      </c>
      <c r="E591" s="12" t="s">
        <v>3247</v>
      </c>
      <c r="F591" s="13"/>
    </row>
    <row r="592" spans="1:6" x14ac:dyDescent="0.2">
      <c r="A592" s="12" t="s">
        <v>641</v>
      </c>
      <c r="B592" s="11"/>
      <c r="C592" s="12" t="s">
        <v>5</v>
      </c>
      <c r="D592" s="12" t="s">
        <v>6</v>
      </c>
      <c r="E592" s="12" t="s">
        <v>3250</v>
      </c>
      <c r="F592" s="13"/>
    </row>
    <row r="593" spans="1:6" x14ac:dyDescent="0.2">
      <c r="A593" s="12" t="s">
        <v>641</v>
      </c>
      <c r="B593" s="11"/>
      <c r="C593" s="12" t="s">
        <v>5</v>
      </c>
      <c r="D593" s="12" t="s">
        <v>6</v>
      </c>
      <c r="E593" s="12" t="s">
        <v>3250</v>
      </c>
      <c r="F593" s="13"/>
    </row>
    <row r="594" spans="1:6" x14ac:dyDescent="0.2">
      <c r="A594" s="12" t="s">
        <v>2251</v>
      </c>
      <c r="B594" s="11"/>
      <c r="C594" s="12" t="s">
        <v>5</v>
      </c>
      <c r="D594" s="12" t="s">
        <v>6</v>
      </c>
      <c r="E594" s="12" t="s">
        <v>3254</v>
      </c>
      <c r="F594" s="47"/>
    </row>
    <row r="595" spans="1:6" x14ac:dyDescent="0.2">
      <c r="A595" s="12" t="s">
        <v>1275</v>
      </c>
      <c r="B595" s="11"/>
      <c r="C595" s="12" t="s">
        <v>5</v>
      </c>
      <c r="D595" s="12" t="s">
        <v>21</v>
      </c>
      <c r="E595" s="12" t="s">
        <v>3255</v>
      </c>
      <c r="F595" s="13"/>
    </row>
    <row r="596" spans="1:6" x14ac:dyDescent="0.2">
      <c r="A596" s="12" t="s">
        <v>1275</v>
      </c>
      <c r="B596" s="11"/>
      <c r="C596" s="12" t="s">
        <v>5</v>
      </c>
      <c r="D596" s="12" t="s">
        <v>21</v>
      </c>
      <c r="E596" s="12" t="s">
        <v>3255</v>
      </c>
      <c r="F596" s="13"/>
    </row>
    <row r="597" spans="1:6" x14ac:dyDescent="0.2">
      <c r="A597" s="12" t="s">
        <v>2251</v>
      </c>
      <c r="B597" s="11"/>
      <c r="C597" s="12" t="s">
        <v>5</v>
      </c>
      <c r="D597" s="12" t="s">
        <v>6</v>
      </c>
      <c r="E597" s="12" t="s">
        <v>3258</v>
      </c>
      <c r="F597" s="47"/>
    </row>
    <row r="598" spans="1:6" x14ac:dyDescent="0.2">
      <c r="A598" s="12" t="s">
        <v>1905</v>
      </c>
      <c r="B598" s="11"/>
      <c r="C598" s="12" t="s">
        <v>5</v>
      </c>
      <c r="D598" s="12" t="s">
        <v>21</v>
      </c>
      <c r="E598" s="12" t="s">
        <v>3259</v>
      </c>
      <c r="F598" s="13"/>
    </row>
    <row r="599" spans="1:6" x14ac:dyDescent="0.2">
      <c r="A599" s="12" t="s">
        <v>1462</v>
      </c>
      <c r="B599" s="11"/>
      <c r="C599" s="12" t="s">
        <v>5</v>
      </c>
      <c r="D599" s="12" t="s">
        <v>17</v>
      </c>
      <c r="E599" s="12" t="s">
        <v>3261</v>
      </c>
      <c r="F599" s="13"/>
    </row>
    <row r="600" spans="1:6" x14ac:dyDescent="0.2">
      <c r="A600" s="12" t="s">
        <v>1462</v>
      </c>
      <c r="B600" s="11"/>
      <c r="C600" s="12" t="s">
        <v>5</v>
      </c>
      <c r="D600" s="12" t="s">
        <v>17</v>
      </c>
      <c r="E600" s="12" t="s">
        <v>3261</v>
      </c>
      <c r="F600" s="13"/>
    </row>
    <row r="601" spans="1:6" x14ac:dyDescent="0.2">
      <c r="A601" s="12" t="s">
        <v>491</v>
      </c>
      <c r="B601" s="11"/>
      <c r="C601" s="12" t="s">
        <v>5</v>
      </c>
      <c r="D601" s="12" t="s">
        <v>17</v>
      </c>
      <c r="E601" s="12" t="s">
        <v>3264</v>
      </c>
      <c r="F601" s="13"/>
    </row>
    <row r="602" spans="1:6" x14ac:dyDescent="0.2">
      <c r="A602" s="12" t="s">
        <v>491</v>
      </c>
      <c r="B602" s="11"/>
      <c r="C602" s="12" t="s">
        <v>5</v>
      </c>
      <c r="D602" s="12" t="s">
        <v>17</v>
      </c>
      <c r="E602" s="12" t="s">
        <v>3264</v>
      </c>
      <c r="F602" s="13"/>
    </row>
    <row r="603" spans="1:6" x14ac:dyDescent="0.2">
      <c r="A603" s="12" t="s">
        <v>491</v>
      </c>
      <c r="B603" s="11"/>
      <c r="C603" s="12" t="s">
        <v>5</v>
      </c>
      <c r="D603" s="12" t="s">
        <v>17</v>
      </c>
      <c r="E603" s="12" t="s">
        <v>3267</v>
      </c>
      <c r="F603" s="13"/>
    </row>
    <row r="604" spans="1:6" x14ac:dyDescent="0.2">
      <c r="A604" s="12" t="s">
        <v>491</v>
      </c>
      <c r="B604" s="11"/>
      <c r="C604" s="12" t="s">
        <v>5</v>
      </c>
      <c r="D604" s="12" t="s">
        <v>17</v>
      </c>
      <c r="E604" s="12" t="s">
        <v>3267</v>
      </c>
      <c r="F604" s="13"/>
    </row>
    <row r="605" spans="1:6" x14ac:dyDescent="0.2">
      <c r="A605" s="12" t="s">
        <v>482</v>
      </c>
      <c r="B605" s="11"/>
      <c r="C605" s="12" t="s">
        <v>5</v>
      </c>
      <c r="D605" s="12" t="s">
        <v>17</v>
      </c>
      <c r="E605" s="12" t="s">
        <v>3270</v>
      </c>
      <c r="F605" s="13"/>
    </row>
    <row r="606" spans="1:6" x14ac:dyDescent="0.2">
      <c r="A606" s="12" t="s">
        <v>482</v>
      </c>
      <c r="B606" s="11"/>
      <c r="C606" s="12" t="s">
        <v>5</v>
      </c>
      <c r="D606" s="12" t="s">
        <v>17</v>
      </c>
      <c r="E606" s="12" t="s">
        <v>3270</v>
      </c>
      <c r="F606" s="13"/>
    </row>
    <row r="607" spans="1:6" x14ac:dyDescent="0.2">
      <c r="A607" s="12" t="s">
        <v>285</v>
      </c>
      <c r="B607" s="11"/>
      <c r="C607" s="12" t="s">
        <v>5</v>
      </c>
      <c r="D607" s="12" t="s">
        <v>17</v>
      </c>
      <c r="E607" s="12" t="s">
        <v>3273</v>
      </c>
      <c r="F607" s="13"/>
    </row>
    <row r="608" spans="1:6" x14ac:dyDescent="0.2">
      <c r="A608" s="12" t="s">
        <v>285</v>
      </c>
      <c r="B608" s="11"/>
      <c r="C608" s="12" t="s">
        <v>5</v>
      </c>
      <c r="D608" s="12" t="s">
        <v>17</v>
      </c>
      <c r="E608" s="12" t="s">
        <v>3273</v>
      </c>
      <c r="F608" s="13"/>
    </row>
    <row r="609" spans="1:6" x14ac:dyDescent="0.2">
      <c r="A609" s="12" t="s">
        <v>2043</v>
      </c>
      <c r="B609" s="11"/>
      <c r="C609" s="12" t="s">
        <v>5</v>
      </c>
      <c r="D609" s="12" t="s">
        <v>6</v>
      </c>
      <c r="E609" s="12" t="s">
        <v>3276</v>
      </c>
      <c r="F609" s="13"/>
    </row>
    <row r="610" spans="1:6" x14ac:dyDescent="0.2">
      <c r="A610" s="12" t="s">
        <v>2043</v>
      </c>
      <c r="B610" s="11"/>
      <c r="C610" s="12" t="s">
        <v>5</v>
      </c>
      <c r="D610" s="12" t="s">
        <v>6</v>
      </c>
      <c r="E610" s="12" t="s">
        <v>3276</v>
      </c>
      <c r="F610" s="13"/>
    </row>
    <row r="611" spans="1:6" x14ac:dyDescent="0.2">
      <c r="A611" s="12" t="s">
        <v>491</v>
      </c>
      <c r="B611" s="11"/>
      <c r="C611" s="12" t="s">
        <v>5</v>
      </c>
      <c r="D611" s="12" t="s">
        <v>17</v>
      </c>
      <c r="E611" s="12" t="s">
        <v>3279</v>
      </c>
      <c r="F611" s="13"/>
    </row>
    <row r="612" spans="1:6" x14ac:dyDescent="0.2">
      <c r="A612" s="12" t="s">
        <v>491</v>
      </c>
      <c r="B612" s="11"/>
      <c r="C612" s="12" t="s">
        <v>5</v>
      </c>
      <c r="D612" s="12" t="s">
        <v>17</v>
      </c>
      <c r="E612" s="12" t="s">
        <v>3279</v>
      </c>
      <c r="F612" s="13"/>
    </row>
    <row r="613" spans="1:6" x14ac:dyDescent="0.2">
      <c r="A613" s="12" t="s">
        <v>1145</v>
      </c>
      <c r="B613" s="11"/>
      <c r="C613" s="12" t="s">
        <v>5</v>
      </c>
      <c r="D613" s="12" t="s">
        <v>6</v>
      </c>
      <c r="E613" s="12" t="s">
        <v>3282</v>
      </c>
      <c r="F613" s="13"/>
    </row>
    <row r="614" spans="1:6" x14ac:dyDescent="0.2">
      <c r="A614" s="12" t="s">
        <v>1145</v>
      </c>
      <c r="B614" s="11"/>
      <c r="C614" s="12" t="s">
        <v>5</v>
      </c>
      <c r="D614" s="12" t="s">
        <v>6</v>
      </c>
      <c r="E614" s="12" t="s">
        <v>3282</v>
      </c>
      <c r="F614" s="13"/>
    </row>
    <row r="615" spans="1:6" x14ac:dyDescent="0.2">
      <c r="A615" s="12" t="s">
        <v>1544</v>
      </c>
      <c r="B615" s="11"/>
      <c r="C615" s="12" t="s">
        <v>5</v>
      </c>
      <c r="D615" s="12" t="s">
        <v>6</v>
      </c>
      <c r="E615" s="12" t="s">
        <v>3285</v>
      </c>
      <c r="F615" s="13"/>
    </row>
    <row r="616" spans="1:6" x14ac:dyDescent="0.2">
      <c r="A616" s="12" t="s">
        <v>620</v>
      </c>
      <c r="B616" s="11"/>
      <c r="C616" s="12" t="s">
        <v>5</v>
      </c>
      <c r="D616" s="12" t="s">
        <v>6</v>
      </c>
      <c r="E616" s="12" t="s">
        <v>3287</v>
      </c>
      <c r="F616" s="13"/>
    </row>
    <row r="617" spans="1:6" x14ac:dyDescent="0.2">
      <c r="A617" s="12" t="s">
        <v>620</v>
      </c>
      <c r="B617" s="11"/>
      <c r="C617" s="12" t="s">
        <v>5</v>
      </c>
      <c r="D617" s="12" t="s">
        <v>6</v>
      </c>
      <c r="E617" s="12" t="s">
        <v>3287</v>
      </c>
      <c r="F617" s="13"/>
    </row>
    <row r="618" spans="1:6" x14ac:dyDescent="0.2">
      <c r="A618" s="12" t="s">
        <v>659</v>
      </c>
      <c r="B618" s="11"/>
      <c r="C618" s="12" t="s">
        <v>5</v>
      </c>
      <c r="D618" s="12" t="s">
        <v>6</v>
      </c>
      <c r="E618" s="12" t="s">
        <v>3290</v>
      </c>
      <c r="F618" s="13"/>
    </row>
    <row r="619" spans="1:6" x14ac:dyDescent="0.2">
      <c r="A619" s="12" t="s">
        <v>659</v>
      </c>
      <c r="B619" s="11"/>
      <c r="C619" s="12" t="s">
        <v>5</v>
      </c>
      <c r="D619" s="12" t="s">
        <v>6</v>
      </c>
      <c r="E619" s="12" t="s">
        <v>3290</v>
      </c>
      <c r="F619" s="13"/>
    </row>
    <row r="620" spans="1:6" x14ac:dyDescent="0.2">
      <c r="A620" s="12" t="s">
        <v>730</v>
      </c>
      <c r="B620" s="11"/>
      <c r="C620" s="12" t="s">
        <v>5</v>
      </c>
      <c r="D620" s="12" t="s">
        <v>6</v>
      </c>
      <c r="E620" s="12" t="s">
        <v>3293</v>
      </c>
      <c r="F620" s="13"/>
    </row>
    <row r="621" spans="1:6" x14ac:dyDescent="0.2">
      <c r="A621" s="12" t="s">
        <v>730</v>
      </c>
      <c r="B621" s="11"/>
      <c r="C621" s="12" t="s">
        <v>5</v>
      </c>
      <c r="D621" s="12" t="s">
        <v>6</v>
      </c>
      <c r="E621" s="12" t="s">
        <v>3293</v>
      </c>
      <c r="F621" s="13"/>
    </row>
    <row r="622" spans="1:6" x14ac:dyDescent="0.2">
      <c r="A622" s="12" t="s">
        <v>268</v>
      </c>
      <c r="B622" s="11"/>
      <c r="C622" s="12" t="s">
        <v>5</v>
      </c>
      <c r="D622" s="12" t="s">
        <v>6</v>
      </c>
      <c r="E622" s="12" t="s">
        <v>3296</v>
      </c>
      <c r="F622" s="13"/>
    </row>
    <row r="623" spans="1:6" x14ac:dyDescent="0.2">
      <c r="A623" s="12" t="s">
        <v>1046</v>
      </c>
      <c r="B623" s="11"/>
      <c r="C623" s="12" t="s">
        <v>5</v>
      </c>
      <c r="D623" s="12" t="s">
        <v>21</v>
      </c>
      <c r="E623" s="12" t="s">
        <v>3298</v>
      </c>
      <c r="F623" s="13"/>
    </row>
    <row r="624" spans="1:6" x14ac:dyDescent="0.2">
      <c r="A624" s="12" t="s">
        <v>1046</v>
      </c>
      <c r="B624" s="11"/>
      <c r="C624" s="12" t="s">
        <v>5</v>
      </c>
      <c r="D624" s="12" t="s">
        <v>21</v>
      </c>
      <c r="E624" s="12" t="s">
        <v>3298</v>
      </c>
      <c r="F624" s="13"/>
    </row>
    <row r="625" spans="1:6" x14ac:dyDescent="0.2">
      <c r="A625" s="12" t="s">
        <v>1046</v>
      </c>
      <c r="B625" s="11"/>
      <c r="C625" s="12" t="s">
        <v>5</v>
      </c>
      <c r="D625" s="12" t="s">
        <v>6</v>
      </c>
      <c r="E625" s="12" t="s">
        <v>3301</v>
      </c>
      <c r="F625" s="13"/>
    </row>
    <row r="626" spans="1:6" x14ac:dyDescent="0.2">
      <c r="A626" s="12" t="s">
        <v>641</v>
      </c>
      <c r="B626" s="11"/>
      <c r="C626" s="12" t="s">
        <v>5</v>
      </c>
      <c r="D626" s="12" t="s">
        <v>21</v>
      </c>
      <c r="E626" s="12" t="s">
        <v>3304</v>
      </c>
      <c r="F626" s="13"/>
    </row>
    <row r="627" spans="1:6" x14ac:dyDescent="0.2">
      <c r="A627" s="12" t="s">
        <v>641</v>
      </c>
      <c r="B627" s="11"/>
      <c r="C627" s="12" t="s">
        <v>5</v>
      </c>
      <c r="D627" s="12" t="s">
        <v>21</v>
      </c>
      <c r="E627" s="12" t="s">
        <v>3304</v>
      </c>
      <c r="F627" s="13"/>
    </row>
    <row r="628" spans="1:6" x14ac:dyDescent="0.2">
      <c r="A628" s="12" t="s">
        <v>1490</v>
      </c>
      <c r="B628" s="11"/>
      <c r="C628" s="12" t="s">
        <v>208</v>
      </c>
      <c r="D628" s="12" t="s">
        <v>209</v>
      </c>
      <c r="E628" s="12" t="s">
        <v>5534</v>
      </c>
      <c r="F628" s="13"/>
    </row>
    <row r="629" spans="1:6" x14ac:dyDescent="0.2">
      <c r="A629" s="12" t="s">
        <v>1303</v>
      </c>
      <c r="B629" s="11"/>
      <c r="C629" s="12" t="s">
        <v>208</v>
      </c>
      <c r="D629" s="12" t="s">
        <v>209</v>
      </c>
      <c r="E629" s="12" t="s">
        <v>5534</v>
      </c>
      <c r="F629" s="13"/>
    </row>
    <row r="630" spans="1:6" x14ac:dyDescent="0.2">
      <c r="A630" s="12" t="s">
        <v>1190</v>
      </c>
      <c r="B630" s="11"/>
      <c r="C630" s="12" t="s">
        <v>208</v>
      </c>
      <c r="D630" s="12" t="s">
        <v>209</v>
      </c>
      <c r="E630" s="12" t="s">
        <v>5534</v>
      </c>
      <c r="F630" s="13"/>
    </row>
    <row r="631" spans="1:6" x14ac:dyDescent="0.2">
      <c r="A631" s="12" t="s">
        <v>315</v>
      </c>
      <c r="B631" s="11"/>
      <c r="C631" s="12" t="s">
        <v>208</v>
      </c>
      <c r="D631" s="12" t="s">
        <v>209</v>
      </c>
      <c r="E631" s="12" t="s">
        <v>5534</v>
      </c>
      <c r="F631" s="13"/>
    </row>
    <row r="632" spans="1:6" x14ac:dyDescent="0.2">
      <c r="A632" s="12" t="s">
        <v>1490</v>
      </c>
      <c r="B632" s="11"/>
      <c r="C632" s="12" t="s">
        <v>208</v>
      </c>
      <c r="D632" s="12" t="s">
        <v>209</v>
      </c>
      <c r="E632" s="12" t="s">
        <v>5535</v>
      </c>
      <c r="F632" s="13"/>
    </row>
    <row r="633" spans="1:6" x14ac:dyDescent="0.2">
      <c r="A633" s="12" t="s">
        <v>1171</v>
      </c>
      <c r="B633" s="11"/>
      <c r="C633" s="12" t="s">
        <v>208</v>
      </c>
      <c r="D633" s="12" t="s">
        <v>209</v>
      </c>
      <c r="E633" s="12" t="s">
        <v>5535</v>
      </c>
      <c r="F633" s="13"/>
    </row>
    <row r="634" spans="1:6" x14ac:dyDescent="0.2">
      <c r="A634" s="12" t="s">
        <v>1971</v>
      </c>
      <c r="B634" s="11"/>
      <c r="C634" s="12" t="s">
        <v>208</v>
      </c>
      <c r="D634" s="12" t="s">
        <v>209</v>
      </c>
      <c r="E634" s="12" t="s">
        <v>5535</v>
      </c>
      <c r="F634" s="13"/>
    </row>
    <row r="635" spans="1:6" x14ac:dyDescent="0.2">
      <c r="A635" s="12" t="s">
        <v>1297</v>
      </c>
      <c r="B635" s="11"/>
      <c r="C635" s="12" t="s">
        <v>208</v>
      </c>
      <c r="D635" s="12" t="s">
        <v>209</v>
      </c>
      <c r="E635" s="12" t="s">
        <v>5535</v>
      </c>
      <c r="F635" s="13"/>
    </row>
    <row r="636" spans="1:6" x14ac:dyDescent="0.2">
      <c r="A636" s="12" t="s">
        <v>324</v>
      </c>
      <c r="B636" s="11"/>
      <c r="C636" s="12" t="s">
        <v>208</v>
      </c>
      <c r="D636" s="12" t="s">
        <v>209</v>
      </c>
      <c r="E636" s="12" t="s">
        <v>5535</v>
      </c>
      <c r="F636" s="13"/>
    </row>
    <row r="637" spans="1:6" x14ac:dyDescent="0.2">
      <c r="A637" s="12" t="s">
        <v>584</v>
      </c>
      <c r="B637" s="11"/>
      <c r="C637" s="12" t="s">
        <v>208</v>
      </c>
      <c r="D637" s="12" t="s">
        <v>209</v>
      </c>
      <c r="E637" s="12" t="s">
        <v>5536</v>
      </c>
      <c r="F637" s="13"/>
    </row>
    <row r="638" spans="1:6" x14ac:dyDescent="0.2">
      <c r="A638" s="12" t="s">
        <v>2251</v>
      </c>
      <c r="B638" s="11"/>
      <c r="C638" s="12" t="s">
        <v>208</v>
      </c>
      <c r="D638" s="12" t="s">
        <v>209</v>
      </c>
      <c r="E638" s="12" t="s">
        <v>5537</v>
      </c>
      <c r="F638" s="47"/>
    </row>
    <row r="639" spans="1:6" x14ac:dyDescent="0.2">
      <c r="A639" s="12" t="s">
        <v>2251</v>
      </c>
      <c r="B639" s="11"/>
      <c r="C639" s="12" t="s">
        <v>208</v>
      </c>
      <c r="D639" s="12" t="s">
        <v>209</v>
      </c>
      <c r="E639" s="12" t="s">
        <v>5538</v>
      </c>
      <c r="F639" s="47"/>
    </row>
    <row r="640" spans="1:6" x14ac:dyDescent="0.2">
      <c r="A640" s="12" t="s">
        <v>2005</v>
      </c>
      <c r="B640" s="11"/>
      <c r="C640" s="12" t="s">
        <v>208</v>
      </c>
      <c r="D640" s="12" t="s">
        <v>209</v>
      </c>
      <c r="E640" s="12" t="s">
        <v>5539</v>
      </c>
      <c r="F640" s="13"/>
    </row>
    <row r="641" spans="1:6" x14ac:dyDescent="0.2">
      <c r="A641" s="12" t="s">
        <v>2251</v>
      </c>
      <c r="B641" s="11"/>
      <c r="C641" s="12" t="s">
        <v>208</v>
      </c>
      <c r="D641" s="12" t="s">
        <v>209</v>
      </c>
      <c r="E641" s="12" t="s">
        <v>5540</v>
      </c>
      <c r="F641" s="47"/>
    </row>
    <row r="642" spans="1:6" x14ac:dyDescent="0.2">
      <c r="A642" s="12" t="s">
        <v>2251</v>
      </c>
      <c r="B642" s="11"/>
      <c r="C642" s="12" t="s">
        <v>208</v>
      </c>
      <c r="D642" s="12" t="s">
        <v>209</v>
      </c>
      <c r="E642" s="12" t="s">
        <v>5541</v>
      </c>
      <c r="F642" s="47"/>
    </row>
    <row r="643" spans="1:6" x14ac:dyDescent="0.2">
      <c r="A643" s="12" t="s">
        <v>1538</v>
      </c>
      <c r="B643" s="11"/>
      <c r="C643" s="12" t="s">
        <v>208</v>
      </c>
      <c r="D643" s="12" t="s">
        <v>209</v>
      </c>
      <c r="E643" s="12" t="s">
        <v>5542</v>
      </c>
      <c r="F643" s="13"/>
    </row>
    <row r="644" spans="1:6" x14ac:dyDescent="0.2">
      <c r="A644" s="12" t="s">
        <v>2043</v>
      </c>
      <c r="B644" s="11"/>
      <c r="C644" s="12" t="s">
        <v>16</v>
      </c>
      <c r="D644" s="12" t="s">
        <v>21</v>
      </c>
      <c r="E644" s="12" t="s">
        <v>4543</v>
      </c>
      <c r="F644" s="13"/>
    </row>
    <row r="645" spans="1:6" x14ac:dyDescent="0.2">
      <c r="A645" s="12" t="s">
        <v>1881</v>
      </c>
      <c r="B645" s="11"/>
      <c r="C645" s="12" t="s">
        <v>16</v>
      </c>
      <c r="D645" s="12" t="s">
        <v>21</v>
      </c>
      <c r="E645" s="12" t="s">
        <v>4545</v>
      </c>
      <c r="F645" s="13"/>
    </row>
    <row r="646" spans="1:6" x14ac:dyDescent="0.2">
      <c r="A646" s="12" t="s">
        <v>304</v>
      </c>
      <c r="B646" s="11"/>
      <c r="C646" s="12" t="s">
        <v>16</v>
      </c>
      <c r="D646" s="12" t="s">
        <v>21</v>
      </c>
      <c r="E646" s="12" t="s">
        <v>4547</v>
      </c>
      <c r="F646" s="13"/>
    </row>
    <row r="647" spans="1:6" x14ac:dyDescent="0.2">
      <c r="A647" s="12" t="s">
        <v>1190</v>
      </c>
      <c r="B647" s="11"/>
      <c r="C647" s="12" t="s">
        <v>16</v>
      </c>
      <c r="D647" s="12" t="s">
        <v>21</v>
      </c>
      <c r="E647" s="12" t="s">
        <v>4549</v>
      </c>
      <c r="F647" s="13"/>
    </row>
    <row r="648" spans="1:6" x14ac:dyDescent="0.2">
      <c r="A648" s="12" t="s">
        <v>802</v>
      </c>
      <c r="B648" s="11"/>
      <c r="C648" s="12" t="s">
        <v>16</v>
      </c>
      <c r="D648" s="12" t="s">
        <v>21</v>
      </c>
      <c r="E648" s="12" t="s">
        <v>4551</v>
      </c>
      <c r="F648" s="13"/>
    </row>
    <row r="649" spans="1:6" x14ac:dyDescent="0.2">
      <c r="A649" s="12" t="s">
        <v>638</v>
      </c>
      <c r="B649" s="11"/>
      <c r="C649" s="12" t="s">
        <v>16</v>
      </c>
      <c r="D649" s="12" t="s">
        <v>21</v>
      </c>
      <c r="E649" s="12" t="s">
        <v>4553</v>
      </c>
      <c r="F649" s="13"/>
    </row>
    <row r="650" spans="1:6" x14ac:dyDescent="0.2">
      <c r="A650" s="12" t="s">
        <v>2202</v>
      </c>
      <c r="B650" s="11"/>
      <c r="C650" s="12" t="s">
        <v>16</v>
      </c>
      <c r="D650" s="12" t="s">
        <v>21</v>
      </c>
      <c r="E650" s="12" t="s">
        <v>4555</v>
      </c>
      <c r="F650" s="13"/>
    </row>
    <row r="651" spans="1:6" x14ac:dyDescent="0.2">
      <c r="A651" s="12" t="s">
        <v>2251</v>
      </c>
      <c r="B651" s="11"/>
      <c r="C651" s="12" t="s">
        <v>16</v>
      </c>
      <c r="D651" s="12" t="s">
        <v>21</v>
      </c>
      <c r="E651" s="12" t="s">
        <v>4557</v>
      </c>
      <c r="F651" s="47"/>
    </row>
    <row r="652" spans="1:6" x14ac:dyDescent="0.2">
      <c r="A652" s="12" t="s">
        <v>1201</v>
      </c>
      <c r="B652" s="11"/>
      <c r="C652" s="12" t="s">
        <v>208</v>
      </c>
      <c r="D652" s="12" t="s">
        <v>209</v>
      </c>
      <c r="E652" s="12" t="s">
        <v>5544</v>
      </c>
      <c r="F652" s="13"/>
    </row>
    <row r="653" spans="1:6" x14ac:dyDescent="0.2">
      <c r="A653" s="12" t="s">
        <v>2251</v>
      </c>
      <c r="B653" s="11"/>
      <c r="C653" s="12" t="s">
        <v>208</v>
      </c>
      <c r="D653" s="12" t="s">
        <v>209</v>
      </c>
      <c r="E653" s="12" t="s">
        <v>5545</v>
      </c>
      <c r="F653" s="47"/>
    </row>
    <row r="654" spans="1:6" x14ac:dyDescent="0.2">
      <c r="A654" s="12" t="s">
        <v>553</v>
      </c>
      <c r="B654" s="11"/>
      <c r="C654" s="12" t="s">
        <v>208</v>
      </c>
      <c r="D654" s="12" t="s">
        <v>209</v>
      </c>
      <c r="E654" s="12" t="s">
        <v>5546</v>
      </c>
      <c r="F654" s="13"/>
    </row>
    <row r="655" spans="1:6" x14ac:dyDescent="0.2">
      <c r="A655" s="12" t="s">
        <v>602</v>
      </c>
      <c r="B655" s="11"/>
      <c r="C655" s="12" t="s">
        <v>208</v>
      </c>
      <c r="D655" s="12" t="s">
        <v>209</v>
      </c>
      <c r="E655" s="12" t="s">
        <v>5547</v>
      </c>
      <c r="F655" s="13"/>
    </row>
    <row r="656" spans="1:6" x14ac:dyDescent="0.2">
      <c r="A656" s="12" t="s">
        <v>2251</v>
      </c>
      <c r="B656" s="11"/>
      <c r="C656" s="12" t="s">
        <v>208</v>
      </c>
      <c r="D656" s="12" t="s">
        <v>209</v>
      </c>
      <c r="E656" s="12" t="s">
        <v>5548</v>
      </c>
      <c r="F656" s="47"/>
    </row>
    <row r="657" spans="1:6" x14ac:dyDescent="0.2">
      <c r="A657" s="12" t="s">
        <v>2251</v>
      </c>
      <c r="B657" s="11"/>
      <c r="C657" s="12" t="s">
        <v>208</v>
      </c>
      <c r="D657" s="12" t="s">
        <v>209</v>
      </c>
      <c r="E657" s="12" t="s">
        <v>5549</v>
      </c>
      <c r="F657" s="47"/>
    </row>
    <row r="658" spans="1:6" x14ac:dyDescent="0.2">
      <c r="A658" s="12" t="s">
        <v>2251</v>
      </c>
      <c r="B658" s="11"/>
      <c r="C658" s="12" t="s">
        <v>208</v>
      </c>
      <c r="D658" s="12" t="s">
        <v>209</v>
      </c>
      <c r="E658" s="12" t="s">
        <v>5550</v>
      </c>
      <c r="F658" s="47"/>
    </row>
    <row r="659" spans="1:6" x14ac:dyDescent="0.2">
      <c r="A659" s="12" t="s">
        <v>1834</v>
      </c>
      <c r="B659" s="11"/>
      <c r="C659" s="12" t="s">
        <v>208</v>
      </c>
      <c r="D659" s="12" t="s">
        <v>209</v>
      </c>
      <c r="E659" s="12" t="s">
        <v>5551</v>
      </c>
      <c r="F659" s="13"/>
    </row>
    <row r="660" spans="1:6" x14ac:dyDescent="0.2">
      <c r="A660" s="12" t="s">
        <v>2251</v>
      </c>
      <c r="B660" s="11"/>
      <c r="C660" s="12" t="s">
        <v>208</v>
      </c>
      <c r="D660" s="12" t="s">
        <v>209</v>
      </c>
      <c r="E660" s="12" t="s">
        <v>5552</v>
      </c>
      <c r="F660" s="47"/>
    </row>
    <row r="661" spans="1:6" x14ac:dyDescent="0.2">
      <c r="A661" s="12" t="s">
        <v>2251</v>
      </c>
      <c r="B661" s="11"/>
      <c r="C661" s="12" t="s">
        <v>208</v>
      </c>
      <c r="D661" s="12" t="s">
        <v>209</v>
      </c>
      <c r="E661" s="12" t="s">
        <v>5553</v>
      </c>
      <c r="F661" s="47"/>
    </row>
    <row r="662" spans="1:6" x14ac:dyDescent="0.2">
      <c r="A662" s="12" t="s">
        <v>1831</v>
      </c>
      <c r="B662" s="11"/>
      <c r="C662" s="12" t="s">
        <v>16</v>
      </c>
      <c r="D662" s="12" t="s">
        <v>21</v>
      </c>
      <c r="E662" s="12" t="s">
        <v>4558</v>
      </c>
      <c r="F662" s="13"/>
    </row>
    <row r="663" spans="1:6" x14ac:dyDescent="0.2">
      <c r="A663" s="12" t="s">
        <v>1256</v>
      </c>
      <c r="B663" s="11"/>
      <c r="C663" s="12" t="s">
        <v>16</v>
      </c>
      <c r="D663" s="12" t="s">
        <v>21</v>
      </c>
      <c r="E663" s="12" t="s">
        <v>4560</v>
      </c>
      <c r="F663" s="13"/>
    </row>
    <row r="664" spans="1:6" x14ac:dyDescent="0.2">
      <c r="A664" s="12" t="s">
        <v>1230</v>
      </c>
      <c r="B664" s="11"/>
      <c r="C664" s="12" t="s">
        <v>16</v>
      </c>
      <c r="D664" s="12" t="s">
        <v>21</v>
      </c>
      <c r="E664" s="12" t="s">
        <v>4563</v>
      </c>
      <c r="F664" s="13"/>
    </row>
    <row r="665" spans="1:6" x14ac:dyDescent="0.2">
      <c r="A665" s="12" t="s">
        <v>1050</v>
      </c>
      <c r="B665" s="11"/>
      <c r="C665" s="12" t="s">
        <v>16</v>
      </c>
      <c r="D665" s="12" t="s">
        <v>21</v>
      </c>
      <c r="E665" s="12" t="s">
        <v>4565</v>
      </c>
      <c r="F665" s="13"/>
    </row>
    <row r="666" spans="1:6" x14ac:dyDescent="0.2">
      <c r="A666" s="12" t="s">
        <v>638</v>
      </c>
      <c r="B666" s="11"/>
      <c r="C666" s="12" t="s">
        <v>16</v>
      </c>
      <c r="D666" s="12" t="s">
        <v>21</v>
      </c>
      <c r="E666" s="12" t="s">
        <v>4567</v>
      </c>
      <c r="F666" s="13"/>
    </row>
    <row r="667" spans="1:6" x14ac:dyDescent="0.2">
      <c r="A667" s="12" t="s">
        <v>2092</v>
      </c>
      <c r="B667" s="11"/>
      <c r="C667" s="12" t="s">
        <v>16</v>
      </c>
      <c r="D667" s="12" t="s">
        <v>21</v>
      </c>
      <c r="E667" s="12" t="s">
        <v>4569</v>
      </c>
      <c r="F667" s="13"/>
    </row>
    <row r="668" spans="1:6" x14ac:dyDescent="0.2">
      <c r="A668" s="12" t="s">
        <v>1558</v>
      </c>
      <c r="B668" s="11"/>
      <c r="C668" s="12" t="s">
        <v>16</v>
      </c>
      <c r="D668" s="12" t="s">
        <v>21</v>
      </c>
      <c r="E668" s="12" t="s">
        <v>4571</v>
      </c>
      <c r="F668" s="13"/>
    </row>
    <row r="669" spans="1:6" x14ac:dyDescent="0.2">
      <c r="A669" s="12" t="s">
        <v>1217</v>
      </c>
      <c r="B669" s="11"/>
      <c r="C669" s="12" t="s">
        <v>16</v>
      </c>
      <c r="D669" s="12" t="s">
        <v>21</v>
      </c>
      <c r="E669" s="12" t="s">
        <v>4573</v>
      </c>
      <c r="F669" s="13"/>
    </row>
    <row r="670" spans="1:6" x14ac:dyDescent="0.2">
      <c r="A670" s="12" t="s">
        <v>1242</v>
      </c>
      <c r="B670" s="11"/>
      <c r="C670" s="12" t="s">
        <v>208</v>
      </c>
      <c r="D670" s="12" t="s">
        <v>209</v>
      </c>
      <c r="E670" s="12" t="s">
        <v>5554</v>
      </c>
      <c r="F670" s="13"/>
    </row>
    <row r="671" spans="1:6" x14ac:dyDescent="0.2">
      <c r="A671" s="12" t="s">
        <v>1308</v>
      </c>
      <c r="B671" s="11"/>
      <c r="C671" s="12" t="s">
        <v>208</v>
      </c>
      <c r="D671" s="12" t="s">
        <v>209</v>
      </c>
      <c r="E671" s="12" t="s">
        <v>5554</v>
      </c>
      <c r="F671" s="13"/>
    </row>
    <row r="672" spans="1:6" x14ac:dyDescent="0.2">
      <c r="A672" s="12" t="s">
        <v>1237</v>
      </c>
      <c r="B672" s="11"/>
      <c r="C672" s="12" t="s">
        <v>208</v>
      </c>
      <c r="D672" s="12" t="s">
        <v>209</v>
      </c>
      <c r="E672" s="12" t="s">
        <v>5554</v>
      </c>
      <c r="F672" s="13"/>
    </row>
    <row r="673" spans="1:6" x14ac:dyDescent="0.2">
      <c r="A673" s="12" t="s">
        <v>1499</v>
      </c>
      <c r="B673" s="11"/>
      <c r="C673" s="12" t="s">
        <v>208</v>
      </c>
      <c r="D673" s="12" t="s">
        <v>209</v>
      </c>
      <c r="E673" s="12" t="s">
        <v>5554</v>
      </c>
      <c r="F673" s="13"/>
    </row>
    <row r="674" spans="1:6" x14ac:dyDescent="0.2">
      <c r="A674" s="12" t="s">
        <v>2251</v>
      </c>
      <c r="B674" s="11"/>
      <c r="C674" s="12" t="s">
        <v>208</v>
      </c>
      <c r="D674" s="12" t="s">
        <v>209</v>
      </c>
      <c r="E674" s="12" t="s">
        <v>5557</v>
      </c>
      <c r="F674" s="47"/>
    </row>
    <row r="675" spans="1:6" x14ac:dyDescent="0.2">
      <c r="A675" s="12" t="s">
        <v>571</v>
      </c>
      <c r="B675" s="11"/>
      <c r="C675" s="12" t="s">
        <v>208</v>
      </c>
      <c r="D675" s="12" t="s">
        <v>209</v>
      </c>
      <c r="E675" s="12" t="s">
        <v>5558</v>
      </c>
      <c r="F675" s="13"/>
    </row>
    <row r="676" spans="1:6" x14ac:dyDescent="0.2">
      <c r="A676" s="12" t="s">
        <v>565</v>
      </c>
      <c r="B676" s="11"/>
      <c r="C676" s="12" t="s">
        <v>208</v>
      </c>
      <c r="D676" s="12" t="s">
        <v>209</v>
      </c>
      <c r="E676" s="12" t="s">
        <v>5559</v>
      </c>
      <c r="F676" s="13"/>
    </row>
    <row r="677" spans="1:6" x14ac:dyDescent="0.2">
      <c r="A677" s="12" t="s">
        <v>2251</v>
      </c>
      <c r="B677" s="11"/>
      <c r="C677" s="12" t="s">
        <v>208</v>
      </c>
      <c r="D677" s="12" t="s">
        <v>209</v>
      </c>
      <c r="E677" s="12" t="s">
        <v>5560</v>
      </c>
      <c r="F677" s="47"/>
    </row>
    <row r="678" spans="1:6" x14ac:dyDescent="0.2">
      <c r="A678" s="12" t="s">
        <v>1979</v>
      </c>
      <c r="B678" s="11"/>
      <c r="C678" s="12" t="s">
        <v>208</v>
      </c>
      <c r="D678" s="12" t="s">
        <v>209</v>
      </c>
      <c r="E678" s="12" t="s">
        <v>5561</v>
      </c>
      <c r="F678" s="13"/>
    </row>
    <row r="679" spans="1:6" x14ac:dyDescent="0.2">
      <c r="A679" s="12" t="s">
        <v>1934</v>
      </c>
      <c r="B679" s="11"/>
      <c r="C679" s="12" t="s">
        <v>208</v>
      </c>
      <c r="D679" s="12" t="s">
        <v>209</v>
      </c>
      <c r="E679" s="12" t="s">
        <v>5562</v>
      </c>
      <c r="F679" s="13"/>
    </row>
    <row r="680" spans="1:6" x14ac:dyDescent="0.2">
      <c r="A680" s="12" t="s">
        <v>1579</v>
      </c>
      <c r="B680" s="11"/>
      <c r="C680" s="12" t="s">
        <v>208</v>
      </c>
      <c r="D680" s="12" t="s">
        <v>209</v>
      </c>
      <c r="E680" s="12" t="s">
        <v>5563</v>
      </c>
      <c r="F680" s="13"/>
    </row>
    <row r="681" spans="1:6" x14ac:dyDescent="0.2">
      <c r="A681" s="12" t="s">
        <v>2251</v>
      </c>
      <c r="B681" s="11"/>
      <c r="C681" s="12" t="s">
        <v>208</v>
      </c>
      <c r="D681" s="12" t="s">
        <v>209</v>
      </c>
      <c r="E681" s="12" t="s">
        <v>5564</v>
      </c>
      <c r="F681" s="47"/>
    </row>
    <row r="682" spans="1:6" x14ac:dyDescent="0.2">
      <c r="A682" s="12" t="s">
        <v>1213</v>
      </c>
      <c r="B682" s="11"/>
      <c r="C682" s="12" t="s">
        <v>208</v>
      </c>
      <c r="D682" s="12" t="s">
        <v>209</v>
      </c>
      <c r="E682" s="12" t="s">
        <v>5565</v>
      </c>
      <c r="F682" s="13"/>
    </row>
    <row r="683" spans="1:6" x14ac:dyDescent="0.2">
      <c r="A683" s="12" t="s">
        <v>1219</v>
      </c>
      <c r="B683" s="11"/>
      <c r="C683" s="12" t="s">
        <v>16</v>
      </c>
      <c r="D683" s="12" t="s">
        <v>21</v>
      </c>
      <c r="E683" s="12" t="s">
        <v>4575</v>
      </c>
      <c r="F683" s="13"/>
    </row>
    <row r="684" spans="1:6" x14ac:dyDescent="0.2">
      <c r="A684" s="12" t="s">
        <v>1449</v>
      </c>
      <c r="B684" s="11"/>
      <c r="C684" s="12" t="s">
        <v>16</v>
      </c>
      <c r="D684" s="12" t="s">
        <v>21</v>
      </c>
      <c r="E684" s="12" t="s">
        <v>4577</v>
      </c>
      <c r="F684" s="13"/>
    </row>
    <row r="685" spans="1:6" x14ac:dyDescent="0.2">
      <c r="A685" s="12" t="s">
        <v>1196</v>
      </c>
      <c r="B685" s="11"/>
      <c r="C685" s="12" t="s">
        <v>16</v>
      </c>
      <c r="D685" s="12" t="s">
        <v>21</v>
      </c>
      <c r="E685" s="12" t="s">
        <v>4579</v>
      </c>
      <c r="F685" s="13"/>
    </row>
    <row r="686" spans="1:6" x14ac:dyDescent="0.2">
      <c r="A686" s="12" t="s">
        <v>1171</v>
      </c>
      <c r="B686" s="11"/>
      <c r="C686" s="12" t="s">
        <v>16</v>
      </c>
      <c r="D686" s="12" t="s">
        <v>21</v>
      </c>
      <c r="E686" s="12" t="s">
        <v>4582</v>
      </c>
      <c r="F686" s="13"/>
    </row>
    <row r="687" spans="1:6" x14ac:dyDescent="0.2">
      <c r="A687" s="12" t="s">
        <v>1879</v>
      </c>
      <c r="B687" s="11"/>
      <c r="C687" s="12" t="s">
        <v>16</v>
      </c>
      <c r="D687" s="12" t="s">
        <v>21</v>
      </c>
      <c r="E687" s="12" t="s">
        <v>4584</v>
      </c>
      <c r="F687" s="13"/>
    </row>
    <row r="688" spans="1:6" x14ac:dyDescent="0.2">
      <c r="A688" s="12" t="s">
        <v>334</v>
      </c>
      <c r="B688" s="11"/>
      <c r="C688" s="12" t="s">
        <v>16</v>
      </c>
      <c r="D688" s="12" t="s">
        <v>21</v>
      </c>
      <c r="E688" s="12" t="s">
        <v>4586</v>
      </c>
      <c r="F688" s="13"/>
    </row>
    <row r="689" spans="1:6" x14ac:dyDescent="0.2">
      <c r="A689" s="12" t="s">
        <v>2200</v>
      </c>
      <c r="B689" s="11"/>
      <c r="C689" s="12" t="s">
        <v>16</v>
      </c>
      <c r="D689" s="12" t="s">
        <v>21</v>
      </c>
      <c r="E689" s="12" t="s">
        <v>4588</v>
      </c>
      <c r="F689" s="13"/>
    </row>
    <row r="690" spans="1:6" x14ac:dyDescent="0.2">
      <c r="A690" s="12" t="s">
        <v>715</v>
      </c>
      <c r="B690" s="11"/>
      <c r="C690" s="12" t="s">
        <v>16</v>
      </c>
      <c r="D690" s="12" t="s">
        <v>21</v>
      </c>
      <c r="E690" s="12" t="s">
        <v>4590</v>
      </c>
      <c r="F690" s="13"/>
    </row>
    <row r="691" spans="1:6" x14ac:dyDescent="0.2">
      <c r="A691" s="12" t="s">
        <v>596</v>
      </c>
      <c r="B691" s="11"/>
      <c r="C691" s="12" t="s">
        <v>208</v>
      </c>
      <c r="D691" s="12" t="s">
        <v>209</v>
      </c>
      <c r="E691" s="12" t="s">
        <v>5566</v>
      </c>
      <c r="F691" s="13"/>
    </row>
    <row r="692" spans="1:6" x14ac:dyDescent="0.2">
      <c r="A692" s="12" t="s">
        <v>514</v>
      </c>
      <c r="B692" s="11"/>
      <c r="C692" s="12" t="s">
        <v>208</v>
      </c>
      <c r="D692" s="12" t="s">
        <v>209</v>
      </c>
      <c r="E692" s="12" t="s">
        <v>5567</v>
      </c>
      <c r="F692" s="13"/>
    </row>
    <row r="693" spans="1:6" x14ac:dyDescent="0.2">
      <c r="A693" s="12" t="s">
        <v>556</v>
      </c>
      <c r="B693" s="11"/>
      <c r="C693" s="12" t="s">
        <v>208</v>
      </c>
      <c r="D693" s="12" t="s">
        <v>209</v>
      </c>
      <c r="E693" s="12" t="s">
        <v>5568</v>
      </c>
      <c r="F693" s="13"/>
    </row>
    <row r="694" spans="1:6" x14ac:dyDescent="0.2">
      <c r="A694" s="12" t="s">
        <v>581</v>
      </c>
      <c r="B694" s="11"/>
      <c r="C694" s="12" t="s">
        <v>208</v>
      </c>
      <c r="D694" s="12" t="s">
        <v>209</v>
      </c>
      <c r="E694" s="12" t="s">
        <v>5569</v>
      </c>
      <c r="F694" s="13"/>
    </row>
    <row r="695" spans="1:6" x14ac:dyDescent="0.2">
      <c r="A695" s="12" t="s">
        <v>1982</v>
      </c>
      <c r="B695" s="11"/>
      <c r="C695" s="12" t="s">
        <v>208</v>
      </c>
      <c r="D695" s="12" t="s">
        <v>209</v>
      </c>
      <c r="E695" s="12" t="s">
        <v>5570</v>
      </c>
      <c r="F695" s="13"/>
    </row>
    <row r="696" spans="1:6" x14ac:dyDescent="0.2">
      <c r="A696" s="12" t="s">
        <v>1186</v>
      </c>
      <c r="B696" s="11"/>
      <c r="C696" s="12" t="s">
        <v>208</v>
      </c>
      <c r="D696" s="12" t="s">
        <v>209</v>
      </c>
      <c r="E696" s="12" t="s">
        <v>5571</v>
      </c>
      <c r="F696" s="13"/>
    </row>
    <row r="697" spans="1:6" x14ac:dyDescent="0.2">
      <c r="A697" s="12" t="s">
        <v>1576</v>
      </c>
      <c r="B697" s="11"/>
      <c r="C697" s="12" t="s">
        <v>208</v>
      </c>
      <c r="D697" s="12" t="s">
        <v>209</v>
      </c>
      <c r="E697" s="12" t="s">
        <v>5572</v>
      </c>
      <c r="F697" s="13"/>
    </row>
    <row r="698" spans="1:6" x14ac:dyDescent="0.2">
      <c r="A698" s="12" t="s">
        <v>1294</v>
      </c>
      <c r="B698" s="11"/>
      <c r="C698" s="12" t="s">
        <v>208</v>
      </c>
      <c r="D698" s="12" t="s">
        <v>209</v>
      </c>
      <c r="E698" s="12" t="s">
        <v>5573</v>
      </c>
      <c r="F698" s="13"/>
    </row>
    <row r="699" spans="1:6" x14ac:dyDescent="0.2">
      <c r="A699" s="12" t="s">
        <v>1209</v>
      </c>
      <c r="B699" s="11"/>
      <c r="C699" s="12" t="s">
        <v>208</v>
      </c>
      <c r="D699" s="12" t="s">
        <v>209</v>
      </c>
      <c r="E699" s="12" t="s">
        <v>5575</v>
      </c>
      <c r="F699" s="13"/>
    </row>
    <row r="700" spans="1:6" x14ac:dyDescent="0.2">
      <c r="A700" s="12" t="s">
        <v>1196</v>
      </c>
      <c r="B700" s="11"/>
      <c r="C700" s="12" t="s">
        <v>208</v>
      </c>
      <c r="D700" s="12" t="s">
        <v>209</v>
      </c>
      <c r="E700" s="12" t="s">
        <v>5576</v>
      </c>
      <c r="F700" s="13"/>
    </row>
    <row r="701" spans="1:6" x14ac:dyDescent="0.2">
      <c r="A701" s="12" t="s">
        <v>2152</v>
      </c>
      <c r="B701" s="11"/>
      <c r="C701" s="12" t="s">
        <v>16</v>
      </c>
      <c r="D701" s="12" t="s">
        <v>21</v>
      </c>
      <c r="E701" s="12" t="s">
        <v>4592</v>
      </c>
      <c r="F701" s="13"/>
    </row>
    <row r="702" spans="1:6" x14ac:dyDescent="0.2">
      <c r="A702" s="12" t="s">
        <v>2200</v>
      </c>
      <c r="B702" s="11"/>
      <c r="C702" s="12" t="s">
        <v>16</v>
      </c>
      <c r="D702" s="12" t="s">
        <v>21</v>
      </c>
      <c r="E702" s="12" t="s">
        <v>4594</v>
      </c>
      <c r="F702" s="13"/>
    </row>
    <row r="703" spans="1:6" x14ac:dyDescent="0.2">
      <c r="A703" s="12" t="s">
        <v>626</v>
      </c>
      <c r="B703" s="11"/>
      <c r="C703" s="12" t="s">
        <v>16</v>
      </c>
      <c r="D703" s="12" t="s">
        <v>21</v>
      </c>
      <c r="E703" s="12" t="s">
        <v>4596</v>
      </c>
      <c r="F703" s="13"/>
    </row>
    <row r="704" spans="1:6" x14ac:dyDescent="0.2">
      <c r="A704" s="12" t="s">
        <v>285</v>
      </c>
      <c r="B704" s="11"/>
      <c r="C704" s="12" t="s">
        <v>16</v>
      </c>
      <c r="D704" s="12" t="s">
        <v>21</v>
      </c>
      <c r="E704" s="12" t="s">
        <v>4598</v>
      </c>
      <c r="F704" s="13"/>
    </row>
    <row r="705" spans="1:6" x14ac:dyDescent="0.2">
      <c r="A705" s="12" t="s">
        <v>1193</v>
      </c>
      <c r="B705" s="11"/>
      <c r="C705" s="12" t="s">
        <v>16</v>
      </c>
      <c r="D705" s="12" t="s">
        <v>21</v>
      </c>
      <c r="E705" s="12" t="s">
        <v>4600</v>
      </c>
      <c r="F705" s="13"/>
    </row>
    <row r="706" spans="1:6" x14ac:dyDescent="0.2">
      <c r="A706" s="12" t="s">
        <v>1050</v>
      </c>
      <c r="B706" s="11"/>
      <c r="C706" s="12" t="s">
        <v>16</v>
      </c>
      <c r="D706" s="12" t="s">
        <v>21</v>
      </c>
      <c r="E706" s="12" t="s">
        <v>4602</v>
      </c>
      <c r="F706" s="13"/>
    </row>
    <row r="707" spans="1:6" x14ac:dyDescent="0.2">
      <c r="A707" s="12" t="s">
        <v>304</v>
      </c>
      <c r="B707" s="11"/>
      <c r="C707" s="12" t="s">
        <v>16</v>
      </c>
      <c r="D707" s="12" t="s">
        <v>21</v>
      </c>
      <c r="E707" s="12" t="s">
        <v>4604</v>
      </c>
      <c r="F707" s="13"/>
    </row>
    <row r="708" spans="1:6" x14ac:dyDescent="0.2">
      <c r="A708" s="12" t="s">
        <v>2251</v>
      </c>
      <c r="B708" s="11"/>
      <c r="C708" s="12" t="s">
        <v>16</v>
      </c>
      <c r="D708" s="12" t="s">
        <v>21</v>
      </c>
      <c r="E708" s="12" t="s">
        <v>4606</v>
      </c>
      <c r="F708" s="47"/>
    </row>
    <row r="709" spans="1:6" x14ac:dyDescent="0.2">
      <c r="A709" s="12" t="s">
        <v>826</v>
      </c>
      <c r="B709" s="11"/>
      <c r="C709" s="12" t="s">
        <v>208</v>
      </c>
      <c r="D709" s="12" t="s">
        <v>209</v>
      </c>
      <c r="E709" s="12" t="s">
        <v>5578</v>
      </c>
      <c r="F709" s="13"/>
    </row>
    <row r="710" spans="1:6" x14ac:dyDescent="0.2">
      <c r="A710" s="12" t="s">
        <v>2120</v>
      </c>
      <c r="B710" s="11"/>
      <c r="C710" s="12" t="s">
        <v>208</v>
      </c>
      <c r="D710" s="12" t="s">
        <v>209</v>
      </c>
      <c r="E710" s="12" t="s">
        <v>5579</v>
      </c>
      <c r="F710" s="13"/>
    </row>
    <row r="711" spans="1:6" x14ac:dyDescent="0.2">
      <c r="A711" s="12" t="s">
        <v>579</v>
      </c>
      <c r="B711" s="11"/>
      <c r="C711" s="12" t="s">
        <v>208</v>
      </c>
      <c r="D711" s="12" t="s">
        <v>209</v>
      </c>
      <c r="E711" s="12" t="s">
        <v>5580</v>
      </c>
      <c r="F711" s="13"/>
    </row>
    <row r="712" spans="1:6" x14ac:dyDescent="0.2">
      <c r="A712" s="12" t="s">
        <v>593</v>
      </c>
      <c r="B712" s="11"/>
      <c r="C712" s="12" t="s">
        <v>208</v>
      </c>
      <c r="D712" s="12" t="s">
        <v>209</v>
      </c>
      <c r="E712" s="12" t="s">
        <v>5581</v>
      </c>
      <c r="F712" s="13"/>
    </row>
    <row r="713" spans="1:6" x14ac:dyDescent="0.2">
      <c r="A713" s="12" t="s">
        <v>632</v>
      </c>
      <c r="B713" s="11"/>
      <c r="C713" s="12" t="s">
        <v>208</v>
      </c>
      <c r="D713" s="12" t="s">
        <v>209</v>
      </c>
      <c r="E713" s="12" t="s">
        <v>5582</v>
      </c>
      <c r="F713" s="13"/>
    </row>
    <row r="714" spans="1:6" x14ac:dyDescent="0.2">
      <c r="A714" s="12" t="s">
        <v>1050</v>
      </c>
      <c r="B714" s="11"/>
      <c r="C714" s="12" t="s">
        <v>208</v>
      </c>
      <c r="D714" s="12" t="s">
        <v>209</v>
      </c>
      <c r="E714" s="12" t="s">
        <v>5583</v>
      </c>
      <c r="F714" s="13"/>
    </row>
    <row r="715" spans="1:6" x14ac:dyDescent="0.2">
      <c r="A715" s="12" t="s">
        <v>304</v>
      </c>
      <c r="B715" s="11"/>
      <c r="C715" s="12" t="s">
        <v>208</v>
      </c>
      <c r="D715" s="12" t="s">
        <v>209</v>
      </c>
      <c r="E715" s="12" t="s">
        <v>5584</v>
      </c>
      <c r="F715" s="13"/>
    </row>
    <row r="716" spans="1:6" x14ac:dyDescent="0.2">
      <c r="A716" s="12" t="s">
        <v>2251</v>
      </c>
      <c r="B716" s="11"/>
      <c r="C716" s="12" t="s">
        <v>208</v>
      </c>
      <c r="D716" s="12" t="s">
        <v>209</v>
      </c>
      <c r="E716" s="12" t="s">
        <v>5585</v>
      </c>
      <c r="F716" s="47"/>
    </row>
    <row r="717" spans="1:6" x14ac:dyDescent="0.2">
      <c r="A717" s="12" t="s">
        <v>2251</v>
      </c>
      <c r="B717" s="11"/>
      <c r="C717" s="12" t="s">
        <v>208</v>
      </c>
      <c r="D717" s="12" t="s">
        <v>209</v>
      </c>
      <c r="E717" s="12" t="s">
        <v>5586</v>
      </c>
      <c r="F717" s="47"/>
    </row>
    <row r="718" spans="1:6" x14ac:dyDescent="0.2">
      <c r="A718" s="12" t="s">
        <v>1201</v>
      </c>
      <c r="B718" s="11"/>
      <c r="C718" s="12" t="s">
        <v>208</v>
      </c>
      <c r="D718" s="12" t="s">
        <v>209</v>
      </c>
      <c r="E718" s="12" t="s">
        <v>5587</v>
      </c>
      <c r="F718" s="13"/>
    </row>
    <row r="719" spans="1:6" x14ac:dyDescent="0.2">
      <c r="A719" s="12" t="s">
        <v>638</v>
      </c>
      <c r="B719" s="11"/>
      <c r="C719" s="12" t="s">
        <v>16</v>
      </c>
      <c r="D719" s="12" t="s">
        <v>21</v>
      </c>
      <c r="E719" s="12" t="s">
        <v>4607</v>
      </c>
      <c r="F719" s="13"/>
    </row>
    <row r="720" spans="1:6" x14ac:dyDescent="0.2">
      <c r="A720" s="12" t="s">
        <v>320</v>
      </c>
      <c r="B720" s="11"/>
      <c r="C720" s="12" t="s">
        <v>16</v>
      </c>
      <c r="D720" s="12" t="s">
        <v>21</v>
      </c>
      <c r="E720" s="12" t="s">
        <v>4609</v>
      </c>
      <c r="F720" s="13"/>
    </row>
    <row r="721" spans="1:6" x14ac:dyDescent="0.2">
      <c r="A721" s="12" t="s">
        <v>285</v>
      </c>
      <c r="B721" s="11"/>
      <c r="C721" s="12" t="s">
        <v>16</v>
      </c>
      <c r="D721" s="12" t="s">
        <v>21</v>
      </c>
      <c r="E721" s="12" t="s">
        <v>4611</v>
      </c>
      <c r="F721" s="13"/>
    </row>
    <row r="722" spans="1:6" x14ac:dyDescent="0.2">
      <c r="A722" s="12" t="s">
        <v>2251</v>
      </c>
      <c r="B722" s="11"/>
      <c r="C722" s="12" t="s">
        <v>16</v>
      </c>
      <c r="D722" s="12" t="s">
        <v>21</v>
      </c>
      <c r="E722" s="12" t="s">
        <v>4613</v>
      </c>
      <c r="F722" s="47"/>
    </row>
    <row r="723" spans="1:6" x14ac:dyDescent="0.2">
      <c r="A723" s="12" t="s">
        <v>2190</v>
      </c>
      <c r="B723" s="11"/>
      <c r="C723" s="12" t="s">
        <v>16</v>
      </c>
      <c r="D723" s="12" t="s">
        <v>21</v>
      </c>
      <c r="E723" s="12" t="s">
        <v>4614</v>
      </c>
      <c r="F723" s="13"/>
    </row>
    <row r="724" spans="1:6" x14ac:dyDescent="0.2">
      <c r="A724" s="12" t="s">
        <v>1235</v>
      </c>
      <c r="B724" s="11"/>
      <c r="C724" s="12" t="s">
        <v>16</v>
      </c>
      <c r="D724" s="12" t="s">
        <v>21</v>
      </c>
      <c r="E724" s="12" t="s">
        <v>4616</v>
      </c>
      <c r="F724" s="13"/>
    </row>
    <row r="725" spans="1:6" x14ac:dyDescent="0.2">
      <c r="A725" s="12" t="s">
        <v>327</v>
      </c>
      <c r="B725" s="11"/>
      <c r="C725" s="12" t="s">
        <v>16</v>
      </c>
      <c r="D725" s="12" t="s">
        <v>21</v>
      </c>
      <c r="E725" s="12" t="s">
        <v>4618</v>
      </c>
      <c r="F725" s="13"/>
    </row>
    <row r="726" spans="1:6" x14ac:dyDescent="0.2">
      <c r="A726" s="12" t="s">
        <v>2251</v>
      </c>
      <c r="B726" s="11"/>
      <c r="C726" s="12" t="s">
        <v>16</v>
      </c>
      <c r="D726" s="12" t="s">
        <v>21</v>
      </c>
      <c r="E726" s="12" t="s">
        <v>4620</v>
      </c>
      <c r="F726" s="47"/>
    </row>
    <row r="727" spans="1:6" x14ac:dyDescent="0.2">
      <c r="A727" s="12" t="s">
        <v>2251</v>
      </c>
      <c r="B727" s="11"/>
      <c r="C727" s="12" t="s">
        <v>208</v>
      </c>
      <c r="D727" s="12" t="s">
        <v>209</v>
      </c>
      <c r="E727" s="12" t="s">
        <v>5588</v>
      </c>
      <c r="F727" s="47"/>
    </row>
    <row r="728" spans="1:6" x14ac:dyDescent="0.2">
      <c r="A728" s="12" t="s">
        <v>2251</v>
      </c>
      <c r="B728" s="11"/>
      <c r="C728" s="12" t="s">
        <v>208</v>
      </c>
      <c r="D728" s="12" t="s">
        <v>209</v>
      </c>
      <c r="E728" s="12" t="s">
        <v>5589</v>
      </c>
      <c r="F728" s="47"/>
    </row>
    <row r="729" spans="1:6" x14ac:dyDescent="0.2">
      <c r="A729" s="12" t="s">
        <v>2155</v>
      </c>
      <c r="B729" s="11"/>
      <c r="C729" s="12" t="s">
        <v>208</v>
      </c>
      <c r="D729" s="12" t="s">
        <v>209</v>
      </c>
      <c r="E729" s="12" t="s">
        <v>5590</v>
      </c>
      <c r="F729" s="13"/>
    </row>
    <row r="730" spans="1:6" x14ac:dyDescent="0.2">
      <c r="A730" s="12" t="s">
        <v>2251</v>
      </c>
      <c r="B730" s="11"/>
      <c r="C730" s="12" t="s">
        <v>208</v>
      </c>
      <c r="D730" s="12" t="s">
        <v>209</v>
      </c>
      <c r="E730" s="12" t="s">
        <v>5591</v>
      </c>
      <c r="F730" s="47"/>
    </row>
    <row r="731" spans="1:6" x14ac:dyDescent="0.2">
      <c r="A731" s="12" t="s">
        <v>2251</v>
      </c>
      <c r="B731" s="11"/>
      <c r="C731" s="12" t="s">
        <v>208</v>
      </c>
      <c r="D731" s="12" t="s">
        <v>209</v>
      </c>
      <c r="E731" s="12" t="s">
        <v>5592</v>
      </c>
      <c r="F731" s="47"/>
    </row>
    <row r="732" spans="1:6" x14ac:dyDescent="0.2">
      <c r="A732" s="12" t="s">
        <v>1849</v>
      </c>
      <c r="B732" s="11"/>
      <c r="C732" s="12" t="s">
        <v>208</v>
      </c>
      <c r="D732" s="12" t="s">
        <v>209</v>
      </c>
      <c r="E732" s="12" t="s">
        <v>5593</v>
      </c>
      <c r="F732" s="13"/>
    </row>
    <row r="733" spans="1:6" x14ac:dyDescent="0.2">
      <c r="A733" s="12" t="s">
        <v>1193</v>
      </c>
      <c r="B733" s="11"/>
      <c r="C733" s="12" t="s">
        <v>208</v>
      </c>
      <c r="D733" s="12" t="s">
        <v>209</v>
      </c>
      <c r="E733" s="12" t="s">
        <v>5594</v>
      </c>
      <c r="F733" s="13"/>
    </row>
    <row r="734" spans="1:6" x14ac:dyDescent="0.2">
      <c r="A734" s="12" t="s">
        <v>327</v>
      </c>
      <c r="B734" s="11"/>
      <c r="C734" s="12" t="s">
        <v>16</v>
      </c>
      <c r="D734" s="12" t="s">
        <v>21</v>
      </c>
      <c r="E734" s="12" t="s">
        <v>4621</v>
      </c>
      <c r="F734" s="13"/>
    </row>
    <row r="735" spans="1:6" x14ac:dyDescent="0.2">
      <c r="A735" s="12" t="s">
        <v>304</v>
      </c>
      <c r="B735" s="11"/>
      <c r="C735" s="12" t="s">
        <v>16</v>
      </c>
      <c r="D735" s="12" t="s">
        <v>21</v>
      </c>
      <c r="E735" s="12" t="s">
        <v>4623</v>
      </c>
      <c r="F735" s="13"/>
    </row>
    <row r="736" spans="1:6" x14ac:dyDescent="0.2">
      <c r="A736" s="12" t="s">
        <v>2251</v>
      </c>
      <c r="B736" s="11"/>
      <c r="C736" s="12" t="s">
        <v>16</v>
      </c>
      <c r="D736" s="12" t="s">
        <v>21</v>
      </c>
      <c r="E736" s="12" t="s">
        <v>4625</v>
      </c>
      <c r="F736" s="47"/>
    </row>
    <row r="737" spans="1:6" x14ac:dyDescent="0.2">
      <c r="A737" s="12" t="s">
        <v>656</v>
      </c>
      <c r="B737" s="11"/>
      <c r="C737" s="12" t="s">
        <v>16</v>
      </c>
      <c r="D737" s="12" t="s">
        <v>21</v>
      </c>
      <c r="E737" s="12" t="s">
        <v>4626</v>
      </c>
      <c r="F737" s="13"/>
    </row>
    <row r="738" spans="1:6" x14ac:dyDescent="0.2">
      <c r="A738" s="12" t="s">
        <v>1131</v>
      </c>
      <c r="B738" s="11"/>
      <c r="C738" s="12" t="s">
        <v>16</v>
      </c>
      <c r="D738" s="12" t="s">
        <v>21</v>
      </c>
      <c r="E738" s="12" t="s">
        <v>4629</v>
      </c>
      <c r="F738" s="47"/>
    </row>
    <row r="739" spans="1:6" x14ac:dyDescent="0.2">
      <c r="A739" s="12" t="s">
        <v>1943</v>
      </c>
      <c r="B739" s="11"/>
      <c r="C739" s="12" t="s">
        <v>16</v>
      </c>
      <c r="D739" s="12" t="s">
        <v>21</v>
      </c>
      <c r="E739" s="12" t="s">
        <v>4631</v>
      </c>
      <c r="F739" s="13"/>
    </row>
    <row r="740" spans="1:6" x14ac:dyDescent="0.2">
      <c r="A740" s="12" t="s">
        <v>1254</v>
      </c>
      <c r="B740" s="11"/>
      <c r="C740" s="12" t="s">
        <v>16</v>
      </c>
      <c r="D740" s="12" t="s">
        <v>21</v>
      </c>
      <c r="E740" s="12" t="s">
        <v>4633</v>
      </c>
      <c r="F740" s="13"/>
    </row>
    <row r="741" spans="1:6" x14ac:dyDescent="0.2">
      <c r="A741" s="12" t="s">
        <v>285</v>
      </c>
      <c r="B741" s="11"/>
      <c r="C741" s="12" t="s">
        <v>16</v>
      </c>
      <c r="D741" s="12" t="s">
        <v>21</v>
      </c>
      <c r="E741" s="12" t="s">
        <v>4636</v>
      </c>
      <c r="F741" s="13"/>
    </row>
    <row r="742" spans="1:6" x14ac:dyDescent="0.2">
      <c r="A742" s="12" t="s">
        <v>1822</v>
      </c>
      <c r="B742" s="11"/>
      <c r="C742" s="12" t="s">
        <v>208</v>
      </c>
      <c r="D742" s="12" t="s">
        <v>209</v>
      </c>
      <c r="E742" s="12" t="s">
        <v>5595</v>
      </c>
      <c r="F742" s="13"/>
    </row>
    <row r="743" spans="1:6" x14ac:dyDescent="0.2">
      <c r="A743" s="12" t="s">
        <v>1035</v>
      </c>
      <c r="B743" s="11"/>
      <c r="C743" s="12" t="s">
        <v>208</v>
      </c>
      <c r="D743" s="12" t="s">
        <v>209</v>
      </c>
      <c r="E743" s="12" t="s">
        <v>5596</v>
      </c>
      <c r="F743" s="13"/>
    </row>
    <row r="744" spans="1:6" x14ac:dyDescent="0.2">
      <c r="A744" s="12" t="s">
        <v>2159</v>
      </c>
      <c r="B744" s="11"/>
      <c r="C744" s="12" t="s">
        <v>208</v>
      </c>
      <c r="D744" s="12" t="s">
        <v>209</v>
      </c>
      <c r="E744" s="12" t="s">
        <v>5597</v>
      </c>
      <c r="F744" s="13"/>
    </row>
    <row r="745" spans="1:6" x14ac:dyDescent="0.2">
      <c r="A745" s="12" t="s">
        <v>1812</v>
      </c>
      <c r="B745" s="11"/>
      <c r="C745" s="12" t="s">
        <v>208</v>
      </c>
      <c r="D745" s="12" t="s">
        <v>209</v>
      </c>
      <c r="E745" s="12" t="s">
        <v>5598</v>
      </c>
      <c r="F745" s="13"/>
    </row>
    <row r="746" spans="1:6" x14ac:dyDescent="0.2">
      <c r="A746" s="12" t="s">
        <v>1019</v>
      </c>
      <c r="B746" s="11"/>
      <c r="C746" s="12" t="s">
        <v>208</v>
      </c>
      <c r="D746" s="12" t="s">
        <v>209</v>
      </c>
      <c r="E746" s="12" t="s">
        <v>5599</v>
      </c>
      <c r="F746" s="13"/>
    </row>
    <row r="747" spans="1:6" x14ac:dyDescent="0.2">
      <c r="A747" s="12" t="s">
        <v>727</v>
      </c>
      <c r="B747" s="11"/>
      <c r="C747" s="12" t="s">
        <v>208</v>
      </c>
      <c r="D747" s="12" t="s">
        <v>209</v>
      </c>
      <c r="E747" s="12" t="s">
        <v>5600</v>
      </c>
      <c r="F747" s="13"/>
    </row>
    <row r="748" spans="1:6" x14ac:dyDescent="0.2">
      <c r="A748" s="12" t="s">
        <v>1164</v>
      </c>
      <c r="B748" s="11"/>
      <c r="C748" s="12" t="s">
        <v>208</v>
      </c>
      <c r="D748" s="12" t="s">
        <v>209</v>
      </c>
      <c r="E748" s="12" t="s">
        <v>5601</v>
      </c>
      <c r="F748" s="13"/>
    </row>
    <row r="749" spans="1:6" x14ac:dyDescent="0.2">
      <c r="A749" s="12" t="s">
        <v>1168</v>
      </c>
      <c r="B749" s="11"/>
      <c r="C749" s="12" t="s">
        <v>208</v>
      </c>
      <c r="D749" s="12" t="s">
        <v>209</v>
      </c>
      <c r="E749" s="12" t="s">
        <v>5602</v>
      </c>
      <c r="F749" s="13"/>
    </row>
    <row r="750" spans="1:6" x14ac:dyDescent="0.2">
      <c r="A750" s="12" t="s">
        <v>2202</v>
      </c>
      <c r="B750" s="11"/>
      <c r="C750" s="12" t="s">
        <v>16</v>
      </c>
      <c r="D750" s="12" t="s">
        <v>21</v>
      </c>
      <c r="E750" s="12" t="s">
        <v>4638</v>
      </c>
      <c r="F750" s="13"/>
    </row>
    <row r="751" spans="1:6" x14ac:dyDescent="0.2">
      <c r="A751" s="12" t="s">
        <v>408</v>
      </c>
      <c r="B751" s="11"/>
      <c r="C751" s="12" t="s">
        <v>16</v>
      </c>
      <c r="D751" s="12" t="s">
        <v>21</v>
      </c>
      <c r="E751" s="12" t="s">
        <v>4640</v>
      </c>
      <c r="F751" s="13"/>
    </row>
    <row r="752" spans="1:6" x14ac:dyDescent="0.2">
      <c r="A752" s="12" t="s">
        <v>2251</v>
      </c>
      <c r="B752" s="11"/>
      <c r="C752" s="12" t="s">
        <v>16</v>
      </c>
      <c r="D752" s="12" t="s">
        <v>21</v>
      </c>
      <c r="E752" s="12" t="s">
        <v>4642</v>
      </c>
      <c r="F752" s="47"/>
    </row>
    <row r="753" spans="1:6" x14ac:dyDescent="0.2">
      <c r="A753" s="12" t="s">
        <v>2152</v>
      </c>
      <c r="B753" s="11"/>
      <c r="C753" s="12" t="s">
        <v>16</v>
      </c>
      <c r="D753" s="12" t="s">
        <v>21</v>
      </c>
      <c r="E753" s="12" t="s">
        <v>4643</v>
      </c>
      <c r="F753" s="13"/>
    </row>
    <row r="754" spans="1:6" x14ac:dyDescent="0.2">
      <c r="A754" s="12" t="s">
        <v>285</v>
      </c>
      <c r="B754" s="11"/>
      <c r="C754" s="12" t="s">
        <v>16</v>
      </c>
      <c r="D754" s="12" t="s">
        <v>21</v>
      </c>
      <c r="E754" s="12" t="s">
        <v>4645</v>
      </c>
      <c r="F754" s="13"/>
    </row>
    <row r="755" spans="1:6" x14ac:dyDescent="0.2">
      <c r="A755" s="12" t="s">
        <v>285</v>
      </c>
      <c r="B755" s="11"/>
      <c r="C755" s="12" t="s">
        <v>16</v>
      </c>
      <c r="D755" s="12" t="s">
        <v>21</v>
      </c>
      <c r="E755" s="12" t="s">
        <v>4647</v>
      </c>
      <c r="F755" s="13"/>
    </row>
    <row r="756" spans="1:6" x14ac:dyDescent="0.2">
      <c r="A756" s="12" t="s">
        <v>2152</v>
      </c>
      <c r="B756" s="11"/>
      <c r="C756" s="12" t="s">
        <v>16</v>
      </c>
      <c r="D756" s="12" t="s">
        <v>21</v>
      </c>
      <c r="E756" s="12" t="s">
        <v>4649</v>
      </c>
      <c r="F756" s="13"/>
    </row>
    <row r="757" spans="1:6" x14ac:dyDescent="0.2">
      <c r="A757" s="12" t="s">
        <v>1532</v>
      </c>
      <c r="B757" s="11"/>
      <c r="C757" s="12" t="s">
        <v>16</v>
      </c>
      <c r="D757" s="12" t="s">
        <v>21</v>
      </c>
      <c r="E757" s="12" t="s">
        <v>4651</v>
      </c>
      <c r="F757" s="13"/>
    </row>
    <row r="758" spans="1:6" x14ac:dyDescent="0.2">
      <c r="A758" s="12" t="s">
        <v>995</v>
      </c>
      <c r="B758" s="11"/>
      <c r="C758" s="12" t="s">
        <v>208</v>
      </c>
      <c r="D758" s="12" t="s">
        <v>209</v>
      </c>
      <c r="E758" s="12" t="s">
        <v>5603</v>
      </c>
      <c r="F758" s="47"/>
    </row>
    <row r="759" spans="1:6" x14ac:dyDescent="0.2">
      <c r="A759" s="12" t="s">
        <v>1031</v>
      </c>
      <c r="B759" s="11"/>
      <c r="C759" s="12" t="s">
        <v>208</v>
      </c>
      <c r="D759" s="12" t="s">
        <v>209</v>
      </c>
      <c r="E759" s="12" t="s">
        <v>5604</v>
      </c>
      <c r="F759" s="13"/>
    </row>
    <row r="760" spans="1:6" x14ac:dyDescent="0.2">
      <c r="A760" s="12" t="s">
        <v>479</v>
      </c>
      <c r="B760" s="11"/>
      <c r="C760" s="12" t="s">
        <v>208</v>
      </c>
      <c r="D760" s="12" t="s">
        <v>209</v>
      </c>
      <c r="E760" s="12" t="s">
        <v>5605</v>
      </c>
      <c r="F760" s="13"/>
    </row>
    <row r="761" spans="1:6" x14ac:dyDescent="0.2">
      <c r="A761" s="12" t="s">
        <v>491</v>
      </c>
      <c r="B761" s="11"/>
      <c r="C761" s="12" t="s">
        <v>208</v>
      </c>
      <c r="D761" s="12" t="s">
        <v>209</v>
      </c>
      <c r="E761" s="12" t="s">
        <v>5606</v>
      </c>
      <c r="F761" s="13"/>
    </row>
    <row r="762" spans="1:6" x14ac:dyDescent="0.2">
      <c r="A762" s="12" t="s">
        <v>2251</v>
      </c>
      <c r="B762" s="11"/>
      <c r="C762" s="12" t="s">
        <v>208</v>
      </c>
      <c r="D762" s="12" t="s">
        <v>209</v>
      </c>
      <c r="E762" s="12" t="s">
        <v>5607</v>
      </c>
      <c r="F762" s="47"/>
    </row>
    <row r="763" spans="1:6" x14ac:dyDescent="0.2">
      <c r="A763" s="12" t="s">
        <v>611</v>
      </c>
      <c r="B763" s="11"/>
      <c r="C763" s="12" t="s">
        <v>208</v>
      </c>
      <c r="D763" s="12" t="s">
        <v>209</v>
      </c>
      <c r="E763" s="12" t="s">
        <v>5608</v>
      </c>
      <c r="F763" s="13"/>
    </row>
    <row r="764" spans="1:6" x14ac:dyDescent="0.2">
      <c r="A764" s="12" t="s">
        <v>1215</v>
      </c>
      <c r="B764" s="11"/>
      <c r="C764" s="12" t="s">
        <v>208</v>
      </c>
      <c r="D764" s="12" t="s">
        <v>209</v>
      </c>
      <c r="E764" s="12" t="s">
        <v>5609</v>
      </c>
      <c r="F764" s="13"/>
    </row>
    <row r="765" spans="1:6" x14ac:dyDescent="0.2">
      <c r="A765" s="12" t="s">
        <v>656</v>
      </c>
      <c r="B765" s="11"/>
      <c r="C765" s="12" t="s">
        <v>208</v>
      </c>
      <c r="D765" s="12" t="s">
        <v>209</v>
      </c>
      <c r="E765" s="12" t="s">
        <v>5610</v>
      </c>
      <c r="F765" s="13"/>
    </row>
    <row r="766" spans="1:6" x14ac:dyDescent="0.2">
      <c r="A766" s="12" t="s">
        <v>2174</v>
      </c>
      <c r="B766" s="11"/>
      <c r="C766" s="12" t="s">
        <v>16</v>
      </c>
      <c r="D766" s="12" t="s">
        <v>6</v>
      </c>
      <c r="E766" s="12" t="s">
        <v>4654</v>
      </c>
      <c r="F766" s="13"/>
    </row>
    <row r="767" spans="1:6" x14ac:dyDescent="0.2">
      <c r="A767" s="12" t="s">
        <v>2043</v>
      </c>
      <c r="B767" s="11"/>
      <c r="C767" s="12" t="s">
        <v>16</v>
      </c>
      <c r="D767" s="12" t="s">
        <v>6</v>
      </c>
      <c r="E767" s="12" t="s">
        <v>4656</v>
      </c>
      <c r="F767" s="13"/>
    </row>
    <row r="768" spans="1:6" x14ac:dyDescent="0.2">
      <c r="A768" s="12" t="s">
        <v>696</v>
      </c>
      <c r="B768" s="11"/>
      <c r="C768" s="12" t="s">
        <v>16</v>
      </c>
      <c r="D768" s="12" t="s">
        <v>6</v>
      </c>
      <c r="E768" s="12" t="s">
        <v>4658</v>
      </c>
      <c r="F768" s="13"/>
    </row>
    <row r="769" spans="1:6" x14ac:dyDescent="0.2">
      <c r="A769" s="12" t="s">
        <v>696</v>
      </c>
      <c r="B769" s="11"/>
      <c r="C769" s="12" t="s">
        <v>16</v>
      </c>
      <c r="D769" s="12" t="s">
        <v>6</v>
      </c>
      <c r="E769" s="12" t="s">
        <v>4660</v>
      </c>
      <c r="F769" s="13"/>
    </row>
    <row r="770" spans="1:6" x14ac:dyDescent="0.2">
      <c r="A770" s="12" t="s">
        <v>2202</v>
      </c>
      <c r="B770" s="11"/>
      <c r="C770" s="12" t="s">
        <v>16</v>
      </c>
      <c r="D770" s="12" t="s">
        <v>21</v>
      </c>
      <c r="E770" s="12" t="s">
        <v>4662</v>
      </c>
      <c r="F770" s="13"/>
    </row>
    <row r="771" spans="1:6" x14ac:dyDescent="0.2">
      <c r="A771" s="12" t="s">
        <v>285</v>
      </c>
      <c r="B771" s="11"/>
      <c r="C771" s="12" t="s">
        <v>16</v>
      </c>
      <c r="D771" s="12" t="s">
        <v>21</v>
      </c>
      <c r="E771" s="12" t="s">
        <v>4664</v>
      </c>
      <c r="F771" s="13"/>
    </row>
    <row r="772" spans="1:6" x14ac:dyDescent="0.2">
      <c r="A772" s="12" t="s">
        <v>393</v>
      </c>
      <c r="B772" s="11"/>
      <c r="C772" s="12" t="s">
        <v>16</v>
      </c>
      <c r="D772" s="12" t="s">
        <v>21</v>
      </c>
      <c r="E772" s="12" t="s">
        <v>4666</v>
      </c>
      <c r="F772" s="13"/>
    </row>
    <row r="773" spans="1:6" x14ac:dyDescent="0.2">
      <c r="A773" s="12" t="s">
        <v>2200</v>
      </c>
      <c r="B773" s="11"/>
      <c r="C773" s="12" t="s">
        <v>16</v>
      </c>
      <c r="D773" s="12" t="s">
        <v>21</v>
      </c>
      <c r="E773" s="12" t="s">
        <v>4668</v>
      </c>
      <c r="F773" s="13"/>
    </row>
    <row r="774" spans="1:6" x14ac:dyDescent="0.2">
      <c r="A774" s="12" t="s">
        <v>1845</v>
      </c>
      <c r="B774" s="11"/>
      <c r="C774" s="12" t="s">
        <v>208</v>
      </c>
      <c r="D774" s="12" t="s">
        <v>209</v>
      </c>
      <c r="E774" s="12" t="s">
        <v>5612</v>
      </c>
      <c r="F774" s="13"/>
    </row>
    <row r="775" spans="1:6" x14ac:dyDescent="0.2">
      <c r="A775" s="12" t="s">
        <v>1818</v>
      </c>
      <c r="B775" s="11"/>
      <c r="C775" s="12" t="s">
        <v>208</v>
      </c>
      <c r="D775" s="12" t="s">
        <v>209</v>
      </c>
      <c r="E775" s="12" t="s">
        <v>5613</v>
      </c>
      <c r="F775" s="13"/>
    </row>
    <row r="776" spans="1:6" x14ac:dyDescent="0.2">
      <c r="A776" s="12" t="s">
        <v>1854</v>
      </c>
      <c r="B776" s="11"/>
      <c r="C776" s="12" t="s">
        <v>208</v>
      </c>
      <c r="D776" s="12" t="s">
        <v>209</v>
      </c>
      <c r="E776" s="12" t="s">
        <v>5614</v>
      </c>
      <c r="F776" s="13"/>
    </row>
    <row r="777" spans="1:6" x14ac:dyDescent="0.2">
      <c r="A777" s="12" t="s">
        <v>841</v>
      </c>
      <c r="B777" s="11"/>
      <c r="C777" s="12" t="s">
        <v>208</v>
      </c>
      <c r="D777" s="12" t="s">
        <v>209</v>
      </c>
      <c r="E777" s="12" t="s">
        <v>5615</v>
      </c>
      <c r="F777" s="13"/>
    </row>
    <row r="778" spans="1:6" x14ac:dyDescent="0.2">
      <c r="A778" s="12" t="s">
        <v>2174</v>
      </c>
      <c r="B778" s="11"/>
      <c r="C778" s="12" t="s">
        <v>208</v>
      </c>
      <c r="D778" s="12" t="s">
        <v>209</v>
      </c>
      <c r="E778" s="12" t="s">
        <v>5616</v>
      </c>
      <c r="F778" s="13"/>
    </row>
    <row r="779" spans="1:6" x14ac:dyDescent="0.2">
      <c r="A779" s="12" t="s">
        <v>2008</v>
      </c>
      <c r="B779" s="11"/>
      <c r="C779" s="12" t="s">
        <v>208</v>
      </c>
      <c r="D779" s="12" t="s">
        <v>209</v>
      </c>
      <c r="E779" s="12" t="s">
        <v>5617</v>
      </c>
      <c r="F779" s="13"/>
    </row>
    <row r="780" spans="1:6" x14ac:dyDescent="0.2">
      <c r="A780" s="12" t="s">
        <v>2251</v>
      </c>
      <c r="B780" s="11"/>
      <c r="C780" s="12" t="s">
        <v>208</v>
      </c>
      <c r="D780" s="12" t="s">
        <v>209</v>
      </c>
      <c r="E780" s="12" t="s">
        <v>5618</v>
      </c>
      <c r="F780" s="47"/>
    </row>
    <row r="781" spans="1:6" x14ac:dyDescent="0.2">
      <c r="A781" s="12" t="s">
        <v>659</v>
      </c>
      <c r="B781" s="11"/>
      <c r="C781" s="12" t="s">
        <v>208</v>
      </c>
      <c r="D781" s="12" t="s">
        <v>209</v>
      </c>
      <c r="E781" s="12" t="s">
        <v>5619</v>
      </c>
      <c r="F781" s="13"/>
    </row>
    <row r="782" spans="1:6" x14ac:dyDescent="0.2">
      <c r="A782" s="12" t="s">
        <v>2039</v>
      </c>
      <c r="B782" s="11"/>
      <c r="C782" s="12" t="s">
        <v>16</v>
      </c>
      <c r="D782" s="12" t="s">
        <v>6</v>
      </c>
      <c r="E782" s="12" t="s">
        <v>4670</v>
      </c>
      <c r="F782" s="13"/>
    </row>
    <row r="783" spans="1:6" x14ac:dyDescent="0.2">
      <c r="A783" s="12" t="s">
        <v>632</v>
      </c>
      <c r="B783" s="11"/>
      <c r="C783" s="12" t="s">
        <v>16</v>
      </c>
      <c r="D783" s="12" t="s">
        <v>6</v>
      </c>
      <c r="E783" s="12" t="s">
        <v>4672</v>
      </c>
      <c r="F783" s="13"/>
    </row>
    <row r="784" spans="1:6" x14ac:dyDescent="0.2">
      <c r="A784" s="12" t="s">
        <v>1994</v>
      </c>
      <c r="B784" s="11"/>
      <c r="C784" s="12" t="s">
        <v>16</v>
      </c>
      <c r="D784" s="12" t="s">
        <v>6</v>
      </c>
      <c r="E784" s="12" t="s">
        <v>4674</v>
      </c>
      <c r="F784" s="13"/>
    </row>
    <row r="785" spans="1:6" x14ac:dyDescent="0.2">
      <c r="A785" s="12" t="s">
        <v>529</v>
      </c>
      <c r="B785" s="11"/>
      <c r="C785" s="12" t="s">
        <v>16</v>
      </c>
      <c r="D785" s="12" t="s">
        <v>6</v>
      </c>
      <c r="E785" s="12" t="s">
        <v>4676</v>
      </c>
      <c r="F785" s="13"/>
    </row>
    <row r="786" spans="1:6" x14ac:dyDescent="0.2">
      <c r="A786" s="12" t="s">
        <v>308</v>
      </c>
      <c r="B786" s="11"/>
      <c r="C786" s="12" t="s">
        <v>16</v>
      </c>
      <c r="D786" s="12" t="s">
        <v>21</v>
      </c>
      <c r="E786" s="12" t="s">
        <v>4678</v>
      </c>
      <c r="F786" s="13"/>
    </row>
    <row r="787" spans="1:6" x14ac:dyDescent="0.2">
      <c r="A787" s="12" t="s">
        <v>285</v>
      </c>
      <c r="B787" s="11"/>
      <c r="C787" s="12" t="s">
        <v>16</v>
      </c>
      <c r="D787" s="12" t="s">
        <v>21</v>
      </c>
      <c r="E787" s="12" t="s">
        <v>4680</v>
      </c>
      <c r="F787" s="13"/>
    </row>
    <row r="788" spans="1:6" x14ac:dyDescent="0.2">
      <c r="A788" s="12" t="s">
        <v>2251</v>
      </c>
      <c r="B788" s="11"/>
      <c r="C788" s="12" t="s">
        <v>16</v>
      </c>
      <c r="D788" s="12" t="s">
        <v>21</v>
      </c>
      <c r="E788" s="12" t="s">
        <v>4682</v>
      </c>
      <c r="F788" s="47"/>
    </row>
    <row r="789" spans="1:6" x14ac:dyDescent="0.2">
      <c r="A789" s="12" t="s">
        <v>285</v>
      </c>
      <c r="B789" s="11"/>
      <c r="C789" s="12" t="s">
        <v>16</v>
      </c>
      <c r="D789" s="12" t="s">
        <v>21</v>
      </c>
      <c r="E789" s="12" t="s">
        <v>4683</v>
      </c>
      <c r="F789" s="13"/>
    </row>
    <row r="790" spans="1:6" x14ac:dyDescent="0.2">
      <c r="A790" s="12" t="s">
        <v>525</v>
      </c>
      <c r="B790" s="11"/>
      <c r="C790" s="12" t="s">
        <v>208</v>
      </c>
      <c r="D790" s="12" t="s">
        <v>209</v>
      </c>
      <c r="E790" s="12" t="s">
        <v>5620</v>
      </c>
      <c r="F790" s="13"/>
    </row>
    <row r="791" spans="1:6" x14ac:dyDescent="0.2">
      <c r="A791" s="12" t="s">
        <v>1555</v>
      </c>
      <c r="B791" s="11"/>
      <c r="C791" s="12" t="s">
        <v>208</v>
      </c>
      <c r="D791" s="12" t="s">
        <v>209</v>
      </c>
      <c r="E791" s="12" t="s">
        <v>5621</v>
      </c>
      <c r="F791" s="13"/>
    </row>
    <row r="792" spans="1:6" x14ac:dyDescent="0.2">
      <c r="A792" s="12" t="s">
        <v>730</v>
      </c>
      <c r="B792" s="11"/>
      <c r="C792" s="12" t="s">
        <v>208</v>
      </c>
      <c r="D792" s="12" t="s">
        <v>209</v>
      </c>
      <c r="E792" s="12" t="s">
        <v>5622</v>
      </c>
      <c r="F792" s="13"/>
    </row>
    <row r="793" spans="1:6" x14ac:dyDescent="0.2">
      <c r="A793" s="12" t="s">
        <v>288</v>
      </c>
      <c r="B793" s="11"/>
      <c r="C793" s="12" t="s">
        <v>208</v>
      </c>
      <c r="D793" s="12" t="s">
        <v>209</v>
      </c>
      <c r="E793" s="12" t="s">
        <v>5623</v>
      </c>
      <c r="F793" s="13"/>
    </row>
    <row r="794" spans="1:6" x14ac:dyDescent="0.2">
      <c r="A794" s="12" t="s">
        <v>2088</v>
      </c>
      <c r="B794" s="11"/>
      <c r="C794" s="12" t="s">
        <v>208</v>
      </c>
      <c r="D794" s="12" t="s">
        <v>209</v>
      </c>
      <c r="E794" s="12" t="s">
        <v>5624</v>
      </c>
      <c r="F794" s="13"/>
    </row>
    <row r="795" spans="1:6" x14ac:dyDescent="0.2">
      <c r="A795" s="12" t="s">
        <v>2251</v>
      </c>
      <c r="B795" s="11"/>
      <c r="C795" s="12" t="s">
        <v>208</v>
      </c>
      <c r="D795" s="12" t="s">
        <v>209</v>
      </c>
      <c r="E795" s="12" t="s">
        <v>5625</v>
      </c>
      <c r="F795" s="47"/>
    </row>
    <row r="796" spans="1:6" x14ac:dyDescent="0.2">
      <c r="A796" s="12" t="s">
        <v>2251</v>
      </c>
      <c r="B796" s="11"/>
      <c r="C796" s="12" t="s">
        <v>208</v>
      </c>
      <c r="D796" s="12" t="s">
        <v>209</v>
      </c>
      <c r="E796" s="12" t="s">
        <v>5626</v>
      </c>
      <c r="F796" s="47"/>
    </row>
    <row r="797" spans="1:6" x14ac:dyDescent="0.2">
      <c r="A797" s="12" t="s">
        <v>1991</v>
      </c>
      <c r="B797" s="11"/>
      <c r="C797" s="12" t="s">
        <v>208</v>
      </c>
      <c r="D797" s="12" t="s">
        <v>209</v>
      </c>
      <c r="E797" s="12" t="s">
        <v>5627</v>
      </c>
      <c r="F797" s="13"/>
    </row>
    <row r="798" spans="1:6" x14ac:dyDescent="0.2">
      <c r="A798" s="12" t="s">
        <v>635</v>
      </c>
      <c r="B798" s="11"/>
      <c r="C798" s="12" t="s">
        <v>5</v>
      </c>
      <c r="D798" s="12" t="s">
        <v>6</v>
      </c>
      <c r="E798" s="12" t="s">
        <v>3307</v>
      </c>
      <c r="F798" s="13"/>
    </row>
    <row r="799" spans="1:6" x14ac:dyDescent="0.2">
      <c r="A799" s="12" t="s">
        <v>635</v>
      </c>
      <c r="B799" s="11"/>
      <c r="C799" s="12" t="s">
        <v>5</v>
      </c>
      <c r="D799" s="12" t="s">
        <v>6</v>
      </c>
      <c r="E799" s="12" t="s">
        <v>3307</v>
      </c>
      <c r="F799" s="13"/>
    </row>
    <row r="800" spans="1:6" x14ac:dyDescent="0.2">
      <c r="A800" s="12" t="s">
        <v>532</v>
      </c>
      <c r="B800" s="11"/>
      <c r="C800" s="12" t="s">
        <v>5</v>
      </c>
      <c r="D800" s="12" t="s">
        <v>6</v>
      </c>
      <c r="E800" s="12" t="s">
        <v>3310</v>
      </c>
      <c r="F800" s="13"/>
    </row>
    <row r="801" spans="1:6" x14ac:dyDescent="0.2">
      <c r="A801" s="12" t="s">
        <v>1343</v>
      </c>
      <c r="B801" s="11"/>
      <c r="C801" s="12" t="s">
        <v>5</v>
      </c>
      <c r="D801" s="12" t="s">
        <v>6</v>
      </c>
      <c r="E801" s="12" t="s">
        <v>3312</v>
      </c>
      <c r="F801" s="13"/>
    </row>
    <row r="802" spans="1:6" x14ac:dyDescent="0.2">
      <c r="A802" s="12" t="s">
        <v>544</v>
      </c>
      <c r="B802" s="11"/>
      <c r="C802" s="12" t="s">
        <v>5</v>
      </c>
      <c r="D802" s="12" t="s">
        <v>6</v>
      </c>
      <c r="E802" s="12" t="s">
        <v>3314</v>
      </c>
      <c r="F802" s="13"/>
    </row>
    <row r="803" spans="1:6" x14ac:dyDescent="0.2">
      <c r="A803" s="12" t="s">
        <v>544</v>
      </c>
      <c r="B803" s="11"/>
      <c r="C803" s="12" t="s">
        <v>5</v>
      </c>
      <c r="D803" s="12" t="s">
        <v>6</v>
      </c>
      <c r="E803" s="12" t="s">
        <v>3314</v>
      </c>
      <c r="F803" s="13"/>
    </row>
    <row r="804" spans="1:6" x14ac:dyDescent="0.2">
      <c r="A804" s="12" t="s">
        <v>268</v>
      </c>
      <c r="B804" s="11"/>
      <c r="C804" s="12" t="s">
        <v>5</v>
      </c>
      <c r="D804" s="12" t="s">
        <v>21</v>
      </c>
      <c r="E804" s="12" t="s">
        <v>3317</v>
      </c>
      <c r="F804" s="13"/>
    </row>
    <row r="805" spans="1:6" x14ac:dyDescent="0.2">
      <c r="A805" s="12" t="s">
        <v>268</v>
      </c>
      <c r="B805" s="11"/>
      <c r="C805" s="12" t="s">
        <v>5</v>
      </c>
      <c r="D805" s="12" t="s">
        <v>21</v>
      </c>
      <c r="E805" s="12" t="s">
        <v>3317</v>
      </c>
      <c r="F805" s="13"/>
    </row>
    <row r="806" spans="1:6" x14ac:dyDescent="0.2">
      <c r="A806" s="12" t="s">
        <v>1139</v>
      </c>
      <c r="B806" s="11"/>
      <c r="C806" s="12" t="s">
        <v>5</v>
      </c>
      <c r="D806" s="12" t="s">
        <v>21</v>
      </c>
      <c r="E806" s="12" t="s">
        <v>3320</v>
      </c>
      <c r="F806" s="13"/>
    </row>
    <row r="807" spans="1:6" x14ac:dyDescent="0.2">
      <c r="A807" s="12" t="s">
        <v>1139</v>
      </c>
      <c r="B807" s="11"/>
      <c r="C807" s="12" t="s">
        <v>5</v>
      </c>
      <c r="D807" s="12" t="s">
        <v>21</v>
      </c>
      <c r="E807" s="12" t="s">
        <v>3320</v>
      </c>
      <c r="F807" s="13"/>
    </row>
    <row r="808" spans="1:6" x14ac:dyDescent="0.2">
      <c r="A808" s="12" t="s">
        <v>2251</v>
      </c>
      <c r="B808" s="11"/>
      <c r="C808" s="12" t="s">
        <v>5</v>
      </c>
      <c r="D808" s="12" t="s">
        <v>21</v>
      </c>
      <c r="E808" s="12" t="s">
        <v>3323</v>
      </c>
      <c r="F808" s="47"/>
    </row>
    <row r="809" spans="1:6" x14ac:dyDescent="0.2">
      <c r="A809" s="12" t="s">
        <v>1873</v>
      </c>
      <c r="B809" s="11"/>
      <c r="C809" s="12" t="s">
        <v>5</v>
      </c>
      <c r="D809" s="12" t="s">
        <v>21</v>
      </c>
      <c r="E809" s="12" t="s">
        <v>3324</v>
      </c>
      <c r="F809" s="13"/>
    </row>
    <row r="810" spans="1:6" x14ac:dyDescent="0.2">
      <c r="A810" s="12" t="s">
        <v>734</v>
      </c>
      <c r="B810" s="11"/>
      <c r="C810" s="12" t="s">
        <v>208</v>
      </c>
      <c r="D810" s="12" t="s">
        <v>209</v>
      </c>
      <c r="E810" s="12" t="s">
        <v>5628</v>
      </c>
      <c r="F810" s="13"/>
    </row>
    <row r="811" spans="1:6" x14ac:dyDescent="0.2">
      <c r="A811" s="12" t="s">
        <v>538</v>
      </c>
      <c r="B811" s="11"/>
      <c r="C811" s="12" t="s">
        <v>208</v>
      </c>
      <c r="D811" s="12" t="s">
        <v>209</v>
      </c>
      <c r="E811" s="12" t="s">
        <v>5629</v>
      </c>
      <c r="F811" s="13"/>
    </row>
    <row r="812" spans="1:6" x14ac:dyDescent="0.2">
      <c r="A812" s="12" t="s">
        <v>629</v>
      </c>
      <c r="B812" s="11"/>
      <c r="C812" s="12" t="s">
        <v>208</v>
      </c>
      <c r="D812" s="12" t="s">
        <v>209</v>
      </c>
      <c r="E812" s="12" t="s">
        <v>5630</v>
      </c>
      <c r="F812" s="13"/>
    </row>
    <row r="813" spans="1:6" x14ac:dyDescent="0.2">
      <c r="A813" s="12" t="s">
        <v>638</v>
      </c>
      <c r="B813" s="11"/>
      <c r="C813" s="12" t="s">
        <v>208</v>
      </c>
      <c r="D813" s="12" t="s">
        <v>209</v>
      </c>
      <c r="E813" s="12" t="s">
        <v>5632</v>
      </c>
      <c r="F813" s="13"/>
    </row>
    <row r="814" spans="1:6" x14ac:dyDescent="0.2">
      <c r="A814" s="12" t="s">
        <v>1938</v>
      </c>
      <c r="B814" s="11"/>
      <c r="C814" s="12" t="s">
        <v>208</v>
      </c>
      <c r="D814" s="12" t="s">
        <v>209</v>
      </c>
      <c r="E814" s="12" t="s">
        <v>5633</v>
      </c>
      <c r="F814" s="13"/>
    </row>
    <row r="815" spans="1:6" x14ac:dyDescent="0.2">
      <c r="A815" s="12" t="s">
        <v>1867</v>
      </c>
      <c r="B815" s="11"/>
      <c r="C815" s="12" t="s">
        <v>208</v>
      </c>
      <c r="D815" s="12" t="s">
        <v>209</v>
      </c>
      <c r="E815" s="12" t="s">
        <v>5634</v>
      </c>
      <c r="F815" s="13"/>
    </row>
    <row r="816" spans="1:6" x14ac:dyDescent="0.2">
      <c r="A816" s="12" t="s">
        <v>2067</v>
      </c>
      <c r="B816" s="11"/>
      <c r="C816" s="12" t="s">
        <v>208</v>
      </c>
      <c r="D816" s="12" t="s">
        <v>209</v>
      </c>
      <c r="E816" s="12" t="s">
        <v>5635</v>
      </c>
      <c r="F816" s="13"/>
    </row>
    <row r="817" spans="1:6" x14ac:dyDescent="0.2">
      <c r="A817" s="12" t="s">
        <v>2070</v>
      </c>
      <c r="B817" s="11"/>
      <c r="C817" s="12" t="s">
        <v>208</v>
      </c>
      <c r="D817" s="12" t="s">
        <v>209</v>
      </c>
      <c r="E817" s="12" t="s">
        <v>5636</v>
      </c>
      <c r="F817" s="13"/>
    </row>
    <row r="818" spans="1:6" x14ac:dyDescent="0.2">
      <c r="A818" s="12" t="s">
        <v>1982</v>
      </c>
      <c r="B818" s="11"/>
      <c r="C818" s="12" t="s">
        <v>5</v>
      </c>
      <c r="D818" s="12" t="s">
        <v>6</v>
      </c>
      <c r="E818" s="12" t="s">
        <v>3326</v>
      </c>
      <c r="F818" s="13"/>
    </row>
    <row r="819" spans="1:6" x14ac:dyDescent="0.2">
      <c r="A819" s="12" t="s">
        <v>1982</v>
      </c>
      <c r="B819" s="11"/>
      <c r="C819" s="12" t="s">
        <v>5</v>
      </c>
      <c r="D819" s="12" t="s">
        <v>6</v>
      </c>
      <c r="E819" s="12" t="s">
        <v>3326</v>
      </c>
      <c r="F819" s="13"/>
    </row>
    <row r="820" spans="1:6" x14ac:dyDescent="0.2">
      <c r="A820" s="12" t="s">
        <v>1139</v>
      </c>
      <c r="B820" s="11"/>
      <c r="C820" s="12" t="s">
        <v>5</v>
      </c>
      <c r="D820" s="12" t="s">
        <v>6</v>
      </c>
      <c r="E820" s="12" t="s">
        <v>3330</v>
      </c>
      <c r="F820" s="13"/>
    </row>
    <row r="821" spans="1:6" x14ac:dyDescent="0.2">
      <c r="A821" s="12" t="s">
        <v>1139</v>
      </c>
      <c r="B821" s="11"/>
      <c r="C821" s="12" t="s">
        <v>5</v>
      </c>
      <c r="D821" s="12" t="s">
        <v>6</v>
      </c>
      <c r="E821" s="12" t="s">
        <v>3330</v>
      </c>
      <c r="F821" s="13"/>
    </row>
    <row r="822" spans="1:6" x14ac:dyDescent="0.2">
      <c r="A822" s="12" t="s">
        <v>1139</v>
      </c>
      <c r="B822" s="11"/>
      <c r="C822" s="12" t="s">
        <v>5</v>
      </c>
      <c r="D822" s="12" t="s">
        <v>6</v>
      </c>
      <c r="E822" s="12" t="s">
        <v>3333</v>
      </c>
      <c r="F822" s="13"/>
    </row>
    <row r="823" spans="1:6" x14ac:dyDescent="0.2">
      <c r="A823" s="12" t="s">
        <v>1139</v>
      </c>
      <c r="B823" s="11"/>
      <c r="C823" s="12" t="s">
        <v>5</v>
      </c>
      <c r="D823" s="12" t="s">
        <v>6</v>
      </c>
      <c r="E823" s="12" t="s">
        <v>3333</v>
      </c>
      <c r="F823" s="13"/>
    </row>
    <row r="824" spans="1:6" x14ac:dyDescent="0.2">
      <c r="A824" s="12" t="s">
        <v>1462</v>
      </c>
      <c r="B824" s="11"/>
      <c r="C824" s="12" t="s">
        <v>5</v>
      </c>
      <c r="D824" s="12" t="s">
        <v>6</v>
      </c>
      <c r="E824" s="12" t="s">
        <v>3336</v>
      </c>
      <c r="F824" s="13"/>
    </row>
    <row r="825" spans="1:6" x14ac:dyDescent="0.2">
      <c r="A825" s="12" t="s">
        <v>1462</v>
      </c>
      <c r="B825" s="11"/>
      <c r="C825" s="12" t="s">
        <v>5</v>
      </c>
      <c r="D825" s="12" t="s">
        <v>6</v>
      </c>
      <c r="E825" s="12" t="s">
        <v>3336</v>
      </c>
      <c r="F825" s="13"/>
    </row>
    <row r="826" spans="1:6" x14ac:dyDescent="0.2">
      <c r="A826" s="12" t="s">
        <v>715</v>
      </c>
      <c r="B826" s="11"/>
      <c r="C826" s="12" t="s">
        <v>5</v>
      </c>
      <c r="D826" s="12" t="s">
        <v>21</v>
      </c>
      <c r="E826" s="12" t="s">
        <v>3339</v>
      </c>
      <c r="F826" s="13"/>
    </row>
    <row r="827" spans="1:6" x14ac:dyDescent="0.2">
      <c r="A827" s="12" t="s">
        <v>715</v>
      </c>
      <c r="B827" s="11"/>
      <c r="C827" s="12" t="s">
        <v>5</v>
      </c>
      <c r="D827" s="12" t="s">
        <v>21</v>
      </c>
      <c r="E827" s="12" t="s">
        <v>3339</v>
      </c>
      <c r="F827" s="13"/>
    </row>
    <row r="828" spans="1:6" x14ac:dyDescent="0.2">
      <c r="A828" s="12" t="s">
        <v>1462</v>
      </c>
      <c r="B828" s="11"/>
      <c r="C828" s="12" t="s">
        <v>5</v>
      </c>
      <c r="D828" s="12" t="s">
        <v>21</v>
      </c>
      <c r="E828" s="12" t="s">
        <v>3342</v>
      </c>
      <c r="F828" s="13"/>
    </row>
    <row r="829" spans="1:6" x14ac:dyDescent="0.2">
      <c r="A829" s="12" t="s">
        <v>1922</v>
      </c>
      <c r="B829" s="11"/>
      <c r="C829" s="12" t="s">
        <v>5</v>
      </c>
      <c r="D829" s="12" t="s">
        <v>21</v>
      </c>
      <c r="E829" s="12" t="s">
        <v>3344</v>
      </c>
      <c r="F829" s="13"/>
    </row>
    <row r="830" spans="1:6" x14ac:dyDescent="0.2">
      <c r="A830" s="12" t="s">
        <v>1922</v>
      </c>
      <c r="B830" s="11"/>
      <c r="C830" s="12" t="s">
        <v>5</v>
      </c>
      <c r="D830" s="12" t="s">
        <v>21</v>
      </c>
      <c r="E830" s="12" t="s">
        <v>3344</v>
      </c>
      <c r="F830" s="13"/>
    </row>
    <row r="831" spans="1:6" x14ac:dyDescent="0.2">
      <c r="A831" s="12" t="s">
        <v>1046</v>
      </c>
      <c r="B831" s="11"/>
      <c r="C831" s="12" t="s">
        <v>5</v>
      </c>
      <c r="D831" s="12" t="s">
        <v>21</v>
      </c>
      <c r="E831" s="12" t="s">
        <v>3347</v>
      </c>
      <c r="F831" s="13"/>
    </row>
    <row r="832" spans="1:6" x14ac:dyDescent="0.2">
      <c r="A832" s="12" t="s">
        <v>831</v>
      </c>
      <c r="B832" s="11"/>
      <c r="C832" s="12" t="s">
        <v>208</v>
      </c>
      <c r="D832" s="12" t="s">
        <v>209</v>
      </c>
      <c r="E832" s="12" t="s">
        <v>5637</v>
      </c>
      <c r="F832" s="13"/>
    </row>
    <row r="833" spans="1:6" x14ac:dyDescent="0.2">
      <c r="A833" s="12" t="s">
        <v>532</v>
      </c>
      <c r="B833" s="11"/>
      <c r="C833" s="12" t="s">
        <v>208</v>
      </c>
      <c r="D833" s="12" t="s">
        <v>209</v>
      </c>
      <c r="E833" s="12" t="s">
        <v>5638</v>
      </c>
      <c r="F833" s="13"/>
    </row>
    <row r="834" spans="1:6" x14ac:dyDescent="0.2">
      <c r="A834" s="12" t="s">
        <v>1825</v>
      </c>
      <c r="B834" s="11"/>
      <c r="C834" s="12" t="s">
        <v>208</v>
      </c>
      <c r="D834" s="12" t="s">
        <v>209</v>
      </c>
      <c r="E834" s="12" t="s">
        <v>5639</v>
      </c>
      <c r="F834" s="13"/>
    </row>
    <row r="835" spans="1:6" x14ac:dyDescent="0.2">
      <c r="A835" s="12" t="s">
        <v>1828</v>
      </c>
      <c r="B835" s="11"/>
      <c r="C835" s="12" t="s">
        <v>208</v>
      </c>
      <c r="D835" s="12" t="s">
        <v>209</v>
      </c>
      <c r="E835" s="12" t="s">
        <v>5640</v>
      </c>
      <c r="F835" s="13"/>
    </row>
    <row r="836" spans="1:6" x14ac:dyDescent="0.2">
      <c r="A836" s="12" t="s">
        <v>1873</v>
      </c>
      <c r="B836" s="11"/>
      <c r="C836" s="12" t="s">
        <v>208</v>
      </c>
      <c r="D836" s="12" t="s">
        <v>209</v>
      </c>
      <c r="E836" s="12" t="s">
        <v>5641</v>
      </c>
      <c r="F836" s="13"/>
    </row>
    <row r="837" spans="1:6" x14ac:dyDescent="0.2">
      <c r="A837" s="12" t="s">
        <v>2064</v>
      </c>
      <c r="B837" s="11"/>
      <c r="C837" s="12" t="s">
        <v>208</v>
      </c>
      <c r="D837" s="12" t="s">
        <v>209</v>
      </c>
      <c r="E837" s="12" t="s">
        <v>5642</v>
      </c>
      <c r="F837" s="13"/>
    </row>
    <row r="838" spans="1:6" x14ac:dyDescent="0.2">
      <c r="A838" s="12" t="s">
        <v>2251</v>
      </c>
      <c r="B838" s="11"/>
      <c r="C838" s="12" t="s">
        <v>208</v>
      </c>
      <c r="D838" s="12" t="s">
        <v>209</v>
      </c>
      <c r="E838" s="12" t="s">
        <v>5643</v>
      </c>
      <c r="F838" s="47"/>
    </row>
    <row r="839" spans="1:6" x14ac:dyDescent="0.2">
      <c r="A839" s="12" t="s">
        <v>435</v>
      </c>
      <c r="B839" s="11"/>
      <c r="C839" s="12" t="s">
        <v>208</v>
      </c>
      <c r="D839" s="12" t="s">
        <v>209</v>
      </c>
      <c r="E839" s="12" t="s">
        <v>5644</v>
      </c>
      <c r="F839" s="13"/>
    </row>
    <row r="840" spans="1:6" x14ac:dyDescent="0.2">
      <c r="A840" s="12" t="s">
        <v>1553</v>
      </c>
      <c r="B840" s="11"/>
      <c r="C840" s="12" t="s">
        <v>5</v>
      </c>
      <c r="D840" s="12" t="s">
        <v>6</v>
      </c>
      <c r="E840" s="12" t="s">
        <v>3349</v>
      </c>
      <c r="F840" s="13"/>
    </row>
    <row r="841" spans="1:6" x14ac:dyDescent="0.2">
      <c r="A841" s="12" t="s">
        <v>629</v>
      </c>
      <c r="B841" s="11"/>
      <c r="C841" s="12" t="s">
        <v>5</v>
      </c>
      <c r="D841" s="12" t="s">
        <v>6</v>
      </c>
      <c r="E841" s="12" t="s">
        <v>3351</v>
      </c>
      <c r="F841" s="13"/>
    </row>
    <row r="842" spans="1:6" x14ac:dyDescent="0.2">
      <c r="A842" s="12" t="s">
        <v>1346</v>
      </c>
      <c r="B842" s="11"/>
      <c r="C842" s="12" t="s">
        <v>5</v>
      </c>
      <c r="D842" s="12" t="s">
        <v>6</v>
      </c>
      <c r="E842" s="12" t="s">
        <v>3354</v>
      </c>
      <c r="F842" s="13"/>
    </row>
    <row r="843" spans="1:6" x14ac:dyDescent="0.2">
      <c r="A843" s="12" t="s">
        <v>1346</v>
      </c>
      <c r="B843" s="11"/>
      <c r="C843" s="12" t="s">
        <v>5</v>
      </c>
      <c r="D843" s="12" t="s">
        <v>6</v>
      </c>
      <c r="E843" s="12" t="s">
        <v>3354</v>
      </c>
      <c r="F843" s="13"/>
    </row>
    <row r="844" spans="1:6" x14ac:dyDescent="0.2">
      <c r="A844" s="12" t="s">
        <v>2008</v>
      </c>
      <c r="B844" s="11"/>
      <c r="C844" s="12" t="s">
        <v>5</v>
      </c>
      <c r="D844" s="12" t="s">
        <v>6</v>
      </c>
      <c r="E844" s="12" t="s">
        <v>3357</v>
      </c>
      <c r="F844" s="13"/>
    </row>
    <row r="845" spans="1:6" x14ac:dyDescent="0.2">
      <c r="A845" s="12" t="s">
        <v>2008</v>
      </c>
      <c r="B845" s="11"/>
      <c r="C845" s="12" t="s">
        <v>5</v>
      </c>
      <c r="D845" s="12" t="s">
        <v>6</v>
      </c>
      <c r="E845" s="12" t="s">
        <v>3357</v>
      </c>
      <c r="F845" s="13"/>
    </row>
    <row r="846" spans="1:6" x14ac:dyDescent="0.2">
      <c r="A846" s="12" t="s">
        <v>1135</v>
      </c>
      <c r="B846" s="11"/>
      <c r="C846" s="12" t="s">
        <v>5</v>
      </c>
      <c r="D846" s="12" t="s">
        <v>21</v>
      </c>
      <c r="E846" s="12" t="s">
        <v>3360</v>
      </c>
      <c r="F846" s="13"/>
    </row>
    <row r="847" spans="1:6" x14ac:dyDescent="0.2">
      <c r="A847" s="12" t="s">
        <v>1135</v>
      </c>
      <c r="B847" s="11"/>
      <c r="C847" s="12" t="s">
        <v>5</v>
      </c>
      <c r="D847" s="12" t="s">
        <v>21</v>
      </c>
      <c r="E847" s="12" t="s">
        <v>3360</v>
      </c>
      <c r="F847" s="13"/>
    </row>
    <row r="848" spans="1:6" x14ac:dyDescent="0.2">
      <c r="A848" s="12" t="s">
        <v>1895</v>
      </c>
      <c r="B848" s="11"/>
      <c r="C848" s="12" t="s">
        <v>5</v>
      </c>
      <c r="D848" s="12" t="s">
        <v>21</v>
      </c>
      <c r="E848" s="12" t="s">
        <v>3363</v>
      </c>
      <c r="F848" s="13"/>
    </row>
    <row r="849" spans="1:6" x14ac:dyDescent="0.2">
      <c r="A849" s="12" t="s">
        <v>494</v>
      </c>
      <c r="B849" s="11"/>
      <c r="C849" s="12" t="s">
        <v>5</v>
      </c>
      <c r="D849" s="12" t="s">
        <v>21</v>
      </c>
      <c r="E849" s="12" t="s">
        <v>3365</v>
      </c>
      <c r="F849" s="13"/>
    </row>
    <row r="850" spans="1:6" x14ac:dyDescent="0.2">
      <c r="A850" s="12" t="s">
        <v>494</v>
      </c>
      <c r="B850" s="11"/>
      <c r="C850" s="12" t="s">
        <v>5</v>
      </c>
      <c r="D850" s="12" t="s">
        <v>21</v>
      </c>
      <c r="E850" s="12" t="s">
        <v>3365</v>
      </c>
      <c r="F850" s="13"/>
    </row>
    <row r="851" spans="1:6" x14ac:dyDescent="0.2">
      <c r="A851" s="12" t="s">
        <v>1922</v>
      </c>
      <c r="B851" s="11"/>
      <c r="C851" s="12" t="s">
        <v>5</v>
      </c>
      <c r="D851" s="12" t="s">
        <v>21</v>
      </c>
      <c r="E851" s="12" t="s">
        <v>3369</v>
      </c>
      <c r="F851" s="13"/>
    </row>
    <row r="852" spans="1:6" x14ac:dyDescent="0.2">
      <c r="A852" s="12" t="s">
        <v>1922</v>
      </c>
      <c r="B852" s="11"/>
      <c r="C852" s="12" t="s">
        <v>5</v>
      </c>
      <c r="D852" s="12" t="s">
        <v>21</v>
      </c>
      <c r="E852" s="12" t="s">
        <v>3369</v>
      </c>
      <c r="F852" s="13"/>
    </row>
    <row r="853" spans="1:6" x14ac:dyDescent="0.2">
      <c r="A853" s="12" t="s">
        <v>1541</v>
      </c>
      <c r="B853" s="11"/>
      <c r="C853" s="12" t="s">
        <v>208</v>
      </c>
      <c r="D853" s="12" t="s">
        <v>209</v>
      </c>
      <c r="E853" s="12" t="s">
        <v>5645</v>
      </c>
      <c r="F853" s="13"/>
    </row>
    <row r="854" spans="1:6" x14ac:dyDescent="0.2">
      <c r="A854" s="12" t="s">
        <v>544</v>
      </c>
      <c r="B854" s="11"/>
      <c r="C854" s="12" t="s">
        <v>208</v>
      </c>
      <c r="D854" s="12" t="s">
        <v>209</v>
      </c>
      <c r="E854" s="12" t="s">
        <v>5646</v>
      </c>
      <c r="F854" s="13"/>
    </row>
    <row r="855" spans="1:6" x14ac:dyDescent="0.2">
      <c r="A855" s="12" t="s">
        <v>2251</v>
      </c>
      <c r="B855" s="11"/>
      <c r="C855" s="12" t="s">
        <v>208</v>
      </c>
      <c r="D855" s="12" t="s">
        <v>209</v>
      </c>
      <c r="E855" s="12" t="s">
        <v>5647</v>
      </c>
      <c r="F855" s="47"/>
    </row>
    <row r="856" spans="1:6" x14ac:dyDescent="0.2">
      <c r="A856" s="12" t="s">
        <v>2056</v>
      </c>
      <c r="B856" s="11"/>
      <c r="C856" s="12" t="s">
        <v>208</v>
      </c>
      <c r="D856" s="12" t="s">
        <v>209</v>
      </c>
      <c r="E856" s="12" t="s">
        <v>5648</v>
      </c>
      <c r="F856" s="13"/>
    </row>
    <row r="857" spans="1:6" x14ac:dyDescent="0.2">
      <c r="A857" s="12" t="s">
        <v>1116</v>
      </c>
      <c r="B857" s="11"/>
      <c r="C857" s="12" t="s">
        <v>208</v>
      </c>
      <c r="D857" s="12" t="s">
        <v>209</v>
      </c>
      <c r="E857" s="12" t="s">
        <v>5649</v>
      </c>
      <c r="F857" s="13"/>
    </row>
    <row r="858" spans="1:6" x14ac:dyDescent="0.2">
      <c r="A858" s="12" t="s">
        <v>1120</v>
      </c>
      <c r="B858" s="11"/>
      <c r="C858" s="12" t="s">
        <v>208</v>
      </c>
      <c r="D858" s="12" t="s">
        <v>209</v>
      </c>
      <c r="E858" s="12" t="s">
        <v>5650</v>
      </c>
      <c r="F858" s="13"/>
    </row>
    <row r="859" spans="1:6" x14ac:dyDescent="0.2">
      <c r="A859" s="12" t="s">
        <v>2073</v>
      </c>
      <c r="B859" s="11"/>
      <c r="C859" s="12" t="s">
        <v>208</v>
      </c>
      <c r="D859" s="12" t="s">
        <v>209</v>
      </c>
      <c r="E859" s="12" t="s">
        <v>5651</v>
      </c>
      <c r="F859" s="13"/>
    </row>
    <row r="860" spans="1:6" x14ac:dyDescent="0.2">
      <c r="A860" s="12" t="s">
        <v>2251</v>
      </c>
      <c r="B860" s="11"/>
      <c r="C860" s="12" t="s">
        <v>208</v>
      </c>
      <c r="D860" s="12" t="s">
        <v>209</v>
      </c>
      <c r="E860" s="12" t="s">
        <v>5652</v>
      </c>
      <c r="F860" s="47"/>
    </row>
    <row r="861" spans="1:6" x14ac:dyDescent="0.2">
      <c r="A861" s="12" t="s">
        <v>2008</v>
      </c>
      <c r="B861" s="11"/>
      <c r="C861" s="12" t="s">
        <v>5</v>
      </c>
      <c r="D861" s="12" t="s">
        <v>6</v>
      </c>
      <c r="E861" s="12" t="s">
        <v>3372</v>
      </c>
      <c r="F861" s="13"/>
    </row>
    <row r="862" spans="1:6" x14ac:dyDescent="0.2">
      <c r="A862" s="12" t="s">
        <v>2008</v>
      </c>
      <c r="B862" s="11"/>
      <c r="C862" s="12" t="s">
        <v>5</v>
      </c>
      <c r="D862" s="12" t="s">
        <v>6</v>
      </c>
      <c r="E862" s="12" t="s">
        <v>3372</v>
      </c>
      <c r="F862" s="13"/>
    </row>
    <row r="863" spans="1:6" x14ac:dyDescent="0.2">
      <c r="A863" s="12" t="s">
        <v>0</v>
      </c>
      <c r="B863" s="11"/>
      <c r="C863" s="12" t="s">
        <v>5</v>
      </c>
      <c r="D863" s="12" t="s">
        <v>6</v>
      </c>
      <c r="E863" s="12" t="s">
        <v>40</v>
      </c>
      <c r="F863" s="13"/>
    </row>
    <row r="864" spans="1:6" x14ac:dyDescent="0.2">
      <c r="A864" s="12" t="s">
        <v>0</v>
      </c>
      <c r="B864" s="11"/>
      <c r="C864" s="12" t="s">
        <v>5</v>
      </c>
      <c r="D864" s="12" t="s">
        <v>6</v>
      </c>
      <c r="E864" s="12" t="s">
        <v>40</v>
      </c>
      <c r="F864" s="13"/>
    </row>
    <row r="865" spans="1:6" x14ac:dyDescent="0.2">
      <c r="A865" s="12" t="s">
        <v>285</v>
      </c>
      <c r="B865" s="11"/>
      <c r="C865" s="12" t="s">
        <v>5</v>
      </c>
      <c r="D865" s="12" t="s">
        <v>6</v>
      </c>
      <c r="E865" s="12" t="s">
        <v>3375</v>
      </c>
      <c r="F865" s="13"/>
    </row>
    <row r="866" spans="1:6" x14ac:dyDescent="0.2">
      <c r="A866" s="12" t="s">
        <v>1142</v>
      </c>
      <c r="B866" s="11"/>
      <c r="C866" s="12" t="s">
        <v>5</v>
      </c>
      <c r="D866" s="12" t="s">
        <v>6</v>
      </c>
      <c r="E866" s="12" t="s">
        <v>3378</v>
      </c>
      <c r="F866" s="13"/>
    </row>
    <row r="867" spans="1:6" x14ac:dyDescent="0.2">
      <c r="A867" s="12" t="s">
        <v>1142</v>
      </c>
      <c r="B867" s="11"/>
      <c r="C867" s="12" t="s">
        <v>5</v>
      </c>
      <c r="D867" s="12" t="s">
        <v>6</v>
      </c>
      <c r="E867" s="12" t="s">
        <v>3378</v>
      </c>
      <c r="F867" s="13"/>
    </row>
    <row r="868" spans="1:6" x14ac:dyDescent="0.2">
      <c r="A868" s="12" t="s">
        <v>331</v>
      </c>
      <c r="B868" s="11"/>
      <c r="C868" s="12" t="s">
        <v>5</v>
      </c>
      <c r="D868" s="12" t="s">
        <v>21</v>
      </c>
      <c r="E868" s="12" t="s">
        <v>3381</v>
      </c>
      <c r="F868" s="13"/>
    </row>
    <row r="869" spans="1:6" x14ac:dyDescent="0.2">
      <c r="A869" s="12" t="s">
        <v>331</v>
      </c>
      <c r="B869" s="11"/>
      <c r="C869" s="12" t="s">
        <v>5</v>
      </c>
      <c r="D869" s="12" t="s">
        <v>21</v>
      </c>
      <c r="E869" s="12" t="s">
        <v>3381</v>
      </c>
      <c r="F869" s="13"/>
    </row>
    <row r="870" spans="1:6" x14ac:dyDescent="0.2">
      <c r="A870" s="12" t="s">
        <v>1924</v>
      </c>
      <c r="B870" s="11"/>
      <c r="C870" s="12" t="s">
        <v>5</v>
      </c>
      <c r="D870" s="12" t="s">
        <v>21</v>
      </c>
      <c r="E870" s="12" t="s">
        <v>3385</v>
      </c>
      <c r="F870" s="13"/>
    </row>
    <row r="871" spans="1:6" x14ac:dyDescent="0.2">
      <c r="A871" s="12" t="s">
        <v>1924</v>
      </c>
      <c r="B871" s="11"/>
      <c r="C871" s="12" t="s">
        <v>5</v>
      </c>
      <c r="D871" s="12" t="s">
        <v>21</v>
      </c>
      <c r="E871" s="12" t="s">
        <v>3385</v>
      </c>
      <c r="F871" s="13"/>
    </row>
    <row r="872" spans="1:6" x14ac:dyDescent="0.2">
      <c r="A872" s="12" t="s">
        <v>1822</v>
      </c>
      <c r="B872" s="11"/>
      <c r="C872" s="12" t="s">
        <v>5</v>
      </c>
      <c r="D872" s="12" t="s">
        <v>21</v>
      </c>
      <c r="E872" s="12" t="s">
        <v>3388</v>
      </c>
      <c r="F872" s="13"/>
    </row>
    <row r="873" spans="1:6" x14ac:dyDescent="0.2">
      <c r="A873" s="12" t="s">
        <v>1822</v>
      </c>
      <c r="B873" s="11"/>
      <c r="C873" s="12" t="s">
        <v>5</v>
      </c>
      <c r="D873" s="12" t="s">
        <v>21</v>
      </c>
      <c r="E873" s="12" t="s">
        <v>3388</v>
      </c>
      <c r="F873" s="13"/>
    </row>
    <row r="874" spans="1:6" x14ac:dyDescent="0.2">
      <c r="A874" s="12" t="s">
        <v>1142</v>
      </c>
      <c r="B874" s="11"/>
      <c r="C874" s="12" t="s">
        <v>5</v>
      </c>
      <c r="D874" s="12" t="s">
        <v>21</v>
      </c>
      <c r="E874" s="12" t="s">
        <v>3391</v>
      </c>
      <c r="F874" s="13"/>
    </row>
    <row r="875" spans="1:6" x14ac:dyDescent="0.2">
      <c r="A875" s="12" t="s">
        <v>1142</v>
      </c>
      <c r="B875" s="11"/>
      <c r="C875" s="12" t="s">
        <v>5</v>
      </c>
      <c r="D875" s="12" t="s">
        <v>21</v>
      </c>
      <c r="E875" s="12" t="s">
        <v>3391</v>
      </c>
      <c r="F875" s="13"/>
    </row>
    <row r="876" spans="1:6" x14ac:dyDescent="0.2">
      <c r="A876" s="12" t="s">
        <v>1544</v>
      </c>
      <c r="B876" s="11"/>
      <c r="C876" s="12" t="s">
        <v>208</v>
      </c>
      <c r="D876" s="12" t="s">
        <v>209</v>
      </c>
      <c r="E876" s="12" t="s">
        <v>5653</v>
      </c>
      <c r="F876" s="13"/>
    </row>
    <row r="877" spans="1:6" x14ac:dyDescent="0.2">
      <c r="A877" s="12" t="s">
        <v>541</v>
      </c>
      <c r="B877" s="11"/>
      <c r="C877" s="12" t="s">
        <v>208</v>
      </c>
      <c r="D877" s="12" t="s">
        <v>209</v>
      </c>
      <c r="E877" s="12" t="s">
        <v>5654</v>
      </c>
      <c r="F877" s="13"/>
    </row>
    <row r="878" spans="1:6" x14ac:dyDescent="0.2">
      <c r="A878" s="12" t="s">
        <v>635</v>
      </c>
      <c r="B878" s="11"/>
      <c r="C878" s="12" t="s">
        <v>208</v>
      </c>
      <c r="D878" s="12" t="s">
        <v>209</v>
      </c>
      <c r="E878" s="12" t="s">
        <v>5655</v>
      </c>
      <c r="F878" s="13"/>
    </row>
    <row r="879" spans="1:6" x14ac:dyDescent="0.2">
      <c r="A879" s="12" t="s">
        <v>494</v>
      </c>
      <c r="B879" s="11"/>
      <c r="C879" s="12" t="s">
        <v>208</v>
      </c>
      <c r="D879" s="12" t="s">
        <v>209</v>
      </c>
      <c r="E879" s="12" t="s">
        <v>5656</v>
      </c>
      <c r="F879" s="13"/>
    </row>
    <row r="880" spans="1:6" x14ac:dyDescent="0.2">
      <c r="A880" s="12" t="s">
        <v>1010</v>
      </c>
      <c r="B880" s="11"/>
      <c r="C880" s="12" t="s">
        <v>208</v>
      </c>
      <c r="D880" s="12" t="s">
        <v>209</v>
      </c>
      <c r="E880" s="12" t="s">
        <v>5657</v>
      </c>
      <c r="F880" s="13"/>
    </row>
    <row r="881" spans="1:6" x14ac:dyDescent="0.2">
      <c r="A881" s="12" t="s">
        <v>1016</v>
      </c>
      <c r="B881" s="11"/>
      <c r="C881" s="12" t="s">
        <v>208</v>
      </c>
      <c r="D881" s="12" t="s">
        <v>209</v>
      </c>
      <c r="E881" s="12" t="s">
        <v>5658</v>
      </c>
      <c r="F881" s="13"/>
    </row>
    <row r="882" spans="1:6" x14ac:dyDescent="0.2">
      <c r="A882" s="12" t="s">
        <v>1996</v>
      </c>
      <c r="B882" s="11"/>
      <c r="C882" s="12" t="s">
        <v>208</v>
      </c>
      <c r="D882" s="12" t="s">
        <v>209</v>
      </c>
      <c r="E882" s="12" t="s">
        <v>5660</v>
      </c>
      <c r="F882" s="13"/>
    </row>
    <row r="883" spans="1:6" x14ac:dyDescent="0.2">
      <c r="A883" s="12" t="s">
        <v>1998</v>
      </c>
      <c r="B883" s="11"/>
      <c r="C883" s="12" t="s">
        <v>208</v>
      </c>
      <c r="D883" s="12" t="s">
        <v>209</v>
      </c>
      <c r="E883" s="12" t="s">
        <v>5661</v>
      </c>
      <c r="F883" s="13"/>
    </row>
    <row r="884" spans="1:6" x14ac:dyDescent="0.2">
      <c r="A884" s="12" t="s">
        <v>1168</v>
      </c>
      <c r="B884" s="11"/>
      <c r="C884" s="12" t="s">
        <v>5</v>
      </c>
      <c r="D884" s="12" t="s">
        <v>6</v>
      </c>
      <c r="E884" s="12" t="s">
        <v>3395</v>
      </c>
      <c r="F884" s="13"/>
    </row>
    <row r="885" spans="1:6" x14ac:dyDescent="0.2">
      <c r="A885" s="12" t="s">
        <v>1168</v>
      </c>
      <c r="B885" s="11"/>
      <c r="C885" s="12" t="s">
        <v>5</v>
      </c>
      <c r="D885" s="12" t="s">
        <v>6</v>
      </c>
      <c r="E885" s="12" t="s">
        <v>3395</v>
      </c>
      <c r="F885" s="13"/>
    </row>
    <row r="886" spans="1:6" x14ac:dyDescent="0.2">
      <c r="A886" s="12" t="s">
        <v>1815</v>
      </c>
      <c r="B886" s="11"/>
      <c r="C886" s="12" t="s">
        <v>5</v>
      </c>
      <c r="D886" s="12" t="s">
        <v>6</v>
      </c>
      <c r="E886" s="12" t="s">
        <v>3398</v>
      </c>
      <c r="F886" s="13"/>
    </row>
    <row r="887" spans="1:6" x14ac:dyDescent="0.2">
      <c r="A887" s="12" t="s">
        <v>2030</v>
      </c>
      <c r="B887" s="11"/>
      <c r="C887" s="12" t="s">
        <v>5</v>
      </c>
      <c r="D887" s="12" t="s">
        <v>6</v>
      </c>
      <c r="E887" s="12" t="s">
        <v>3400</v>
      </c>
      <c r="F887" s="13"/>
    </row>
    <row r="888" spans="1:6" x14ac:dyDescent="0.2">
      <c r="A888" s="12" t="s">
        <v>2030</v>
      </c>
      <c r="B888" s="11"/>
      <c r="C888" s="12" t="s">
        <v>5</v>
      </c>
      <c r="D888" s="12" t="s">
        <v>6</v>
      </c>
      <c r="E888" s="12" t="s">
        <v>3400</v>
      </c>
      <c r="F888" s="13"/>
    </row>
    <row r="889" spans="1:6" x14ac:dyDescent="0.2">
      <c r="A889" s="12" t="s">
        <v>641</v>
      </c>
      <c r="B889" s="11"/>
      <c r="C889" s="12" t="s">
        <v>5</v>
      </c>
      <c r="D889" s="12" t="s">
        <v>6</v>
      </c>
      <c r="E889" s="12" t="s">
        <v>3403</v>
      </c>
      <c r="F889" s="13"/>
    </row>
    <row r="890" spans="1:6" x14ac:dyDescent="0.2">
      <c r="A890" s="12" t="s">
        <v>641</v>
      </c>
      <c r="B890" s="11"/>
      <c r="C890" s="12" t="s">
        <v>5</v>
      </c>
      <c r="D890" s="12" t="s">
        <v>6</v>
      </c>
      <c r="E890" s="12" t="s">
        <v>3403</v>
      </c>
      <c r="F890" s="13"/>
    </row>
    <row r="891" spans="1:6" x14ac:dyDescent="0.2">
      <c r="A891" s="12" t="s">
        <v>1135</v>
      </c>
      <c r="B891" s="11"/>
      <c r="C891" s="12" t="s">
        <v>5</v>
      </c>
      <c r="D891" s="12" t="s">
        <v>21</v>
      </c>
      <c r="E891" s="12" t="s">
        <v>3406</v>
      </c>
      <c r="F891" s="13"/>
    </row>
    <row r="892" spans="1:6" x14ac:dyDescent="0.2">
      <c r="A892" s="12" t="s">
        <v>1135</v>
      </c>
      <c r="B892" s="11"/>
      <c r="C892" s="12" t="s">
        <v>5</v>
      </c>
      <c r="D892" s="12" t="s">
        <v>21</v>
      </c>
      <c r="E892" s="12" t="s">
        <v>3406</v>
      </c>
      <c r="F892" s="13"/>
    </row>
    <row r="893" spans="1:6" x14ac:dyDescent="0.2">
      <c r="A893" s="12" t="s">
        <v>0</v>
      </c>
      <c r="B893" s="11"/>
      <c r="C893" s="12" t="s">
        <v>5</v>
      </c>
      <c r="D893" s="12" t="s">
        <v>21</v>
      </c>
      <c r="E893" s="12" t="s">
        <v>43</v>
      </c>
      <c r="F893" s="13"/>
    </row>
    <row r="894" spans="1:6" x14ac:dyDescent="0.2">
      <c r="A894" s="12" t="s">
        <v>0</v>
      </c>
      <c r="B894" s="11"/>
      <c r="C894" s="12" t="s">
        <v>5</v>
      </c>
      <c r="D894" s="12" t="s">
        <v>21</v>
      </c>
      <c r="E894" s="12" t="s">
        <v>43</v>
      </c>
      <c r="F894" s="13"/>
    </row>
    <row r="895" spans="1:6" x14ac:dyDescent="0.2">
      <c r="A895" s="12" t="s">
        <v>0</v>
      </c>
      <c r="B895" s="11"/>
      <c r="C895" s="12" t="s">
        <v>5</v>
      </c>
      <c r="D895" s="12" t="s">
        <v>21</v>
      </c>
      <c r="E895" s="12" t="s">
        <v>46</v>
      </c>
      <c r="F895" s="13"/>
    </row>
    <row r="896" spans="1:6" x14ac:dyDescent="0.2">
      <c r="A896" s="12" t="s">
        <v>0</v>
      </c>
      <c r="B896" s="11"/>
      <c r="C896" s="12" t="s">
        <v>5</v>
      </c>
      <c r="D896" s="12" t="s">
        <v>21</v>
      </c>
      <c r="E896" s="12" t="s">
        <v>46</v>
      </c>
      <c r="F896" s="13"/>
    </row>
    <row r="897" spans="1:6" x14ac:dyDescent="0.2">
      <c r="A897" s="12" t="s">
        <v>1922</v>
      </c>
      <c r="B897" s="11"/>
      <c r="C897" s="12" t="s">
        <v>5</v>
      </c>
      <c r="D897" s="12" t="s">
        <v>21</v>
      </c>
      <c r="E897" s="12" t="s">
        <v>3409</v>
      </c>
      <c r="F897" s="13"/>
    </row>
    <row r="898" spans="1:6" x14ac:dyDescent="0.2">
      <c r="A898" s="12" t="s">
        <v>1922</v>
      </c>
      <c r="B898" s="11"/>
      <c r="C898" s="12" t="s">
        <v>5</v>
      </c>
      <c r="D898" s="12" t="s">
        <v>21</v>
      </c>
      <c r="E898" s="12" t="s">
        <v>3409</v>
      </c>
      <c r="F898" s="13"/>
    </row>
    <row r="899" spans="1:6" x14ac:dyDescent="0.2">
      <c r="A899" s="12" t="s">
        <v>1566</v>
      </c>
      <c r="B899" s="11"/>
      <c r="C899" s="12" t="s">
        <v>208</v>
      </c>
      <c r="D899" s="12" t="s">
        <v>209</v>
      </c>
      <c r="E899" s="12" t="s">
        <v>5662</v>
      </c>
      <c r="F899" s="13"/>
    </row>
    <row r="900" spans="1:6" x14ac:dyDescent="0.2">
      <c r="A900" s="12" t="s">
        <v>529</v>
      </c>
      <c r="B900" s="11"/>
      <c r="C900" s="12" t="s">
        <v>208</v>
      </c>
      <c r="D900" s="12" t="s">
        <v>209</v>
      </c>
      <c r="E900" s="12" t="s">
        <v>5663</v>
      </c>
      <c r="F900" s="13"/>
    </row>
    <row r="901" spans="1:6" x14ac:dyDescent="0.2">
      <c r="A901" s="12" t="s">
        <v>2026</v>
      </c>
      <c r="B901" s="11"/>
      <c r="C901" s="12" t="s">
        <v>208</v>
      </c>
      <c r="D901" s="12" t="s">
        <v>209</v>
      </c>
      <c r="E901" s="12" t="s">
        <v>5664</v>
      </c>
      <c r="F901" s="13"/>
    </row>
    <row r="902" spans="1:6" x14ac:dyDescent="0.2">
      <c r="A902" s="12" t="s">
        <v>1054</v>
      </c>
      <c r="B902" s="11"/>
      <c r="C902" s="12" t="s">
        <v>208</v>
      </c>
      <c r="D902" s="12" t="s">
        <v>209</v>
      </c>
      <c r="E902" s="12" t="s">
        <v>5665</v>
      </c>
      <c r="F902" s="13"/>
    </row>
    <row r="903" spans="1:6" x14ac:dyDescent="0.2">
      <c r="A903" s="12" t="s">
        <v>1013</v>
      </c>
      <c r="B903" s="11"/>
      <c r="C903" s="12" t="s">
        <v>208</v>
      </c>
      <c r="D903" s="12" t="s">
        <v>209</v>
      </c>
      <c r="E903" s="12" t="s">
        <v>5666</v>
      </c>
      <c r="F903" s="13"/>
    </row>
    <row r="904" spans="1:6" x14ac:dyDescent="0.2">
      <c r="A904" s="12" t="s">
        <v>503</v>
      </c>
      <c r="B904" s="11"/>
      <c r="C904" s="12" t="s">
        <v>208</v>
      </c>
      <c r="D904" s="12" t="s">
        <v>209</v>
      </c>
      <c r="E904" s="12" t="s">
        <v>5668</v>
      </c>
      <c r="F904" s="13"/>
    </row>
    <row r="905" spans="1:6" x14ac:dyDescent="0.2">
      <c r="A905" s="12" t="s">
        <v>2046</v>
      </c>
      <c r="B905" s="11"/>
      <c r="C905" s="12" t="s">
        <v>208</v>
      </c>
      <c r="D905" s="12" t="s">
        <v>209</v>
      </c>
      <c r="E905" s="12" t="s">
        <v>5669</v>
      </c>
      <c r="F905" s="13"/>
    </row>
    <row r="906" spans="1:6" x14ac:dyDescent="0.2">
      <c r="A906" s="12" t="s">
        <v>2251</v>
      </c>
      <c r="B906" s="11"/>
      <c r="C906" s="12" t="s">
        <v>208</v>
      </c>
      <c r="D906" s="12" t="s">
        <v>209</v>
      </c>
      <c r="E906" s="12" t="s">
        <v>5670</v>
      </c>
      <c r="F906" s="47"/>
    </row>
    <row r="907" spans="1:6" x14ac:dyDescent="0.2">
      <c r="A907" s="12" t="s">
        <v>2008</v>
      </c>
      <c r="B907" s="11"/>
      <c r="C907" s="12" t="s">
        <v>5</v>
      </c>
      <c r="D907" s="12" t="s">
        <v>6</v>
      </c>
      <c r="E907" s="12" t="s">
        <v>3412</v>
      </c>
      <c r="F907" s="13"/>
    </row>
    <row r="908" spans="1:6" x14ac:dyDescent="0.2">
      <c r="A908" s="12" t="s">
        <v>2008</v>
      </c>
      <c r="B908" s="11"/>
      <c r="C908" s="12" t="s">
        <v>5</v>
      </c>
      <c r="D908" s="12" t="s">
        <v>6</v>
      </c>
      <c r="E908" s="12" t="s">
        <v>3412</v>
      </c>
      <c r="F908" s="13"/>
    </row>
    <row r="909" spans="1:6" x14ac:dyDescent="0.2">
      <c r="A909" s="12" t="s">
        <v>641</v>
      </c>
      <c r="B909" s="11"/>
      <c r="C909" s="12" t="s">
        <v>5</v>
      </c>
      <c r="D909" s="12" t="s">
        <v>6</v>
      </c>
      <c r="E909" s="12" t="s">
        <v>3415</v>
      </c>
      <c r="F909" s="13"/>
    </row>
    <row r="910" spans="1:6" x14ac:dyDescent="0.2">
      <c r="A910" s="12" t="s">
        <v>641</v>
      </c>
      <c r="B910" s="11"/>
      <c r="C910" s="12" t="s">
        <v>5</v>
      </c>
      <c r="D910" s="12" t="s">
        <v>6</v>
      </c>
      <c r="E910" s="12" t="s">
        <v>3415</v>
      </c>
      <c r="F910" s="13"/>
    </row>
    <row r="911" spans="1:6" x14ac:dyDescent="0.2">
      <c r="A911" s="12" t="s">
        <v>2088</v>
      </c>
      <c r="B911" s="11"/>
      <c r="C911" s="12" t="s">
        <v>5</v>
      </c>
      <c r="D911" s="12" t="s">
        <v>6</v>
      </c>
      <c r="E911" s="12" t="s">
        <v>3418</v>
      </c>
      <c r="F911" s="13"/>
    </row>
    <row r="912" spans="1:6" x14ac:dyDescent="0.2">
      <c r="A912" s="12" t="s">
        <v>2088</v>
      </c>
      <c r="B912" s="11"/>
      <c r="C912" s="12" t="s">
        <v>5</v>
      </c>
      <c r="D912" s="12" t="s">
        <v>6</v>
      </c>
      <c r="E912" s="12" t="s">
        <v>3418</v>
      </c>
      <c r="F912" s="13"/>
    </row>
    <row r="913" spans="1:6" x14ac:dyDescent="0.2">
      <c r="A913" s="12" t="s">
        <v>1573</v>
      </c>
      <c r="B913" s="11"/>
      <c r="C913" s="12" t="s">
        <v>5</v>
      </c>
      <c r="D913" s="12" t="s">
        <v>6</v>
      </c>
      <c r="E913" s="12" t="s">
        <v>3421</v>
      </c>
      <c r="F913" s="13"/>
    </row>
    <row r="914" spans="1:6" x14ac:dyDescent="0.2">
      <c r="A914" s="12" t="s">
        <v>1573</v>
      </c>
      <c r="B914" s="11"/>
      <c r="C914" s="12" t="s">
        <v>5</v>
      </c>
      <c r="D914" s="12" t="s">
        <v>6</v>
      </c>
      <c r="E914" s="12" t="s">
        <v>3421</v>
      </c>
      <c r="F914" s="13"/>
    </row>
    <row r="915" spans="1:6" x14ac:dyDescent="0.2">
      <c r="A915" s="12" t="s">
        <v>1135</v>
      </c>
      <c r="B915" s="11"/>
      <c r="C915" s="12" t="s">
        <v>5</v>
      </c>
      <c r="D915" s="12" t="s">
        <v>21</v>
      </c>
      <c r="E915" s="12" t="s">
        <v>3424</v>
      </c>
      <c r="F915" s="13"/>
    </row>
    <row r="916" spans="1:6" x14ac:dyDescent="0.2">
      <c r="A916" s="12" t="s">
        <v>1135</v>
      </c>
      <c r="B916" s="11"/>
      <c r="C916" s="12" t="s">
        <v>5</v>
      </c>
      <c r="D916" s="12" t="s">
        <v>21</v>
      </c>
      <c r="E916" s="12" t="s">
        <v>3424</v>
      </c>
      <c r="F916" s="13"/>
    </row>
    <row r="917" spans="1:6" x14ac:dyDescent="0.2">
      <c r="A917" s="12" t="s">
        <v>1924</v>
      </c>
      <c r="B917" s="11"/>
      <c r="C917" s="12" t="s">
        <v>5</v>
      </c>
      <c r="D917" s="12" t="s">
        <v>21</v>
      </c>
      <c r="E917" s="12" t="s">
        <v>3427</v>
      </c>
      <c r="F917" s="13"/>
    </row>
    <row r="918" spans="1:6" x14ac:dyDescent="0.2">
      <c r="A918" s="12" t="s">
        <v>1924</v>
      </c>
      <c r="B918" s="11"/>
      <c r="C918" s="12" t="s">
        <v>5</v>
      </c>
      <c r="D918" s="12" t="s">
        <v>21</v>
      </c>
      <c r="E918" s="12" t="s">
        <v>3427</v>
      </c>
      <c r="F918" s="13"/>
    </row>
    <row r="919" spans="1:6" x14ac:dyDescent="0.2">
      <c r="A919" s="12" t="s">
        <v>535</v>
      </c>
      <c r="B919" s="11"/>
      <c r="C919" s="12" t="s">
        <v>5</v>
      </c>
      <c r="D919" s="12" t="s">
        <v>21</v>
      </c>
      <c r="E919" s="12" t="s">
        <v>3430</v>
      </c>
      <c r="F919" s="13"/>
    </row>
    <row r="920" spans="1:6" x14ac:dyDescent="0.2">
      <c r="A920" s="12" t="s">
        <v>535</v>
      </c>
      <c r="B920" s="11"/>
      <c r="C920" s="12" t="s">
        <v>5</v>
      </c>
      <c r="D920" s="12" t="s">
        <v>21</v>
      </c>
      <c r="E920" s="12" t="s">
        <v>3430</v>
      </c>
      <c r="F920" s="13"/>
    </row>
    <row r="921" spans="1:6" x14ac:dyDescent="0.2">
      <c r="A921" s="12" t="s">
        <v>1998</v>
      </c>
      <c r="B921" s="11"/>
      <c r="C921" s="12" t="s">
        <v>5</v>
      </c>
      <c r="D921" s="12" t="s">
        <v>21</v>
      </c>
      <c r="E921" s="12" t="s">
        <v>3435</v>
      </c>
      <c r="F921" s="13"/>
    </row>
    <row r="922" spans="1:6" x14ac:dyDescent="0.2">
      <c r="A922" s="12" t="s">
        <v>1998</v>
      </c>
      <c r="B922" s="11"/>
      <c r="C922" s="12" t="s">
        <v>5</v>
      </c>
      <c r="D922" s="12" t="s">
        <v>21</v>
      </c>
      <c r="E922" s="12" t="s">
        <v>3435</v>
      </c>
      <c r="F922" s="13"/>
    </row>
    <row r="923" spans="1:6" x14ac:dyDescent="0.2">
      <c r="A923" s="12" t="s">
        <v>1563</v>
      </c>
      <c r="B923" s="11"/>
      <c r="C923" s="12" t="s">
        <v>208</v>
      </c>
      <c r="D923" s="12" t="s">
        <v>209</v>
      </c>
      <c r="E923" s="12" t="s">
        <v>5671</v>
      </c>
      <c r="F923" s="13"/>
    </row>
    <row r="924" spans="1:6" x14ac:dyDescent="0.2">
      <c r="A924" s="12" t="s">
        <v>2050</v>
      </c>
      <c r="B924" s="11"/>
      <c r="C924" s="12" t="s">
        <v>208</v>
      </c>
      <c r="D924" s="12" t="s">
        <v>209</v>
      </c>
      <c r="E924" s="12" t="s">
        <v>5672</v>
      </c>
      <c r="F924" s="13"/>
    </row>
    <row r="925" spans="1:6" x14ac:dyDescent="0.2">
      <c r="A925" s="12" t="s">
        <v>793</v>
      </c>
      <c r="B925" s="11"/>
      <c r="C925" s="12" t="s">
        <v>208</v>
      </c>
      <c r="D925" s="12" t="s">
        <v>209</v>
      </c>
      <c r="E925" s="12" t="s">
        <v>5673</v>
      </c>
      <c r="F925" s="13"/>
    </row>
    <row r="926" spans="1:6" x14ac:dyDescent="0.2">
      <c r="A926" s="12" t="s">
        <v>2251</v>
      </c>
      <c r="B926" s="11"/>
      <c r="C926" s="12" t="s">
        <v>208</v>
      </c>
      <c r="D926" s="12" t="s">
        <v>209</v>
      </c>
      <c r="E926" s="12" t="s">
        <v>5674</v>
      </c>
      <c r="F926" s="47"/>
    </row>
    <row r="927" spans="1:6" x14ac:dyDescent="0.2">
      <c r="A927" s="12" t="s">
        <v>847</v>
      </c>
      <c r="B927" s="11"/>
      <c r="C927" s="12" t="s">
        <v>208</v>
      </c>
      <c r="D927" s="12" t="s">
        <v>209</v>
      </c>
      <c r="E927" s="12" t="s">
        <v>5675</v>
      </c>
      <c r="F927" s="13"/>
    </row>
    <row r="928" spans="1:6" x14ac:dyDescent="0.2">
      <c r="A928" s="12" t="s">
        <v>837</v>
      </c>
      <c r="B928" s="11"/>
      <c r="C928" s="12" t="s">
        <v>208</v>
      </c>
      <c r="D928" s="12" t="s">
        <v>209</v>
      </c>
      <c r="E928" s="12" t="s">
        <v>5676</v>
      </c>
      <c r="F928" s="13"/>
    </row>
    <row r="929" spans="1:6" x14ac:dyDescent="0.2">
      <c r="A929" s="12" t="s">
        <v>1365</v>
      </c>
      <c r="B929" s="11"/>
      <c r="C929" s="12" t="s">
        <v>208</v>
      </c>
      <c r="D929" s="12" t="s">
        <v>209</v>
      </c>
      <c r="E929" s="12" t="s">
        <v>5677</v>
      </c>
      <c r="F929" s="13"/>
    </row>
    <row r="930" spans="1:6" x14ac:dyDescent="0.2">
      <c r="A930" s="12" t="s">
        <v>320</v>
      </c>
      <c r="B930" s="11"/>
      <c r="C930" s="12" t="s">
        <v>208</v>
      </c>
      <c r="D930" s="12" t="s">
        <v>209</v>
      </c>
      <c r="E930" s="12" t="s">
        <v>5677</v>
      </c>
      <c r="F930" s="13"/>
    </row>
    <row r="931" spans="1:6" x14ac:dyDescent="0.2">
      <c r="A931" s="12" t="s">
        <v>2251</v>
      </c>
      <c r="B931" s="11"/>
      <c r="C931" s="12" t="s">
        <v>208</v>
      </c>
      <c r="D931" s="12" t="s">
        <v>209</v>
      </c>
      <c r="E931" s="12" t="s">
        <v>5678</v>
      </c>
      <c r="F931" s="47"/>
    </row>
    <row r="932" spans="1:6" x14ac:dyDescent="0.2">
      <c r="A932" s="12" t="s">
        <v>1573</v>
      </c>
      <c r="B932" s="11"/>
      <c r="C932" s="12" t="s">
        <v>5</v>
      </c>
      <c r="D932" s="12" t="s">
        <v>6</v>
      </c>
      <c r="E932" s="12" t="s">
        <v>3438</v>
      </c>
      <c r="F932" s="13"/>
    </row>
    <row r="933" spans="1:6" x14ac:dyDescent="0.2">
      <c r="A933" s="12" t="s">
        <v>1573</v>
      </c>
      <c r="B933" s="11"/>
      <c r="C933" s="12" t="s">
        <v>5</v>
      </c>
      <c r="D933" s="12" t="s">
        <v>6</v>
      </c>
      <c r="E933" s="12" t="s">
        <v>3438</v>
      </c>
      <c r="F933" s="13"/>
    </row>
    <row r="934" spans="1:6" x14ac:dyDescent="0.2">
      <c r="A934" s="12" t="s">
        <v>2030</v>
      </c>
      <c r="B934" s="11"/>
      <c r="C934" s="12" t="s">
        <v>5</v>
      </c>
      <c r="D934" s="12" t="s">
        <v>6</v>
      </c>
      <c r="E934" s="12" t="s">
        <v>3441</v>
      </c>
      <c r="F934" s="13"/>
    </row>
    <row r="935" spans="1:6" x14ac:dyDescent="0.2">
      <c r="A935" s="12" t="s">
        <v>0</v>
      </c>
      <c r="B935" s="11"/>
      <c r="C935" s="12" t="s">
        <v>5</v>
      </c>
      <c r="D935" s="12" t="s">
        <v>6</v>
      </c>
      <c r="E935" s="12" t="s">
        <v>49</v>
      </c>
      <c r="F935" s="13"/>
    </row>
    <row r="936" spans="1:6" x14ac:dyDescent="0.2">
      <c r="A936" s="12" t="s">
        <v>0</v>
      </c>
      <c r="B936" s="11"/>
      <c r="C936" s="12" t="s">
        <v>5</v>
      </c>
      <c r="D936" s="12" t="s">
        <v>6</v>
      </c>
      <c r="E936" s="12" t="s">
        <v>49</v>
      </c>
      <c r="F936" s="13"/>
    </row>
    <row r="937" spans="1:6" x14ac:dyDescent="0.2">
      <c r="A937" s="12" t="s">
        <v>0</v>
      </c>
      <c r="B937" s="11"/>
      <c r="C937" s="12" t="s">
        <v>5</v>
      </c>
      <c r="D937" s="12" t="s">
        <v>6</v>
      </c>
      <c r="E937" s="12" t="s">
        <v>52</v>
      </c>
      <c r="F937" s="13"/>
    </row>
    <row r="938" spans="1:6" x14ac:dyDescent="0.2">
      <c r="A938" s="12" t="s">
        <v>0</v>
      </c>
      <c r="B938" s="11"/>
      <c r="C938" s="12" t="s">
        <v>5</v>
      </c>
      <c r="D938" s="12" t="s">
        <v>6</v>
      </c>
      <c r="E938" s="12" t="s">
        <v>52</v>
      </c>
      <c r="F938" s="13"/>
    </row>
    <row r="939" spans="1:6" x14ac:dyDescent="0.2">
      <c r="A939" s="12" t="s">
        <v>285</v>
      </c>
      <c r="B939" s="11"/>
      <c r="C939" s="12" t="s">
        <v>5</v>
      </c>
      <c r="D939" s="12" t="s">
        <v>21</v>
      </c>
      <c r="E939" s="12" t="s">
        <v>3443</v>
      </c>
      <c r="F939" s="13"/>
    </row>
    <row r="940" spans="1:6" x14ac:dyDescent="0.2">
      <c r="A940" s="12" t="s">
        <v>285</v>
      </c>
      <c r="B940" s="11"/>
      <c r="C940" s="12" t="s">
        <v>5</v>
      </c>
      <c r="D940" s="12" t="s">
        <v>21</v>
      </c>
      <c r="E940" s="12" t="s">
        <v>3443</v>
      </c>
      <c r="F940" s="13"/>
    </row>
    <row r="941" spans="1:6" x14ac:dyDescent="0.2">
      <c r="A941" s="12" t="s">
        <v>1139</v>
      </c>
      <c r="B941" s="11"/>
      <c r="C941" s="12" t="s">
        <v>5</v>
      </c>
      <c r="D941" s="12" t="s">
        <v>21</v>
      </c>
      <c r="E941" s="12" t="s">
        <v>3446</v>
      </c>
      <c r="F941" s="13"/>
    </row>
    <row r="942" spans="1:6" x14ac:dyDescent="0.2">
      <c r="A942" s="12" t="s">
        <v>1139</v>
      </c>
      <c r="B942" s="11"/>
      <c r="C942" s="12" t="s">
        <v>5</v>
      </c>
      <c r="D942" s="12" t="s">
        <v>21</v>
      </c>
      <c r="E942" s="12" t="s">
        <v>3446</v>
      </c>
      <c r="F942" s="13"/>
    </row>
    <row r="943" spans="1:6" x14ac:dyDescent="0.2">
      <c r="A943" s="12" t="s">
        <v>678</v>
      </c>
      <c r="B943" s="11"/>
      <c r="C943" s="12" t="s">
        <v>5</v>
      </c>
      <c r="D943" s="12" t="s">
        <v>21</v>
      </c>
      <c r="E943" s="12" t="s">
        <v>3449</v>
      </c>
      <c r="F943" s="13"/>
    </row>
    <row r="944" spans="1:6" x14ac:dyDescent="0.2">
      <c r="A944" s="12" t="s">
        <v>678</v>
      </c>
      <c r="B944" s="11"/>
      <c r="C944" s="12" t="s">
        <v>5</v>
      </c>
      <c r="D944" s="12" t="s">
        <v>21</v>
      </c>
      <c r="E944" s="12" t="s">
        <v>3449</v>
      </c>
      <c r="F944" s="13"/>
    </row>
    <row r="945" spans="1:6" x14ac:dyDescent="0.2">
      <c r="A945" s="12" t="s">
        <v>1922</v>
      </c>
      <c r="B945" s="11"/>
      <c r="C945" s="12" t="s">
        <v>5</v>
      </c>
      <c r="D945" s="12" t="s">
        <v>21</v>
      </c>
      <c r="E945" s="12" t="s">
        <v>3452</v>
      </c>
      <c r="F945" s="13"/>
    </row>
    <row r="946" spans="1:6" x14ac:dyDescent="0.2">
      <c r="A946" s="12" t="s">
        <v>1922</v>
      </c>
      <c r="B946" s="11"/>
      <c r="C946" s="12" t="s">
        <v>5</v>
      </c>
      <c r="D946" s="12" t="s">
        <v>21</v>
      </c>
      <c r="E946" s="12" t="s">
        <v>3452</v>
      </c>
      <c r="F946" s="13"/>
    </row>
    <row r="947" spans="1:6" x14ac:dyDescent="0.2">
      <c r="A947" s="12" t="s">
        <v>470</v>
      </c>
      <c r="B947" s="11"/>
      <c r="C947" s="12" t="s">
        <v>208</v>
      </c>
      <c r="D947" s="12" t="s">
        <v>209</v>
      </c>
      <c r="E947" s="12" t="s">
        <v>5679</v>
      </c>
      <c r="F947" s="13"/>
    </row>
    <row r="948" spans="1:6" x14ac:dyDescent="0.2">
      <c r="A948" s="12" t="s">
        <v>463</v>
      </c>
      <c r="B948" s="11"/>
      <c r="C948" s="12" t="s">
        <v>208</v>
      </c>
      <c r="D948" s="12" t="s">
        <v>209</v>
      </c>
      <c r="E948" s="12" t="s">
        <v>5680</v>
      </c>
      <c r="F948" s="13"/>
    </row>
    <row r="949" spans="1:6" x14ac:dyDescent="0.2">
      <c r="A949" s="12" t="s">
        <v>789</v>
      </c>
      <c r="B949" s="11"/>
      <c r="C949" s="12" t="s">
        <v>208</v>
      </c>
      <c r="D949" s="12" t="s">
        <v>209</v>
      </c>
      <c r="E949" s="12" t="s">
        <v>5681</v>
      </c>
      <c r="F949" s="13"/>
    </row>
    <row r="950" spans="1:6" x14ac:dyDescent="0.2">
      <c r="A950" s="12" t="s">
        <v>2251</v>
      </c>
      <c r="B950" s="11"/>
      <c r="C950" s="12" t="s">
        <v>208</v>
      </c>
      <c r="D950" s="12" t="s">
        <v>209</v>
      </c>
      <c r="E950" s="12" t="s">
        <v>5682</v>
      </c>
      <c r="F950" s="47"/>
    </row>
    <row r="951" spans="1:6" x14ac:dyDescent="0.2">
      <c r="A951" s="12" t="s">
        <v>485</v>
      </c>
      <c r="B951" s="11"/>
      <c r="C951" s="12" t="s">
        <v>208</v>
      </c>
      <c r="D951" s="12" t="s">
        <v>209</v>
      </c>
      <c r="E951" s="12" t="s">
        <v>5683</v>
      </c>
      <c r="F951" s="13"/>
    </row>
    <row r="952" spans="1:6" x14ac:dyDescent="0.2">
      <c r="A952" s="12" t="s">
        <v>2095</v>
      </c>
      <c r="B952" s="11"/>
      <c r="C952" s="12" t="s">
        <v>208</v>
      </c>
      <c r="D952" s="12" t="s">
        <v>209</v>
      </c>
      <c r="E952" s="12" t="s">
        <v>5684</v>
      </c>
      <c r="F952" s="13"/>
    </row>
    <row r="953" spans="1:6" x14ac:dyDescent="0.2">
      <c r="A953" s="12" t="s">
        <v>1901</v>
      </c>
      <c r="B953" s="11"/>
      <c r="C953" s="12" t="s">
        <v>208</v>
      </c>
      <c r="D953" s="12" t="s">
        <v>209</v>
      </c>
      <c r="E953" s="12" t="s">
        <v>5685</v>
      </c>
      <c r="F953" s="13"/>
    </row>
    <row r="954" spans="1:6" x14ac:dyDescent="0.2">
      <c r="A954" s="12" t="s">
        <v>0</v>
      </c>
      <c r="B954" s="11"/>
      <c r="C954" s="12" t="s">
        <v>5</v>
      </c>
      <c r="D954" s="12" t="s">
        <v>6</v>
      </c>
      <c r="E954" s="12" t="s">
        <v>55</v>
      </c>
      <c r="F954" s="13"/>
    </row>
    <row r="955" spans="1:6" x14ac:dyDescent="0.2">
      <c r="A955" s="12" t="s">
        <v>0</v>
      </c>
      <c r="B955" s="11"/>
      <c r="C955" s="12" t="s">
        <v>5</v>
      </c>
      <c r="D955" s="12" t="s">
        <v>6</v>
      </c>
      <c r="E955" s="12" t="s">
        <v>55</v>
      </c>
      <c r="F955" s="13"/>
    </row>
    <row r="956" spans="1:6" x14ac:dyDescent="0.2">
      <c r="A956" s="12" t="s">
        <v>2043</v>
      </c>
      <c r="B956" s="11"/>
      <c r="C956" s="12" t="s">
        <v>5</v>
      </c>
      <c r="D956" s="12" t="s">
        <v>6</v>
      </c>
      <c r="E956" s="12" t="s">
        <v>3455</v>
      </c>
      <c r="F956" s="13"/>
    </row>
    <row r="957" spans="1:6" x14ac:dyDescent="0.2">
      <c r="A957" s="12" t="s">
        <v>2043</v>
      </c>
      <c r="B957" s="11"/>
      <c r="C957" s="12" t="s">
        <v>5</v>
      </c>
      <c r="D957" s="12" t="s">
        <v>6</v>
      </c>
      <c r="E957" s="12" t="s">
        <v>3455</v>
      </c>
      <c r="F957" s="13"/>
    </row>
    <row r="958" spans="1:6" x14ac:dyDescent="0.2">
      <c r="A958" s="12" t="s">
        <v>2043</v>
      </c>
      <c r="B958" s="11"/>
      <c r="C958" s="12" t="s">
        <v>5</v>
      </c>
      <c r="D958" s="12" t="s">
        <v>6</v>
      </c>
      <c r="E958" s="12" t="s">
        <v>3458</v>
      </c>
      <c r="F958" s="13"/>
    </row>
    <row r="959" spans="1:6" x14ac:dyDescent="0.2">
      <c r="A959" s="12" t="s">
        <v>2043</v>
      </c>
      <c r="B959" s="11"/>
      <c r="C959" s="12" t="s">
        <v>5</v>
      </c>
      <c r="D959" s="12" t="s">
        <v>6</v>
      </c>
      <c r="E959" s="12" t="s">
        <v>3458</v>
      </c>
      <c r="F959" s="13"/>
    </row>
    <row r="960" spans="1:6" x14ac:dyDescent="0.2">
      <c r="A960" s="12" t="s">
        <v>2251</v>
      </c>
      <c r="B960" s="11"/>
      <c r="C960" s="12" t="s">
        <v>5</v>
      </c>
      <c r="D960" s="12" t="s">
        <v>6</v>
      </c>
      <c r="E960" s="12" t="s">
        <v>3461</v>
      </c>
      <c r="F960" s="47"/>
    </row>
    <row r="961" spans="1:6" x14ac:dyDescent="0.2">
      <c r="A961" s="12" t="s">
        <v>2193</v>
      </c>
      <c r="B961" s="11"/>
      <c r="C961" s="12" t="s">
        <v>5</v>
      </c>
      <c r="D961" s="12" t="s">
        <v>21</v>
      </c>
      <c r="E961" s="12" t="s">
        <v>3462</v>
      </c>
      <c r="F961" s="13"/>
    </row>
    <row r="962" spans="1:6" x14ac:dyDescent="0.2">
      <c r="A962" s="12" t="s">
        <v>709</v>
      </c>
      <c r="B962" s="11"/>
      <c r="C962" s="12" t="s">
        <v>5</v>
      </c>
      <c r="D962" s="12" t="s">
        <v>21</v>
      </c>
      <c r="E962" s="12" t="s">
        <v>3464</v>
      </c>
      <c r="F962" s="13"/>
    </row>
    <row r="963" spans="1:6" x14ac:dyDescent="0.2">
      <c r="A963" s="12" t="s">
        <v>709</v>
      </c>
      <c r="B963" s="11"/>
      <c r="C963" s="12" t="s">
        <v>5</v>
      </c>
      <c r="D963" s="12" t="s">
        <v>21</v>
      </c>
      <c r="E963" s="12" t="s">
        <v>3464</v>
      </c>
      <c r="F963" s="13"/>
    </row>
    <row r="964" spans="1:6" x14ac:dyDescent="0.2">
      <c r="A964" s="12" t="s">
        <v>1031</v>
      </c>
      <c r="B964" s="11"/>
      <c r="C964" s="12" t="s">
        <v>5</v>
      </c>
      <c r="D964" s="12" t="s">
        <v>21</v>
      </c>
      <c r="E964" s="12" t="s">
        <v>3467</v>
      </c>
      <c r="F964" s="13"/>
    </row>
    <row r="965" spans="1:6" x14ac:dyDescent="0.2">
      <c r="A965" s="12" t="s">
        <v>1031</v>
      </c>
      <c r="B965" s="11"/>
      <c r="C965" s="12" t="s">
        <v>5</v>
      </c>
      <c r="D965" s="12" t="s">
        <v>21</v>
      </c>
      <c r="E965" s="12" t="s">
        <v>3467</v>
      </c>
      <c r="F965" s="13"/>
    </row>
    <row r="966" spans="1:6" x14ac:dyDescent="0.2">
      <c r="A966" s="12" t="s">
        <v>0</v>
      </c>
      <c r="B966" s="11"/>
      <c r="C966" s="12" t="s">
        <v>5</v>
      </c>
      <c r="D966" s="12" t="s">
        <v>21</v>
      </c>
      <c r="E966" s="12" t="s">
        <v>58</v>
      </c>
      <c r="F966" s="13"/>
    </row>
    <row r="967" spans="1:6" x14ac:dyDescent="0.2">
      <c r="A967" s="12" t="s">
        <v>0</v>
      </c>
      <c r="B967" s="11"/>
      <c r="C967" s="12" t="s">
        <v>5</v>
      </c>
      <c r="D967" s="12" t="s">
        <v>21</v>
      </c>
      <c r="E967" s="12" t="s">
        <v>58</v>
      </c>
      <c r="F967" s="13"/>
    </row>
    <row r="968" spans="1:6" x14ac:dyDescent="0.2">
      <c r="A968" s="12" t="s">
        <v>1135</v>
      </c>
      <c r="B968" s="11"/>
      <c r="C968" s="12" t="s">
        <v>208</v>
      </c>
      <c r="D968" s="12" t="s">
        <v>209</v>
      </c>
      <c r="E968" s="12" t="s">
        <v>5686</v>
      </c>
      <c r="F968" s="13"/>
    </row>
    <row r="969" spans="1:6" x14ac:dyDescent="0.2">
      <c r="A969" s="12" t="s">
        <v>1139</v>
      </c>
      <c r="B969" s="11"/>
      <c r="C969" s="12" t="s">
        <v>208</v>
      </c>
      <c r="D969" s="12" t="s">
        <v>209</v>
      </c>
      <c r="E969" s="12" t="s">
        <v>5687</v>
      </c>
      <c r="F969" s="13"/>
    </row>
    <row r="970" spans="1:6" x14ac:dyDescent="0.2">
      <c r="A970" s="12" t="s">
        <v>2251</v>
      </c>
      <c r="B970" s="11"/>
      <c r="C970" s="12" t="s">
        <v>208</v>
      </c>
      <c r="D970" s="12" t="s">
        <v>209</v>
      </c>
      <c r="E970" s="12" t="s">
        <v>5688</v>
      </c>
      <c r="F970" s="47"/>
    </row>
    <row r="971" spans="1:6" x14ac:dyDescent="0.2">
      <c r="A971" s="12" t="s">
        <v>1022</v>
      </c>
      <c r="B971" s="11"/>
      <c r="C971" s="12" t="s">
        <v>208</v>
      </c>
      <c r="D971" s="12" t="s">
        <v>209</v>
      </c>
      <c r="E971" s="12" t="s">
        <v>5689</v>
      </c>
      <c r="F971" s="13"/>
    </row>
    <row r="972" spans="1:6" x14ac:dyDescent="0.2">
      <c r="A972" s="12" t="s">
        <v>1987</v>
      </c>
      <c r="B972" s="11"/>
      <c r="C972" s="12" t="s">
        <v>208</v>
      </c>
      <c r="D972" s="12" t="s">
        <v>209</v>
      </c>
      <c r="E972" s="12" t="s">
        <v>5690</v>
      </c>
      <c r="F972" s="13"/>
    </row>
    <row r="973" spans="1:6" x14ac:dyDescent="0.2">
      <c r="A973" s="12" t="s">
        <v>2251</v>
      </c>
      <c r="B973" s="11"/>
      <c r="C973" s="12" t="s">
        <v>208</v>
      </c>
      <c r="D973" s="12" t="s">
        <v>209</v>
      </c>
      <c r="E973" s="12" t="s">
        <v>5691</v>
      </c>
      <c r="F973" s="47"/>
    </row>
    <row r="974" spans="1:6" x14ac:dyDescent="0.2">
      <c r="A974" s="12" t="s">
        <v>662</v>
      </c>
      <c r="B974" s="11"/>
      <c r="C974" s="12" t="s">
        <v>208</v>
      </c>
      <c r="D974" s="12" t="s">
        <v>209</v>
      </c>
      <c r="E974" s="12" t="s">
        <v>5692</v>
      </c>
      <c r="F974" s="13"/>
    </row>
    <row r="975" spans="1:6" x14ac:dyDescent="0.2">
      <c r="A975" s="12" t="s">
        <v>1815</v>
      </c>
      <c r="B975" s="11"/>
      <c r="C975" s="12" t="s">
        <v>208</v>
      </c>
      <c r="D975" s="12" t="s">
        <v>209</v>
      </c>
      <c r="E975" s="12" t="s">
        <v>5693</v>
      </c>
      <c r="F975" s="13"/>
    </row>
    <row r="976" spans="1:6" x14ac:dyDescent="0.2">
      <c r="A976" s="12" t="s">
        <v>715</v>
      </c>
      <c r="B976" s="11"/>
      <c r="C976" s="12" t="s">
        <v>5</v>
      </c>
      <c r="D976" s="12" t="s">
        <v>6</v>
      </c>
      <c r="E976" s="12" t="s">
        <v>3470</v>
      </c>
      <c r="F976" s="13"/>
    </row>
    <row r="977" spans="1:6" x14ac:dyDescent="0.2">
      <c r="A977" s="12" t="s">
        <v>1164</v>
      </c>
      <c r="B977" s="11"/>
      <c r="C977" s="12" t="s">
        <v>5</v>
      </c>
      <c r="D977" s="12" t="s">
        <v>6</v>
      </c>
      <c r="E977" s="12" t="s">
        <v>3472</v>
      </c>
      <c r="F977" s="13"/>
    </row>
    <row r="978" spans="1:6" x14ac:dyDescent="0.2">
      <c r="A978" s="12" t="s">
        <v>2008</v>
      </c>
      <c r="B978" s="11"/>
      <c r="C978" s="12" t="s">
        <v>5</v>
      </c>
      <c r="D978" s="12" t="s">
        <v>6</v>
      </c>
      <c r="E978" s="12" t="s">
        <v>3474</v>
      </c>
      <c r="F978" s="13"/>
    </row>
    <row r="979" spans="1:6" x14ac:dyDescent="0.2">
      <c r="A979" s="12" t="s">
        <v>2008</v>
      </c>
      <c r="B979" s="11"/>
      <c r="C979" s="12" t="s">
        <v>5</v>
      </c>
      <c r="D979" s="12" t="s">
        <v>6</v>
      </c>
      <c r="E979" s="12" t="s">
        <v>3474</v>
      </c>
      <c r="F979" s="13"/>
    </row>
    <row r="980" spans="1:6" x14ac:dyDescent="0.2">
      <c r="A980" s="12" t="s">
        <v>0</v>
      </c>
      <c r="B980" s="11"/>
      <c r="C980" s="12" t="s">
        <v>5</v>
      </c>
      <c r="D980" s="12" t="s">
        <v>6</v>
      </c>
      <c r="E980" s="12" t="s">
        <v>61</v>
      </c>
      <c r="F980" s="13"/>
    </row>
    <row r="981" spans="1:6" x14ac:dyDescent="0.2">
      <c r="A981" s="12" t="s">
        <v>0</v>
      </c>
      <c r="B981" s="11"/>
      <c r="C981" s="12" t="s">
        <v>5</v>
      </c>
      <c r="D981" s="12" t="s">
        <v>6</v>
      </c>
      <c r="E981" s="12" t="s">
        <v>61</v>
      </c>
      <c r="F981" s="13"/>
    </row>
    <row r="982" spans="1:6" x14ac:dyDescent="0.2">
      <c r="A982" s="12" t="s">
        <v>1139</v>
      </c>
      <c r="B982" s="11"/>
      <c r="C982" s="12" t="s">
        <v>5</v>
      </c>
      <c r="D982" s="12" t="s">
        <v>21</v>
      </c>
      <c r="E982" s="12" t="s">
        <v>3477</v>
      </c>
      <c r="F982" s="13"/>
    </row>
    <row r="983" spans="1:6" x14ac:dyDescent="0.2">
      <c r="A983" s="12" t="s">
        <v>1139</v>
      </c>
      <c r="B983" s="11"/>
      <c r="C983" s="12" t="s">
        <v>5</v>
      </c>
      <c r="D983" s="12" t="s">
        <v>21</v>
      </c>
      <c r="E983" s="12" t="s">
        <v>3477</v>
      </c>
      <c r="F983" s="13"/>
    </row>
    <row r="984" spans="1:6" x14ac:dyDescent="0.2">
      <c r="A984" s="12" t="s">
        <v>2005</v>
      </c>
      <c r="B984" s="11"/>
      <c r="C984" s="12" t="s">
        <v>5</v>
      </c>
      <c r="D984" s="12" t="s">
        <v>21</v>
      </c>
      <c r="E984" s="12" t="s">
        <v>3480</v>
      </c>
      <c r="F984" s="13"/>
    </row>
    <row r="985" spans="1:6" x14ac:dyDescent="0.2">
      <c r="A985" s="12" t="s">
        <v>0</v>
      </c>
      <c r="B985" s="11"/>
      <c r="C985" s="12" t="s">
        <v>5</v>
      </c>
      <c r="D985" s="12" t="s">
        <v>21</v>
      </c>
      <c r="E985" s="12" t="s">
        <v>64</v>
      </c>
      <c r="F985" s="13"/>
    </row>
    <row r="986" spans="1:6" x14ac:dyDescent="0.2">
      <c r="A986" s="12" t="s">
        <v>0</v>
      </c>
      <c r="B986" s="11"/>
      <c r="C986" s="12" t="s">
        <v>5</v>
      </c>
      <c r="D986" s="12" t="s">
        <v>21</v>
      </c>
      <c r="E986" s="12" t="s">
        <v>64</v>
      </c>
      <c r="F986" s="13"/>
    </row>
    <row r="987" spans="1:6" x14ac:dyDescent="0.2">
      <c r="A987" s="12" t="s">
        <v>1215</v>
      </c>
      <c r="B987" s="11"/>
      <c r="C987" s="12" t="s">
        <v>5</v>
      </c>
      <c r="D987" s="12" t="s">
        <v>21</v>
      </c>
      <c r="E987" s="12" t="s">
        <v>3483</v>
      </c>
      <c r="F987" s="13"/>
    </row>
    <row r="988" spans="1:6" x14ac:dyDescent="0.2">
      <c r="A988" s="12" t="s">
        <v>1215</v>
      </c>
      <c r="B988" s="11"/>
      <c r="C988" s="12" t="s">
        <v>5</v>
      </c>
      <c r="D988" s="12" t="s">
        <v>21</v>
      </c>
      <c r="E988" s="12" t="s">
        <v>3483</v>
      </c>
      <c r="F988" s="13"/>
    </row>
    <row r="989" spans="1:6" x14ac:dyDescent="0.2">
      <c r="A989" s="12" t="s">
        <v>1148</v>
      </c>
      <c r="B989" s="11"/>
      <c r="C989" s="12" t="s">
        <v>208</v>
      </c>
      <c r="D989" s="12" t="s">
        <v>209</v>
      </c>
      <c r="E989" s="12" t="s">
        <v>5694</v>
      </c>
      <c r="F989" s="13"/>
    </row>
    <row r="990" spans="1:6" x14ac:dyDescent="0.2">
      <c r="A990" s="12" t="s">
        <v>1155</v>
      </c>
      <c r="B990" s="11"/>
      <c r="C990" s="12" t="s">
        <v>208</v>
      </c>
      <c r="D990" s="12" t="s">
        <v>209</v>
      </c>
      <c r="E990" s="12" t="s">
        <v>5695</v>
      </c>
      <c r="F990" s="13"/>
    </row>
    <row r="991" spans="1:6" x14ac:dyDescent="0.2">
      <c r="A991" s="12" t="s">
        <v>1449</v>
      </c>
      <c r="B991" s="11"/>
      <c r="C991" s="12" t="s">
        <v>16</v>
      </c>
      <c r="D991" s="12" t="s">
        <v>6</v>
      </c>
      <c r="E991" s="12" t="s">
        <v>4718</v>
      </c>
      <c r="F991" s="13"/>
    </row>
    <row r="992" spans="1:6" x14ac:dyDescent="0.2">
      <c r="A992" s="12" t="s">
        <v>979</v>
      </c>
      <c r="B992" s="11"/>
      <c r="C992" s="12" t="s">
        <v>16</v>
      </c>
      <c r="D992" s="12" t="s">
        <v>6</v>
      </c>
      <c r="E992" s="12" t="s">
        <v>4720</v>
      </c>
      <c r="F992" s="13"/>
    </row>
    <row r="993" spans="1:6" x14ac:dyDescent="0.2">
      <c r="A993" s="12" t="s">
        <v>1505</v>
      </c>
      <c r="B993" s="11"/>
      <c r="C993" s="12" t="s">
        <v>16</v>
      </c>
      <c r="D993" s="12" t="s">
        <v>6</v>
      </c>
      <c r="E993" s="12" t="s">
        <v>4722</v>
      </c>
      <c r="F993" s="13"/>
    </row>
    <row r="994" spans="1:6" x14ac:dyDescent="0.2">
      <c r="A994" s="12" t="s">
        <v>632</v>
      </c>
      <c r="B994" s="11"/>
      <c r="C994" s="12" t="s">
        <v>16</v>
      </c>
      <c r="D994" s="12" t="s">
        <v>6</v>
      </c>
      <c r="E994" s="12" t="s">
        <v>4724</v>
      </c>
      <c r="F994" s="13"/>
    </row>
    <row r="995" spans="1:6" x14ac:dyDescent="0.2">
      <c r="A995" s="12" t="s">
        <v>715</v>
      </c>
      <c r="B995" s="11"/>
      <c r="C995" s="12" t="s">
        <v>16</v>
      </c>
      <c r="D995" s="12" t="s">
        <v>6</v>
      </c>
      <c r="E995" s="12" t="s">
        <v>4726</v>
      </c>
      <c r="F995" s="13"/>
    </row>
    <row r="996" spans="1:6" x14ac:dyDescent="0.2">
      <c r="A996" s="12" t="s">
        <v>2251</v>
      </c>
      <c r="B996" s="11"/>
      <c r="C996" s="12" t="s">
        <v>16</v>
      </c>
      <c r="D996" s="12" t="s">
        <v>6</v>
      </c>
      <c r="E996" s="12" t="s">
        <v>4728</v>
      </c>
      <c r="F996" s="47"/>
    </row>
    <row r="997" spans="1:6" x14ac:dyDescent="0.2">
      <c r="A997" s="12" t="s">
        <v>0</v>
      </c>
      <c r="B997" s="11"/>
      <c r="C997" s="12" t="s">
        <v>16</v>
      </c>
      <c r="D997" s="12" t="s">
        <v>6</v>
      </c>
      <c r="E997" s="12" t="s">
        <v>67</v>
      </c>
      <c r="F997" s="13"/>
    </row>
    <row r="998" spans="1:6" x14ac:dyDescent="0.2">
      <c r="A998" s="12" t="s">
        <v>1213</v>
      </c>
      <c r="B998" s="11"/>
      <c r="C998" s="12" t="s">
        <v>16</v>
      </c>
      <c r="D998" s="12" t="s">
        <v>6</v>
      </c>
      <c r="E998" s="12" t="s">
        <v>4729</v>
      </c>
      <c r="F998" s="13"/>
    </row>
    <row r="999" spans="1:6" x14ac:dyDescent="0.2">
      <c r="A999" s="12" t="s">
        <v>0</v>
      </c>
      <c r="B999" s="11"/>
      <c r="C999" s="12" t="s">
        <v>16</v>
      </c>
      <c r="D999" s="12" t="s">
        <v>6</v>
      </c>
      <c r="E999" s="12" t="s">
        <v>69</v>
      </c>
      <c r="F999" s="13"/>
    </row>
    <row r="1000" spans="1:6" x14ac:dyDescent="0.2">
      <c r="A1000" s="12" t="s">
        <v>544</v>
      </c>
      <c r="B1000" s="11"/>
      <c r="C1000" s="12" t="s">
        <v>16</v>
      </c>
      <c r="D1000" s="12" t="s">
        <v>6</v>
      </c>
      <c r="E1000" s="12" t="s">
        <v>4731</v>
      </c>
      <c r="F1000" s="13"/>
    </row>
    <row r="1001" spans="1:6" x14ac:dyDescent="0.2">
      <c r="A1001" s="12" t="s">
        <v>0</v>
      </c>
      <c r="B1001" s="11"/>
      <c r="C1001" s="12" t="s">
        <v>16</v>
      </c>
      <c r="D1001" s="12" t="s">
        <v>6</v>
      </c>
      <c r="E1001" s="12" t="s">
        <v>71</v>
      </c>
      <c r="F1001" s="13"/>
    </row>
    <row r="1002" spans="1:6" x14ac:dyDescent="0.2">
      <c r="A1002" s="12" t="s">
        <v>834</v>
      </c>
      <c r="B1002" s="11"/>
      <c r="C1002" s="12" t="s">
        <v>16</v>
      </c>
      <c r="D1002" s="12" t="s">
        <v>21</v>
      </c>
      <c r="E1002" s="12" t="s">
        <v>4733</v>
      </c>
      <c r="F1002" s="13"/>
    </row>
    <row r="1003" spans="1:6" x14ac:dyDescent="0.2">
      <c r="A1003" s="12" t="s">
        <v>393</v>
      </c>
      <c r="B1003" s="11"/>
      <c r="C1003" s="12" t="s">
        <v>16</v>
      </c>
      <c r="D1003" s="12" t="s">
        <v>6</v>
      </c>
      <c r="E1003" s="12" t="s">
        <v>4735</v>
      </c>
      <c r="F1003" s="13"/>
    </row>
    <row r="1004" spans="1:6" x14ac:dyDescent="0.2">
      <c r="A1004" s="12" t="s">
        <v>285</v>
      </c>
      <c r="B1004" s="11"/>
      <c r="C1004" s="12" t="s">
        <v>16</v>
      </c>
      <c r="D1004" s="12" t="s">
        <v>21</v>
      </c>
      <c r="E1004" s="12" t="s">
        <v>4737</v>
      </c>
      <c r="F1004" s="13"/>
    </row>
    <row r="1005" spans="1:6" x14ac:dyDescent="0.2">
      <c r="A1005" s="12" t="s">
        <v>2196</v>
      </c>
      <c r="B1005" s="11"/>
      <c r="C1005" s="12" t="s">
        <v>16</v>
      </c>
      <c r="D1005" s="12" t="s">
        <v>17</v>
      </c>
      <c r="E1005" s="12" t="s">
        <v>4685</v>
      </c>
      <c r="F1005" s="13"/>
    </row>
    <row r="1006" spans="1:6" x14ac:dyDescent="0.2">
      <c r="A1006" s="12" t="s">
        <v>2078</v>
      </c>
      <c r="B1006" s="11"/>
      <c r="C1006" s="12" t="s">
        <v>16</v>
      </c>
      <c r="D1006" s="12" t="s">
        <v>17</v>
      </c>
      <c r="E1006" s="12" t="s">
        <v>4687</v>
      </c>
      <c r="F1006" s="13"/>
    </row>
    <row r="1007" spans="1:6" x14ac:dyDescent="0.2">
      <c r="A1007" s="12" t="s">
        <v>632</v>
      </c>
      <c r="B1007" s="11"/>
      <c r="C1007" s="12" t="s">
        <v>16</v>
      </c>
      <c r="D1007" s="12" t="s">
        <v>6</v>
      </c>
      <c r="E1007" s="12" t="s">
        <v>4689</v>
      </c>
      <c r="F1007" s="13"/>
    </row>
    <row r="1008" spans="1:6" x14ac:dyDescent="0.2">
      <c r="A1008" s="12" t="s">
        <v>834</v>
      </c>
      <c r="B1008" s="11"/>
      <c r="C1008" s="12" t="s">
        <v>16</v>
      </c>
      <c r="D1008" s="12" t="s">
        <v>6</v>
      </c>
      <c r="E1008" s="12" t="s">
        <v>4691</v>
      </c>
      <c r="F1008" s="13"/>
    </row>
    <row r="1009" spans="1:6" x14ac:dyDescent="0.2">
      <c r="A1009" s="12" t="s">
        <v>320</v>
      </c>
      <c r="B1009" s="11"/>
      <c r="C1009" s="12" t="s">
        <v>16</v>
      </c>
      <c r="D1009" s="12" t="s">
        <v>6</v>
      </c>
      <c r="E1009" s="12" t="s">
        <v>4693</v>
      </c>
      <c r="F1009" s="13"/>
    </row>
    <row r="1010" spans="1:6" x14ac:dyDescent="0.2">
      <c r="A1010" s="12" t="s">
        <v>1959</v>
      </c>
      <c r="B1010" s="11"/>
      <c r="C1010" s="12" t="s">
        <v>16</v>
      </c>
      <c r="D1010" s="12" t="s">
        <v>6</v>
      </c>
      <c r="E1010" s="12" t="s">
        <v>4695</v>
      </c>
      <c r="F1010" s="13"/>
    </row>
    <row r="1011" spans="1:6" x14ac:dyDescent="0.2">
      <c r="A1011" s="12" t="s">
        <v>1446</v>
      </c>
      <c r="B1011" s="11"/>
      <c r="C1011" s="12" t="s">
        <v>16</v>
      </c>
      <c r="D1011" s="12" t="s">
        <v>21</v>
      </c>
      <c r="E1011" s="12" t="s">
        <v>4698</v>
      </c>
      <c r="F1011" s="13"/>
    </row>
    <row r="1012" spans="1:6" x14ac:dyDescent="0.2">
      <c r="A1012" s="12" t="s">
        <v>272</v>
      </c>
      <c r="B1012" s="11"/>
      <c r="C1012" s="12" t="s">
        <v>16</v>
      </c>
      <c r="D1012" s="12" t="s">
        <v>21</v>
      </c>
      <c r="E1012" s="12" t="s">
        <v>4700</v>
      </c>
      <c r="F1012" s="13"/>
    </row>
    <row r="1013" spans="1:6" x14ac:dyDescent="0.2">
      <c r="A1013" s="12" t="s">
        <v>1994</v>
      </c>
      <c r="B1013" s="11"/>
      <c r="C1013" s="12" t="s">
        <v>16</v>
      </c>
      <c r="D1013" s="12" t="s">
        <v>21</v>
      </c>
      <c r="E1013" s="12" t="s">
        <v>4702</v>
      </c>
      <c r="F1013" s="13"/>
    </row>
    <row r="1014" spans="1:6" x14ac:dyDescent="0.2">
      <c r="A1014" s="12" t="s">
        <v>1235</v>
      </c>
      <c r="B1014" s="11"/>
      <c r="C1014" s="12" t="s">
        <v>16</v>
      </c>
      <c r="D1014" s="12" t="s">
        <v>21</v>
      </c>
      <c r="E1014" s="12" t="s">
        <v>4705</v>
      </c>
      <c r="F1014" s="13"/>
    </row>
    <row r="1015" spans="1:6" x14ac:dyDescent="0.2">
      <c r="A1015" s="12" t="s">
        <v>2251</v>
      </c>
      <c r="B1015" s="11"/>
      <c r="C1015" s="12" t="s">
        <v>16</v>
      </c>
      <c r="D1015" s="12" t="s">
        <v>21</v>
      </c>
      <c r="E1015" s="12" t="s">
        <v>4707</v>
      </c>
      <c r="F1015" s="47"/>
    </row>
    <row r="1016" spans="1:6" x14ac:dyDescent="0.2">
      <c r="A1016" s="12" t="s">
        <v>2023</v>
      </c>
      <c r="B1016" s="11"/>
      <c r="C1016" s="12" t="s">
        <v>16</v>
      </c>
      <c r="D1016" s="12" t="s">
        <v>21</v>
      </c>
      <c r="E1016" s="12" t="s">
        <v>4708</v>
      </c>
      <c r="F1016" s="13"/>
    </row>
    <row r="1017" spans="1:6" x14ac:dyDescent="0.2">
      <c r="A1017" s="12" t="s">
        <v>1462</v>
      </c>
      <c r="B1017" s="11"/>
      <c r="C1017" s="12" t="s">
        <v>16</v>
      </c>
      <c r="D1017" s="12" t="s">
        <v>21</v>
      </c>
      <c r="E1017" s="12" t="s">
        <v>4710</v>
      </c>
      <c r="F1017" s="13"/>
    </row>
    <row r="1018" spans="1:6" x14ac:dyDescent="0.2">
      <c r="A1018" s="12" t="s">
        <v>1250</v>
      </c>
      <c r="B1018" s="11"/>
      <c r="C1018" s="12" t="s">
        <v>16</v>
      </c>
      <c r="D1018" s="12" t="s">
        <v>21</v>
      </c>
      <c r="E1018" s="12" t="s">
        <v>4712</v>
      </c>
      <c r="F1018" s="13"/>
    </row>
    <row r="1019" spans="1:6" x14ac:dyDescent="0.2">
      <c r="A1019" s="12" t="s">
        <v>1462</v>
      </c>
      <c r="B1019" s="11"/>
      <c r="C1019" s="12" t="s">
        <v>16</v>
      </c>
      <c r="D1019" s="12" t="s">
        <v>21</v>
      </c>
      <c r="E1019" s="12" t="s">
        <v>4714</v>
      </c>
      <c r="F1019" s="13"/>
    </row>
    <row r="1020" spans="1:6" x14ac:dyDescent="0.2">
      <c r="A1020" s="12" t="s">
        <v>1116</v>
      </c>
      <c r="B1020" s="11"/>
      <c r="C1020" s="12" t="s">
        <v>16</v>
      </c>
      <c r="D1020" s="12" t="s">
        <v>21</v>
      </c>
      <c r="E1020" s="12" t="s">
        <v>4716</v>
      </c>
      <c r="F1020" s="13"/>
    </row>
    <row r="1021" spans="1:6" x14ac:dyDescent="0.2">
      <c r="A1021" s="12" t="s">
        <v>573</v>
      </c>
      <c r="B1021" s="11"/>
      <c r="C1021" s="12" t="s">
        <v>16</v>
      </c>
      <c r="D1021" s="12" t="s">
        <v>17</v>
      </c>
      <c r="E1021" s="12" t="s">
        <v>4739</v>
      </c>
      <c r="F1021" s="13"/>
    </row>
    <row r="1022" spans="1:6" x14ac:dyDescent="0.2">
      <c r="A1022" s="12" t="s">
        <v>511</v>
      </c>
      <c r="B1022" s="11"/>
      <c r="C1022" s="12" t="s">
        <v>16</v>
      </c>
      <c r="D1022" s="12" t="s">
        <v>17</v>
      </c>
      <c r="E1022" s="12" t="s">
        <v>4742</v>
      </c>
      <c r="F1022" s="13"/>
    </row>
    <row r="1023" spans="1:6" x14ac:dyDescent="0.2">
      <c r="A1023" s="12" t="s">
        <v>653</v>
      </c>
      <c r="B1023" s="11"/>
      <c r="C1023" s="12" t="s">
        <v>16</v>
      </c>
      <c r="D1023" s="12" t="s">
        <v>6</v>
      </c>
      <c r="E1023" s="12" t="s">
        <v>4745</v>
      </c>
      <c r="F1023" s="13"/>
    </row>
    <row r="1024" spans="1:6" x14ac:dyDescent="0.2">
      <c r="A1024" s="12" t="s">
        <v>1745</v>
      </c>
      <c r="B1024" s="11"/>
      <c r="C1024" s="12" t="s">
        <v>16</v>
      </c>
      <c r="D1024" s="12" t="s">
        <v>17</v>
      </c>
      <c r="E1024" s="12" t="s">
        <v>4747</v>
      </c>
      <c r="F1024" s="13"/>
    </row>
    <row r="1025" spans="1:6" x14ac:dyDescent="0.2">
      <c r="A1025" s="12" t="s">
        <v>2053</v>
      </c>
      <c r="B1025" s="11"/>
      <c r="C1025" s="12" t="s">
        <v>16</v>
      </c>
      <c r="D1025" s="12" t="s">
        <v>6</v>
      </c>
      <c r="E1025" s="12" t="s">
        <v>4750</v>
      </c>
      <c r="F1025" s="13"/>
    </row>
    <row r="1026" spans="1:6" x14ac:dyDescent="0.2">
      <c r="A1026" s="12" t="s">
        <v>2170</v>
      </c>
      <c r="B1026" s="11"/>
      <c r="C1026" s="12" t="s">
        <v>16</v>
      </c>
      <c r="D1026" s="12" t="s">
        <v>6</v>
      </c>
      <c r="E1026" s="12" t="s">
        <v>4753</v>
      </c>
      <c r="F1026" s="13"/>
    </row>
    <row r="1027" spans="1:6" x14ac:dyDescent="0.2">
      <c r="A1027" s="12" t="s">
        <v>2001</v>
      </c>
      <c r="B1027" s="11"/>
      <c r="C1027" s="12" t="s">
        <v>16</v>
      </c>
      <c r="D1027" s="12" t="s">
        <v>21</v>
      </c>
      <c r="E1027" s="12" t="s">
        <v>4755</v>
      </c>
      <c r="F1027" s="13"/>
    </row>
    <row r="1028" spans="1:6" x14ac:dyDescent="0.2">
      <c r="A1028" s="12" t="s">
        <v>2251</v>
      </c>
      <c r="B1028" s="11"/>
      <c r="C1028" s="12" t="s">
        <v>16</v>
      </c>
      <c r="D1028" s="12" t="s">
        <v>21</v>
      </c>
      <c r="E1028" s="12" t="s">
        <v>4758</v>
      </c>
      <c r="F1028" s="47"/>
    </row>
    <row r="1029" spans="1:6" x14ac:dyDescent="0.2">
      <c r="A1029" s="12" t="s">
        <v>285</v>
      </c>
      <c r="B1029" s="11"/>
      <c r="C1029" s="12" t="s">
        <v>16</v>
      </c>
      <c r="D1029" s="12" t="s">
        <v>21</v>
      </c>
      <c r="E1029" s="12" t="s">
        <v>4759</v>
      </c>
      <c r="F1029" s="13"/>
    </row>
    <row r="1030" spans="1:6" x14ac:dyDescent="0.2">
      <c r="A1030" s="12" t="s">
        <v>1233</v>
      </c>
      <c r="B1030" s="11"/>
      <c r="C1030" s="12" t="s">
        <v>16</v>
      </c>
      <c r="D1030" s="12" t="s">
        <v>21</v>
      </c>
      <c r="E1030" s="12" t="s">
        <v>4761</v>
      </c>
      <c r="F1030" s="13"/>
    </row>
    <row r="1031" spans="1:6" x14ac:dyDescent="0.2">
      <c r="A1031" s="12" t="s">
        <v>643</v>
      </c>
      <c r="B1031" s="11"/>
      <c r="C1031" s="12" t="s">
        <v>16</v>
      </c>
      <c r="D1031" s="12" t="s">
        <v>21</v>
      </c>
      <c r="E1031" s="12" t="s">
        <v>4763</v>
      </c>
      <c r="F1031" s="13"/>
    </row>
    <row r="1032" spans="1:6" x14ac:dyDescent="0.2">
      <c r="A1032" s="12" t="s">
        <v>1502</v>
      </c>
      <c r="B1032" s="11"/>
      <c r="C1032" s="12" t="s">
        <v>16</v>
      </c>
      <c r="D1032" s="12" t="s">
        <v>21</v>
      </c>
      <c r="E1032" s="12" t="s">
        <v>4766</v>
      </c>
      <c r="F1032" s="13"/>
    </row>
    <row r="1033" spans="1:6" x14ac:dyDescent="0.2">
      <c r="A1033" s="12" t="s">
        <v>2251</v>
      </c>
      <c r="B1033" s="11"/>
      <c r="C1033" s="12" t="s">
        <v>16</v>
      </c>
      <c r="D1033" s="12" t="s">
        <v>21</v>
      </c>
      <c r="E1033" s="12" t="s">
        <v>4768</v>
      </c>
      <c r="F1033" s="47"/>
    </row>
    <row r="1034" spans="1:6" x14ac:dyDescent="0.2">
      <c r="A1034" s="12" t="s">
        <v>2251</v>
      </c>
      <c r="B1034" s="11"/>
      <c r="C1034" s="12" t="s">
        <v>16</v>
      </c>
      <c r="D1034" s="12" t="s">
        <v>21</v>
      </c>
      <c r="E1034" s="12" t="s">
        <v>4769</v>
      </c>
      <c r="F1034" s="47"/>
    </row>
    <row r="1035" spans="1:6" x14ac:dyDescent="0.2">
      <c r="A1035" s="12" t="s">
        <v>285</v>
      </c>
      <c r="B1035" s="11"/>
      <c r="C1035" s="12" t="s">
        <v>16</v>
      </c>
      <c r="D1035" s="12" t="s">
        <v>21</v>
      </c>
      <c r="E1035" s="12" t="s">
        <v>4770</v>
      </c>
      <c r="F1035" s="13"/>
    </row>
    <row r="1036" spans="1:6" x14ac:dyDescent="0.2">
      <c r="A1036" s="12" t="s">
        <v>320</v>
      </c>
      <c r="B1036" s="11"/>
      <c r="C1036" s="12" t="s">
        <v>16</v>
      </c>
      <c r="D1036" s="12" t="s">
        <v>21</v>
      </c>
      <c r="E1036" s="12" t="s">
        <v>4772</v>
      </c>
      <c r="F1036" s="13"/>
    </row>
    <row r="1037" spans="1:6" x14ac:dyDescent="0.2">
      <c r="A1037" s="12" t="s">
        <v>945</v>
      </c>
      <c r="B1037" s="11"/>
      <c r="C1037" s="12" t="s">
        <v>16</v>
      </c>
      <c r="D1037" s="12" t="s">
        <v>17</v>
      </c>
      <c r="E1037" s="12" t="s">
        <v>4774</v>
      </c>
      <c r="F1037" s="13"/>
    </row>
    <row r="1038" spans="1:6" x14ac:dyDescent="0.2">
      <c r="A1038" s="12" t="s">
        <v>1223</v>
      </c>
      <c r="B1038" s="11"/>
      <c r="C1038" s="12" t="s">
        <v>16</v>
      </c>
      <c r="D1038" s="12" t="s">
        <v>17</v>
      </c>
      <c r="E1038" s="12" t="s">
        <v>4776</v>
      </c>
      <c r="F1038" s="13"/>
    </row>
    <row r="1039" spans="1:6" x14ac:dyDescent="0.2">
      <c r="A1039" s="12" t="s">
        <v>599</v>
      </c>
      <c r="B1039" s="11"/>
      <c r="C1039" s="12" t="s">
        <v>16</v>
      </c>
      <c r="D1039" s="12" t="s">
        <v>17</v>
      </c>
      <c r="E1039" s="12" t="s">
        <v>4778</v>
      </c>
      <c r="F1039" s="13"/>
    </row>
    <row r="1040" spans="1:6" x14ac:dyDescent="0.2">
      <c r="A1040" s="12" t="s">
        <v>1555</v>
      </c>
      <c r="B1040" s="11"/>
      <c r="C1040" s="12" t="s">
        <v>16</v>
      </c>
      <c r="D1040" s="12" t="s">
        <v>6</v>
      </c>
      <c r="E1040" s="12" t="s">
        <v>4780</v>
      </c>
      <c r="F1040" s="13"/>
    </row>
    <row r="1041" spans="1:6" x14ac:dyDescent="0.2">
      <c r="A1041" s="12" t="s">
        <v>1207</v>
      </c>
      <c r="B1041" s="11"/>
      <c r="C1041" s="12" t="s">
        <v>16</v>
      </c>
      <c r="D1041" s="12" t="s">
        <v>6</v>
      </c>
      <c r="E1041" s="12" t="s">
        <v>4782</v>
      </c>
      <c r="F1041" s="13"/>
    </row>
    <row r="1042" spans="1:6" x14ac:dyDescent="0.2">
      <c r="A1042" s="12" t="s">
        <v>1873</v>
      </c>
      <c r="B1042" s="11"/>
      <c r="C1042" s="12" t="s">
        <v>16</v>
      </c>
      <c r="D1042" s="12" t="s">
        <v>6</v>
      </c>
      <c r="E1042" s="12" t="s">
        <v>4785</v>
      </c>
      <c r="F1042" s="13"/>
    </row>
    <row r="1043" spans="1:6" x14ac:dyDescent="0.2">
      <c r="A1043" s="12" t="s">
        <v>2180</v>
      </c>
      <c r="B1043" s="11"/>
      <c r="C1043" s="12" t="s">
        <v>16</v>
      </c>
      <c r="D1043" s="12" t="s">
        <v>21</v>
      </c>
      <c r="E1043" s="12" t="s">
        <v>4787</v>
      </c>
      <c r="F1043" s="13"/>
    </row>
    <row r="1044" spans="1:6" x14ac:dyDescent="0.2">
      <c r="A1044" s="12" t="s">
        <v>285</v>
      </c>
      <c r="B1044" s="11"/>
      <c r="C1044" s="12" t="s">
        <v>16</v>
      </c>
      <c r="D1044" s="12" t="s">
        <v>21</v>
      </c>
      <c r="E1044" s="12" t="s">
        <v>4789</v>
      </c>
      <c r="F1044" s="13"/>
    </row>
    <row r="1045" spans="1:6" x14ac:dyDescent="0.2">
      <c r="A1045" s="12" t="s">
        <v>2053</v>
      </c>
      <c r="B1045" s="11"/>
      <c r="C1045" s="12" t="s">
        <v>16</v>
      </c>
      <c r="D1045" s="12" t="s">
        <v>21</v>
      </c>
      <c r="E1045" s="12" t="s">
        <v>4791</v>
      </c>
      <c r="F1045" s="13"/>
    </row>
    <row r="1046" spans="1:6" x14ac:dyDescent="0.2">
      <c r="A1046" s="12" t="s">
        <v>2251</v>
      </c>
      <c r="B1046" s="11"/>
      <c r="C1046" s="12" t="s">
        <v>16</v>
      </c>
      <c r="D1046" s="12" t="s">
        <v>21</v>
      </c>
      <c r="E1046" s="12" t="s">
        <v>4793</v>
      </c>
      <c r="F1046" s="47"/>
    </row>
    <row r="1047" spans="1:6" x14ac:dyDescent="0.2">
      <c r="A1047" s="12" t="s">
        <v>1225</v>
      </c>
      <c r="B1047" s="11"/>
      <c r="C1047" s="12" t="s">
        <v>16</v>
      </c>
      <c r="D1047" s="12" t="s">
        <v>21</v>
      </c>
      <c r="E1047" s="12" t="s">
        <v>4794</v>
      </c>
      <c r="F1047" s="13"/>
    </row>
    <row r="1048" spans="1:6" x14ac:dyDescent="0.2">
      <c r="A1048" s="12" t="s">
        <v>712</v>
      </c>
      <c r="B1048" s="11"/>
      <c r="C1048" s="12" t="s">
        <v>16</v>
      </c>
      <c r="D1048" s="12" t="s">
        <v>21</v>
      </c>
      <c r="E1048" s="12" t="s">
        <v>4796</v>
      </c>
      <c r="F1048" s="13"/>
    </row>
    <row r="1049" spans="1:6" x14ac:dyDescent="0.2">
      <c r="A1049" s="12" t="s">
        <v>1895</v>
      </c>
      <c r="B1049" s="11"/>
      <c r="C1049" s="12" t="s">
        <v>16</v>
      </c>
      <c r="D1049" s="12" t="s">
        <v>21</v>
      </c>
      <c r="E1049" s="12" t="s">
        <v>4798</v>
      </c>
      <c r="F1049" s="13"/>
    </row>
    <row r="1050" spans="1:6" x14ac:dyDescent="0.2">
      <c r="A1050" s="12" t="s">
        <v>1131</v>
      </c>
      <c r="B1050" s="11"/>
      <c r="C1050" s="12" t="s">
        <v>16</v>
      </c>
      <c r="D1050" s="12" t="s">
        <v>21</v>
      </c>
      <c r="E1050" s="12" t="s">
        <v>4800</v>
      </c>
      <c r="F1050" s="47"/>
    </row>
    <row r="1051" spans="1:6" x14ac:dyDescent="0.2">
      <c r="A1051" s="12" t="s">
        <v>285</v>
      </c>
      <c r="B1051" s="11"/>
      <c r="C1051" s="12" t="s">
        <v>16</v>
      </c>
      <c r="D1051" s="12" t="s">
        <v>21</v>
      </c>
      <c r="E1051" s="12" t="s">
        <v>4802</v>
      </c>
      <c r="F1051" s="13"/>
    </row>
    <row r="1052" spans="1:6" x14ac:dyDescent="0.2">
      <c r="A1052" s="12" t="s">
        <v>1219</v>
      </c>
      <c r="B1052" s="11"/>
      <c r="C1052" s="12" t="s">
        <v>16</v>
      </c>
      <c r="D1052" s="12" t="s">
        <v>21</v>
      </c>
      <c r="E1052" s="12" t="s">
        <v>4804</v>
      </c>
      <c r="F1052" s="13"/>
    </row>
    <row r="1053" spans="1:6" x14ac:dyDescent="0.2">
      <c r="A1053" s="12" t="s">
        <v>1477</v>
      </c>
      <c r="B1053" s="11"/>
      <c r="C1053" s="12" t="s">
        <v>16</v>
      </c>
      <c r="D1053" s="12" t="s">
        <v>17</v>
      </c>
      <c r="E1053" s="12" t="s">
        <v>4806</v>
      </c>
      <c r="F1053" s="13"/>
    </row>
    <row r="1054" spans="1:6" x14ac:dyDescent="0.2">
      <c r="A1054" s="12" t="s">
        <v>559</v>
      </c>
      <c r="B1054" s="11"/>
      <c r="C1054" s="12" t="s">
        <v>16</v>
      </c>
      <c r="D1054" s="12" t="s">
        <v>17</v>
      </c>
      <c r="E1054" s="12" t="s">
        <v>4808</v>
      </c>
      <c r="F1054" s="13"/>
    </row>
    <row r="1055" spans="1:6" x14ac:dyDescent="0.2">
      <c r="A1055" s="12" t="s">
        <v>1258</v>
      </c>
      <c r="B1055" s="11"/>
      <c r="C1055" s="12" t="s">
        <v>16</v>
      </c>
      <c r="D1055" s="12" t="s">
        <v>6</v>
      </c>
      <c r="E1055" s="12" t="s">
        <v>4810</v>
      </c>
      <c r="F1055" s="13"/>
    </row>
    <row r="1056" spans="1:6" x14ac:dyDescent="0.2">
      <c r="A1056" s="12" t="s">
        <v>1148</v>
      </c>
      <c r="B1056" s="11"/>
      <c r="C1056" s="12" t="s">
        <v>16</v>
      </c>
      <c r="D1056" s="12" t="s">
        <v>17</v>
      </c>
      <c r="E1056" s="12" t="s">
        <v>4812</v>
      </c>
      <c r="F1056" s="13"/>
    </row>
    <row r="1057" spans="1:6" x14ac:dyDescent="0.2">
      <c r="A1057" s="12" t="s">
        <v>2078</v>
      </c>
      <c r="B1057" s="11"/>
      <c r="C1057" s="12" t="s">
        <v>16</v>
      </c>
      <c r="D1057" s="12" t="s">
        <v>17</v>
      </c>
      <c r="E1057" s="12" t="s">
        <v>4814</v>
      </c>
      <c r="F1057" s="13"/>
    </row>
    <row r="1058" spans="1:6" x14ac:dyDescent="0.2">
      <c r="A1058" s="12" t="s">
        <v>0</v>
      </c>
      <c r="B1058" s="11"/>
      <c r="C1058" s="12" t="s">
        <v>16</v>
      </c>
      <c r="D1058" s="12" t="s">
        <v>6</v>
      </c>
      <c r="E1058" s="12" t="s">
        <v>73</v>
      </c>
      <c r="F1058" s="13"/>
    </row>
    <row r="1059" spans="1:6" x14ac:dyDescent="0.2">
      <c r="A1059" s="12" t="s">
        <v>1211</v>
      </c>
      <c r="B1059" s="11"/>
      <c r="C1059" s="12" t="s">
        <v>16</v>
      </c>
      <c r="D1059" s="12" t="s">
        <v>21</v>
      </c>
      <c r="E1059" s="12" t="s">
        <v>4816</v>
      </c>
      <c r="F1059" s="13"/>
    </row>
    <row r="1060" spans="1:6" x14ac:dyDescent="0.2">
      <c r="A1060" s="12" t="s">
        <v>1135</v>
      </c>
      <c r="B1060" s="11"/>
      <c r="C1060" s="12" t="s">
        <v>16</v>
      </c>
      <c r="D1060" s="12" t="s">
        <v>21</v>
      </c>
      <c r="E1060" s="12" t="s">
        <v>4818</v>
      </c>
      <c r="F1060" s="13"/>
    </row>
    <row r="1061" spans="1:6" x14ac:dyDescent="0.2">
      <c r="A1061" s="12" t="s">
        <v>272</v>
      </c>
      <c r="B1061" s="11"/>
      <c r="C1061" s="12" t="s">
        <v>16</v>
      </c>
      <c r="D1061" s="12" t="s">
        <v>21</v>
      </c>
      <c r="E1061" s="12" t="s">
        <v>4820</v>
      </c>
      <c r="F1061" s="13"/>
    </row>
    <row r="1062" spans="1:6" x14ac:dyDescent="0.2">
      <c r="A1062" s="12" t="s">
        <v>1211</v>
      </c>
      <c r="B1062" s="11"/>
      <c r="C1062" s="12" t="s">
        <v>16</v>
      </c>
      <c r="D1062" s="12" t="s">
        <v>21</v>
      </c>
      <c r="E1062" s="12" t="s">
        <v>4823</v>
      </c>
      <c r="F1062" s="13"/>
    </row>
    <row r="1063" spans="1:6" x14ac:dyDescent="0.2">
      <c r="A1063" s="12" t="s">
        <v>285</v>
      </c>
      <c r="B1063" s="11"/>
      <c r="C1063" s="12" t="s">
        <v>16</v>
      </c>
      <c r="D1063" s="12" t="s">
        <v>21</v>
      </c>
      <c r="E1063" s="12" t="s">
        <v>4825</v>
      </c>
      <c r="F1063" s="13"/>
    </row>
    <row r="1064" spans="1:6" x14ac:dyDescent="0.2">
      <c r="A1064" s="12" t="s">
        <v>2146</v>
      </c>
      <c r="B1064" s="11"/>
      <c r="C1064" s="12" t="s">
        <v>16</v>
      </c>
      <c r="D1064" s="12" t="s">
        <v>21</v>
      </c>
      <c r="E1064" s="12" t="s">
        <v>4827</v>
      </c>
      <c r="F1064" s="13"/>
    </row>
    <row r="1065" spans="1:6" x14ac:dyDescent="0.2">
      <c r="A1065" s="12" t="s">
        <v>285</v>
      </c>
      <c r="B1065" s="11"/>
      <c r="C1065" s="12" t="s">
        <v>16</v>
      </c>
      <c r="D1065" s="12" t="s">
        <v>21</v>
      </c>
      <c r="E1065" s="12" t="s">
        <v>4829</v>
      </c>
      <c r="F1065" s="13"/>
    </row>
    <row r="1066" spans="1:6" x14ac:dyDescent="0.2">
      <c r="A1066" s="12" t="s">
        <v>285</v>
      </c>
      <c r="B1066" s="11"/>
      <c r="C1066" s="12" t="s">
        <v>16</v>
      </c>
      <c r="D1066" s="12" t="s">
        <v>21</v>
      </c>
      <c r="E1066" s="12" t="s">
        <v>4831</v>
      </c>
      <c r="F1066" s="13"/>
    </row>
    <row r="1067" spans="1:6" x14ac:dyDescent="0.2">
      <c r="A1067" s="12" t="s">
        <v>1462</v>
      </c>
      <c r="B1067" s="11"/>
      <c r="C1067" s="12" t="s">
        <v>16</v>
      </c>
      <c r="D1067" s="12" t="s">
        <v>21</v>
      </c>
      <c r="E1067" s="12" t="s">
        <v>4833</v>
      </c>
      <c r="F1067" s="13"/>
    </row>
    <row r="1068" spans="1:6" x14ac:dyDescent="0.2">
      <c r="A1068" s="12" t="s">
        <v>1924</v>
      </c>
      <c r="B1068" s="11"/>
      <c r="C1068" s="12" t="s">
        <v>16</v>
      </c>
      <c r="D1068" s="12" t="s">
        <v>21</v>
      </c>
      <c r="E1068" s="12" t="s">
        <v>4835</v>
      </c>
      <c r="F1068" s="13"/>
    </row>
    <row r="1069" spans="1:6" x14ac:dyDescent="0.2">
      <c r="A1069" s="12" t="s">
        <v>605</v>
      </c>
      <c r="B1069" s="11"/>
      <c r="C1069" s="12" t="s">
        <v>16</v>
      </c>
      <c r="D1069" s="12" t="s">
        <v>17</v>
      </c>
      <c r="E1069" s="12" t="s">
        <v>4837</v>
      </c>
      <c r="F1069" s="13"/>
    </row>
    <row r="1070" spans="1:6" x14ac:dyDescent="0.2">
      <c r="A1070" s="12" t="s">
        <v>576</v>
      </c>
      <c r="B1070" s="11"/>
      <c r="C1070" s="12" t="s">
        <v>16</v>
      </c>
      <c r="D1070" s="12" t="s">
        <v>17</v>
      </c>
      <c r="E1070" s="12" t="s">
        <v>4839</v>
      </c>
      <c r="F1070" s="13"/>
    </row>
    <row r="1071" spans="1:6" x14ac:dyDescent="0.2">
      <c r="A1071" s="12" t="s">
        <v>0</v>
      </c>
      <c r="B1071" s="11"/>
      <c r="C1071" s="12" t="s">
        <v>16</v>
      </c>
      <c r="D1071" s="12" t="s">
        <v>6</v>
      </c>
      <c r="E1071" s="12" t="s">
        <v>75</v>
      </c>
      <c r="F1071" s="13"/>
    </row>
    <row r="1072" spans="1:6" x14ac:dyDescent="0.2">
      <c r="A1072" s="12" t="s">
        <v>2251</v>
      </c>
      <c r="B1072" s="11"/>
      <c r="C1072" s="12" t="s">
        <v>16</v>
      </c>
      <c r="D1072" s="12" t="s">
        <v>6</v>
      </c>
      <c r="E1072" s="12" t="s">
        <v>4841</v>
      </c>
      <c r="F1072" s="47"/>
    </row>
    <row r="1073" spans="1:6" x14ac:dyDescent="0.2">
      <c r="A1073" s="12" t="s">
        <v>1493</v>
      </c>
      <c r="B1073" s="11"/>
      <c r="C1073" s="12" t="s">
        <v>16</v>
      </c>
      <c r="D1073" s="12" t="s">
        <v>17</v>
      </c>
      <c r="E1073" s="12" t="s">
        <v>4842</v>
      </c>
      <c r="F1073" s="13"/>
    </row>
    <row r="1074" spans="1:6" x14ac:dyDescent="0.2">
      <c r="A1074" s="12" t="s">
        <v>470</v>
      </c>
      <c r="B1074" s="11"/>
      <c r="C1074" s="12" t="s">
        <v>16</v>
      </c>
      <c r="D1074" s="12" t="s">
        <v>6</v>
      </c>
      <c r="E1074" s="12" t="s">
        <v>4844</v>
      </c>
      <c r="F1074" s="13"/>
    </row>
    <row r="1075" spans="1:6" x14ac:dyDescent="0.2">
      <c r="A1075" s="12" t="s">
        <v>1502</v>
      </c>
      <c r="B1075" s="11"/>
      <c r="C1075" s="12" t="s">
        <v>16</v>
      </c>
      <c r="D1075" s="12" t="s">
        <v>21</v>
      </c>
      <c r="E1075" s="12" t="s">
        <v>4846</v>
      </c>
      <c r="F1075" s="13"/>
    </row>
    <row r="1076" spans="1:6" x14ac:dyDescent="0.2">
      <c r="A1076" s="12" t="s">
        <v>2001</v>
      </c>
      <c r="B1076" s="11"/>
      <c r="C1076" s="12" t="s">
        <v>16</v>
      </c>
      <c r="D1076" s="12" t="s">
        <v>21</v>
      </c>
      <c r="E1076" s="12" t="s">
        <v>4848</v>
      </c>
      <c r="F1076" s="13"/>
    </row>
    <row r="1077" spans="1:6" x14ac:dyDescent="0.2">
      <c r="A1077" s="12" t="s">
        <v>1521</v>
      </c>
      <c r="B1077" s="11"/>
      <c r="C1077" s="12" t="s">
        <v>16</v>
      </c>
      <c r="D1077" s="12" t="s">
        <v>21</v>
      </c>
      <c r="E1077" s="12" t="s">
        <v>4851</v>
      </c>
      <c r="F1077" s="13"/>
    </row>
    <row r="1078" spans="1:6" x14ac:dyDescent="0.2">
      <c r="A1078" s="12" t="s">
        <v>2251</v>
      </c>
      <c r="B1078" s="11"/>
      <c r="C1078" s="12" t="s">
        <v>16</v>
      </c>
      <c r="D1078" s="12" t="s">
        <v>21</v>
      </c>
      <c r="E1078" s="12" t="s">
        <v>4854</v>
      </c>
      <c r="F1078" s="47"/>
    </row>
    <row r="1079" spans="1:6" x14ac:dyDescent="0.2">
      <c r="A1079" s="12" t="s">
        <v>285</v>
      </c>
      <c r="B1079" s="11"/>
      <c r="C1079" s="12" t="s">
        <v>16</v>
      </c>
      <c r="D1079" s="12" t="s">
        <v>21</v>
      </c>
      <c r="E1079" s="12" t="s">
        <v>4855</v>
      </c>
      <c r="F1079" s="13"/>
    </row>
    <row r="1080" spans="1:6" x14ac:dyDescent="0.2">
      <c r="A1080" s="12" t="s">
        <v>1183</v>
      </c>
      <c r="B1080" s="11"/>
      <c r="C1080" s="12" t="s">
        <v>16</v>
      </c>
      <c r="D1080" s="12" t="s">
        <v>21</v>
      </c>
      <c r="E1080" s="12" t="s">
        <v>4857</v>
      </c>
      <c r="F1080" s="13"/>
    </row>
    <row r="1081" spans="1:6" x14ac:dyDescent="0.2">
      <c r="A1081" s="12" t="s">
        <v>285</v>
      </c>
      <c r="B1081" s="11"/>
      <c r="C1081" s="12" t="s">
        <v>16</v>
      </c>
      <c r="D1081" s="12" t="s">
        <v>21</v>
      </c>
      <c r="E1081" s="12" t="s">
        <v>4859</v>
      </c>
      <c r="F1081" s="13"/>
    </row>
    <row r="1082" spans="1:6" x14ac:dyDescent="0.2">
      <c r="A1082" s="12" t="s">
        <v>2184</v>
      </c>
      <c r="B1082" s="11"/>
      <c r="C1082" s="12" t="s">
        <v>16</v>
      </c>
      <c r="D1082" s="12" t="s">
        <v>21</v>
      </c>
      <c r="E1082" s="12" t="s">
        <v>4861</v>
      </c>
      <c r="F1082" s="13"/>
    </row>
    <row r="1083" spans="1:6" x14ac:dyDescent="0.2">
      <c r="A1083" s="12" t="s">
        <v>285</v>
      </c>
      <c r="B1083" s="11"/>
      <c r="C1083" s="12" t="s">
        <v>16</v>
      </c>
      <c r="D1083" s="12" t="s">
        <v>21</v>
      </c>
      <c r="E1083" s="12" t="s">
        <v>4863</v>
      </c>
      <c r="F1083" s="13"/>
    </row>
    <row r="1084" spans="1:6" x14ac:dyDescent="0.2">
      <c r="A1084" s="12" t="s">
        <v>1745</v>
      </c>
      <c r="B1084" s="11"/>
      <c r="C1084" s="12" t="s">
        <v>16</v>
      </c>
      <c r="D1084" s="12" t="s">
        <v>21</v>
      </c>
      <c r="E1084" s="12" t="s">
        <v>4865</v>
      </c>
      <c r="F1084" s="13"/>
    </row>
    <row r="1085" spans="1:6" x14ac:dyDescent="0.2">
      <c r="A1085" s="12" t="s">
        <v>581</v>
      </c>
      <c r="B1085" s="11"/>
      <c r="C1085" s="12" t="s">
        <v>16</v>
      </c>
      <c r="D1085" s="12" t="s">
        <v>17</v>
      </c>
      <c r="E1085" s="12" t="s">
        <v>4868</v>
      </c>
      <c r="F1085" s="13"/>
    </row>
    <row r="1086" spans="1:6" x14ac:dyDescent="0.2">
      <c r="A1086" s="12" t="s">
        <v>863</v>
      </c>
      <c r="B1086" s="11"/>
      <c r="C1086" s="12" t="s">
        <v>16</v>
      </c>
      <c r="D1086" s="12" t="s">
        <v>17</v>
      </c>
      <c r="E1086" s="12" t="s">
        <v>4870</v>
      </c>
      <c r="F1086" s="13"/>
    </row>
    <row r="1087" spans="1:6" x14ac:dyDescent="0.2">
      <c r="A1087" s="12" t="s">
        <v>0</v>
      </c>
      <c r="B1087" s="11"/>
      <c r="C1087" s="12" t="s">
        <v>16</v>
      </c>
      <c r="D1087" s="12" t="s">
        <v>6</v>
      </c>
      <c r="E1087" s="12" t="s">
        <v>77</v>
      </c>
      <c r="F1087" s="13"/>
    </row>
    <row r="1088" spans="1:6" x14ac:dyDescent="0.2">
      <c r="A1088" s="12" t="s">
        <v>1924</v>
      </c>
      <c r="B1088" s="11"/>
      <c r="C1088" s="12" t="s">
        <v>16</v>
      </c>
      <c r="D1088" s="12" t="s">
        <v>6</v>
      </c>
      <c r="E1088" s="12" t="s">
        <v>4872</v>
      </c>
      <c r="F1088" s="13"/>
    </row>
    <row r="1089" spans="1:6" x14ac:dyDescent="0.2">
      <c r="A1089" s="12" t="s">
        <v>972</v>
      </c>
      <c r="B1089" s="11"/>
      <c r="C1089" s="12" t="s">
        <v>16</v>
      </c>
      <c r="D1089" s="12" t="s">
        <v>17</v>
      </c>
      <c r="E1089" s="12" t="s">
        <v>4874</v>
      </c>
      <c r="F1089" s="13"/>
    </row>
    <row r="1090" spans="1:6" x14ac:dyDescent="0.2">
      <c r="A1090" s="12" t="s">
        <v>632</v>
      </c>
      <c r="B1090" s="11"/>
      <c r="C1090" s="12" t="s">
        <v>16</v>
      </c>
      <c r="D1090" s="12" t="s">
        <v>6</v>
      </c>
      <c r="E1090" s="12" t="s">
        <v>4876</v>
      </c>
      <c r="F1090" s="13"/>
    </row>
    <row r="1091" spans="1:6" x14ac:dyDescent="0.2">
      <c r="A1091" s="12" t="s">
        <v>1496</v>
      </c>
      <c r="B1091" s="11"/>
      <c r="C1091" s="12" t="s">
        <v>16</v>
      </c>
      <c r="D1091" s="12" t="s">
        <v>21</v>
      </c>
      <c r="E1091" s="12" t="s">
        <v>4878</v>
      </c>
      <c r="F1091" s="13"/>
    </row>
    <row r="1092" spans="1:6" x14ac:dyDescent="0.2">
      <c r="A1092" s="12" t="s">
        <v>1300</v>
      </c>
      <c r="B1092" s="11"/>
      <c r="C1092" s="12" t="s">
        <v>16</v>
      </c>
      <c r="D1092" s="12" t="s">
        <v>21</v>
      </c>
      <c r="E1092" s="12" t="s">
        <v>4880</v>
      </c>
      <c r="F1092" s="13"/>
    </row>
    <row r="1093" spans="1:6" x14ac:dyDescent="0.2">
      <c r="A1093" s="12" t="s">
        <v>1449</v>
      </c>
      <c r="B1093" s="11"/>
      <c r="C1093" s="12" t="s">
        <v>16</v>
      </c>
      <c r="D1093" s="12" t="s">
        <v>21</v>
      </c>
      <c r="E1093" s="12" t="s">
        <v>4882</v>
      </c>
      <c r="F1093" s="13"/>
    </row>
    <row r="1094" spans="1:6" x14ac:dyDescent="0.2">
      <c r="A1094" s="12" t="s">
        <v>285</v>
      </c>
      <c r="B1094" s="11"/>
      <c r="C1094" s="12" t="s">
        <v>16</v>
      </c>
      <c r="D1094" s="12" t="s">
        <v>21</v>
      </c>
      <c r="E1094" s="12" t="s">
        <v>4884</v>
      </c>
      <c r="F1094" s="13"/>
    </row>
    <row r="1095" spans="1:6" x14ac:dyDescent="0.2">
      <c r="A1095" s="12" t="s">
        <v>285</v>
      </c>
      <c r="B1095" s="11"/>
      <c r="C1095" s="12" t="s">
        <v>16</v>
      </c>
      <c r="D1095" s="12" t="s">
        <v>21</v>
      </c>
      <c r="E1095" s="12" t="s">
        <v>4886</v>
      </c>
      <c r="F1095" s="13"/>
    </row>
    <row r="1096" spans="1:6" x14ac:dyDescent="0.2">
      <c r="A1096" s="12" t="s">
        <v>1481</v>
      </c>
      <c r="B1096" s="11"/>
      <c r="C1096" s="12" t="s">
        <v>16</v>
      </c>
      <c r="D1096" s="12" t="s">
        <v>21</v>
      </c>
      <c r="E1096" s="12" t="s">
        <v>4888</v>
      </c>
      <c r="F1096" s="13"/>
    </row>
    <row r="1097" spans="1:6" x14ac:dyDescent="0.2">
      <c r="A1097" s="12" t="s">
        <v>1135</v>
      </c>
      <c r="B1097" s="11"/>
      <c r="C1097" s="12" t="s">
        <v>16</v>
      </c>
      <c r="D1097" s="12" t="s">
        <v>21</v>
      </c>
      <c r="E1097" s="12" t="s">
        <v>4890</v>
      </c>
      <c r="F1097" s="13"/>
    </row>
    <row r="1098" spans="1:6" x14ac:dyDescent="0.2">
      <c r="A1098" s="12" t="s">
        <v>327</v>
      </c>
      <c r="B1098" s="11"/>
      <c r="C1098" s="12" t="s">
        <v>16</v>
      </c>
      <c r="D1098" s="12" t="s">
        <v>21</v>
      </c>
      <c r="E1098" s="12" t="s">
        <v>4892</v>
      </c>
      <c r="F1098" s="13"/>
    </row>
    <row r="1099" spans="1:6" x14ac:dyDescent="0.2">
      <c r="A1099" s="12" t="s">
        <v>285</v>
      </c>
      <c r="B1099" s="11"/>
      <c r="C1099" s="12" t="s">
        <v>16</v>
      </c>
      <c r="D1099" s="12" t="s">
        <v>21</v>
      </c>
      <c r="E1099" s="12" t="s">
        <v>4894</v>
      </c>
      <c r="F1099" s="13"/>
    </row>
    <row r="1100" spans="1:6" x14ac:dyDescent="0.2">
      <c r="A1100" s="12" t="s">
        <v>635</v>
      </c>
      <c r="B1100" s="11"/>
      <c r="C1100" s="12" t="s">
        <v>16</v>
      </c>
      <c r="D1100" s="12" t="s">
        <v>21</v>
      </c>
      <c r="E1100" s="12" t="s">
        <v>4896</v>
      </c>
      <c r="F1100" s="13"/>
    </row>
    <row r="1101" spans="1:6" x14ac:dyDescent="0.2">
      <c r="A1101" s="12" t="s">
        <v>31</v>
      </c>
      <c r="B1101" s="11"/>
      <c r="C1101" s="12" t="s">
        <v>16</v>
      </c>
      <c r="D1101" s="12" t="s">
        <v>17</v>
      </c>
      <c r="E1101" s="12" t="s">
        <v>79</v>
      </c>
      <c r="F1101" s="13"/>
    </row>
    <row r="1102" spans="1:6" x14ac:dyDescent="0.2">
      <c r="A1102" s="12" t="s">
        <v>1148</v>
      </c>
      <c r="B1102" s="11"/>
      <c r="C1102" s="12" t="s">
        <v>16</v>
      </c>
      <c r="D1102" s="12" t="s">
        <v>17</v>
      </c>
      <c r="E1102" s="12" t="s">
        <v>4898</v>
      </c>
      <c r="F1102" s="13"/>
    </row>
    <row r="1103" spans="1:6" x14ac:dyDescent="0.2">
      <c r="A1103" s="12" t="s">
        <v>605</v>
      </c>
      <c r="B1103" s="11"/>
      <c r="C1103" s="12" t="s">
        <v>16</v>
      </c>
      <c r="D1103" s="12" t="s">
        <v>17</v>
      </c>
      <c r="E1103" s="12" t="s">
        <v>4900</v>
      </c>
      <c r="F1103" s="13"/>
    </row>
    <row r="1104" spans="1:6" x14ac:dyDescent="0.2">
      <c r="A1104" s="12" t="s">
        <v>972</v>
      </c>
      <c r="B1104" s="11"/>
      <c r="C1104" s="12" t="s">
        <v>16</v>
      </c>
      <c r="D1104" s="12" t="s">
        <v>17</v>
      </c>
      <c r="E1104" s="12" t="s">
        <v>4902</v>
      </c>
      <c r="F1104" s="13"/>
    </row>
    <row r="1105" spans="1:6" x14ac:dyDescent="0.2">
      <c r="A1105" s="12" t="s">
        <v>331</v>
      </c>
      <c r="B1105" s="11"/>
      <c r="C1105" s="12" t="s">
        <v>16</v>
      </c>
      <c r="D1105" s="12" t="s">
        <v>6</v>
      </c>
      <c r="E1105" s="12" t="s">
        <v>4904</v>
      </c>
      <c r="F1105" s="13"/>
    </row>
    <row r="1106" spans="1:6" x14ac:dyDescent="0.2">
      <c r="A1106" s="12" t="s">
        <v>1131</v>
      </c>
      <c r="B1106" s="11"/>
      <c r="C1106" s="12" t="s">
        <v>16</v>
      </c>
      <c r="D1106" s="12" t="s">
        <v>6</v>
      </c>
      <c r="E1106" s="12" t="s">
        <v>4906</v>
      </c>
      <c r="F1106" s="47"/>
    </row>
    <row r="1107" spans="1:6" x14ac:dyDescent="0.2">
      <c r="A1107" s="12" t="s">
        <v>1131</v>
      </c>
      <c r="B1107" s="11"/>
      <c r="C1107" s="12" t="s">
        <v>16</v>
      </c>
      <c r="D1107" s="12" t="s">
        <v>21</v>
      </c>
      <c r="E1107" s="12" t="s">
        <v>4908</v>
      </c>
      <c r="F1107" s="47"/>
    </row>
    <row r="1108" spans="1:6" x14ac:dyDescent="0.2">
      <c r="A1108" s="12" t="s">
        <v>327</v>
      </c>
      <c r="B1108" s="11"/>
      <c r="C1108" s="12" t="s">
        <v>16</v>
      </c>
      <c r="D1108" s="12" t="s">
        <v>21</v>
      </c>
      <c r="E1108" s="12" t="s">
        <v>4910</v>
      </c>
      <c r="F1108" s="13"/>
    </row>
    <row r="1109" spans="1:6" x14ac:dyDescent="0.2">
      <c r="A1109" s="12" t="s">
        <v>285</v>
      </c>
      <c r="B1109" s="11"/>
      <c r="C1109" s="12" t="s">
        <v>16</v>
      </c>
      <c r="D1109" s="12" t="s">
        <v>21</v>
      </c>
      <c r="E1109" s="12" t="s">
        <v>4912</v>
      </c>
      <c r="F1109" s="13"/>
    </row>
    <row r="1110" spans="1:6" x14ac:dyDescent="0.2">
      <c r="A1110" s="12" t="s">
        <v>1462</v>
      </c>
      <c r="B1110" s="11"/>
      <c r="C1110" s="12" t="s">
        <v>16</v>
      </c>
      <c r="D1110" s="12" t="s">
        <v>21</v>
      </c>
      <c r="E1110" s="12" t="s">
        <v>4914</v>
      </c>
      <c r="F1110" s="13"/>
    </row>
    <row r="1111" spans="1:6" x14ac:dyDescent="0.2">
      <c r="A1111" s="12" t="s">
        <v>1831</v>
      </c>
      <c r="B1111" s="11"/>
      <c r="C1111" s="12" t="s">
        <v>16</v>
      </c>
      <c r="D1111" s="12" t="s">
        <v>21</v>
      </c>
      <c r="E1111" s="12" t="s">
        <v>4916</v>
      </c>
      <c r="F1111" s="13"/>
    </row>
    <row r="1112" spans="1:6" x14ac:dyDescent="0.2">
      <c r="A1112" s="12" t="s">
        <v>285</v>
      </c>
      <c r="B1112" s="11"/>
      <c r="C1112" s="12" t="s">
        <v>16</v>
      </c>
      <c r="D1112" s="12" t="s">
        <v>21</v>
      </c>
      <c r="E1112" s="12" t="s">
        <v>4918</v>
      </c>
      <c r="F1112" s="13"/>
    </row>
    <row r="1113" spans="1:6" x14ac:dyDescent="0.2">
      <c r="A1113" s="12" t="s">
        <v>285</v>
      </c>
      <c r="B1113" s="11"/>
      <c r="C1113" s="12" t="s">
        <v>16</v>
      </c>
      <c r="D1113" s="12" t="s">
        <v>21</v>
      </c>
      <c r="E1113" s="12" t="s">
        <v>4920</v>
      </c>
      <c r="F1113" s="13"/>
    </row>
    <row r="1114" spans="1:6" x14ac:dyDescent="0.2">
      <c r="A1114" s="12" t="s">
        <v>1924</v>
      </c>
      <c r="B1114" s="11"/>
      <c r="C1114" s="12" t="s">
        <v>16</v>
      </c>
      <c r="D1114" s="12" t="s">
        <v>21</v>
      </c>
      <c r="E1114" s="12" t="s">
        <v>4922</v>
      </c>
      <c r="F1114" s="13"/>
    </row>
    <row r="1115" spans="1:6" x14ac:dyDescent="0.2">
      <c r="A1115" s="12" t="s">
        <v>285</v>
      </c>
      <c r="B1115" s="11"/>
      <c r="C1115" s="12" t="s">
        <v>16</v>
      </c>
      <c r="D1115" s="12" t="s">
        <v>21</v>
      </c>
      <c r="E1115" s="12" t="s">
        <v>4924</v>
      </c>
      <c r="F1115" s="13"/>
    </row>
    <row r="1116" spans="1:6" x14ac:dyDescent="0.2">
      <c r="A1116" s="12" t="s">
        <v>396</v>
      </c>
      <c r="B1116" s="11"/>
      <c r="C1116" s="12" t="s">
        <v>16</v>
      </c>
      <c r="D1116" s="12" t="s">
        <v>21</v>
      </c>
      <c r="E1116" s="12" t="s">
        <v>4926</v>
      </c>
      <c r="F1116" s="13"/>
    </row>
    <row r="1117" spans="1:6" x14ac:dyDescent="0.2">
      <c r="A1117" s="12" t="s">
        <v>863</v>
      </c>
      <c r="B1117" s="11"/>
      <c r="C1117" s="12" t="s">
        <v>16</v>
      </c>
      <c r="D1117" s="12" t="s">
        <v>17</v>
      </c>
      <c r="E1117" s="12" t="s">
        <v>4928</v>
      </c>
      <c r="F1117" s="13"/>
    </row>
    <row r="1118" spans="1:6" x14ac:dyDescent="0.2">
      <c r="A1118" s="12" t="s">
        <v>863</v>
      </c>
      <c r="B1118" s="11"/>
      <c r="C1118" s="12" t="s">
        <v>16</v>
      </c>
      <c r="D1118" s="12" t="s">
        <v>17</v>
      </c>
      <c r="E1118" s="12" t="s">
        <v>4931</v>
      </c>
      <c r="F1118" s="13"/>
    </row>
    <row r="1119" spans="1:6" x14ac:dyDescent="0.2">
      <c r="A1119" s="12" t="s">
        <v>573</v>
      </c>
      <c r="B1119" s="11"/>
      <c r="C1119" s="12" t="s">
        <v>16</v>
      </c>
      <c r="D1119" s="12" t="s">
        <v>17</v>
      </c>
      <c r="E1119" s="12" t="s">
        <v>4934</v>
      </c>
      <c r="F1119" s="13"/>
    </row>
    <row r="1120" spans="1:6" x14ac:dyDescent="0.2">
      <c r="A1120" s="12" t="s">
        <v>909</v>
      </c>
      <c r="B1120" s="11"/>
      <c r="C1120" s="12" t="s">
        <v>16</v>
      </c>
      <c r="D1120" s="12" t="s">
        <v>6</v>
      </c>
      <c r="E1120" s="12" t="s">
        <v>4936</v>
      </c>
      <c r="F1120" s="47"/>
    </row>
    <row r="1121" spans="1:6" x14ac:dyDescent="0.2">
      <c r="A1121" s="12" t="s">
        <v>2251</v>
      </c>
      <c r="B1121" s="11"/>
      <c r="C1121" s="12" t="s">
        <v>16</v>
      </c>
      <c r="D1121" s="12" t="s">
        <v>6</v>
      </c>
      <c r="E1121" s="12" t="s">
        <v>4938</v>
      </c>
      <c r="F1121" s="47"/>
    </row>
    <row r="1122" spans="1:6" x14ac:dyDescent="0.2">
      <c r="A1122" s="12" t="s">
        <v>2046</v>
      </c>
      <c r="B1122" s="11"/>
      <c r="C1122" s="12" t="s">
        <v>16</v>
      </c>
      <c r="D1122" s="12" t="s">
        <v>6</v>
      </c>
      <c r="E1122" s="12" t="s">
        <v>4939</v>
      </c>
      <c r="F1122" s="13"/>
    </row>
    <row r="1123" spans="1:6" x14ac:dyDescent="0.2">
      <c r="A1123" s="12" t="s">
        <v>2046</v>
      </c>
      <c r="B1123" s="11"/>
      <c r="C1123" s="12" t="s">
        <v>16</v>
      </c>
      <c r="D1123" s="12" t="s">
        <v>6</v>
      </c>
      <c r="E1123" s="12" t="s">
        <v>4941</v>
      </c>
      <c r="F1123" s="13"/>
    </row>
    <row r="1124" spans="1:6" x14ac:dyDescent="0.2">
      <c r="A1124" s="12" t="s">
        <v>2046</v>
      </c>
      <c r="B1124" s="11"/>
      <c r="C1124" s="12" t="s">
        <v>16</v>
      </c>
      <c r="D1124" s="12" t="s">
        <v>6</v>
      </c>
      <c r="E1124" s="12" t="s">
        <v>4943</v>
      </c>
      <c r="F1124" s="13"/>
    </row>
    <row r="1125" spans="1:6" x14ac:dyDescent="0.2">
      <c r="A1125" s="12" t="s">
        <v>2046</v>
      </c>
      <c r="B1125" s="11"/>
      <c r="C1125" s="12" t="s">
        <v>16</v>
      </c>
      <c r="D1125" s="12" t="s">
        <v>6</v>
      </c>
      <c r="E1125" s="12" t="s">
        <v>4945</v>
      </c>
      <c r="F1125" s="13"/>
    </row>
    <row r="1126" spans="1:6" x14ac:dyDescent="0.2">
      <c r="A1126" s="12" t="s">
        <v>1994</v>
      </c>
      <c r="B1126" s="11"/>
      <c r="C1126" s="12" t="s">
        <v>16</v>
      </c>
      <c r="D1126" s="12" t="s">
        <v>6</v>
      </c>
      <c r="E1126" s="12" t="s">
        <v>4947</v>
      </c>
      <c r="F1126" s="13"/>
    </row>
    <row r="1127" spans="1:6" x14ac:dyDescent="0.2">
      <c r="A1127" s="12" t="s">
        <v>979</v>
      </c>
      <c r="B1127" s="11"/>
      <c r="C1127" s="12" t="s">
        <v>16</v>
      </c>
      <c r="D1127" s="12" t="s">
        <v>6</v>
      </c>
      <c r="E1127" s="12" t="s">
        <v>4949</v>
      </c>
      <c r="F1127" s="13"/>
    </row>
    <row r="1128" spans="1:6" x14ac:dyDescent="0.2">
      <c r="A1128" s="12" t="s">
        <v>2251</v>
      </c>
      <c r="B1128" s="11"/>
      <c r="C1128" s="12" t="s">
        <v>16</v>
      </c>
      <c r="D1128" s="12" t="s">
        <v>6</v>
      </c>
      <c r="E1128" s="12" t="s">
        <v>4952</v>
      </c>
      <c r="F1128" s="47"/>
    </row>
    <row r="1129" spans="1:6" x14ac:dyDescent="0.2">
      <c r="A1129" s="12" t="s">
        <v>799</v>
      </c>
      <c r="B1129" s="11"/>
      <c r="C1129" s="12" t="s">
        <v>16</v>
      </c>
      <c r="D1129" s="12" t="s">
        <v>21</v>
      </c>
      <c r="E1129" s="12" t="s">
        <v>4953</v>
      </c>
      <c r="F1129" s="13"/>
    </row>
    <row r="1130" spans="1:6" x14ac:dyDescent="0.2">
      <c r="A1130" s="12" t="s">
        <v>285</v>
      </c>
      <c r="B1130" s="11"/>
      <c r="C1130" s="12" t="s">
        <v>16</v>
      </c>
      <c r="D1130" s="12" t="s">
        <v>21</v>
      </c>
      <c r="E1130" s="12" t="s">
        <v>4955</v>
      </c>
      <c r="F1130" s="13"/>
    </row>
    <row r="1131" spans="1:6" x14ac:dyDescent="0.2">
      <c r="A1131" s="12" t="s">
        <v>285</v>
      </c>
      <c r="B1131" s="11"/>
      <c r="C1131" s="12" t="s">
        <v>16</v>
      </c>
      <c r="D1131" s="12" t="s">
        <v>21</v>
      </c>
      <c r="E1131" s="12" t="s">
        <v>4957</v>
      </c>
      <c r="F1131" s="13"/>
    </row>
    <row r="1132" spans="1:6" x14ac:dyDescent="0.2">
      <c r="A1132" s="12" t="s">
        <v>1558</v>
      </c>
      <c r="B1132" s="11"/>
      <c r="C1132" s="12" t="s">
        <v>16</v>
      </c>
      <c r="D1132" s="12" t="s">
        <v>21</v>
      </c>
      <c r="E1132" s="12" t="s">
        <v>4959</v>
      </c>
      <c r="F1132" s="13"/>
    </row>
    <row r="1133" spans="1:6" x14ac:dyDescent="0.2">
      <c r="A1133" s="12" t="s">
        <v>1152</v>
      </c>
      <c r="B1133" s="11"/>
      <c r="C1133" s="12" t="s">
        <v>208</v>
      </c>
      <c r="D1133" s="12" t="s">
        <v>209</v>
      </c>
      <c r="E1133" s="12" t="s">
        <v>5696</v>
      </c>
      <c r="F1133" s="13"/>
    </row>
    <row r="1134" spans="1:6" x14ac:dyDescent="0.2">
      <c r="A1134" s="12" t="s">
        <v>1158</v>
      </c>
      <c r="B1134" s="11"/>
      <c r="C1134" s="12" t="s">
        <v>208</v>
      </c>
      <c r="D1134" s="12" t="s">
        <v>209</v>
      </c>
      <c r="E1134" s="12" t="s">
        <v>5697</v>
      </c>
      <c r="F1134" s="13"/>
    </row>
    <row r="1135" spans="1:6" x14ac:dyDescent="0.2">
      <c r="A1135" s="12" t="s">
        <v>2196</v>
      </c>
      <c r="B1135" s="11"/>
      <c r="C1135" s="12" t="s">
        <v>16</v>
      </c>
      <c r="D1135" s="12" t="s">
        <v>17</v>
      </c>
      <c r="E1135" s="12" t="s">
        <v>4961</v>
      </c>
      <c r="F1135" s="13"/>
    </row>
    <row r="1136" spans="1:6" x14ac:dyDescent="0.2">
      <c r="A1136" s="12" t="s">
        <v>2251</v>
      </c>
      <c r="B1136" s="11"/>
      <c r="C1136" s="12" t="s">
        <v>16</v>
      </c>
      <c r="D1136" s="12" t="s">
        <v>6</v>
      </c>
      <c r="E1136" s="12" t="s">
        <v>4963</v>
      </c>
      <c r="F1136" s="47"/>
    </row>
    <row r="1137" spans="1:6" x14ac:dyDescent="0.2">
      <c r="A1137" s="12" t="s">
        <v>2196</v>
      </c>
      <c r="B1137" s="11"/>
      <c r="C1137" s="12" t="s">
        <v>16</v>
      </c>
      <c r="D1137" s="12" t="s">
        <v>17</v>
      </c>
      <c r="E1137" s="12" t="s">
        <v>4964</v>
      </c>
      <c r="F1137" s="13"/>
    </row>
    <row r="1138" spans="1:6" x14ac:dyDescent="0.2">
      <c r="A1138" s="12" t="s">
        <v>863</v>
      </c>
      <c r="B1138" s="11"/>
      <c r="C1138" s="12" t="s">
        <v>16</v>
      </c>
      <c r="D1138" s="12" t="s">
        <v>17</v>
      </c>
      <c r="E1138" s="12" t="s">
        <v>4966</v>
      </c>
      <c r="F1138" s="13"/>
    </row>
    <row r="1139" spans="1:6" x14ac:dyDescent="0.2">
      <c r="A1139" s="12" t="s">
        <v>0</v>
      </c>
      <c r="B1139" s="11"/>
      <c r="C1139" s="12" t="s">
        <v>16</v>
      </c>
      <c r="D1139" s="12" t="s">
        <v>6</v>
      </c>
      <c r="E1139" s="12" t="s">
        <v>81</v>
      </c>
      <c r="F1139" s="13"/>
    </row>
    <row r="1140" spans="1:6" x14ac:dyDescent="0.2">
      <c r="A1140" s="12" t="s">
        <v>1025</v>
      </c>
      <c r="B1140" s="11"/>
      <c r="C1140" s="12" t="s">
        <v>16</v>
      </c>
      <c r="D1140" s="12" t="s">
        <v>6</v>
      </c>
      <c r="E1140" s="12" t="s">
        <v>4968</v>
      </c>
      <c r="F1140" s="13"/>
    </row>
    <row r="1141" spans="1:6" x14ac:dyDescent="0.2">
      <c r="A1141" s="12" t="s">
        <v>2251</v>
      </c>
      <c r="B1141" s="11"/>
      <c r="C1141" s="12" t="s">
        <v>16</v>
      </c>
      <c r="D1141" s="12" t="s">
        <v>6</v>
      </c>
      <c r="E1141" s="12" t="s">
        <v>4970</v>
      </c>
      <c r="F1141" s="47"/>
    </row>
    <row r="1142" spans="1:6" x14ac:dyDescent="0.2">
      <c r="A1142" s="12" t="s">
        <v>2251</v>
      </c>
      <c r="B1142" s="11"/>
      <c r="C1142" s="12" t="s">
        <v>16</v>
      </c>
      <c r="D1142" s="12" t="s">
        <v>6</v>
      </c>
      <c r="E1142" s="12" t="s">
        <v>4971</v>
      </c>
      <c r="F1142" s="47"/>
    </row>
    <row r="1143" spans="1:6" x14ac:dyDescent="0.2">
      <c r="A1143" s="12" t="s">
        <v>1924</v>
      </c>
      <c r="B1143" s="11"/>
      <c r="C1143" s="12" t="s">
        <v>16</v>
      </c>
      <c r="D1143" s="12" t="s">
        <v>6</v>
      </c>
      <c r="E1143" s="12" t="s">
        <v>4972</v>
      </c>
      <c r="F1143" s="13"/>
    </row>
    <row r="1144" spans="1:6" x14ac:dyDescent="0.2">
      <c r="A1144" s="12" t="s">
        <v>1142</v>
      </c>
      <c r="B1144" s="11"/>
      <c r="C1144" s="12" t="s">
        <v>16</v>
      </c>
      <c r="D1144" s="12" t="s">
        <v>6</v>
      </c>
      <c r="E1144" s="12" t="s">
        <v>4974</v>
      </c>
      <c r="F1144" s="13"/>
    </row>
    <row r="1145" spans="1:6" x14ac:dyDescent="0.2">
      <c r="A1145" s="12" t="s">
        <v>396</v>
      </c>
      <c r="B1145" s="11"/>
      <c r="C1145" s="12" t="s">
        <v>16</v>
      </c>
      <c r="D1145" s="12" t="s">
        <v>21</v>
      </c>
      <c r="E1145" s="12" t="s">
        <v>4976</v>
      </c>
      <c r="F1145" s="13"/>
    </row>
    <row r="1146" spans="1:6" x14ac:dyDescent="0.2">
      <c r="A1146" s="12" t="s">
        <v>635</v>
      </c>
      <c r="B1146" s="11"/>
      <c r="C1146" s="12" t="s">
        <v>16</v>
      </c>
      <c r="D1146" s="12" t="s">
        <v>21</v>
      </c>
      <c r="E1146" s="12" t="s">
        <v>4978</v>
      </c>
      <c r="F1146" s="13"/>
    </row>
    <row r="1147" spans="1:6" x14ac:dyDescent="0.2">
      <c r="A1147" s="12" t="s">
        <v>2251</v>
      </c>
      <c r="B1147" s="11"/>
      <c r="C1147" s="12" t="s">
        <v>16</v>
      </c>
      <c r="D1147" s="12" t="s">
        <v>21</v>
      </c>
      <c r="E1147" s="12" t="s">
        <v>4980</v>
      </c>
      <c r="F1147" s="47"/>
    </row>
    <row r="1148" spans="1:6" x14ac:dyDescent="0.2">
      <c r="A1148" s="12" t="s">
        <v>1131</v>
      </c>
      <c r="B1148" s="11"/>
      <c r="C1148" s="12" t="s">
        <v>16</v>
      </c>
      <c r="D1148" s="12" t="s">
        <v>21</v>
      </c>
      <c r="E1148" s="12" t="s">
        <v>4981</v>
      </c>
      <c r="F1148" s="47"/>
    </row>
    <row r="1149" spans="1:6" x14ac:dyDescent="0.2">
      <c r="A1149" s="12" t="s">
        <v>2010</v>
      </c>
      <c r="B1149" s="11"/>
      <c r="C1149" s="12" t="s">
        <v>5</v>
      </c>
      <c r="D1149" s="12" t="s">
        <v>17</v>
      </c>
      <c r="E1149" s="12" t="s">
        <v>3528</v>
      </c>
      <c r="F1149" s="13"/>
    </row>
    <row r="1150" spans="1:6" x14ac:dyDescent="0.2">
      <c r="A1150" s="12" t="s">
        <v>2010</v>
      </c>
      <c r="B1150" s="11"/>
      <c r="C1150" s="12" t="s">
        <v>5</v>
      </c>
      <c r="D1150" s="12" t="s">
        <v>17</v>
      </c>
      <c r="E1150" s="12" t="s">
        <v>3528</v>
      </c>
      <c r="F1150" s="13"/>
    </row>
    <row r="1151" spans="1:6" x14ac:dyDescent="0.2">
      <c r="A1151" s="12" t="s">
        <v>1809</v>
      </c>
      <c r="B1151" s="11"/>
      <c r="C1151" s="12" t="s">
        <v>5</v>
      </c>
      <c r="D1151" s="12" t="s">
        <v>17</v>
      </c>
      <c r="E1151" s="12" t="s">
        <v>3532</v>
      </c>
      <c r="F1151" s="13"/>
    </row>
    <row r="1152" spans="1:6" x14ac:dyDescent="0.2">
      <c r="A1152" s="12" t="s">
        <v>1805</v>
      </c>
      <c r="B1152" s="11"/>
      <c r="C1152" s="12" t="s">
        <v>5</v>
      </c>
      <c r="D1152" s="12" t="s">
        <v>17</v>
      </c>
      <c r="E1152" s="12" t="s">
        <v>3534</v>
      </c>
      <c r="F1152" s="13"/>
    </row>
    <row r="1153" spans="1:6" x14ac:dyDescent="0.2">
      <c r="A1153" s="12" t="s">
        <v>491</v>
      </c>
      <c r="B1153" s="11"/>
      <c r="C1153" s="12" t="s">
        <v>5</v>
      </c>
      <c r="D1153" s="12" t="s">
        <v>17</v>
      </c>
      <c r="E1153" s="12" t="s">
        <v>3536</v>
      </c>
      <c r="F1153" s="13"/>
    </row>
    <row r="1154" spans="1:6" x14ac:dyDescent="0.2">
      <c r="A1154" s="12" t="s">
        <v>491</v>
      </c>
      <c r="B1154" s="11"/>
      <c r="C1154" s="12" t="s">
        <v>5</v>
      </c>
      <c r="D1154" s="12" t="s">
        <v>17</v>
      </c>
      <c r="E1154" s="12" t="s">
        <v>3538</v>
      </c>
      <c r="F1154" s="13"/>
    </row>
    <row r="1155" spans="1:6" x14ac:dyDescent="0.2">
      <c r="A1155" s="12" t="s">
        <v>491</v>
      </c>
      <c r="B1155" s="11"/>
      <c r="C1155" s="12" t="s">
        <v>5</v>
      </c>
      <c r="D1155" s="12" t="s">
        <v>17</v>
      </c>
      <c r="E1155" s="12" t="s">
        <v>3538</v>
      </c>
      <c r="F1155" s="13"/>
    </row>
    <row r="1156" spans="1:6" x14ac:dyDescent="0.2">
      <c r="A1156" s="12" t="s">
        <v>285</v>
      </c>
      <c r="B1156" s="11"/>
      <c r="C1156" s="12" t="s">
        <v>5</v>
      </c>
      <c r="D1156" s="12" t="s">
        <v>17</v>
      </c>
      <c r="E1156" s="12" t="s">
        <v>3541</v>
      </c>
      <c r="F1156" s="13"/>
    </row>
    <row r="1157" spans="1:6" x14ac:dyDescent="0.2">
      <c r="A1157" s="12" t="s">
        <v>285</v>
      </c>
      <c r="B1157" s="11"/>
      <c r="C1157" s="12" t="s">
        <v>5</v>
      </c>
      <c r="D1157" s="12" t="s">
        <v>17</v>
      </c>
      <c r="E1157" s="12" t="s">
        <v>3541</v>
      </c>
      <c r="F1157" s="13"/>
    </row>
    <row r="1158" spans="1:6" x14ac:dyDescent="0.2">
      <c r="A1158" s="12" t="s">
        <v>662</v>
      </c>
      <c r="B1158" s="11"/>
      <c r="C1158" s="12" t="s">
        <v>5</v>
      </c>
      <c r="D1158" s="12" t="s">
        <v>6</v>
      </c>
      <c r="E1158" s="12" t="s">
        <v>3544</v>
      </c>
      <c r="F1158" s="13"/>
    </row>
    <row r="1159" spans="1:6" x14ac:dyDescent="0.2">
      <c r="A1159" s="12" t="s">
        <v>662</v>
      </c>
      <c r="B1159" s="11"/>
      <c r="C1159" s="12" t="s">
        <v>5</v>
      </c>
      <c r="D1159" s="12" t="s">
        <v>6</v>
      </c>
      <c r="E1159" s="12" t="s">
        <v>3544</v>
      </c>
      <c r="F1159" s="13"/>
    </row>
    <row r="1160" spans="1:6" x14ac:dyDescent="0.2">
      <c r="A1160" s="12" t="s">
        <v>532</v>
      </c>
      <c r="B1160" s="11"/>
      <c r="C1160" s="12" t="s">
        <v>5</v>
      </c>
      <c r="D1160" s="12" t="s">
        <v>6</v>
      </c>
      <c r="E1160" s="12" t="s">
        <v>3547</v>
      </c>
      <c r="F1160" s="13"/>
    </row>
    <row r="1161" spans="1:6" x14ac:dyDescent="0.2">
      <c r="A1161" s="12" t="s">
        <v>532</v>
      </c>
      <c r="B1161" s="11"/>
      <c r="C1161" s="12" t="s">
        <v>5</v>
      </c>
      <c r="D1161" s="12" t="s">
        <v>6</v>
      </c>
      <c r="E1161" s="12" t="s">
        <v>3547</v>
      </c>
      <c r="F1161" s="13"/>
    </row>
    <row r="1162" spans="1:6" x14ac:dyDescent="0.2">
      <c r="A1162" s="12" t="s">
        <v>2251</v>
      </c>
      <c r="B1162" s="11"/>
      <c r="C1162" s="12" t="s">
        <v>5</v>
      </c>
      <c r="D1162" s="12" t="s">
        <v>6</v>
      </c>
      <c r="E1162" s="12" t="s">
        <v>3550</v>
      </c>
      <c r="F1162" s="47"/>
    </row>
    <row r="1163" spans="1:6" x14ac:dyDescent="0.2">
      <c r="A1163" s="12" t="s">
        <v>0</v>
      </c>
      <c r="B1163" s="11"/>
      <c r="C1163" s="12" t="s">
        <v>5</v>
      </c>
      <c r="D1163" s="12" t="s">
        <v>6</v>
      </c>
      <c r="E1163" s="12" t="s">
        <v>89</v>
      </c>
      <c r="F1163" s="13"/>
    </row>
    <row r="1164" spans="1:6" x14ac:dyDescent="0.2">
      <c r="A1164" s="12" t="s">
        <v>0</v>
      </c>
      <c r="B1164" s="11"/>
      <c r="C1164" s="12" t="s">
        <v>5</v>
      </c>
      <c r="D1164" s="12" t="s">
        <v>6</v>
      </c>
      <c r="E1164" s="12" t="s">
        <v>89</v>
      </c>
      <c r="F1164" s="13"/>
    </row>
    <row r="1165" spans="1:6" x14ac:dyDescent="0.2">
      <c r="A1165" s="12" t="s">
        <v>0</v>
      </c>
      <c r="B1165" s="11"/>
      <c r="C1165" s="12" t="s">
        <v>5</v>
      </c>
      <c r="D1165" s="12" t="s">
        <v>6</v>
      </c>
      <c r="E1165" s="12" t="s">
        <v>92</v>
      </c>
      <c r="F1165" s="13"/>
    </row>
    <row r="1166" spans="1:6" x14ac:dyDescent="0.2">
      <c r="A1166" s="12" t="s">
        <v>0</v>
      </c>
      <c r="B1166" s="11"/>
      <c r="C1166" s="12" t="s">
        <v>5</v>
      </c>
      <c r="D1166" s="12" t="s">
        <v>6</v>
      </c>
      <c r="E1166" s="12" t="s">
        <v>92</v>
      </c>
      <c r="F1166" s="13"/>
    </row>
    <row r="1167" spans="1:6" x14ac:dyDescent="0.2">
      <c r="A1167" s="12" t="s">
        <v>1142</v>
      </c>
      <c r="B1167" s="11"/>
      <c r="C1167" s="12" t="s">
        <v>5</v>
      </c>
      <c r="D1167" s="12" t="s">
        <v>6</v>
      </c>
      <c r="E1167" s="12" t="s">
        <v>3551</v>
      </c>
      <c r="F1167" s="13"/>
    </row>
    <row r="1168" spans="1:6" x14ac:dyDescent="0.2">
      <c r="A1168" s="12" t="s">
        <v>1142</v>
      </c>
      <c r="B1168" s="11"/>
      <c r="C1168" s="12" t="s">
        <v>5</v>
      </c>
      <c r="D1168" s="12" t="s">
        <v>6</v>
      </c>
      <c r="E1168" s="12" t="s">
        <v>3551</v>
      </c>
      <c r="F1168" s="13"/>
    </row>
    <row r="1169" spans="1:6" x14ac:dyDescent="0.2">
      <c r="A1169" s="12" t="s">
        <v>389</v>
      </c>
      <c r="B1169" s="11"/>
      <c r="C1169" s="12" t="s">
        <v>5</v>
      </c>
      <c r="D1169" s="12" t="s">
        <v>21</v>
      </c>
      <c r="E1169" s="12" t="s">
        <v>3554</v>
      </c>
      <c r="F1169" s="13"/>
    </row>
    <row r="1170" spans="1:6" x14ac:dyDescent="0.2">
      <c r="A1170" s="12" t="s">
        <v>331</v>
      </c>
      <c r="B1170" s="11"/>
      <c r="C1170" s="12" t="s">
        <v>5</v>
      </c>
      <c r="D1170" s="12" t="s">
        <v>21</v>
      </c>
      <c r="E1170" s="12" t="s">
        <v>3556</v>
      </c>
      <c r="F1170" s="13"/>
    </row>
    <row r="1171" spans="1:6" x14ac:dyDescent="0.2">
      <c r="A1171" s="12" t="s">
        <v>1205</v>
      </c>
      <c r="B1171" s="11"/>
      <c r="C1171" s="12" t="s">
        <v>5</v>
      </c>
      <c r="D1171" s="12" t="s">
        <v>21</v>
      </c>
      <c r="E1171" s="12" t="s">
        <v>3558</v>
      </c>
      <c r="F1171" s="13"/>
    </row>
    <row r="1172" spans="1:6" x14ac:dyDescent="0.2">
      <c r="A1172" s="12" t="s">
        <v>1205</v>
      </c>
      <c r="B1172" s="11"/>
      <c r="C1172" s="12" t="s">
        <v>5</v>
      </c>
      <c r="D1172" s="12" t="s">
        <v>21</v>
      </c>
      <c r="E1172" s="12" t="s">
        <v>3558</v>
      </c>
      <c r="F1172" s="13"/>
    </row>
    <row r="1173" spans="1:6" x14ac:dyDescent="0.2">
      <c r="A1173" s="12" t="s">
        <v>1031</v>
      </c>
      <c r="B1173" s="11"/>
      <c r="C1173" s="12" t="s">
        <v>5</v>
      </c>
      <c r="D1173" s="12" t="s">
        <v>21</v>
      </c>
      <c r="E1173" s="12" t="s">
        <v>3562</v>
      </c>
      <c r="F1173" s="13"/>
    </row>
    <row r="1174" spans="1:6" x14ac:dyDescent="0.2">
      <c r="A1174" s="12" t="s">
        <v>1031</v>
      </c>
      <c r="B1174" s="11"/>
      <c r="C1174" s="12" t="s">
        <v>5</v>
      </c>
      <c r="D1174" s="12" t="s">
        <v>21</v>
      </c>
      <c r="E1174" s="12" t="s">
        <v>3562</v>
      </c>
      <c r="F1174" s="13"/>
    </row>
    <row r="1175" spans="1:6" x14ac:dyDescent="0.2">
      <c r="A1175" s="12" t="s">
        <v>296</v>
      </c>
      <c r="B1175" s="11"/>
      <c r="C1175" s="12" t="s">
        <v>5</v>
      </c>
      <c r="D1175" s="12" t="s">
        <v>17</v>
      </c>
      <c r="E1175" s="12" t="s">
        <v>3487</v>
      </c>
      <c r="F1175" s="13"/>
    </row>
    <row r="1176" spans="1:6" x14ac:dyDescent="0.2">
      <c r="A1176" s="12" t="s">
        <v>296</v>
      </c>
      <c r="B1176" s="11"/>
      <c r="C1176" s="12" t="s">
        <v>5</v>
      </c>
      <c r="D1176" s="12" t="s">
        <v>17</v>
      </c>
      <c r="E1176" s="12" t="s">
        <v>3487</v>
      </c>
      <c r="F1176" s="13"/>
    </row>
    <row r="1177" spans="1:6" x14ac:dyDescent="0.2">
      <c r="A1177" s="12" t="s">
        <v>1462</v>
      </c>
      <c r="B1177" s="11"/>
      <c r="C1177" s="12" t="s">
        <v>5</v>
      </c>
      <c r="D1177" s="12" t="s">
        <v>17</v>
      </c>
      <c r="E1177" s="12" t="s">
        <v>3490</v>
      </c>
      <c r="F1177" s="13"/>
    </row>
    <row r="1178" spans="1:6" x14ac:dyDescent="0.2">
      <c r="A1178" s="12" t="s">
        <v>1462</v>
      </c>
      <c r="B1178" s="11"/>
      <c r="C1178" s="12" t="s">
        <v>5</v>
      </c>
      <c r="D1178" s="12" t="s">
        <v>17</v>
      </c>
      <c r="E1178" s="12" t="s">
        <v>3490</v>
      </c>
      <c r="F1178" s="13"/>
    </row>
    <row r="1179" spans="1:6" x14ac:dyDescent="0.2">
      <c r="A1179" s="12" t="s">
        <v>1924</v>
      </c>
      <c r="B1179" s="11"/>
      <c r="C1179" s="12" t="s">
        <v>5</v>
      </c>
      <c r="D1179" s="12" t="s">
        <v>17</v>
      </c>
      <c r="E1179" s="12" t="s">
        <v>3493</v>
      </c>
      <c r="F1179" s="13"/>
    </row>
    <row r="1180" spans="1:6" x14ac:dyDescent="0.2">
      <c r="A1180" s="12" t="s">
        <v>1924</v>
      </c>
      <c r="B1180" s="11"/>
      <c r="C1180" s="12" t="s">
        <v>5</v>
      </c>
      <c r="D1180" s="12" t="s">
        <v>17</v>
      </c>
      <c r="E1180" s="12" t="s">
        <v>3493</v>
      </c>
      <c r="F1180" s="13"/>
    </row>
    <row r="1181" spans="1:6" x14ac:dyDescent="0.2">
      <c r="A1181" s="12" t="s">
        <v>285</v>
      </c>
      <c r="B1181" s="11"/>
      <c r="C1181" s="12" t="s">
        <v>5</v>
      </c>
      <c r="D1181" s="12" t="s">
        <v>17</v>
      </c>
      <c r="E1181" s="12" t="s">
        <v>3496</v>
      </c>
      <c r="F1181" s="13"/>
    </row>
    <row r="1182" spans="1:6" x14ac:dyDescent="0.2">
      <c r="A1182" s="12" t="s">
        <v>285</v>
      </c>
      <c r="B1182" s="11"/>
      <c r="C1182" s="12" t="s">
        <v>5</v>
      </c>
      <c r="D1182" s="12" t="s">
        <v>17</v>
      </c>
      <c r="E1182" s="12" t="s">
        <v>3496</v>
      </c>
      <c r="F1182" s="13"/>
    </row>
    <row r="1183" spans="1:6" x14ac:dyDescent="0.2">
      <c r="A1183" s="12" t="s">
        <v>522</v>
      </c>
      <c r="B1183" s="11"/>
      <c r="C1183" s="12" t="s">
        <v>5</v>
      </c>
      <c r="D1183" s="12" t="s">
        <v>17</v>
      </c>
      <c r="E1183" s="12" t="s">
        <v>3499</v>
      </c>
      <c r="F1183" s="13"/>
    </row>
    <row r="1184" spans="1:6" x14ac:dyDescent="0.2">
      <c r="A1184" s="12" t="s">
        <v>822</v>
      </c>
      <c r="B1184" s="11"/>
      <c r="C1184" s="12" t="s">
        <v>5</v>
      </c>
      <c r="D1184" s="12" t="s">
        <v>17</v>
      </c>
      <c r="E1184" s="12" t="s">
        <v>3501</v>
      </c>
      <c r="F1184" s="13"/>
    </row>
    <row r="1185" spans="1:6" x14ac:dyDescent="0.2">
      <c r="A1185" s="12" t="s">
        <v>822</v>
      </c>
      <c r="B1185" s="11"/>
      <c r="C1185" s="12" t="s">
        <v>5</v>
      </c>
      <c r="D1185" s="12" t="s">
        <v>17</v>
      </c>
      <c r="E1185" s="12" t="s">
        <v>3501</v>
      </c>
      <c r="F1185" s="13"/>
    </row>
    <row r="1186" spans="1:6" x14ac:dyDescent="0.2">
      <c r="A1186" s="12" t="s">
        <v>662</v>
      </c>
      <c r="B1186" s="11"/>
      <c r="C1186" s="12" t="s">
        <v>5</v>
      </c>
      <c r="D1186" s="12" t="s">
        <v>6</v>
      </c>
      <c r="E1186" s="12" t="s">
        <v>3504</v>
      </c>
      <c r="F1186" s="13"/>
    </row>
    <row r="1187" spans="1:6" x14ac:dyDescent="0.2">
      <c r="A1187" s="12" t="s">
        <v>662</v>
      </c>
      <c r="B1187" s="11"/>
      <c r="C1187" s="12" t="s">
        <v>5</v>
      </c>
      <c r="D1187" s="12" t="s">
        <v>6</v>
      </c>
      <c r="E1187" s="12" t="s">
        <v>3504</v>
      </c>
      <c r="F1187" s="13"/>
    </row>
    <row r="1188" spans="1:6" x14ac:dyDescent="0.2">
      <c r="A1188" s="12" t="s">
        <v>665</v>
      </c>
      <c r="B1188" s="11"/>
      <c r="C1188" s="12" t="s">
        <v>5</v>
      </c>
      <c r="D1188" s="12" t="s">
        <v>6</v>
      </c>
      <c r="E1188" s="12" t="s">
        <v>3507</v>
      </c>
      <c r="F1188" s="13"/>
    </row>
    <row r="1189" spans="1:6" x14ac:dyDescent="0.2">
      <c r="A1189" s="12" t="s">
        <v>665</v>
      </c>
      <c r="B1189" s="11"/>
      <c r="C1189" s="12" t="s">
        <v>5</v>
      </c>
      <c r="D1189" s="12" t="s">
        <v>6</v>
      </c>
      <c r="E1189" s="12" t="s">
        <v>3507</v>
      </c>
      <c r="F1189" s="13"/>
    </row>
    <row r="1190" spans="1:6" x14ac:dyDescent="0.2">
      <c r="A1190" s="12" t="s">
        <v>285</v>
      </c>
      <c r="B1190" s="11"/>
      <c r="C1190" s="12" t="s">
        <v>5</v>
      </c>
      <c r="D1190" s="12" t="s">
        <v>6</v>
      </c>
      <c r="E1190" s="12" t="s">
        <v>3510</v>
      </c>
      <c r="F1190" s="13"/>
    </row>
    <row r="1191" spans="1:6" x14ac:dyDescent="0.2">
      <c r="A1191" s="12" t="s">
        <v>285</v>
      </c>
      <c r="B1191" s="11"/>
      <c r="C1191" s="12" t="s">
        <v>5</v>
      </c>
      <c r="D1191" s="12" t="s">
        <v>6</v>
      </c>
      <c r="E1191" s="12" t="s">
        <v>3510</v>
      </c>
      <c r="F1191" s="13"/>
    </row>
    <row r="1192" spans="1:6" x14ac:dyDescent="0.2">
      <c r="A1192" s="12" t="s">
        <v>1139</v>
      </c>
      <c r="B1192" s="11"/>
      <c r="C1192" s="12" t="s">
        <v>5</v>
      </c>
      <c r="D1192" s="12" t="s">
        <v>6</v>
      </c>
      <c r="E1192" s="12" t="s">
        <v>3513</v>
      </c>
      <c r="F1192" s="13"/>
    </row>
    <row r="1193" spans="1:6" x14ac:dyDescent="0.2">
      <c r="A1193" s="12" t="s">
        <v>1139</v>
      </c>
      <c r="B1193" s="11"/>
      <c r="C1193" s="12" t="s">
        <v>5</v>
      </c>
      <c r="D1193" s="12" t="s">
        <v>6</v>
      </c>
      <c r="E1193" s="12" t="s">
        <v>3513</v>
      </c>
      <c r="F1193" s="13"/>
    </row>
    <row r="1194" spans="1:6" x14ac:dyDescent="0.2">
      <c r="A1194" s="12" t="s">
        <v>0</v>
      </c>
      <c r="B1194" s="11"/>
      <c r="C1194" s="12" t="s">
        <v>5</v>
      </c>
      <c r="D1194" s="12" t="s">
        <v>6</v>
      </c>
      <c r="E1194" s="12" t="s">
        <v>83</v>
      </c>
      <c r="F1194" s="13"/>
    </row>
    <row r="1195" spans="1:6" x14ac:dyDescent="0.2">
      <c r="A1195" s="12" t="s">
        <v>0</v>
      </c>
      <c r="B1195" s="11"/>
      <c r="C1195" s="12" t="s">
        <v>5</v>
      </c>
      <c r="D1195" s="12" t="s">
        <v>6</v>
      </c>
      <c r="E1195" s="12" t="s">
        <v>83</v>
      </c>
      <c r="F1195" s="13"/>
    </row>
    <row r="1196" spans="1:6" x14ac:dyDescent="0.2">
      <c r="A1196" s="12" t="s">
        <v>0</v>
      </c>
      <c r="B1196" s="11"/>
      <c r="C1196" s="12" t="s">
        <v>5</v>
      </c>
      <c r="D1196" s="12" t="s">
        <v>6</v>
      </c>
      <c r="E1196" s="12" t="s">
        <v>86</v>
      </c>
      <c r="F1196" s="13"/>
    </row>
    <row r="1197" spans="1:6" x14ac:dyDescent="0.2">
      <c r="A1197" s="12" t="s">
        <v>0</v>
      </c>
      <c r="B1197" s="11"/>
      <c r="C1197" s="12" t="s">
        <v>5</v>
      </c>
      <c r="D1197" s="12" t="s">
        <v>6</v>
      </c>
      <c r="E1197" s="12" t="s">
        <v>86</v>
      </c>
      <c r="F1197" s="13"/>
    </row>
    <row r="1198" spans="1:6" x14ac:dyDescent="0.2">
      <c r="A1198" s="12" t="s">
        <v>1922</v>
      </c>
      <c r="B1198" s="11"/>
      <c r="C1198" s="12" t="s">
        <v>5</v>
      </c>
      <c r="D1198" s="12" t="s">
        <v>21</v>
      </c>
      <c r="E1198" s="12" t="s">
        <v>3516</v>
      </c>
      <c r="F1198" s="13"/>
    </row>
    <row r="1199" spans="1:6" x14ac:dyDescent="0.2">
      <c r="A1199" s="12" t="s">
        <v>1922</v>
      </c>
      <c r="B1199" s="11"/>
      <c r="C1199" s="12" t="s">
        <v>5</v>
      </c>
      <c r="D1199" s="12" t="s">
        <v>21</v>
      </c>
      <c r="E1199" s="12" t="s">
        <v>3516</v>
      </c>
      <c r="F1199" s="13"/>
    </row>
    <row r="1200" spans="1:6" x14ac:dyDescent="0.2">
      <c r="A1200" s="12" t="s">
        <v>1135</v>
      </c>
      <c r="B1200" s="11"/>
      <c r="C1200" s="12" t="s">
        <v>5</v>
      </c>
      <c r="D1200" s="12" t="s">
        <v>21</v>
      </c>
      <c r="E1200" s="12" t="s">
        <v>3519</v>
      </c>
      <c r="F1200" s="13"/>
    </row>
    <row r="1201" spans="1:6" x14ac:dyDescent="0.2">
      <c r="A1201" s="12" t="s">
        <v>1135</v>
      </c>
      <c r="B1201" s="11"/>
      <c r="C1201" s="12" t="s">
        <v>5</v>
      </c>
      <c r="D1201" s="12" t="s">
        <v>21</v>
      </c>
      <c r="E1201" s="12" t="s">
        <v>3519</v>
      </c>
      <c r="F1201" s="13"/>
    </row>
    <row r="1202" spans="1:6" x14ac:dyDescent="0.2">
      <c r="A1202" s="12" t="s">
        <v>1031</v>
      </c>
      <c r="B1202" s="11"/>
      <c r="C1202" s="12" t="s">
        <v>5</v>
      </c>
      <c r="D1202" s="12" t="s">
        <v>21</v>
      </c>
      <c r="E1202" s="12" t="s">
        <v>3522</v>
      </c>
      <c r="F1202" s="13"/>
    </row>
    <row r="1203" spans="1:6" x14ac:dyDescent="0.2">
      <c r="A1203" s="12" t="s">
        <v>1031</v>
      </c>
      <c r="B1203" s="11"/>
      <c r="C1203" s="12" t="s">
        <v>5</v>
      </c>
      <c r="D1203" s="12" t="s">
        <v>21</v>
      </c>
      <c r="E1203" s="12" t="s">
        <v>3522</v>
      </c>
      <c r="F1203" s="13"/>
    </row>
    <row r="1204" spans="1:6" x14ac:dyDescent="0.2">
      <c r="A1204" s="12" t="s">
        <v>1135</v>
      </c>
      <c r="B1204" s="11"/>
      <c r="C1204" s="12" t="s">
        <v>5</v>
      </c>
      <c r="D1204" s="12" t="s">
        <v>21</v>
      </c>
      <c r="E1204" s="12" t="s">
        <v>3525</v>
      </c>
      <c r="F1204" s="13"/>
    </row>
    <row r="1205" spans="1:6" x14ac:dyDescent="0.2">
      <c r="A1205" s="12" t="s">
        <v>1135</v>
      </c>
      <c r="B1205" s="11"/>
      <c r="C1205" s="12" t="s">
        <v>5</v>
      </c>
      <c r="D1205" s="12" t="s">
        <v>21</v>
      </c>
      <c r="E1205" s="12" t="s">
        <v>3525</v>
      </c>
      <c r="F1205" s="13"/>
    </row>
    <row r="1206" spans="1:6" x14ac:dyDescent="0.2">
      <c r="A1206" s="12" t="s">
        <v>1471</v>
      </c>
      <c r="B1206" s="11"/>
      <c r="C1206" s="12" t="s">
        <v>5</v>
      </c>
      <c r="D1206" s="12" t="s">
        <v>17</v>
      </c>
      <c r="E1206" s="12" t="s">
        <v>3565</v>
      </c>
      <c r="F1206" s="13"/>
    </row>
    <row r="1207" spans="1:6" x14ac:dyDescent="0.2">
      <c r="A1207" s="12" t="s">
        <v>1471</v>
      </c>
      <c r="B1207" s="11"/>
      <c r="C1207" s="12" t="s">
        <v>5</v>
      </c>
      <c r="D1207" s="12" t="s">
        <v>17</v>
      </c>
      <c r="E1207" s="12" t="s">
        <v>3567</v>
      </c>
      <c r="F1207" s="13"/>
    </row>
    <row r="1208" spans="1:6" x14ac:dyDescent="0.2">
      <c r="A1208" s="12" t="s">
        <v>1471</v>
      </c>
      <c r="B1208" s="11"/>
      <c r="C1208" s="12" t="s">
        <v>5</v>
      </c>
      <c r="D1208" s="12" t="s">
        <v>17</v>
      </c>
      <c r="E1208" s="12" t="s">
        <v>3567</v>
      </c>
      <c r="F1208" s="13"/>
    </row>
    <row r="1209" spans="1:6" x14ac:dyDescent="0.2">
      <c r="A1209" s="12" t="s">
        <v>491</v>
      </c>
      <c r="B1209" s="11"/>
      <c r="C1209" s="12" t="s">
        <v>5</v>
      </c>
      <c r="D1209" s="12" t="s">
        <v>17</v>
      </c>
      <c r="E1209" s="12" t="s">
        <v>3570</v>
      </c>
      <c r="F1209" s="13"/>
    </row>
    <row r="1210" spans="1:6" x14ac:dyDescent="0.2">
      <c r="A1210" s="12" t="s">
        <v>491</v>
      </c>
      <c r="B1210" s="11"/>
      <c r="C1210" s="12" t="s">
        <v>5</v>
      </c>
      <c r="D1210" s="12" t="s">
        <v>17</v>
      </c>
      <c r="E1210" s="12" t="s">
        <v>3570</v>
      </c>
      <c r="F1210" s="13"/>
    </row>
    <row r="1211" spans="1:6" x14ac:dyDescent="0.2">
      <c r="A1211" s="12" t="s">
        <v>296</v>
      </c>
      <c r="B1211" s="11"/>
      <c r="C1211" s="12" t="s">
        <v>5</v>
      </c>
      <c r="D1211" s="12" t="s">
        <v>17</v>
      </c>
      <c r="E1211" s="12" t="s">
        <v>3573</v>
      </c>
      <c r="F1211" s="13"/>
    </row>
    <row r="1212" spans="1:6" x14ac:dyDescent="0.2">
      <c r="A1212" s="12" t="s">
        <v>296</v>
      </c>
      <c r="B1212" s="11"/>
      <c r="C1212" s="12" t="s">
        <v>5</v>
      </c>
      <c r="D1212" s="12" t="s">
        <v>17</v>
      </c>
      <c r="E1212" s="12" t="s">
        <v>3573</v>
      </c>
      <c r="F1212" s="13"/>
    </row>
    <row r="1213" spans="1:6" x14ac:dyDescent="0.2">
      <c r="A1213" s="12" t="s">
        <v>845</v>
      </c>
      <c r="B1213" s="11"/>
      <c r="C1213" s="12" t="s">
        <v>5</v>
      </c>
      <c r="D1213" s="12" t="s">
        <v>17</v>
      </c>
      <c r="E1213" s="12" t="s">
        <v>3576</v>
      </c>
      <c r="F1213" s="13"/>
    </row>
    <row r="1214" spans="1:6" x14ac:dyDescent="0.2">
      <c r="A1214" s="12" t="s">
        <v>845</v>
      </c>
      <c r="B1214" s="11"/>
      <c r="C1214" s="12" t="s">
        <v>5</v>
      </c>
      <c r="D1214" s="12" t="s">
        <v>17</v>
      </c>
      <c r="E1214" s="12" t="s">
        <v>3576</v>
      </c>
      <c r="F1214" s="13"/>
    </row>
    <row r="1215" spans="1:6" x14ac:dyDescent="0.2">
      <c r="A1215" s="12" t="s">
        <v>491</v>
      </c>
      <c r="B1215" s="11"/>
      <c r="C1215" s="12" t="s">
        <v>5</v>
      </c>
      <c r="D1215" s="12" t="s">
        <v>17</v>
      </c>
      <c r="E1215" s="12" t="s">
        <v>3579</v>
      </c>
      <c r="F1215" s="13"/>
    </row>
    <row r="1216" spans="1:6" x14ac:dyDescent="0.2">
      <c r="A1216" s="12" t="s">
        <v>491</v>
      </c>
      <c r="B1216" s="11"/>
      <c r="C1216" s="12" t="s">
        <v>5</v>
      </c>
      <c r="D1216" s="12" t="s">
        <v>17</v>
      </c>
      <c r="E1216" s="12" t="s">
        <v>3579</v>
      </c>
      <c r="F1216" s="13"/>
    </row>
    <row r="1217" spans="1:6" x14ac:dyDescent="0.2">
      <c r="A1217" s="12" t="s">
        <v>1135</v>
      </c>
      <c r="B1217" s="11"/>
      <c r="C1217" s="12" t="s">
        <v>5</v>
      </c>
      <c r="D1217" s="12" t="s">
        <v>6</v>
      </c>
      <c r="E1217" s="12" t="s">
        <v>3582</v>
      </c>
      <c r="F1217" s="13"/>
    </row>
    <row r="1218" spans="1:6" x14ac:dyDescent="0.2">
      <c r="A1218" s="12" t="s">
        <v>1135</v>
      </c>
      <c r="B1218" s="11"/>
      <c r="C1218" s="12" t="s">
        <v>5</v>
      </c>
      <c r="D1218" s="12" t="s">
        <v>6</v>
      </c>
      <c r="E1218" s="12" t="s">
        <v>3582</v>
      </c>
      <c r="F1218" s="13"/>
    </row>
    <row r="1219" spans="1:6" x14ac:dyDescent="0.2">
      <c r="A1219" s="12" t="s">
        <v>0</v>
      </c>
      <c r="B1219" s="11"/>
      <c r="C1219" s="12" t="s">
        <v>5</v>
      </c>
      <c r="D1219" s="12" t="s">
        <v>6</v>
      </c>
      <c r="E1219" s="12" t="s">
        <v>95</v>
      </c>
      <c r="F1219" s="13"/>
    </row>
    <row r="1220" spans="1:6" x14ac:dyDescent="0.2">
      <c r="A1220" s="12" t="s">
        <v>0</v>
      </c>
      <c r="B1220" s="11"/>
      <c r="C1220" s="12" t="s">
        <v>5</v>
      </c>
      <c r="D1220" s="12" t="s">
        <v>6</v>
      </c>
      <c r="E1220" s="12" t="s">
        <v>95</v>
      </c>
      <c r="F1220" s="13"/>
    </row>
    <row r="1221" spans="1:6" x14ac:dyDescent="0.2">
      <c r="A1221" s="12" t="s">
        <v>1471</v>
      </c>
      <c r="B1221" s="11"/>
      <c r="C1221" s="12" t="s">
        <v>5</v>
      </c>
      <c r="D1221" s="12" t="s">
        <v>6</v>
      </c>
      <c r="E1221" s="12" t="s">
        <v>3585</v>
      </c>
      <c r="F1221" s="13"/>
    </row>
    <row r="1222" spans="1:6" x14ac:dyDescent="0.2">
      <c r="A1222" s="12" t="s">
        <v>1471</v>
      </c>
      <c r="B1222" s="11"/>
      <c r="C1222" s="12" t="s">
        <v>5</v>
      </c>
      <c r="D1222" s="12" t="s">
        <v>6</v>
      </c>
      <c r="E1222" s="12" t="s">
        <v>3585</v>
      </c>
      <c r="F1222" s="13"/>
    </row>
    <row r="1223" spans="1:6" x14ac:dyDescent="0.2">
      <c r="A1223" s="12" t="s">
        <v>1563</v>
      </c>
      <c r="B1223" s="11"/>
      <c r="C1223" s="12" t="s">
        <v>5</v>
      </c>
      <c r="D1223" s="12" t="s">
        <v>6</v>
      </c>
      <c r="E1223" s="12" t="s">
        <v>3588</v>
      </c>
      <c r="F1223" s="13"/>
    </row>
    <row r="1224" spans="1:6" x14ac:dyDescent="0.2">
      <c r="A1224" s="12" t="s">
        <v>1563</v>
      </c>
      <c r="B1224" s="11"/>
      <c r="C1224" s="12" t="s">
        <v>5</v>
      </c>
      <c r="D1224" s="12" t="s">
        <v>6</v>
      </c>
      <c r="E1224" s="12" t="s">
        <v>3588</v>
      </c>
      <c r="F1224" s="13"/>
    </row>
    <row r="1225" spans="1:6" x14ac:dyDescent="0.2">
      <c r="A1225" s="12" t="s">
        <v>1822</v>
      </c>
      <c r="B1225" s="11"/>
      <c r="C1225" s="12" t="s">
        <v>5</v>
      </c>
      <c r="D1225" s="12" t="s">
        <v>6</v>
      </c>
      <c r="E1225" s="12" t="s">
        <v>3591</v>
      </c>
      <c r="F1225" s="13"/>
    </row>
    <row r="1226" spans="1:6" x14ac:dyDescent="0.2">
      <c r="A1226" s="12" t="s">
        <v>1822</v>
      </c>
      <c r="B1226" s="11"/>
      <c r="C1226" s="12" t="s">
        <v>5</v>
      </c>
      <c r="D1226" s="12" t="s">
        <v>6</v>
      </c>
      <c r="E1226" s="12" t="s">
        <v>3591</v>
      </c>
      <c r="F1226" s="13"/>
    </row>
    <row r="1227" spans="1:6" x14ac:dyDescent="0.2">
      <c r="A1227" s="12" t="s">
        <v>620</v>
      </c>
      <c r="B1227" s="11"/>
      <c r="C1227" s="12" t="s">
        <v>5</v>
      </c>
      <c r="D1227" s="12" t="s">
        <v>6</v>
      </c>
      <c r="E1227" s="12" t="s">
        <v>3594</v>
      </c>
      <c r="F1227" s="13"/>
    </row>
    <row r="1228" spans="1:6" x14ac:dyDescent="0.2">
      <c r="A1228" s="12" t="s">
        <v>620</v>
      </c>
      <c r="B1228" s="11"/>
      <c r="C1228" s="12" t="s">
        <v>5</v>
      </c>
      <c r="D1228" s="12" t="s">
        <v>6</v>
      </c>
      <c r="E1228" s="12" t="s">
        <v>3594</v>
      </c>
      <c r="F1228" s="13"/>
    </row>
    <row r="1229" spans="1:6" x14ac:dyDescent="0.2">
      <c r="A1229" s="12" t="s">
        <v>1120</v>
      </c>
      <c r="B1229" s="11"/>
      <c r="C1229" s="12" t="s">
        <v>5</v>
      </c>
      <c r="D1229" s="12" t="s">
        <v>21</v>
      </c>
      <c r="E1229" s="12" t="s">
        <v>3597</v>
      </c>
      <c r="F1229" s="13"/>
    </row>
    <row r="1230" spans="1:6" x14ac:dyDescent="0.2">
      <c r="A1230" s="12" t="s">
        <v>2067</v>
      </c>
      <c r="B1230" s="11"/>
      <c r="C1230" s="12" t="s">
        <v>5</v>
      </c>
      <c r="D1230" s="12" t="s">
        <v>21</v>
      </c>
      <c r="E1230" s="12" t="s">
        <v>3599</v>
      </c>
      <c r="F1230" s="13"/>
    </row>
    <row r="1231" spans="1:6" x14ac:dyDescent="0.2">
      <c r="A1231" s="12" t="s">
        <v>2067</v>
      </c>
      <c r="B1231" s="11"/>
      <c r="C1231" s="12" t="s">
        <v>5</v>
      </c>
      <c r="D1231" s="12" t="s">
        <v>21</v>
      </c>
      <c r="E1231" s="12" t="s">
        <v>3599</v>
      </c>
      <c r="F1231" s="13"/>
    </row>
    <row r="1232" spans="1:6" x14ac:dyDescent="0.2">
      <c r="A1232" s="12" t="s">
        <v>678</v>
      </c>
      <c r="B1232" s="11"/>
      <c r="C1232" s="12" t="s">
        <v>5</v>
      </c>
      <c r="D1232" s="12" t="s">
        <v>21</v>
      </c>
      <c r="E1232" s="12" t="s">
        <v>3602</v>
      </c>
      <c r="F1232" s="13"/>
    </row>
    <row r="1233" spans="1:6" x14ac:dyDescent="0.2">
      <c r="A1233" s="12" t="s">
        <v>1139</v>
      </c>
      <c r="B1233" s="11"/>
      <c r="C1233" s="12" t="s">
        <v>5</v>
      </c>
      <c r="D1233" s="12" t="s">
        <v>21</v>
      </c>
      <c r="E1233" s="12" t="s">
        <v>3604</v>
      </c>
      <c r="F1233" s="13"/>
    </row>
    <row r="1234" spans="1:6" x14ac:dyDescent="0.2">
      <c r="A1234" s="12" t="s">
        <v>1139</v>
      </c>
      <c r="B1234" s="11"/>
      <c r="C1234" s="12" t="s">
        <v>5</v>
      </c>
      <c r="D1234" s="12" t="s">
        <v>21</v>
      </c>
      <c r="E1234" s="12" t="s">
        <v>3604</v>
      </c>
      <c r="F1234" s="13"/>
    </row>
    <row r="1235" spans="1:6" x14ac:dyDescent="0.2">
      <c r="A1235" s="12" t="s">
        <v>1998</v>
      </c>
      <c r="B1235" s="11"/>
      <c r="C1235" s="12" t="s">
        <v>5</v>
      </c>
      <c r="D1235" s="12" t="s">
        <v>17</v>
      </c>
      <c r="E1235" s="12" t="s">
        <v>3607</v>
      </c>
      <c r="F1235" s="13"/>
    </row>
    <row r="1236" spans="1:6" x14ac:dyDescent="0.2">
      <c r="A1236" s="12" t="s">
        <v>817</v>
      </c>
      <c r="B1236" s="11"/>
      <c r="C1236" s="12" t="s">
        <v>5</v>
      </c>
      <c r="D1236" s="12" t="s">
        <v>17</v>
      </c>
      <c r="E1236" s="12" t="s">
        <v>3609</v>
      </c>
      <c r="F1236" s="13"/>
    </row>
    <row r="1237" spans="1:6" x14ac:dyDescent="0.2">
      <c r="A1237" s="12" t="s">
        <v>491</v>
      </c>
      <c r="B1237" s="11"/>
      <c r="C1237" s="12" t="s">
        <v>5</v>
      </c>
      <c r="D1237" s="12" t="s">
        <v>17</v>
      </c>
      <c r="E1237" s="12" t="s">
        <v>3612</v>
      </c>
      <c r="F1237" s="13"/>
    </row>
    <row r="1238" spans="1:6" x14ac:dyDescent="0.2">
      <c r="A1238" s="12" t="s">
        <v>491</v>
      </c>
      <c r="B1238" s="11"/>
      <c r="C1238" s="12" t="s">
        <v>5</v>
      </c>
      <c r="D1238" s="12" t="s">
        <v>17</v>
      </c>
      <c r="E1238" s="12" t="s">
        <v>3612</v>
      </c>
      <c r="F1238" s="13"/>
    </row>
    <row r="1239" spans="1:6" x14ac:dyDescent="0.2">
      <c r="A1239" s="12" t="s">
        <v>817</v>
      </c>
      <c r="B1239" s="11"/>
      <c r="C1239" s="12" t="s">
        <v>5</v>
      </c>
      <c r="D1239" s="12" t="s">
        <v>17</v>
      </c>
      <c r="E1239" s="12" t="s">
        <v>3615</v>
      </c>
      <c r="F1239" s="13"/>
    </row>
    <row r="1240" spans="1:6" x14ac:dyDescent="0.2">
      <c r="A1240" s="12" t="s">
        <v>817</v>
      </c>
      <c r="B1240" s="11"/>
      <c r="C1240" s="12" t="s">
        <v>5</v>
      </c>
      <c r="D1240" s="12" t="s">
        <v>17</v>
      </c>
      <c r="E1240" s="12" t="s">
        <v>3615</v>
      </c>
      <c r="F1240" s="13"/>
    </row>
    <row r="1241" spans="1:6" x14ac:dyDescent="0.2">
      <c r="A1241" s="12" t="s">
        <v>1468</v>
      </c>
      <c r="B1241" s="11"/>
      <c r="C1241" s="12" t="s">
        <v>5</v>
      </c>
      <c r="D1241" s="12" t="s">
        <v>17</v>
      </c>
      <c r="E1241" s="12" t="s">
        <v>3618</v>
      </c>
      <c r="F1241" s="13"/>
    </row>
    <row r="1242" spans="1:6" x14ac:dyDescent="0.2">
      <c r="A1242" s="12" t="s">
        <v>1468</v>
      </c>
      <c r="B1242" s="11"/>
      <c r="C1242" s="12" t="s">
        <v>5</v>
      </c>
      <c r="D1242" s="12" t="s">
        <v>17</v>
      </c>
      <c r="E1242" s="12" t="s">
        <v>3618</v>
      </c>
      <c r="F1242" s="13"/>
    </row>
    <row r="1243" spans="1:6" x14ac:dyDescent="0.2">
      <c r="A1243" s="12" t="s">
        <v>476</v>
      </c>
      <c r="B1243" s="11"/>
      <c r="C1243" s="12" t="s">
        <v>5</v>
      </c>
      <c r="D1243" s="12" t="s">
        <v>17</v>
      </c>
      <c r="E1243" s="12" t="s">
        <v>3622</v>
      </c>
      <c r="F1243" s="13"/>
    </row>
    <row r="1244" spans="1:6" x14ac:dyDescent="0.2">
      <c r="A1244" s="12" t="s">
        <v>476</v>
      </c>
      <c r="B1244" s="11"/>
      <c r="C1244" s="12" t="s">
        <v>5</v>
      </c>
      <c r="D1244" s="12" t="s">
        <v>17</v>
      </c>
      <c r="E1244" s="12" t="s">
        <v>3622</v>
      </c>
      <c r="F1244" s="13"/>
    </row>
    <row r="1245" spans="1:6" x14ac:dyDescent="0.2">
      <c r="A1245" s="12" t="s">
        <v>285</v>
      </c>
      <c r="B1245" s="11"/>
      <c r="C1245" s="12" t="s">
        <v>5</v>
      </c>
      <c r="D1245" s="12" t="s">
        <v>6</v>
      </c>
      <c r="E1245" s="12" t="s">
        <v>3625</v>
      </c>
      <c r="F1245" s="13"/>
    </row>
    <row r="1246" spans="1:6" x14ac:dyDescent="0.2">
      <c r="A1246" s="12" t="s">
        <v>285</v>
      </c>
      <c r="B1246" s="11"/>
      <c r="C1246" s="12" t="s">
        <v>5</v>
      </c>
      <c r="D1246" s="12" t="s">
        <v>6</v>
      </c>
      <c r="E1246" s="12" t="s">
        <v>3625</v>
      </c>
      <c r="F1246" s="13"/>
    </row>
    <row r="1247" spans="1:6" x14ac:dyDescent="0.2">
      <c r="A1247" s="12" t="s">
        <v>1031</v>
      </c>
      <c r="B1247" s="11"/>
      <c r="C1247" s="12" t="s">
        <v>5</v>
      </c>
      <c r="D1247" s="12" t="s">
        <v>6</v>
      </c>
      <c r="E1247" s="12" t="s">
        <v>3628</v>
      </c>
      <c r="F1247" s="13"/>
    </row>
    <row r="1248" spans="1:6" x14ac:dyDescent="0.2">
      <c r="A1248" s="12" t="s">
        <v>1031</v>
      </c>
      <c r="B1248" s="11"/>
      <c r="C1248" s="12" t="s">
        <v>5</v>
      </c>
      <c r="D1248" s="12" t="s">
        <v>6</v>
      </c>
      <c r="E1248" s="12" t="s">
        <v>3628</v>
      </c>
      <c r="F1248" s="13"/>
    </row>
    <row r="1249" spans="1:6" x14ac:dyDescent="0.2">
      <c r="A1249" s="12" t="s">
        <v>1035</v>
      </c>
      <c r="B1249" s="11"/>
      <c r="C1249" s="12" t="s">
        <v>5</v>
      </c>
      <c r="D1249" s="12" t="s">
        <v>6</v>
      </c>
      <c r="E1249" s="12" t="s">
        <v>3631</v>
      </c>
      <c r="F1249" s="13"/>
    </row>
    <row r="1250" spans="1:6" x14ac:dyDescent="0.2">
      <c r="A1250" s="12" t="s">
        <v>1035</v>
      </c>
      <c r="B1250" s="11"/>
      <c r="C1250" s="12" t="s">
        <v>5</v>
      </c>
      <c r="D1250" s="12" t="s">
        <v>6</v>
      </c>
      <c r="E1250" s="12" t="s">
        <v>3631</v>
      </c>
      <c r="F1250" s="13"/>
    </row>
    <row r="1251" spans="1:6" x14ac:dyDescent="0.2">
      <c r="A1251" s="12" t="s">
        <v>2008</v>
      </c>
      <c r="B1251" s="11"/>
      <c r="C1251" s="12" t="s">
        <v>5</v>
      </c>
      <c r="D1251" s="12" t="s">
        <v>6</v>
      </c>
      <c r="E1251" s="12" t="s">
        <v>3634</v>
      </c>
      <c r="F1251" s="13"/>
    </row>
    <row r="1252" spans="1:6" x14ac:dyDescent="0.2">
      <c r="A1252" s="12" t="s">
        <v>2008</v>
      </c>
      <c r="B1252" s="11"/>
      <c r="C1252" s="12" t="s">
        <v>5</v>
      </c>
      <c r="D1252" s="12" t="s">
        <v>6</v>
      </c>
      <c r="E1252" s="12" t="s">
        <v>3634</v>
      </c>
      <c r="F1252" s="13"/>
    </row>
    <row r="1253" spans="1:6" x14ac:dyDescent="0.2">
      <c r="A1253" s="12" t="s">
        <v>1822</v>
      </c>
      <c r="B1253" s="11"/>
      <c r="C1253" s="12" t="s">
        <v>5</v>
      </c>
      <c r="D1253" s="12" t="s">
        <v>6</v>
      </c>
      <c r="E1253" s="12" t="s">
        <v>3637</v>
      </c>
      <c r="F1253" s="13"/>
    </row>
    <row r="1254" spans="1:6" x14ac:dyDescent="0.2">
      <c r="A1254" s="12" t="s">
        <v>1822</v>
      </c>
      <c r="B1254" s="11"/>
      <c r="C1254" s="12" t="s">
        <v>5</v>
      </c>
      <c r="D1254" s="12" t="s">
        <v>6</v>
      </c>
      <c r="E1254" s="12" t="s">
        <v>3637</v>
      </c>
      <c r="F1254" s="13"/>
    </row>
    <row r="1255" spans="1:6" x14ac:dyDescent="0.2">
      <c r="A1255" s="12" t="s">
        <v>2043</v>
      </c>
      <c r="B1255" s="11"/>
      <c r="C1255" s="12" t="s">
        <v>5</v>
      </c>
      <c r="D1255" s="12" t="s">
        <v>6</v>
      </c>
      <c r="E1255" s="12" t="s">
        <v>3640</v>
      </c>
      <c r="F1255" s="13"/>
    </row>
    <row r="1256" spans="1:6" x14ac:dyDescent="0.2">
      <c r="A1256" s="12" t="s">
        <v>2043</v>
      </c>
      <c r="B1256" s="11"/>
      <c r="C1256" s="12" t="s">
        <v>5</v>
      </c>
      <c r="D1256" s="12" t="s">
        <v>6</v>
      </c>
      <c r="E1256" s="12" t="s">
        <v>3640</v>
      </c>
      <c r="F1256" s="13"/>
    </row>
    <row r="1257" spans="1:6" x14ac:dyDescent="0.2">
      <c r="A1257" s="12" t="s">
        <v>808</v>
      </c>
      <c r="B1257" s="11"/>
      <c r="C1257" s="12" t="s">
        <v>5</v>
      </c>
      <c r="D1257" s="12" t="s">
        <v>21</v>
      </c>
      <c r="E1257" s="12" t="s">
        <v>3643</v>
      </c>
      <c r="F1257" s="13"/>
    </row>
    <row r="1258" spans="1:6" x14ac:dyDescent="0.2">
      <c r="A1258" s="12" t="s">
        <v>2193</v>
      </c>
      <c r="B1258" s="11"/>
      <c r="C1258" s="12" t="s">
        <v>5</v>
      </c>
      <c r="D1258" s="12" t="s">
        <v>21</v>
      </c>
      <c r="E1258" s="12" t="s">
        <v>3645</v>
      </c>
      <c r="F1258" s="13"/>
    </row>
    <row r="1259" spans="1:6" x14ac:dyDescent="0.2">
      <c r="A1259" s="12" t="s">
        <v>1019</v>
      </c>
      <c r="B1259" s="11"/>
      <c r="C1259" s="12" t="s">
        <v>5</v>
      </c>
      <c r="D1259" s="12" t="s">
        <v>21</v>
      </c>
      <c r="E1259" s="12" t="s">
        <v>3647</v>
      </c>
      <c r="F1259" s="13"/>
    </row>
    <row r="1260" spans="1:6" x14ac:dyDescent="0.2">
      <c r="A1260" s="12" t="s">
        <v>285</v>
      </c>
      <c r="B1260" s="11"/>
      <c r="C1260" s="12" t="s">
        <v>5</v>
      </c>
      <c r="D1260" s="12" t="s">
        <v>21</v>
      </c>
      <c r="E1260" s="12" t="s">
        <v>3650</v>
      </c>
      <c r="F1260" s="13"/>
    </row>
    <row r="1261" spans="1:6" x14ac:dyDescent="0.2">
      <c r="A1261" s="12" t="s">
        <v>285</v>
      </c>
      <c r="B1261" s="11"/>
      <c r="C1261" s="12" t="s">
        <v>5</v>
      </c>
      <c r="D1261" s="12" t="s">
        <v>21</v>
      </c>
      <c r="E1261" s="12" t="s">
        <v>3650</v>
      </c>
      <c r="F1261" s="13"/>
    </row>
    <row r="1262" spans="1:6" x14ac:dyDescent="0.2">
      <c r="A1262" s="12" t="s">
        <v>1462</v>
      </c>
      <c r="B1262" s="11"/>
      <c r="C1262" s="12" t="s">
        <v>5</v>
      </c>
      <c r="D1262" s="12" t="s">
        <v>17</v>
      </c>
      <c r="E1262" s="12" t="s">
        <v>3653</v>
      </c>
      <c r="F1262" s="13"/>
    </row>
    <row r="1263" spans="1:6" x14ac:dyDescent="0.2">
      <c r="A1263" s="12" t="s">
        <v>491</v>
      </c>
      <c r="B1263" s="11"/>
      <c r="C1263" s="12" t="s">
        <v>5</v>
      </c>
      <c r="D1263" s="12" t="s">
        <v>17</v>
      </c>
      <c r="E1263" s="12" t="s">
        <v>3655</v>
      </c>
      <c r="F1263" s="13"/>
    </row>
    <row r="1264" spans="1:6" x14ac:dyDescent="0.2">
      <c r="A1264" s="12" t="s">
        <v>491</v>
      </c>
      <c r="B1264" s="11"/>
      <c r="C1264" s="12" t="s">
        <v>5</v>
      </c>
      <c r="D1264" s="12" t="s">
        <v>17</v>
      </c>
      <c r="E1264" s="12" t="s">
        <v>3655</v>
      </c>
      <c r="F1264" s="13"/>
    </row>
    <row r="1265" spans="1:6" x14ac:dyDescent="0.2">
      <c r="A1265" s="12" t="s">
        <v>1205</v>
      </c>
      <c r="B1265" s="11"/>
      <c r="C1265" s="12" t="s">
        <v>5</v>
      </c>
      <c r="D1265" s="12" t="s">
        <v>17</v>
      </c>
      <c r="E1265" s="12" t="s">
        <v>3658</v>
      </c>
      <c r="F1265" s="13"/>
    </row>
    <row r="1266" spans="1:6" x14ac:dyDescent="0.2">
      <c r="A1266" s="12" t="s">
        <v>1205</v>
      </c>
      <c r="B1266" s="11"/>
      <c r="C1266" s="12" t="s">
        <v>5</v>
      </c>
      <c r="D1266" s="12" t="s">
        <v>17</v>
      </c>
      <c r="E1266" s="12" t="s">
        <v>3658</v>
      </c>
      <c r="F1266" s="13"/>
    </row>
    <row r="1267" spans="1:6" x14ac:dyDescent="0.2">
      <c r="A1267" s="12" t="s">
        <v>491</v>
      </c>
      <c r="B1267" s="11"/>
      <c r="C1267" s="12" t="s">
        <v>5</v>
      </c>
      <c r="D1267" s="12" t="s">
        <v>17</v>
      </c>
      <c r="E1267" s="12" t="s">
        <v>3662</v>
      </c>
      <c r="F1267" s="13"/>
    </row>
    <row r="1268" spans="1:6" x14ac:dyDescent="0.2">
      <c r="A1268" s="12" t="s">
        <v>491</v>
      </c>
      <c r="B1268" s="11"/>
      <c r="C1268" s="12" t="s">
        <v>5</v>
      </c>
      <c r="D1268" s="12" t="s">
        <v>17</v>
      </c>
      <c r="E1268" s="12" t="s">
        <v>3662</v>
      </c>
      <c r="F1268" s="13"/>
    </row>
    <row r="1269" spans="1:6" x14ac:dyDescent="0.2">
      <c r="A1269" s="12" t="s">
        <v>2251</v>
      </c>
      <c r="B1269" s="11"/>
      <c r="C1269" s="12" t="s">
        <v>5</v>
      </c>
      <c r="D1269" s="12" t="s">
        <v>17</v>
      </c>
      <c r="E1269" s="12" t="s">
        <v>3665</v>
      </c>
      <c r="F1269" s="47"/>
    </row>
    <row r="1270" spans="1:6" x14ac:dyDescent="0.2">
      <c r="A1270" s="12" t="s">
        <v>296</v>
      </c>
      <c r="B1270" s="11"/>
      <c r="C1270" s="12" t="s">
        <v>5</v>
      </c>
      <c r="D1270" s="12" t="s">
        <v>17</v>
      </c>
      <c r="E1270" s="12" t="s">
        <v>3666</v>
      </c>
      <c r="F1270" s="13"/>
    </row>
    <row r="1271" spans="1:6" x14ac:dyDescent="0.2">
      <c r="A1271" s="12" t="s">
        <v>296</v>
      </c>
      <c r="B1271" s="11"/>
      <c r="C1271" s="12" t="s">
        <v>5</v>
      </c>
      <c r="D1271" s="12" t="s">
        <v>17</v>
      </c>
      <c r="E1271" s="12" t="s">
        <v>3666</v>
      </c>
      <c r="F1271" s="13"/>
    </row>
    <row r="1272" spans="1:6" x14ac:dyDescent="0.2">
      <c r="A1272" s="12" t="s">
        <v>0</v>
      </c>
      <c r="B1272" s="11"/>
      <c r="C1272" s="12" t="s">
        <v>5</v>
      </c>
      <c r="D1272" s="12" t="s">
        <v>6</v>
      </c>
      <c r="E1272" s="12" t="s">
        <v>98</v>
      </c>
      <c r="F1272" s="13"/>
    </row>
    <row r="1273" spans="1:6" x14ac:dyDescent="0.2">
      <c r="A1273" s="12" t="s">
        <v>0</v>
      </c>
      <c r="B1273" s="11"/>
      <c r="C1273" s="12" t="s">
        <v>5</v>
      </c>
      <c r="D1273" s="12" t="s">
        <v>6</v>
      </c>
      <c r="E1273" s="12" t="s">
        <v>98</v>
      </c>
      <c r="F1273" s="13"/>
    </row>
    <row r="1274" spans="1:6" x14ac:dyDescent="0.2">
      <c r="A1274" s="12" t="s">
        <v>1139</v>
      </c>
      <c r="B1274" s="11"/>
      <c r="C1274" s="12" t="s">
        <v>5</v>
      </c>
      <c r="D1274" s="12" t="s">
        <v>6</v>
      </c>
      <c r="E1274" s="12" t="s">
        <v>3669</v>
      </c>
      <c r="F1274" s="13"/>
    </row>
    <row r="1275" spans="1:6" x14ac:dyDescent="0.2">
      <c r="A1275" s="12" t="s">
        <v>1139</v>
      </c>
      <c r="B1275" s="11"/>
      <c r="C1275" s="12" t="s">
        <v>5</v>
      </c>
      <c r="D1275" s="12" t="s">
        <v>6</v>
      </c>
      <c r="E1275" s="12" t="s">
        <v>3669</v>
      </c>
      <c r="F1275" s="13"/>
    </row>
    <row r="1276" spans="1:6" x14ac:dyDescent="0.2">
      <c r="A1276" s="12" t="s">
        <v>0</v>
      </c>
      <c r="B1276" s="11"/>
      <c r="C1276" s="12" t="s">
        <v>5</v>
      </c>
      <c r="D1276" s="12" t="s">
        <v>6</v>
      </c>
      <c r="E1276" s="12" t="s">
        <v>101</v>
      </c>
      <c r="F1276" s="13"/>
    </row>
    <row r="1277" spans="1:6" x14ac:dyDescent="0.2">
      <c r="A1277" s="12" t="s">
        <v>0</v>
      </c>
      <c r="B1277" s="11"/>
      <c r="C1277" s="12" t="s">
        <v>5</v>
      </c>
      <c r="D1277" s="12" t="s">
        <v>6</v>
      </c>
      <c r="E1277" s="12" t="s">
        <v>101</v>
      </c>
      <c r="F1277" s="13"/>
    </row>
    <row r="1278" spans="1:6" x14ac:dyDescent="0.2">
      <c r="A1278" s="12" t="s">
        <v>1131</v>
      </c>
      <c r="B1278" s="11"/>
      <c r="C1278" s="12" t="s">
        <v>5</v>
      </c>
      <c r="D1278" s="12" t="s">
        <v>6</v>
      </c>
      <c r="E1278" s="12" t="s">
        <v>3672</v>
      </c>
      <c r="F1278" s="47"/>
    </row>
    <row r="1279" spans="1:6" x14ac:dyDescent="0.2">
      <c r="A1279" s="12" t="s">
        <v>1573</v>
      </c>
      <c r="B1279" s="11"/>
      <c r="C1279" s="12" t="s">
        <v>5</v>
      </c>
      <c r="D1279" s="12" t="s">
        <v>6</v>
      </c>
      <c r="E1279" s="12" t="s">
        <v>3674</v>
      </c>
      <c r="F1279" s="13"/>
    </row>
    <row r="1280" spans="1:6" x14ac:dyDescent="0.2">
      <c r="A1280" s="12" t="s">
        <v>1573</v>
      </c>
      <c r="B1280" s="11"/>
      <c r="C1280" s="12" t="s">
        <v>5</v>
      </c>
      <c r="D1280" s="12" t="s">
        <v>6</v>
      </c>
      <c r="E1280" s="12" t="s">
        <v>3674</v>
      </c>
      <c r="F1280" s="13"/>
    </row>
    <row r="1281" spans="1:6" x14ac:dyDescent="0.2">
      <c r="A1281" s="12" t="s">
        <v>2043</v>
      </c>
      <c r="B1281" s="11"/>
      <c r="C1281" s="12" t="s">
        <v>5</v>
      </c>
      <c r="D1281" s="12" t="s">
        <v>6</v>
      </c>
      <c r="E1281" s="12" t="s">
        <v>3677</v>
      </c>
      <c r="F1281" s="13"/>
    </row>
    <row r="1282" spans="1:6" x14ac:dyDescent="0.2">
      <c r="A1282" s="12" t="s">
        <v>2043</v>
      </c>
      <c r="B1282" s="11"/>
      <c r="C1282" s="12" t="s">
        <v>5</v>
      </c>
      <c r="D1282" s="12" t="s">
        <v>6</v>
      </c>
      <c r="E1282" s="12" t="s">
        <v>3677</v>
      </c>
      <c r="F1282" s="13"/>
    </row>
    <row r="1283" spans="1:6" x14ac:dyDescent="0.2">
      <c r="A1283" s="12" t="s">
        <v>1339</v>
      </c>
      <c r="B1283" s="11"/>
      <c r="C1283" s="12" t="s">
        <v>5</v>
      </c>
      <c r="D1283" s="12" t="s">
        <v>21</v>
      </c>
      <c r="E1283" s="12" t="s">
        <v>3680</v>
      </c>
      <c r="F1283" s="13"/>
    </row>
    <row r="1284" spans="1:6" x14ac:dyDescent="0.2">
      <c r="A1284" s="12" t="s">
        <v>1339</v>
      </c>
      <c r="B1284" s="11"/>
      <c r="C1284" s="12" t="s">
        <v>5</v>
      </c>
      <c r="D1284" s="12" t="s">
        <v>21</v>
      </c>
      <c r="E1284" s="12" t="s">
        <v>3680</v>
      </c>
      <c r="F1284" s="13"/>
    </row>
    <row r="1285" spans="1:6" x14ac:dyDescent="0.2">
      <c r="A1285" s="12" t="s">
        <v>1145</v>
      </c>
      <c r="B1285" s="11"/>
      <c r="C1285" s="12" t="s">
        <v>5</v>
      </c>
      <c r="D1285" s="12" t="s">
        <v>21</v>
      </c>
      <c r="E1285" s="12" t="s">
        <v>3683</v>
      </c>
      <c r="F1285" s="13"/>
    </row>
    <row r="1286" spans="1:6" x14ac:dyDescent="0.2">
      <c r="A1286" s="12" t="s">
        <v>1145</v>
      </c>
      <c r="B1286" s="11"/>
      <c r="C1286" s="12" t="s">
        <v>5</v>
      </c>
      <c r="D1286" s="12" t="s">
        <v>21</v>
      </c>
      <c r="E1286" s="12" t="s">
        <v>3683</v>
      </c>
      <c r="F1286" s="13"/>
    </row>
    <row r="1287" spans="1:6" x14ac:dyDescent="0.2">
      <c r="A1287" s="12" t="s">
        <v>1139</v>
      </c>
      <c r="B1287" s="11"/>
      <c r="C1287" s="12" t="s">
        <v>5</v>
      </c>
      <c r="D1287" s="12" t="s">
        <v>21</v>
      </c>
      <c r="E1287" s="12" t="s">
        <v>3686</v>
      </c>
      <c r="F1287" s="13"/>
    </row>
    <row r="1288" spans="1:6" x14ac:dyDescent="0.2">
      <c r="A1288" s="12" t="s">
        <v>1139</v>
      </c>
      <c r="B1288" s="11"/>
      <c r="C1288" s="12" t="s">
        <v>5</v>
      </c>
      <c r="D1288" s="12" t="s">
        <v>21</v>
      </c>
      <c r="E1288" s="12" t="s">
        <v>3686</v>
      </c>
      <c r="F1288" s="13"/>
    </row>
    <row r="1289" spans="1:6" x14ac:dyDescent="0.2">
      <c r="A1289" s="12" t="s">
        <v>1035</v>
      </c>
      <c r="B1289" s="11"/>
      <c r="C1289" s="12" t="s">
        <v>5</v>
      </c>
      <c r="D1289" s="12" t="s">
        <v>21</v>
      </c>
      <c r="E1289" s="12" t="s">
        <v>3689</v>
      </c>
      <c r="F1289" s="13"/>
    </row>
    <row r="1290" spans="1:6" x14ac:dyDescent="0.2">
      <c r="A1290" s="12" t="s">
        <v>296</v>
      </c>
      <c r="B1290" s="11"/>
      <c r="C1290" s="12" t="s">
        <v>5</v>
      </c>
      <c r="D1290" s="12" t="s">
        <v>17</v>
      </c>
      <c r="E1290" s="12" t="s">
        <v>3691</v>
      </c>
      <c r="F1290" s="13"/>
    </row>
    <row r="1291" spans="1:6" x14ac:dyDescent="0.2">
      <c r="A1291" s="12" t="s">
        <v>296</v>
      </c>
      <c r="B1291" s="11"/>
      <c r="C1291" s="12" t="s">
        <v>5</v>
      </c>
      <c r="D1291" s="12" t="s">
        <v>17</v>
      </c>
      <c r="E1291" s="12" t="s">
        <v>3691</v>
      </c>
      <c r="F1291" s="13"/>
    </row>
    <row r="1292" spans="1:6" x14ac:dyDescent="0.2">
      <c r="A1292" s="12" t="s">
        <v>1028</v>
      </c>
      <c r="B1292" s="11"/>
      <c r="C1292" s="12" t="s">
        <v>5</v>
      </c>
      <c r="D1292" s="12" t="s">
        <v>17</v>
      </c>
      <c r="E1292" s="12" t="s">
        <v>3694</v>
      </c>
      <c r="F1292" s="13"/>
    </row>
    <row r="1293" spans="1:6" x14ac:dyDescent="0.2">
      <c r="A1293" s="12" t="s">
        <v>1028</v>
      </c>
      <c r="B1293" s="11"/>
      <c r="C1293" s="12" t="s">
        <v>5</v>
      </c>
      <c r="D1293" s="12" t="s">
        <v>17</v>
      </c>
      <c r="E1293" s="12" t="s">
        <v>3694</v>
      </c>
      <c r="F1293" s="13"/>
    </row>
    <row r="1294" spans="1:6" x14ac:dyDescent="0.2">
      <c r="A1294" s="12" t="s">
        <v>1135</v>
      </c>
      <c r="B1294" s="11"/>
      <c r="C1294" s="12" t="s">
        <v>5</v>
      </c>
      <c r="D1294" s="12" t="s">
        <v>17</v>
      </c>
      <c r="E1294" s="12" t="s">
        <v>3697</v>
      </c>
      <c r="F1294" s="13"/>
    </row>
    <row r="1295" spans="1:6" x14ac:dyDescent="0.2">
      <c r="A1295" s="12" t="s">
        <v>1135</v>
      </c>
      <c r="B1295" s="11"/>
      <c r="C1295" s="12" t="s">
        <v>5</v>
      </c>
      <c r="D1295" s="12" t="s">
        <v>17</v>
      </c>
      <c r="E1295" s="12" t="s">
        <v>3697</v>
      </c>
      <c r="F1295" s="13"/>
    </row>
    <row r="1296" spans="1:6" x14ac:dyDescent="0.2">
      <c r="A1296" s="12" t="s">
        <v>285</v>
      </c>
      <c r="B1296" s="11"/>
      <c r="C1296" s="12" t="s">
        <v>5</v>
      </c>
      <c r="D1296" s="12" t="s">
        <v>17</v>
      </c>
      <c r="E1296" s="12" t="s">
        <v>3700</v>
      </c>
      <c r="F1296" s="13"/>
    </row>
    <row r="1297" spans="1:6" x14ac:dyDescent="0.2">
      <c r="A1297" s="12" t="s">
        <v>285</v>
      </c>
      <c r="B1297" s="11"/>
      <c r="C1297" s="12" t="s">
        <v>5</v>
      </c>
      <c r="D1297" s="12" t="s">
        <v>17</v>
      </c>
      <c r="E1297" s="12" t="s">
        <v>3700</v>
      </c>
      <c r="F1297" s="13"/>
    </row>
    <row r="1298" spans="1:6" x14ac:dyDescent="0.2">
      <c r="A1298" s="12" t="s">
        <v>1155</v>
      </c>
      <c r="B1298" s="11"/>
      <c r="C1298" s="12" t="s">
        <v>5</v>
      </c>
      <c r="D1298" s="12" t="s">
        <v>17</v>
      </c>
      <c r="E1298" s="12" t="s">
        <v>3703</v>
      </c>
      <c r="F1298" s="13"/>
    </row>
    <row r="1299" spans="1:6" x14ac:dyDescent="0.2">
      <c r="A1299" s="12" t="s">
        <v>1339</v>
      </c>
      <c r="B1299" s="11"/>
      <c r="C1299" s="12" t="s">
        <v>5</v>
      </c>
      <c r="D1299" s="12" t="s">
        <v>17</v>
      </c>
      <c r="E1299" s="12" t="s">
        <v>3705</v>
      </c>
      <c r="F1299" s="13"/>
    </row>
    <row r="1300" spans="1:6" x14ac:dyDescent="0.2">
      <c r="A1300" s="12" t="s">
        <v>1359</v>
      </c>
      <c r="B1300" s="11"/>
      <c r="C1300" s="12" t="s">
        <v>5</v>
      </c>
      <c r="D1300" s="12" t="s">
        <v>6</v>
      </c>
      <c r="E1300" s="12" t="s">
        <v>3707</v>
      </c>
      <c r="F1300" s="13"/>
    </row>
    <row r="1301" spans="1:6" x14ac:dyDescent="0.2">
      <c r="A1301" s="12" t="s">
        <v>1359</v>
      </c>
      <c r="B1301" s="11"/>
      <c r="C1301" s="12" t="s">
        <v>5</v>
      </c>
      <c r="D1301" s="12" t="s">
        <v>6</v>
      </c>
      <c r="E1301" s="12" t="s">
        <v>3707</v>
      </c>
      <c r="F1301" s="13"/>
    </row>
    <row r="1302" spans="1:6" x14ac:dyDescent="0.2">
      <c r="A1302" s="12" t="s">
        <v>1468</v>
      </c>
      <c r="B1302" s="11"/>
      <c r="C1302" s="12" t="s">
        <v>5</v>
      </c>
      <c r="D1302" s="12" t="s">
        <v>6</v>
      </c>
      <c r="E1302" s="12" t="s">
        <v>3710</v>
      </c>
      <c r="F1302" s="13"/>
    </row>
    <row r="1303" spans="1:6" x14ac:dyDescent="0.2">
      <c r="A1303" s="12" t="s">
        <v>1468</v>
      </c>
      <c r="B1303" s="11"/>
      <c r="C1303" s="12" t="s">
        <v>5</v>
      </c>
      <c r="D1303" s="12" t="s">
        <v>6</v>
      </c>
      <c r="E1303" s="12" t="s">
        <v>3710</v>
      </c>
      <c r="F1303" s="13"/>
    </row>
    <row r="1304" spans="1:6" x14ac:dyDescent="0.2">
      <c r="A1304" s="12" t="s">
        <v>672</v>
      </c>
      <c r="B1304" s="11"/>
      <c r="C1304" s="12" t="s">
        <v>5</v>
      </c>
      <c r="D1304" s="12" t="s">
        <v>6</v>
      </c>
      <c r="E1304" s="12" t="s">
        <v>3713</v>
      </c>
      <c r="F1304" s="13"/>
    </row>
    <row r="1305" spans="1:6" x14ac:dyDescent="0.2">
      <c r="A1305" s="12" t="s">
        <v>672</v>
      </c>
      <c r="B1305" s="11"/>
      <c r="C1305" s="12" t="s">
        <v>5</v>
      </c>
      <c r="D1305" s="12" t="s">
        <v>6</v>
      </c>
      <c r="E1305" s="12" t="s">
        <v>3713</v>
      </c>
      <c r="F1305" s="13"/>
    </row>
    <row r="1306" spans="1:6" x14ac:dyDescent="0.2">
      <c r="A1306" s="12" t="s">
        <v>672</v>
      </c>
      <c r="B1306" s="11"/>
      <c r="C1306" s="12" t="s">
        <v>5</v>
      </c>
      <c r="D1306" s="12" t="s">
        <v>6</v>
      </c>
      <c r="E1306" s="12" t="s">
        <v>3716</v>
      </c>
      <c r="F1306" s="13"/>
    </row>
    <row r="1307" spans="1:6" x14ac:dyDescent="0.2">
      <c r="A1307" s="12" t="s">
        <v>672</v>
      </c>
      <c r="B1307" s="11"/>
      <c r="C1307" s="12" t="s">
        <v>5</v>
      </c>
      <c r="D1307" s="12" t="s">
        <v>6</v>
      </c>
      <c r="E1307" s="12" t="s">
        <v>3716</v>
      </c>
      <c r="F1307" s="13"/>
    </row>
    <row r="1308" spans="1:6" x14ac:dyDescent="0.2">
      <c r="A1308" s="12" t="s">
        <v>1139</v>
      </c>
      <c r="B1308" s="11"/>
      <c r="C1308" s="12" t="s">
        <v>5</v>
      </c>
      <c r="D1308" s="12" t="s">
        <v>6</v>
      </c>
      <c r="E1308" s="12" t="s">
        <v>3719</v>
      </c>
      <c r="F1308" s="13"/>
    </row>
    <row r="1309" spans="1:6" x14ac:dyDescent="0.2">
      <c r="A1309" s="12" t="s">
        <v>1139</v>
      </c>
      <c r="B1309" s="11"/>
      <c r="C1309" s="12" t="s">
        <v>5</v>
      </c>
      <c r="D1309" s="12" t="s">
        <v>6</v>
      </c>
      <c r="E1309" s="12" t="s">
        <v>3719</v>
      </c>
      <c r="F1309" s="13"/>
    </row>
    <row r="1310" spans="1:6" x14ac:dyDescent="0.2">
      <c r="A1310" s="12" t="s">
        <v>672</v>
      </c>
      <c r="B1310" s="11"/>
      <c r="C1310" s="12" t="s">
        <v>5</v>
      </c>
      <c r="D1310" s="12" t="s">
        <v>6</v>
      </c>
      <c r="E1310" s="12" t="s">
        <v>3722</v>
      </c>
      <c r="F1310" s="13"/>
    </row>
    <row r="1311" spans="1:6" x14ac:dyDescent="0.2">
      <c r="A1311" s="12" t="s">
        <v>1922</v>
      </c>
      <c r="B1311" s="11"/>
      <c r="C1311" s="12" t="s">
        <v>5</v>
      </c>
      <c r="D1311" s="12" t="s">
        <v>21</v>
      </c>
      <c r="E1311" s="12" t="s">
        <v>3724</v>
      </c>
      <c r="F1311" s="13"/>
    </row>
    <row r="1312" spans="1:6" x14ac:dyDescent="0.2">
      <c r="A1312" s="12" t="s">
        <v>1922</v>
      </c>
      <c r="B1312" s="11"/>
      <c r="C1312" s="12" t="s">
        <v>5</v>
      </c>
      <c r="D1312" s="12" t="s">
        <v>21</v>
      </c>
      <c r="E1312" s="12" t="s">
        <v>3724</v>
      </c>
      <c r="F1312" s="13"/>
    </row>
    <row r="1313" spans="1:6" x14ac:dyDescent="0.2">
      <c r="A1313" s="12" t="s">
        <v>0</v>
      </c>
      <c r="B1313" s="11"/>
      <c r="C1313" s="12" t="s">
        <v>5</v>
      </c>
      <c r="D1313" s="12" t="s">
        <v>21</v>
      </c>
      <c r="E1313" s="12" t="s">
        <v>104</v>
      </c>
      <c r="F1313" s="13"/>
    </row>
    <row r="1314" spans="1:6" x14ac:dyDescent="0.2">
      <c r="A1314" s="12" t="s">
        <v>0</v>
      </c>
      <c r="B1314" s="11"/>
      <c r="C1314" s="12" t="s">
        <v>5</v>
      </c>
      <c r="D1314" s="12" t="s">
        <v>21</v>
      </c>
      <c r="E1314" s="12" t="s">
        <v>104</v>
      </c>
      <c r="F1314" s="13"/>
    </row>
    <row r="1315" spans="1:6" x14ac:dyDescent="0.2">
      <c r="A1315" s="12" t="s">
        <v>1466</v>
      </c>
      <c r="B1315" s="11"/>
      <c r="C1315" s="12" t="s">
        <v>5</v>
      </c>
      <c r="D1315" s="12" t="s">
        <v>21</v>
      </c>
      <c r="E1315" s="12" t="s">
        <v>3727</v>
      </c>
      <c r="F1315" s="13"/>
    </row>
    <row r="1316" spans="1:6" x14ac:dyDescent="0.2">
      <c r="A1316" s="12" t="s">
        <v>1466</v>
      </c>
      <c r="B1316" s="11"/>
      <c r="C1316" s="12" t="s">
        <v>5</v>
      </c>
      <c r="D1316" s="12" t="s">
        <v>21</v>
      </c>
      <c r="E1316" s="12" t="s">
        <v>3727</v>
      </c>
      <c r="F1316" s="13"/>
    </row>
    <row r="1317" spans="1:6" x14ac:dyDescent="0.2">
      <c r="A1317" s="12" t="s">
        <v>2056</v>
      </c>
      <c r="B1317" s="11"/>
      <c r="C1317" s="12" t="s">
        <v>5</v>
      </c>
      <c r="D1317" s="12" t="s">
        <v>21</v>
      </c>
      <c r="E1317" s="12" t="s">
        <v>3730</v>
      </c>
      <c r="F1317" s="13"/>
    </row>
    <row r="1318" spans="1:6" x14ac:dyDescent="0.2">
      <c r="A1318" s="12" t="s">
        <v>2056</v>
      </c>
      <c r="B1318" s="11"/>
      <c r="C1318" s="12" t="s">
        <v>5</v>
      </c>
      <c r="D1318" s="12" t="s">
        <v>21</v>
      </c>
      <c r="E1318" s="12" t="s">
        <v>3730</v>
      </c>
      <c r="F1318" s="13"/>
    </row>
    <row r="1319" spans="1:6" x14ac:dyDescent="0.2">
      <c r="A1319" s="12" t="s">
        <v>470</v>
      </c>
      <c r="B1319" s="11"/>
      <c r="C1319" s="12" t="s">
        <v>5</v>
      </c>
      <c r="D1319" s="12" t="s">
        <v>17</v>
      </c>
      <c r="E1319" s="12" t="s">
        <v>3733</v>
      </c>
      <c r="F1319" s="13"/>
    </row>
    <row r="1320" spans="1:6" x14ac:dyDescent="0.2">
      <c r="A1320" s="12" t="s">
        <v>285</v>
      </c>
      <c r="B1320" s="11"/>
      <c r="C1320" s="12" t="s">
        <v>5</v>
      </c>
      <c r="D1320" s="12" t="s">
        <v>17</v>
      </c>
      <c r="E1320" s="12" t="s">
        <v>3735</v>
      </c>
      <c r="F1320" s="13"/>
    </row>
    <row r="1321" spans="1:6" x14ac:dyDescent="0.2">
      <c r="A1321" s="12" t="s">
        <v>1466</v>
      </c>
      <c r="B1321" s="11"/>
      <c r="C1321" s="12" t="s">
        <v>5</v>
      </c>
      <c r="D1321" s="12" t="s">
        <v>17</v>
      </c>
      <c r="E1321" s="12" t="s">
        <v>3737</v>
      </c>
      <c r="F1321" s="13"/>
    </row>
    <row r="1322" spans="1:6" x14ac:dyDescent="0.2">
      <c r="A1322" s="12" t="s">
        <v>1466</v>
      </c>
      <c r="B1322" s="11"/>
      <c r="C1322" s="12" t="s">
        <v>5</v>
      </c>
      <c r="D1322" s="12" t="s">
        <v>17</v>
      </c>
      <c r="E1322" s="12" t="s">
        <v>3737</v>
      </c>
      <c r="F1322" s="13"/>
    </row>
    <row r="1323" spans="1:6" x14ac:dyDescent="0.2">
      <c r="A1323" s="12" t="s">
        <v>31</v>
      </c>
      <c r="B1323" s="11"/>
      <c r="C1323" s="12" t="s">
        <v>5</v>
      </c>
      <c r="D1323" s="12" t="s">
        <v>17</v>
      </c>
      <c r="E1323" s="12" t="s">
        <v>107</v>
      </c>
      <c r="F1323" s="13"/>
    </row>
    <row r="1324" spans="1:6" x14ac:dyDescent="0.2">
      <c r="A1324" s="12" t="s">
        <v>31</v>
      </c>
      <c r="B1324" s="11"/>
      <c r="C1324" s="12" t="s">
        <v>5</v>
      </c>
      <c r="D1324" s="12" t="s">
        <v>17</v>
      </c>
      <c r="E1324" s="12" t="s">
        <v>107</v>
      </c>
      <c r="F1324" s="13"/>
    </row>
    <row r="1325" spans="1:6" x14ac:dyDescent="0.2">
      <c r="A1325" s="12" t="s">
        <v>1550</v>
      </c>
      <c r="B1325" s="11"/>
      <c r="C1325" s="12" t="s">
        <v>5</v>
      </c>
      <c r="D1325" s="12" t="s">
        <v>17</v>
      </c>
      <c r="E1325" s="12" t="s">
        <v>3740</v>
      </c>
      <c r="F1325" s="13"/>
    </row>
    <row r="1326" spans="1:6" x14ac:dyDescent="0.2">
      <c r="A1326" s="12" t="s">
        <v>285</v>
      </c>
      <c r="B1326" s="11"/>
      <c r="C1326" s="12" t="s">
        <v>5</v>
      </c>
      <c r="D1326" s="12" t="s">
        <v>17</v>
      </c>
      <c r="E1326" s="12" t="s">
        <v>3743</v>
      </c>
      <c r="F1326" s="13"/>
    </row>
    <row r="1327" spans="1:6" x14ac:dyDescent="0.2">
      <c r="A1327" s="12" t="s">
        <v>285</v>
      </c>
      <c r="B1327" s="11"/>
      <c r="C1327" s="12" t="s">
        <v>5</v>
      </c>
      <c r="D1327" s="12" t="s">
        <v>17</v>
      </c>
      <c r="E1327" s="12" t="s">
        <v>3743</v>
      </c>
      <c r="F1327" s="13"/>
    </row>
    <row r="1328" spans="1:6" x14ac:dyDescent="0.2">
      <c r="A1328" s="12" t="s">
        <v>1139</v>
      </c>
      <c r="B1328" s="11"/>
      <c r="C1328" s="12" t="s">
        <v>5</v>
      </c>
      <c r="D1328" s="12" t="s">
        <v>6</v>
      </c>
      <c r="E1328" s="12" t="s">
        <v>3746</v>
      </c>
      <c r="F1328" s="13"/>
    </row>
    <row r="1329" spans="1:6" x14ac:dyDescent="0.2">
      <c r="A1329" s="12" t="s">
        <v>1139</v>
      </c>
      <c r="B1329" s="11"/>
      <c r="C1329" s="12" t="s">
        <v>5</v>
      </c>
      <c r="D1329" s="12" t="s">
        <v>6</v>
      </c>
      <c r="E1329" s="12" t="s">
        <v>3746</v>
      </c>
      <c r="F1329" s="13"/>
    </row>
    <row r="1330" spans="1:6" x14ac:dyDescent="0.2">
      <c r="A1330" s="12" t="s">
        <v>404</v>
      </c>
      <c r="B1330" s="11"/>
      <c r="C1330" s="12" t="s">
        <v>5</v>
      </c>
      <c r="D1330" s="12" t="s">
        <v>6</v>
      </c>
      <c r="E1330" s="12" t="s">
        <v>3749</v>
      </c>
      <c r="F1330" s="13"/>
    </row>
    <row r="1331" spans="1:6" x14ac:dyDescent="0.2">
      <c r="A1331" s="12" t="s">
        <v>1466</v>
      </c>
      <c r="B1331" s="11"/>
      <c r="C1331" s="12" t="s">
        <v>5</v>
      </c>
      <c r="D1331" s="12" t="s">
        <v>6</v>
      </c>
      <c r="E1331" s="12" t="s">
        <v>3751</v>
      </c>
      <c r="F1331" s="13"/>
    </row>
    <row r="1332" spans="1:6" x14ac:dyDescent="0.2">
      <c r="A1332" s="12" t="s">
        <v>1466</v>
      </c>
      <c r="B1332" s="11"/>
      <c r="C1332" s="12" t="s">
        <v>5</v>
      </c>
      <c r="D1332" s="12" t="s">
        <v>6</v>
      </c>
      <c r="E1332" s="12" t="s">
        <v>3751</v>
      </c>
      <c r="F1332" s="13"/>
    </row>
    <row r="1333" spans="1:6" x14ac:dyDescent="0.2">
      <c r="A1333" s="12" t="s">
        <v>1573</v>
      </c>
      <c r="B1333" s="11"/>
      <c r="C1333" s="12" t="s">
        <v>5</v>
      </c>
      <c r="D1333" s="12" t="s">
        <v>6</v>
      </c>
      <c r="E1333" s="12" t="s">
        <v>3754</v>
      </c>
      <c r="F1333" s="13"/>
    </row>
    <row r="1334" spans="1:6" x14ac:dyDescent="0.2">
      <c r="A1334" s="12" t="s">
        <v>1573</v>
      </c>
      <c r="B1334" s="11"/>
      <c r="C1334" s="12" t="s">
        <v>5</v>
      </c>
      <c r="D1334" s="12" t="s">
        <v>6</v>
      </c>
      <c r="E1334" s="12" t="s">
        <v>3754</v>
      </c>
      <c r="F1334" s="13"/>
    </row>
    <row r="1335" spans="1:6" x14ac:dyDescent="0.2">
      <c r="A1335" s="12" t="s">
        <v>1297</v>
      </c>
      <c r="B1335" s="11"/>
      <c r="C1335" s="12" t="s">
        <v>5</v>
      </c>
      <c r="D1335" s="12" t="s">
        <v>6</v>
      </c>
      <c r="E1335" s="12" t="s">
        <v>3757</v>
      </c>
      <c r="F1335" s="13"/>
    </row>
    <row r="1336" spans="1:6" x14ac:dyDescent="0.2">
      <c r="A1336" s="12" t="s">
        <v>1573</v>
      </c>
      <c r="B1336" s="11"/>
      <c r="C1336" s="12" t="s">
        <v>5</v>
      </c>
      <c r="D1336" s="12" t="s">
        <v>6</v>
      </c>
      <c r="E1336" s="12" t="s">
        <v>3759</v>
      </c>
      <c r="F1336" s="13"/>
    </row>
    <row r="1337" spans="1:6" x14ac:dyDescent="0.2">
      <c r="A1337" s="12" t="s">
        <v>331</v>
      </c>
      <c r="B1337" s="11"/>
      <c r="C1337" s="12" t="s">
        <v>5</v>
      </c>
      <c r="D1337" s="12" t="s">
        <v>21</v>
      </c>
      <c r="E1337" s="12" t="s">
        <v>3761</v>
      </c>
      <c r="F1337" s="13"/>
    </row>
    <row r="1338" spans="1:6" x14ac:dyDescent="0.2">
      <c r="A1338" s="12" t="s">
        <v>331</v>
      </c>
      <c r="B1338" s="11"/>
      <c r="C1338" s="12" t="s">
        <v>5</v>
      </c>
      <c r="D1338" s="12" t="s">
        <v>21</v>
      </c>
      <c r="E1338" s="12" t="s">
        <v>3761</v>
      </c>
      <c r="F1338" s="13"/>
    </row>
    <row r="1339" spans="1:6" x14ac:dyDescent="0.2">
      <c r="A1339" s="12" t="s">
        <v>1924</v>
      </c>
      <c r="B1339" s="11"/>
      <c r="C1339" s="12" t="s">
        <v>5</v>
      </c>
      <c r="D1339" s="12" t="s">
        <v>21</v>
      </c>
      <c r="E1339" s="12" t="s">
        <v>3764</v>
      </c>
      <c r="F1339" s="13"/>
    </row>
    <row r="1340" spans="1:6" x14ac:dyDescent="0.2">
      <c r="A1340" s="12" t="s">
        <v>1924</v>
      </c>
      <c r="B1340" s="11"/>
      <c r="C1340" s="12" t="s">
        <v>5</v>
      </c>
      <c r="D1340" s="12" t="s">
        <v>21</v>
      </c>
      <c r="E1340" s="12" t="s">
        <v>3764</v>
      </c>
      <c r="F1340" s="13"/>
    </row>
    <row r="1341" spans="1:6" x14ac:dyDescent="0.2">
      <c r="A1341" s="12" t="s">
        <v>1215</v>
      </c>
      <c r="B1341" s="11"/>
      <c r="C1341" s="12" t="s">
        <v>5</v>
      </c>
      <c r="D1341" s="12" t="s">
        <v>21</v>
      </c>
      <c r="E1341" s="12" t="s">
        <v>3767</v>
      </c>
      <c r="F1341" s="13"/>
    </row>
    <row r="1342" spans="1:6" x14ac:dyDescent="0.2">
      <c r="A1342" s="12" t="s">
        <v>1215</v>
      </c>
      <c r="B1342" s="11"/>
      <c r="C1342" s="12" t="s">
        <v>5</v>
      </c>
      <c r="D1342" s="12" t="s">
        <v>21</v>
      </c>
      <c r="E1342" s="12" t="s">
        <v>3767</v>
      </c>
      <c r="F1342" s="13"/>
    </row>
    <row r="1343" spans="1:6" x14ac:dyDescent="0.2">
      <c r="A1343" s="12" t="s">
        <v>1563</v>
      </c>
      <c r="B1343" s="11"/>
      <c r="C1343" s="12" t="s">
        <v>5</v>
      </c>
      <c r="D1343" s="12" t="s">
        <v>21</v>
      </c>
      <c r="E1343" s="12" t="s">
        <v>3770</v>
      </c>
      <c r="F1343" s="13"/>
    </row>
    <row r="1344" spans="1:6" x14ac:dyDescent="0.2">
      <c r="A1344" s="12" t="s">
        <v>1563</v>
      </c>
      <c r="B1344" s="11"/>
      <c r="C1344" s="12" t="s">
        <v>5</v>
      </c>
      <c r="D1344" s="12" t="s">
        <v>21</v>
      </c>
      <c r="E1344" s="12" t="s">
        <v>3770</v>
      </c>
      <c r="F1344" s="13"/>
    </row>
    <row r="1345" spans="1:6" x14ac:dyDescent="0.2">
      <c r="A1345" s="12" t="s">
        <v>837</v>
      </c>
      <c r="B1345" s="11"/>
      <c r="C1345" s="12" t="s">
        <v>5</v>
      </c>
      <c r="D1345" s="12" t="s">
        <v>17</v>
      </c>
      <c r="E1345" s="12" t="s">
        <v>3773</v>
      </c>
      <c r="F1345" s="13"/>
    </row>
    <row r="1346" spans="1:6" x14ac:dyDescent="0.2">
      <c r="A1346" s="12" t="s">
        <v>837</v>
      </c>
      <c r="B1346" s="11"/>
      <c r="C1346" s="12" t="s">
        <v>5</v>
      </c>
      <c r="D1346" s="12" t="s">
        <v>17</v>
      </c>
      <c r="E1346" s="12" t="s">
        <v>3773</v>
      </c>
      <c r="F1346" s="13"/>
    </row>
    <row r="1347" spans="1:6" x14ac:dyDescent="0.2">
      <c r="A1347" s="12" t="s">
        <v>1466</v>
      </c>
      <c r="B1347" s="11"/>
      <c r="C1347" s="12" t="s">
        <v>5</v>
      </c>
      <c r="D1347" s="12" t="s">
        <v>17</v>
      </c>
      <c r="E1347" s="12" t="s">
        <v>3776</v>
      </c>
      <c r="F1347" s="13"/>
    </row>
    <row r="1348" spans="1:6" x14ac:dyDescent="0.2">
      <c r="A1348" s="12" t="s">
        <v>1466</v>
      </c>
      <c r="B1348" s="11"/>
      <c r="C1348" s="12" t="s">
        <v>5</v>
      </c>
      <c r="D1348" s="12" t="s">
        <v>17</v>
      </c>
      <c r="E1348" s="12" t="s">
        <v>3776</v>
      </c>
      <c r="F1348" s="13"/>
    </row>
    <row r="1349" spans="1:6" x14ac:dyDescent="0.2">
      <c r="A1349" s="12" t="s">
        <v>593</v>
      </c>
      <c r="B1349" s="11"/>
      <c r="C1349" s="12" t="s">
        <v>5</v>
      </c>
      <c r="D1349" s="12" t="s">
        <v>17</v>
      </c>
      <c r="E1349" s="12" t="s">
        <v>3779</v>
      </c>
      <c r="F1349" s="13"/>
    </row>
    <row r="1350" spans="1:6" x14ac:dyDescent="0.2">
      <c r="A1350" s="12" t="s">
        <v>1131</v>
      </c>
      <c r="B1350" s="11"/>
      <c r="C1350" s="12" t="s">
        <v>5</v>
      </c>
      <c r="D1350" s="12" t="s">
        <v>17</v>
      </c>
      <c r="E1350" s="12" t="s">
        <v>3781</v>
      </c>
      <c r="F1350" s="47"/>
    </row>
    <row r="1351" spans="1:6" x14ac:dyDescent="0.2">
      <c r="A1351" s="12" t="s">
        <v>2251</v>
      </c>
      <c r="B1351" s="11"/>
      <c r="C1351" s="12" t="s">
        <v>5</v>
      </c>
      <c r="D1351" s="12" t="s">
        <v>17</v>
      </c>
      <c r="E1351" s="12" t="s">
        <v>3783</v>
      </c>
      <c r="F1351" s="47"/>
    </row>
    <row r="1352" spans="1:6" x14ac:dyDescent="0.2">
      <c r="A1352" s="12" t="s">
        <v>817</v>
      </c>
      <c r="B1352" s="11"/>
      <c r="C1352" s="12" t="s">
        <v>5</v>
      </c>
      <c r="D1352" s="12" t="s">
        <v>17</v>
      </c>
      <c r="E1352" s="12" t="s">
        <v>3784</v>
      </c>
      <c r="F1352" s="13"/>
    </row>
    <row r="1353" spans="1:6" x14ac:dyDescent="0.2">
      <c r="A1353" s="12" t="s">
        <v>817</v>
      </c>
      <c r="B1353" s="11"/>
      <c r="C1353" s="12" t="s">
        <v>5</v>
      </c>
      <c r="D1353" s="12" t="s">
        <v>17</v>
      </c>
      <c r="E1353" s="12" t="s">
        <v>3784</v>
      </c>
      <c r="F1353" s="13"/>
    </row>
    <row r="1354" spans="1:6" x14ac:dyDescent="0.2">
      <c r="A1354" s="12" t="s">
        <v>1466</v>
      </c>
      <c r="B1354" s="11"/>
      <c r="C1354" s="12" t="s">
        <v>5</v>
      </c>
      <c r="D1354" s="12" t="s">
        <v>6</v>
      </c>
      <c r="E1354" s="12" t="s">
        <v>3788</v>
      </c>
      <c r="F1354" s="13"/>
    </row>
    <row r="1355" spans="1:6" x14ac:dyDescent="0.2">
      <c r="A1355" s="12" t="s">
        <v>1466</v>
      </c>
      <c r="B1355" s="11"/>
      <c r="C1355" s="12" t="s">
        <v>5</v>
      </c>
      <c r="D1355" s="12" t="s">
        <v>6</v>
      </c>
      <c r="E1355" s="12" t="s">
        <v>3788</v>
      </c>
      <c r="F1355" s="13"/>
    </row>
    <row r="1356" spans="1:6" x14ac:dyDescent="0.2">
      <c r="A1356" s="12" t="s">
        <v>327</v>
      </c>
      <c r="B1356" s="11"/>
      <c r="C1356" s="12" t="s">
        <v>5</v>
      </c>
      <c r="D1356" s="12" t="s">
        <v>6</v>
      </c>
      <c r="E1356" s="12" t="s">
        <v>3791</v>
      </c>
      <c r="F1356" s="13"/>
    </row>
    <row r="1357" spans="1:6" x14ac:dyDescent="0.2">
      <c r="A1357" s="12" t="s">
        <v>327</v>
      </c>
      <c r="B1357" s="11"/>
      <c r="C1357" s="12" t="s">
        <v>5</v>
      </c>
      <c r="D1357" s="12" t="s">
        <v>6</v>
      </c>
      <c r="E1357" s="12" t="s">
        <v>3791</v>
      </c>
      <c r="F1357" s="13"/>
    </row>
    <row r="1358" spans="1:6" x14ac:dyDescent="0.2">
      <c r="A1358" s="12" t="s">
        <v>285</v>
      </c>
      <c r="B1358" s="11"/>
      <c r="C1358" s="12" t="s">
        <v>5</v>
      </c>
      <c r="D1358" s="12" t="s">
        <v>6</v>
      </c>
      <c r="E1358" s="12" t="s">
        <v>3794</v>
      </c>
      <c r="F1358" s="13"/>
    </row>
    <row r="1359" spans="1:6" x14ac:dyDescent="0.2">
      <c r="A1359" s="12" t="s">
        <v>285</v>
      </c>
      <c r="B1359" s="11"/>
      <c r="C1359" s="12" t="s">
        <v>5</v>
      </c>
      <c r="D1359" s="12" t="s">
        <v>6</v>
      </c>
      <c r="E1359" s="12" t="s">
        <v>3794</v>
      </c>
      <c r="F1359" s="13"/>
    </row>
    <row r="1360" spans="1:6" x14ac:dyDescent="0.2">
      <c r="A1360" s="12" t="s">
        <v>1471</v>
      </c>
      <c r="B1360" s="11"/>
      <c r="C1360" s="12" t="s">
        <v>5</v>
      </c>
      <c r="D1360" s="12" t="s">
        <v>6</v>
      </c>
      <c r="E1360" s="12" t="s">
        <v>3797</v>
      </c>
      <c r="F1360" s="13"/>
    </row>
    <row r="1361" spans="1:6" x14ac:dyDescent="0.2">
      <c r="A1361" s="12" t="s">
        <v>1471</v>
      </c>
      <c r="B1361" s="11"/>
      <c r="C1361" s="12" t="s">
        <v>5</v>
      </c>
      <c r="D1361" s="12" t="s">
        <v>6</v>
      </c>
      <c r="E1361" s="12" t="s">
        <v>3797</v>
      </c>
      <c r="F1361" s="13"/>
    </row>
    <row r="1362" spans="1:6" x14ac:dyDescent="0.2">
      <c r="A1362" s="12" t="s">
        <v>2251</v>
      </c>
      <c r="B1362" s="11"/>
      <c r="C1362" s="12" t="s">
        <v>5</v>
      </c>
      <c r="D1362" s="12" t="s">
        <v>6</v>
      </c>
      <c r="E1362" s="12" t="s">
        <v>3800</v>
      </c>
      <c r="F1362" s="47"/>
    </row>
    <row r="1363" spans="1:6" x14ac:dyDescent="0.2">
      <c r="A1363" s="12" t="s">
        <v>285</v>
      </c>
      <c r="B1363" s="11"/>
      <c r="C1363" s="12" t="s">
        <v>5</v>
      </c>
      <c r="D1363" s="12" t="s">
        <v>6</v>
      </c>
      <c r="E1363" s="12" t="s">
        <v>3801</v>
      </c>
      <c r="F1363" s="13"/>
    </row>
    <row r="1364" spans="1:6" x14ac:dyDescent="0.2">
      <c r="A1364" s="12" t="s">
        <v>285</v>
      </c>
      <c r="B1364" s="11"/>
      <c r="C1364" s="12" t="s">
        <v>5</v>
      </c>
      <c r="D1364" s="12" t="s">
        <v>6</v>
      </c>
      <c r="E1364" s="12" t="s">
        <v>3801</v>
      </c>
      <c r="F1364" s="13"/>
    </row>
    <row r="1365" spans="1:6" x14ac:dyDescent="0.2">
      <c r="A1365" s="12" t="s">
        <v>1035</v>
      </c>
      <c r="B1365" s="11"/>
      <c r="C1365" s="12" t="s">
        <v>5</v>
      </c>
      <c r="D1365" s="12" t="s">
        <v>21</v>
      </c>
      <c r="E1365" s="12" t="s">
        <v>3804</v>
      </c>
      <c r="F1365" s="13"/>
    </row>
    <row r="1366" spans="1:6" x14ac:dyDescent="0.2">
      <c r="A1366" s="12" t="s">
        <v>1035</v>
      </c>
      <c r="B1366" s="11"/>
      <c r="C1366" s="12" t="s">
        <v>5</v>
      </c>
      <c r="D1366" s="12" t="s">
        <v>21</v>
      </c>
      <c r="E1366" s="12" t="s">
        <v>3804</v>
      </c>
      <c r="F1366" s="13"/>
    </row>
    <row r="1367" spans="1:6" x14ac:dyDescent="0.2">
      <c r="A1367" s="12" t="s">
        <v>435</v>
      </c>
      <c r="B1367" s="11"/>
      <c r="C1367" s="12" t="s">
        <v>5</v>
      </c>
      <c r="D1367" s="12" t="s">
        <v>21</v>
      </c>
      <c r="E1367" s="12" t="s">
        <v>3807</v>
      </c>
      <c r="F1367" s="13"/>
    </row>
    <row r="1368" spans="1:6" x14ac:dyDescent="0.2">
      <c r="A1368" s="12" t="s">
        <v>285</v>
      </c>
      <c r="B1368" s="11"/>
      <c r="C1368" s="12" t="s">
        <v>5</v>
      </c>
      <c r="D1368" s="12" t="s">
        <v>21</v>
      </c>
      <c r="E1368" s="12" t="s">
        <v>3809</v>
      </c>
      <c r="F1368" s="13"/>
    </row>
    <row r="1369" spans="1:6" x14ac:dyDescent="0.2">
      <c r="A1369" s="12" t="s">
        <v>285</v>
      </c>
      <c r="B1369" s="11"/>
      <c r="C1369" s="12" t="s">
        <v>5</v>
      </c>
      <c r="D1369" s="12" t="s">
        <v>21</v>
      </c>
      <c r="E1369" s="12" t="s">
        <v>3809</v>
      </c>
      <c r="F1369" s="13"/>
    </row>
    <row r="1370" spans="1:6" x14ac:dyDescent="0.2">
      <c r="A1370" s="12" t="s">
        <v>620</v>
      </c>
      <c r="B1370" s="11"/>
      <c r="C1370" s="12" t="s">
        <v>5</v>
      </c>
      <c r="D1370" s="12" t="s">
        <v>21</v>
      </c>
      <c r="E1370" s="12" t="s">
        <v>3812</v>
      </c>
      <c r="F1370" s="13"/>
    </row>
    <row r="1371" spans="1:6" x14ac:dyDescent="0.2">
      <c r="A1371" s="12" t="s">
        <v>491</v>
      </c>
      <c r="B1371" s="11"/>
      <c r="C1371" s="12" t="s">
        <v>5</v>
      </c>
      <c r="D1371" s="12" t="s">
        <v>17</v>
      </c>
      <c r="E1371" s="12" t="s">
        <v>3814</v>
      </c>
      <c r="F1371" s="13"/>
    </row>
    <row r="1372" spans="1:6" x14ac:dyDescent="0.2">
      <c r="A1372" s="12" t="s">
        <v>2043</v>
      </c>
      <c r="B1372" s="11"/>
      <c r="C1372" s="12" t="s">
        <v>5</v>
      </c>
      <c r="D1372" s="12" t="s">
        <v>17</v>
      </c>
      <c r="E1372" s="12" t="s">
        <v>3816</v>
      </c>
      <c r="F1372" s="13"/>
    </row>
    <row r="1373" spans="1:6" x14ac:dyDescent="0.2">
      <c r="A1373" s="12" t="s">
        <v>2043</v>
      </c>
      <c r="B1373" s="11"/>
      <c r="C1373" s="12" t="s">
        <v>5</v>
      </c>
      <c r="D1373" s="12" t="s">
        <v>17</v>
      </c>
      <c r="E1373" s="12" t="s">
        <v>3816</v>
      </c>
      <c r="F1373" s="13"/>
    </row>
    <row r="1374" spans="1:6" x14ac:dyDescent="0.2">
      <c r="A1374" s="12" t="s">
        <v>845</v>
      </c>
      <c r="B1374" s="11"/>
      <c r="C1374" s="12" t="s">
        <v>5</v>
      </c>
      <c r="D1374" s="12" t="s">
        <v>17</v>
      </c>
      <c r="E1374" s="12" t="s">
        <v>3819</v>
      </c>
      <c r="F1374" s="13"/>
    </row>
    <row r="1375" spans="1:6" x14ac:dyDescent="0.2">
      <c r="A1375" s="12" t="s">
        <v>845</v>
      </c>
      <c r="B1375" s="11"/>
      <c r="C1375" s="12" t="s">
        <v>5</v>
      </c>
      <c r="D1375" s="12" t="s">
        <v>17</v>
      </c>
      <c r="E1375" s="12" t="s">
        <v>3819</v>
      </c>
      <c r="F1375" s="13"/>
    </row>
    <row r="1376" spans="1:6" x14ac:dyDescent="0.2">
      <c r="A1376" s="12" t="s">
        <v>1466</v>
      </c>
      <c r="B1376" s="11"/>
      <c r="C1376" s="12" t="s">
        <v>5</v>
      </c>
      <c r="D1376" s="12" t="s">
        <v>17</v>
      </c>
      <c r="E1376" s="12" t="s">
        <v>3822</v>
      </c>
      <c r="F1376" s="13"/>
    </row>
    <row r="1377" spans="1:6" x14ac:dyDescent="0.2">
      <c r="A1377" s="12" t="s">
        <v>1466</v>
      </c>
      <c r="B1377" s="11"/>
      <c r="C1377" s="12" t="s">
        <v>5</v>
      </c>
      <c r="D1377" s="12" t="s">
        <v>17</v>
      </c>
      <c r="E1377" s="12" t="s">
        <v>3822</v>
      </c>
      <c r="F1377" s="13"/>
    </row>
    <row r="1378" spans="1:6" x14ac:dyDescent="0.2">
      <c r="A1378" s="12" t="s">
        <v>1135</v>
      </c>
      <c r="B1378" s="11"/>
      <c r="C1378" s="12" t="s">
        <v>5</v>
      </c>
      <c r="D1378" s="12" t="s">
        <v>17</v>
      </c>
      <c r="E1378" s="12" t="s">
        <v>3825</v>
      </c>
      <c r="F1378" s="13"/>
    </row>
    <row r="1379" spans="1:6" x14ac:dyDescent="0.2">
      <c r="A1379" s="12" t="s">
        <v>1135</v>
      </c>
      <c r="B1379" s="11"/>
      <c r="C1379" s="12" t="s">
        <v>5</v>
      </c>
      <c r="D1379" s="12" t="s">
        <v>17</v>
      </c>
      <c r="E1379" s="12" t="s">
        <v>3825</v>
      </c>
      <c r="F1379" s="13"/>
    </row>
    <row r="1380" spans="1:6" x14ac:dyDescent="0.2">
      <c r="A1380" s="12" t="s">
        <v>296</v>
      </c>
      <c r="B1380" s="11"/>
      <c r="C1380" s="12" t="s">
        <v>5</v>
      </c>
      <c r="D1380" s="12" t="s">
        <v>17</v>
      </c>
      <c r="E1380" s="12" t="s">
        <v>3828</v>
      </c>
      <c r="F1380" s="13"/>
    </row>
    <row r="1381" spans="1:6" x14ac:dyDescent="0.2">
      <c r="A1381" s="12" t="s">
        <v>296</v>
      </c>
      <c r="B1381" s="11"/>
      <c r="C1381" s="12" t="s">
        <v>5</v>
      </c>
      <c r="D1381" s="12" t="s">
        <v>17</v>
      </c>
      <c r="E1381" s="12" t="s">
        <v>3828</v>
      </c>
      <c r="F1381" s="13"/>
    </row>
    <row r="1382" spans="1:6" x14ac:dyDescent="0.2">
      <c r="A1382" s="12" t="s">
        <v>2030</v>
      </c>
      <c r="B1382" s="11"/>
      <c r="C1382" s="12" t="s">
        <v>5</v>
      </c>
      <c r="D1382" s="12" t="s">
        <v>6</v>
      </c>
      <c r="E1382" s="12" t="s">
        <v>3831</v>
      </c>
      <c r="F1382" s="13"/>
    </row>
    <row r="1383" spans="1:6" x14ac:dyDescent="0.2">
      <c r="A1383" s="12" t="s">
        <v>2030</v>
      </c>
      <c r="B1383" s="11"/>
      <c r="C1383" s="12" t="s">
        <v>5</v>
      </c>
      <c r="D1383" s="12" t="s">
        <v>6</v>
      </c>
      <c r="E1383" s="12" t="s">
        <v>3831</v>
      </c>
      <c r="F1383" s="13"/>
    </row>
    <row r="1384" spans="1:6" x14ac:dyDescent="0.2">
      <c r="A1384" s="12" t="s">
        <v>2251</v>
      </c>
      <c r="B1384" s="11"/>
      <c r="C1384" s="12" t="s">
        <v>5</v>
      </c>
      <c r="D1384" s="12" t="s">
        <v>6</v>
      </c>
      <c r="E1384" s="12" t="s">
        <v>3834</v>
      </c>
      <c r="F1384" s="47"/>
    </row>
    <row r="1385" spans="1:6" x14ac:dyDescent="0.2">
      <c r="A1385" s="12" t="s">
        <v>641</v>
      </c>
      <c r="B1385" s="11"/>
      <c r="C1385" s="12" t="s">
        <v>5</v>
      </c>
      <c r="D1385" s="12" t="s">
        <v>6</v>
      </c>
      <c r="E1385" s="12" t="s">
        <v>3835</v>
      </c>
      <c r="F1385" s="13"/>
    </row>
    <row r="1386" spans="1:6" x14ac:dyDescent="0.2">
      <c r="A1386" s="12" t="s">
        <v>641</v>
      </c>
      <c r="B1386" s="11"/>
      <c r="C1386" s="12" t="s">
        <v>5</v>
      </c>
      <c r="D1386" s="12" t="s">
        <v>6</v>
      </c>
      <c r="E1386" s="12" t="s">
        <v>3835</v>
      </c>
      <c r="F1386" s="13"/>
    </row>
    <row r="1387" spans="1:6" x14ac:dyDescent="0.2">
      <c r="A1387" s="12" t="s">
        <v>2056</v>
      </c>
      <c r="B1387" s="11"/>
      <c r="C1387" s="12" t="s">
        <v>5</v>
      </c>
      <c r="D1387" s="12" t="s">
        <v>6</v>
      </c>
      <c r="E1387" s="12" t="s">
        <v>3838</v>
      </c>
      <c r="F1387" s="13"/>
    </row>
    <row r="1388" spans="1:6" x14ac:dyDescent="0.2">
      <c r="A1388" s="12" t="s">
        <v>2056</v>
      </c>
      <c r="B1388" s="11"/>
      <c r="C1388" s="12" t="s">
        <v>5</v>
      </c>
      <c r="D1388" s="12" t="s">
        <v>6</v>
      </c>
      <c r="E1388" s="12" t="s">
        <v>3838</v>
      </c>
      <c r="F1388" s="13"/>
    </row>
    <row r="1389" spans="1:6" x14ac:dyDescent="0.2">
      <c r="A1389" s="12" t="s">
        <v>0</v>
      </c>
      <c r="B1389" s="11"/>
      <c r="C1389" s="12" t="s">
        <v>5</v>
      </c>
      <c r="D1389" s="12" t="s">
        <v>6</v>
      </c>
      <c r="E1389" s="12" t="s">
        <v>110</v>
      </c>
      <c r="F1389" s="13"/>
    </row>
    <row r="1390" spans="1:6" x14ac:dyDescent="0.2">
      <c r="A1390" s="12" t="s">
        <v>0</v>
      </c>
      <c r="B1390" s="11"/>
      <c r="C1390" s="12" t="s">
        <v>5</v>
      </c>
      <c r="D1390" s="12" t="s">
        <v>6</v>
      </c>
      <c r="E1390" s="12" t="s">
        <v>110</v>
      </c>
      <c r="F1390" s="13"/>
    </row>
    <row r="1391" spans="1:6" x14ac:dyDescent="0.2">
      <c r="A1391" s="12" t="s">
        <v>0</v>
      </c>
      <c r="B1391" s="11"/>
      <c r="C1391" s="12" t="s">
        <v>5</v>
      </c>
      <c r="D1391" s="12" t="s">
        <v>6</v>
      </c>
      <c r="E1391" s="12" t="s">
        <v>113</v>
      </c>
      <c r="F1391" s="13"/>
    </row>
    <row r="1392" spans="1:6" x14ac:dyDescent="0.2">
      <c r="A1392" s="12" t="s">
        <v>0</v>
      </c>
      <c r="B1392" s="11"/>
      <c r="C1392" s="12" t="s">
        <v>5</v>
      </c>
      <c r="D1392" s="12" t="s">
        <v>6</v>
      </c>
      <c r="E1392" s="12" t="s">
        <v>113</v>
      </c>
      <c r="F1392" s="13"/>
    </row>
    <row r="1393" spans="1:6" x14ac:dyDescent="0.2">
      <c r="A1393" s="12" t="s">
        <v>1139</v>
      </c>
      <c r="B1393" s="11"/>
      <c r="C1393" s="12" t="s">
        <v>5</v>
      </c>
      <c r="D1393" s="12" t="s">
        <v>21</v>
      </c>
      <c r="E1393" s="12" t="s">
        <v>3841</v>
      </c>
      <c r="F1393" s="13"/>
    </row>
    <row r="1394" spans="1:6" x14ac:dyDescent="0.2">
      <c r="A1394" s="12" t="s">
        <v>1139</v>
      </c>
      <c r="B1394" s="11"/>
      <c r="C1394" s="12" t="s">
        <v>5</v>
      </c>
      <c r="D1394" s="12" t="s">
        <v>21</v>
      </c>
      <c r="E1394" s="12" t="s">
        <v>3841</v>
      </c>
      <c r="F1394" s="13"/>
    </row>
    <row r="1395" spans="1:6" x14ac:dyDescent="0.2">
      <c r="A1395" s="12" t="s">
        <v>1139</v>
      </c>
      <c r="B1395" s="11"/>
      <c r="C1395" s="12" t="s">
        <v>5</v>
      </c>
      <c r="D1395" s="12" t="s">
        <v>21</v>
      </c>
      <c r="E1395" s="12" t="s">
        <v>3844</v>
      </c>
      <c r="F1395" s="13"/>
    </row>
    <row r="1396" spans="1:6" x14ac:dyDescent="0.2">
      <c r="A1396" s="12" t="s">
        <v>1139</v>
      </c>
      <c r="B1396" s="11"/>
      <c r="C1396" s="12" t="s">
        <v>5</v>
      </c>
      <c r="D1396" s="12" t="s">
        <v>21</v>
      </c>
      <c r="E1396" s="12" t="s">
        <v>3844</v>
      </c>
      <c r="F1396" s="13"/>
    </row>
    <row r="1397" spans="1:6" x14ac:dyDescent="0.2">
      <c r="A1397" s="12" t="s">
        <v>1922</v>
      </c>
      <c r="B1397" s="11"/>
      <c r="C1397" s="12" t="s">
        <v>5</v>
      </c>
      <c r="D1397" s="12" t="s">
        <v>21</v>
      </c>
      <c r="E1397" s="12" t="s">
        <v>3847</v>
      </c>
      <c r="F1397" s="13"/>
    </row>
    <row r="1398" spans="1:6" x14ac:dyDescent="0.2">
      <c r="A1398" s="12" t="s">
        <v>1922</v>
      </c>
      <c r="B1398" s="11"/>
      <c r="C1398" s="12" t="s">
        <v>5</v>
      </c>
      <c r="D1398" s="12" t="s">
        <v>21</v>
      </c>
      <c r="E1398" s="12" t="s">
        <v>3847</v>
      </c>
      <c r="F1398" s="13"/>
    </row>
    <row r="1399" spans="1:6" x14ac:dyDescent="0.2">
      <c r="A1399" s="12" t="s">
        <v>1135</v>
      </c>
      <c r="B1399" s="11"/>
      <c r="C1399" s="12" t="s">
        <v>5</v>
      </c>
      <c r="D1399" s="12" t="s">
        <v>21</v>
      </c>
      <c r="E1399" s="12" t="s">
        <v>3850</v>
      </c>
      <c r="F1399" s="13"/>
    </row>
    <row r="1400" spans="1:6" x14ac:dyDescent="0.2">
      <c r="A1400" s="12" t="s">
        <v>1135</v>
      </c>
      <c r="B1400" s="11"/>
      <c r="C1400" s="12" t="s">
        <v>5</v>
      </c>
      <c r="D1400" s="12" t="s">
        <v>21</v>
      </c>
      <c r="E1400" s="12" t="s">
        <v>3850</v>
      </c>
      <c r="F1400" s="13"/>
    </row>
    <row r="1401" spans="1:6" x14ac:dyDescent="0.2">
      <c r="A1401" s="12" t="s">
        <v>285</v>
      </c>
      <c r="B1401" s="11"/>
      <c r="C1401" s="12" t="s">
        <v>5</v>
      </c>
      <c r="D1401" s="12" t="s">
        <v>17</v>
      </c>
      <c r="E1401" s="12" t="s">
        <v>3853</v>
      </c>
      <c r="F1401" s="13"/>
    </row>
    <row r="1402" spans="1:6" x14ac:dyDescent="0.2">
      <c r="A1402" s="12" t="s">
        <v>285</v>
      </c>
      <c r="B1402" s="11"/>
      <c r="C1402" s="12" t="s">
        <v>5</v>
      </c>
      <c r="D1402" s="12" t="s">
        <v>17</v>
      </c>
      <c r="E1402" s="12" t="s">
        <v>3853</v>
      </c>
      <c r="F1402" s="13"/>
    </row>
    <row r="1403" spans="1:6" x14ac:dyDescent="0.2">
      <c r="A1403" s="12" t="s">
        <v>285</v>
      </c>
      <c r="B1403" s="11"/>
      <c r="C1403" s="12" t="s">
        <v>5</v>
      </c>
      <c r="D1403" s="12" t="s">
        <v>17</v>
      </c>
      <c r="E1403" s="12" t="s">
        <v>3856</v>
      </c>
      <c r="F1403" s="13"/>
    </row>
    <row r="1404" spans="1:6" x14ac:dyDescent="0.2">
      <c r="A1404" s="12" t="s">
        <v>285</v>
      </c>
      <c r="B1404" s="11"/>
      <c r="C1404" s="12" t="s">
        <v>5</v>
      </c>
      <c r="D1404" s="12" t="s">
        <v>17</v>
      </c>
      <c r="E1404" s="12" t="s">
        <v>3856</v>
      </c>
      <c r="F1404" s="13"/>
    </row>
    <row r="1405" spans="1:6" x14ac:dyDescent="0.2">
      <c r="A1405" s="12" t="s">
        <v>476</v>
      </c>
      <c r="B1405" s="11"/>
      <c r="C1405" s="12" t="s">
        <v>5</v>
      </c>
      <c r="D1405" s="12" t="s">
        <v>17</v>
      </c>
      <c r="E1405" s="12" t="s">
        <v>3859</v>
      </c>
      <c r="F1405" s="13"/>
    </row>
    <row r="1406" spans="1:6" x14ac:dyDescent="0.2">
      <c r="A1406" s="12" t="s">
        <v>476</v>
      </c>
      <c r="B1406" s="11"/>
      <c r="C1406" s="12" t="s">
        <v>5</v>
      </c>
      <c r="D1406" s="12" t="s">
        <v>17</v>
      </c>
      <c r="E1406" s="12" t="s">
        <v>3859</v>
      </c>
      <c r="F1406" s="13"/>
    </row>
    <row r="1407" spans="1:6" x14ac:dyDescent="0.2">
      <c r="A1407" s="12" t="s">
        <v>1152</v>
      </c>
      <c r="B1407" s="11"/>
      <c r="C1407" s="12" t="s">
        <v>5</v>
      </c>
      <c r="D1407" s="12" t="s">
        <v>17</v>
      </c>
      <c r="E1407" s="12" t="s">
        <v>3862</v>
      </c>
      <c r="F1407" s="13"/>
    </row>
    <row r="1408" spans="1:6" x14ac:dyDescent="0.2">
      <c r="A1408" s="12" t="s">
        <v>662</v>
      </c>
      <c r="B1408" s="11"/>
      <c r="C1408" s="12" t="s">
        <v>5</v>
      </c>
      <c r="D1408" s="12" t="s">
        <v>17</v>
      </c>
      <c r="E1408" s="12" t="s">
        <v>3864</v>
      </c>
      <c r="F1408" s="13"/>
    </row>
    <row r="1409" spans="1:6" x14ac:dyDescent="0.2">
      <c r="A1409" s="12" t="s">
        <v>662</v>
      </c>
      <c r="B1409" s="11"/>
      <c r="C1409" s="12" t="s">
        <v>5</v>
      </c>
      <c r="D1409" s="12" t="s">
        <v>17</v>
      </c>
      <c r="E1409" s="12" t="s">
        <v>3864</v>
      </c>
      <c r="F1409" s="13"/>
    </row>
    <row r="1410" spans="1:6" x14ac:dyDescent="0.2">
      <c r="A1410" s="12" t="s">
        <v>845</v>
      </c>
      <c r="B1410" s="11"/>
      <c r="C1410" s="12" t="s">
        <v>5</v>
      </c>
      <c r="D1410" s="12" t="s">
        <v>17</v>
      </c>
      <c r="E1410" s="12" t="s">
        <v>3867</v>
      </c>
      <c r="F1410" s="13"/>
    </row>
    <row r="1411" spans="1:6" x14ac:dyDescent="0.2">
      <c r="A1411" s="12" t="s">
        <v>845</v>
      </c>
      <c r="B1411" s="11"/>
      <c r="C1411" s="12" t="s">
        <v>5</v>
      </c>
      <c r="D1411" s="12" t="s">
        <v>17</v>
      </c>
      <c r="E1411" s="12" t="s">
        <v>3867</v>
      </c>
      <c r="F1411" s="13"/>
    </row>
    <row r="1412" spans="1:6" x14ac:dyDescent="0.2">
      <c r="A1412" s="12" t="s">
        <v>2251</v>
      </c>
      <c r="B1412" s="11"/>
      <c r="C1412" s="12" t="s">
        <v>5</v>
      </c>
      <c r="D1412" s="12" t="s">
        <v>6</v>
      </c>
      <c r="E1412" s="12" t="s">
        <v>3870</v>
      </c>
      <c r="F1412" s="47"/>
    </row>
    <row r="1413" spans="1:6" x14ac:dyDescent="0.2">
      <c r="A1413" s="12" t="s">
        <v>1569</v>
      </c>
      <c r="B1413" s="11"/>
      <c r="C1413" s="12" t="s">
        <v>5</v>
      </c>
      <c r="D1413" s="12" t="s">
        <v>6</v>
      </c>
      <c r="E1413" s="12" t="s">
        <v>3871</v>
      </c>
      <c r="F1413" s="13"/>
    </row>
    <row r="1414" spans="1:6" x14ac:dyDescent="0.2">
      <c r="A1414" s="12" t="s">
        <v>0</v>
      </c>
      <c r="B1414" s="11"/>
      <c r="C1414" s="12" t="s">
        <v>5</v>
      </c>
      <c r="D1414" s="12" t="s">
        <v>6</v>
      </c>
      <c r="E1414" s="12" t="s">
        <v>116</v>
      </c>
      <c r="F1414" s="13"/>
    </row>
    <row r="1415" spans="1:6" x14ac:dyDescent="0.2">
      <c r="A1415" s="12" t="s">
        <v>0</v>
      </c>
      <c r="B1415" s="11"/>
      <c r="C1415" s="12" t="s">
        <v>5</v>
      </c>
      <c r="D1415" s="12" t="s">
        <v>6</v>
      </c>
      <c r="E1415" s="12" t="s">
        <v>116</v>
      </c>
      <c r="F1415" s="13"/>
    </row>
    <row r="1416" spans="1:6" x14ac:dyDescent="0.2">
      <c r="A1416" s="12" t="s">
        <v>672</v>
      </c>
      <c r="B1416" s="11"/>
      <c r="C1416" s="12" t="s">
        <v>5</v>
      </c>
      <c r="D1416" s="12" t="s">
        <v>6</v>
      </c>
      <c r="E1416" s="12" t="s">
        <v>3873</v>
      </c>
      <c r="F1416" s="13"/>
    </row>
    <row r="1417" spans="1:6" x14ac:dyDescent="0.2">
      <c r="A1417" s="12" t="s">
        <v>672</v>
      </c>
      <c r="B1417" s="11"/>
      <c r="C1417" s="12" t="s">
        <v>5</v>
      </c>
      <c r="D1417" s="12" t="s">
        <v>6</v>
      </c>
      <c r="E1417" s="12" t="s">
        <v>3873</v>
      </c>
      <c r="F1417" s="13"/>
    </row>
    <row r="1418" spans="1:6" x14ac:dyDescent="0.2">
      <c r="A1418" s="12" t="s">
        <v>2043</v>
      </c>
      <c r="B1418" s="11"/>
      <c r="C1418" s="12" t="s">
        <v>5</v>
      </c>
      <c r="D1418" s="12" t="s">
        <v>6</v>
      </c>
      <c r="E1418" s="12" t="s">
        <v>3876</v>
      </c>
      <c r="F1418" s="13"/>
    </row>
    <row r="1419" spans="1:6" x14ac:dyDescent="0.2">
      <c r="A1419" s="12" t="s">
        <v>2043</v>
      </c>
      <c r="B1419" s="11"/>
      <c r="C1419" s="12" t="s">
        <v>5</v>
      </c>
      <c r="D1419" s="12" t="s">
        <v>6</v>
      </c>
      <c r="E1419" s="12" t="s">
        <v>3876</v>
      </c>
      <c r="F1419" s="13"/>
    </row>
    <row r="1420" spans="1:6" x14ac:dyDescent="0.2">
      <c r="A1420" s="12" t="s">
        <v>629</v>
      </c>
      <c r="B1420" s="11"/>
      <c r="C1420" s="12" t="s">
        <v>5</v>
      </c>
      <c r="D1420" s="12" t="s">
        <v>6</v>
      </c>
      <c r="E1420" s="12" t="s">
        <v>3879</v>
      </c>
      <c r="F1420" s="13"/>
    </row>
    <row r="1421" spans="1:6" x14ac:dyDescent="0.2">
      <c r="A1421" s="12" t="s">
        <v>629</v>
      </c>
      <c r="B1421" s="11"/>
      <c r="C1421" s="12" t="s">
        <v>5</v>
      </c>
      <c r="D1421" s="12" t="s">
        <v>6</v>
      </c>
      <c r="E1421" s="12" t="s">
        <v>3879</v>
      </c>
      <c r="F1421" s="13"/>
    </row>
    <row r="1422" spans="1:6" x14ac:dyDescent="0.2">
      <c r="A1422" s="12" t="s">
        <v>1135</v>
      </c>
      <c r="B1422" s="11"/>
      <c r="C1422" s="12" t="s">
        <v>5</v>
      </c>
      <c r="D1422" s="12" t="s">
        <v>21</v>
      </c>
      <c r="E1422" s="12" t="s">
        <v>3882</v>
      </c>
      <c r="F1422" s="13"/>
    </row>
    <row r="1423" spans="1:6" x14ac:dyDescent="0.2">
      <c r="A1423" s="12" t="s">
        <v>1135</v>
      </c>
      <c r="B1423" s="11"/>
      <c r="C1423" s="12" t="s">
        <v>5</v>
      </c>
      <c r="D1423" s="12" t="s">
        <v>21</v>
      </c>
      <c r="E1423" s="12" t="s">
        <v>3882</v>
      </c>
      <c r="F1423" s="13"/>
    </row>
    <row r="1424" spans="1:6" x14ac:dyDescent="0.2">
      <c r="A1424" s="12" t="s">
        <v>2005</v>
      </c>
      <c r="B1424" s="11"/>
      <c r="C1424" s="12" t="s">
        <v>5</v>
      </c>
      <c r="D1424" s="12" t="s">
        <v>21</v>
      </c>
      <c r="E1424" s="12" t="s">
        <v>3885</v>
      </c>
      <c r="F1424" s="13"/>
    </row>
    <row r="1425" spans="1:6" x14ac:dyDescent="0.2">
      <c r="A1425" s="12" t="s">
        <v>1139</v>
      </c>
      <c r="B1425" s="11"/>
      <c r="C1425" s="12" t="s">
        <v>5</v>
      </c>
      <c r="D1425" s="12" t="s">
        <v>21</v>
      </c>
      <c r="E1425" s="12" t="s">
        <v>3888</v>
      </c>
      <c r="F1425" s="13"/>
    </row>
    <row r="1426" spans="1:6" x14ac:dyDescent="0.2">
      <c r="A1426" s="12" t="s">
        <v>1139</v>
      </c>
      <c r="B1426" s="11"/>
      <c r="C1426" s="12" t="s">
        <v>5</v>
      </c>
      <c r="D1426" s="12" t="s">
        <v>21</v>
      </c>
      <c r="E1426" s="12" t="s">
        <v>3888</v>
      </c>
      <c r="F1426" s="13"/>
    </row>
    <row r="1427" spans="1:6" x14ac:dyDescent="0.2">
      <c r="A1427" s="12" t="s">
        <v>0</v>
      </c>
      <c r="B1427" s="11"/>
      <c r="C1427" s="12" t="s">
        <v>5</v>
      </c>
      <c r="D1427" s="12" t="s">
        <v>21</v>
      </c>
      <c r="E1427" s="12" t="s">
        <v>119</v>
      </c>
      <c r="F1427" s="13"/>
    </row>
    <row r="1428" spans="1:6" x14ac:dyDescent="0.2">
      <c r="A1428" s="12" t="s">
        <v>0</v>
      </c>
      <c r="B1428" s="11"/>
      <c r="C1428" s="12" t="s">
        <v>5</v>
      </c>
      <c r="D1428" s="12" t="s">
        <v>21</v>
      </c>
      <c r="E1428" s="12" t="s">
        <v>119</v>
      </c>
      <c r="F1428" s="13"/>
    </row>
    <row r="1429" spans="1:6" x14ac:dyDescent="0.2">
      <c r="A1429" s="12" t="s">
        <v>2251</v>
      </c>
      <c r="B1429" s="11"/>
      <c r="C1429" s="12" t="s">
        <v>208</v>
      </c>
      <c r="D1429" s="12" t="s">
        <v>209</v>
      </c>
      <c r="E1429" s="12" t="s">
        <v>5698</v>
      </c>
      <c r="F1429" s="47"/>
    </row>
    <row r="1430" spans="1:6" x14ac:dyDescent="0.2">
      <c r="A1430" s="12" t="s">
        <v>1963</v>
      </c>
      <c r="B1430" s="11"/>
      <c r="C1430" s="12" t="s">
        <v>16</v>
      </c>
      <c r="D1430" s="12" t="s">
        <v>17</v>
      </c>
      <c r="E1430" s="12" t="s">
        <v>5013</v>
      </c>
      <c r="F1430" s="13"/>
    </row>
    <row r="1431" spans="1:6" x14ac:dyDescent="0.2">
      <c r="A1431" s="12" t="s">
        <v>317</v>
      </c>
      <c r="B1431" s="11"/>
      <c r="C1431" s="12" t="s">
        <v>16</v>
      </c>
      <c r="D1431" s="12" t="s">
        <v>6</v>
      </c>
      <c r="E1431" s="12" t="s">
        <v>5016</v>
      </c>
      <c r="F1431" s="13"/>
    </row>
    <row r="1432" spans="1:6" x14ac:dyDescent="0.2">
      <c r="A1432" s="12" t="s">
        <v>2046</v>
      </c>
      <c r="B1432" s="11"/>
      <c r="C1432" s="12" t="s">
        <v>16</v>
      </c>
      <c r="D1432" s="12" t="s">
        <v>6</v>
      </c>
      <c r="E1432" s="12" t="s">
        <v>5018</v>
      </c>
      <c r="F1432" s="13"/>
    </row>
    <row r="1433" spans="1:6" x14ac:dyDescent="0.2">
      <c r="A1433" s="12" t="s">
        <v>2251</v>
      </c>
      <c r="B1433" s="11"/>
      <c r="C1433" s="12" t="s">
        <v>16</v>
      </c>
      <c r="D1433" s="12" t="s">
        <v>6</v>
      </c>
      <c r="E1433" s="12" t="s">
        <v>5020</v>
      </c>
      <c r="F1433" s="47"/>
    </row>
    <row r="1434" spans="1:6" x14ac:dyDescent="0.2">
      <c r="A1434" s="12" t="s">
        <v>2001</v>
      </c>
      <c r="B1434" s="11"/>
      <c r="C1434" s="12" t="s">
        <v>16</v>
      </c>
      <c r="D1434" s="12" t="s">
        <v>6</v>
      </c>
      <c r="E1434" s="12" t="s">
        <v>5021</v>
      </c>
      <c r="F1434" s="13"/>
    </row>
    <row r="1435" spans="1:6" x14ac:dyDescent="0.2">
      <c r="A1435" s="12" t="s">
        <v>709</v>
      </c>
      <c r="B1435" s="11"/>
      <c r="C1435" s="12" t="s">
        <v>16</v>
      </c>
      <c r="D1435" s="12" t="s">
        <v>6</v>
      </c>
      <c r="E1435" s="12" t="s">
        <v>5024</v>
      </c>
      <c r="F1435" s="13"/>
    </row>
    <row r="1436" spans="1:6" x14ac:dyDescent="0.2">
      <c r="A1436" s="12" t="s">
        <v>623</v>
      </c>
      <c r="B1436" s="11"/>
      <c r="C1436" s="12" t="s">
        <v>16</v>
      </c>
      <c r="D1436" s="12" t="s">
        <v>6</v>
      </c>
      <c r="E1436" s="12" t="s">
        <v>5026</v>
      </c>
      <c r="F1436" s="13"/>
    </row>
    <row r="1437" spans="1:6" x14ac:dyDescent="0.2">
      <c r="A1437" s="12" t="s">
        <v>709</v>
      </c>
      <c r="B1437" s="11"/>
      <c r="C1437" s="12" t="s">
        <v>16</v>
      </c>
      <c r="D1437" s="12" t="s">
        <v>6</v>
      </c>
      <c r="E1437" s="12" t="s">
        <v>5028</v>
      </c>
      <c r="F1437" s="13"/>
    </row>
    <row r="1438" spans="1:6" x14ac:dyDescent="0.2">
      <c r="A1438" s="12" t="s">
        <v>2251</v>
      </c>
      <c r="B1438" s="11"/>
      <c r="C1438" s="12" t="s">
        <v>16</v>
      </c>
      <c r="D1438" s="12" t="s">
        <v>6</v>
      </c>
      <c r="E1438" s="12" t="s">
        <v>5030</v>
      </c>
      <c r="F1438" s="47"/>
    </row>
    <row r="1439" spans="1:6" x14ac:dyDescent="0.2">
      <c r="A1439" s="12" t="s">
        <v>909</v>
      </c>
      <c r="B1439" s="11"/>
      <c r="C1439" s="12" t="s">
        <v>16</v>
      </c>
      <c r="D1439" s="12" t="s">
        <v>6</v>
      </c>
      <c r="E1439" s="12" t="s">
        <v>5031</v>
      </c>
      <c r="F1439" s="47"/>
    </row>
    <row r="1440" spans="1:6" x14ac:dyDescent="0.2">
      <c r="A1440" s="12" t="s">
        <v>1248</v>
      </c>
      <c r="B1440" s="11"/>
      <c r="C1440" s="12" t="s">
        <v>16</v>
      </c>
      <c r="D1440" s="12" t="s">
        <v>21</v>
      </c>
      <c r="E1440" s="12" t="s">
        <v>5034</v>
      </c>
      <c r="F1440" s="13"/>
    </row>
    <row r="1441" spans="1:6" x14ac:dyDescent="0.2">
      <c r="A1441" s="12" t="s">
        <v>1884</v>
      </c>
      <c r="B1441" s="11"/>
      <c r="C1441" s="12" t="s">
        <v>16</v>
      </c>
      <c r="D1441" s="12" t="s">
        <v>17</v>
      </c>
      <c r="E1441" s="12" t="s">
        <v>5036</v>
      </c>
      <c r="F1441" s="13"/>
    </row>
    <row r="1442" spans="1:6" x14ac:dyDescent="0.2">
      <c r="A1442" s="12" t="s">
        <v>1135</v>
      </c>
      <c r="B1442" s="11"/>
      <c r="C1442" s="12" t="s">
        <v>16</v>
      </c>
      <c r="D1442" s="12" t="s">
        <v>21</v>
      </c>
      <c r="E1442" s="12" t="s">
        <v>5038</v>
      </c>
      <c r="F1442" s="13"/>
    </row>
    <row r="1443" spans="1:6" x14ac:dyDescent="0.2">
      <c r="A1443" s="12" t="s">
        <v>1854</v>
      </c>
      <c r="B1443" s="11"/>
      <c r="C1443" s="12" t="s">
        <v>16</v>
      </c>
      <c r="D1443" s="12" t="s">
        <v>17</v>
      </c>
      <c r="E1443" s="12" t="s">
        <v>5040</v>
      </c>
      <c r="F1443" s="13"/>
    </row>
    <row r="1444" spans="1:6" x14ac:dyDescent="0.2">
      <c r="A1444" s="12" t="s">
        <v>845</v>
      </c>
      <c r="B1444" s="11"/>
      <c r="C1444" s="12" t="s">
        <v>16</v>
      </c>
      <c r="D1444" s="12" t="s">
        <v>17</v>
      </c>
      <c r="E1444" s="12" t="s">
        <v>4983</v>
      </c>
      <c r="F1444" s="13"/>
    </row>
    <row r="1445" spans="1:6" x14ac:dyDescent="0.2">
      <c r="A1445" s="12" t="s">
        <v>863</v>
      </c>
      <c r="B1445" s="11"/>
      <c r="C1445" s="12" t="s">
        <v>16</v>
      </c>
      <c r="D1445" s="12" t="s">
        <v>17</v>
      </c>
      <c r="E1445" s="12" t="s">
        <v>4985</v>
      </c>
      <c r="F1445" s="13"/>
    </row>
    <row r="1446" spans="1:6" x14ac:dyDescent="0.2">
      <c r="A1446" s="12" t="s">
        <v>715</v>
      </c>
      <c r="B1446" s="11"/>
      <c r="C1446" s="12" t="s">
        <v>16</v>
      </c>
      <c r="D1446" s="12" t="s">
        <v>6</v>
      </c>
      <c r="E1446" s="12" t="s">
        <v>4987</v>
      </c>
      <c r="F1446" s="13"/>
    </row>
    <row r="1447" spans="1:6" x14ac:dyDescent="0.2">
      <c r="A1447" s="12" t="s">
        <v>1294</v>
      </c>
      <c r="B1447" s="11"/>
      <c r="C1447" s="12" t="s">
        <v>16</v>
      </c>
      <c r="D1447" s="12" t="s">
        <v>17</v>
      </c>
      <c r="E1447" s="12" t="s">
        <v>4989</v>
      </c>
      <c r="F1447" s="13"/>
    </row>
    <row r="1448" spans="1:6" x14ac:dyDescent="0.2">
      <c r="A1448" s="12" t="s">
        <v>1555</v>
      </c>
      <c r="B1448" s="11"/>
      <c r="C1448" s="12" t="s">
        <v>16</v>
      </c>
      <c r="D1448" s="12" t="s">
        <v>6</v>
      </c>
      <c r="E1448" s="12" t="s">
        <v>4992</v>
      </c>
      <c r="F1448" s="13"/>
    </row>
    <row r="1449" spans="1:6" x14ac:dyDescent="0.2">
      <c r="A1449" s="12" t="s">
        <v>837</v>
      </c>
      <c r="B1449" s="11"/>
      <c r="C1449" s="12" t="s">
        <v>16</v>
      </c>
      <c r="D1449" s="12" t="s">
        <v>6</v>
      </c>
      <c r="E1449" s="12" t="s">
        <v>4994</v>
      </c>
      <c r="F1449" s="13"/>
    </row>
    <row r="1450" spans="1:6" x14ac:dyDescent="0.2">
      <c r="A1450" s="12" t="s">
        <v>2251</v>
      </c>
      <c r="B1450" s="11"/>
      <c r="C1450" s="12" t="s">
        <v>16</v>
      </c>
      <c r="D1450" s="12" t="s">
        <v>21</v>
      </c>
      <c r="E1450" s="12" t="s">
        <v>4996</v>
      </c>
      <c r="F1450" s="47"/>
    </row>
    <row r="1451" spans="1:6" x14ac:dyDescent="0.2">
      <c r="A1451" s="12" t="s">
        <v>1873</v>
      </c>
      <c r="B1451" s="11"/>
      <c r="C1451" s="12" t="s">
        <v>16</v>
      </c>
      <c r="D1451" s="12" t="s">
        <v>21</v>
      </c>
      <c r="E1451" s="12" t="s">
        <v>4997</v>
      </c>
      <c r="F1451" s="13"/>
    </row>
    <row r="1452" spans="1:6" x14ac:dyDescent="0.2">
      <c r="A1452" s="12" t="s">
        <v>635</v>
      </c>
      <c r="B1452" s="11"/>
      <c r="C1452" s="12" t="s">
        <v>16</v>
      </c>
      <c r="D1452" s="12" t="s">
        <v>21</v>
      </c>
      <c r="E1452" s="12" t="s">
        <v>4999</v>
      </c>
      <c r="F1452" s="13"/>
    </row>
    <row r="1453" spans="1:6" x14ac:dyDescent="0.2">
      <c r="A1453" s="12" t="s">
        <v>796</v>
      </c>
      <c r="B1453" s="11"/>
      <c r="C1453" s="12" t="s">
        <v>16</v>
      </c>
      <c r="D1453" s="12" t="s">
        <v>21</v>
      </c>
      <c r="E1453" s="12" t="s">
        <v>5001</v>
      </c>
      <c r="F1453" s="13"/>
    </row>
    <row r="1454" spans="1:6" x14ac:dyDescent="0.2">
      <c r="A1454" s="12" t="s">
        <v>1022</v>
      </c>
      <c r="B1454" s="11"/>
      <c r="C1454" s="12" t="s">
        <v>16</v>
      </c>
      <c r="D1454" s="12" t="s">
        <v>21</v>
      </c>
      <c r="E1454" s="12" t="s">
        <v>5003</v>
      </c>
      <c r="F1454" s="13"/>
    </row>
    <row r="1455" spans="1:6" x14ac:dyDescent="0.2">
      <c r="A1455" s="12" t="s">
        <v>796</v>
      </c>
      <c r="B1455" s="11"/>
      <c r="C1455" s="12" t="s">
        <v>16</v>
      </c>
      <c r="D1455" s="12" t="s">
        <v>21</v>
      </c>
      <c r="E1455" s="12" t="s">
        <v>5005</v>
      </c>
      <c r="F1455" s="13"/>
    </row>
    <row r="1456" spans="1:6" x14ac:dyDescent="0.2">
      <c r="A1456" s="12" t="s">
        <v>1135</v>
      </c>
      <c r="B1456" s="11"/>
      <c r="C1456" s="12" t="s">
        <v>16</v>
      </c>
      <c r="D1456" s="12" t="s">
        <v>21</v>
      </c>
      <c r="E1456" s="12" t="s">
        <v>5007</v>
      </c>
      <c r="F1456" s="13"/>
    </row>
    <row r="1457" spans="1:6" x14ac:dyDescent="0.2">
      <c r="A1457" s="12" t="s">
        <v>0</v>
      </c>
      <c r="B1457" s="11"/>
      <c r="C1457" s="12" t="s">
        <v>16</v>
      </c>
      <c r="D1457" s="12" t="s">
        <v>21</v>
      </c>
      <c r="E1457" s="12" t="s">
        <v>125</v>
      </c>
      <c r="F1457" s="13"/>
    </row>
    <row r="1458" spans="1:6" x14ac:dyDescent="0.2">
      <c r="A1458" s="12" t="s">
        <v>263</v>
      </c>
      <c r="B1458" s="11"/>
      <c r="C1458" s="12" t="s">
        <v>16</v>
      </c>
      <c r="D1458" s="12" t="s">
        <v>21</v>
      </c>
      <c r="E1458" s="12" t="s">
        <v>5009</v>
      </c>
      <c r="F1458" s="13"/>
    </row>
    <row r="1459" spans="1:6" x14ac:dyDescent="0.2">
      <c r="A1459" s="12" t="s">
        <v>1135</v>
      </c>
      <c r="B1459" s="11"/>
      <c r="C1459" s="12" t="s">
        <v>16</v>
      </c>
      <c r="D1459" s="12" t="s">
        <v>21</v>
      </c>
      <c r="E1459" s="12" t="s">
        <v>5011</v>
      </c>
      <c r="F1459" s="13"/>
    </row>
    <row r="1460" spans="1:6" x14ac:dyDescent="0.2">
      <c r="A1460" s="12" t="s">
        <v>2142</v>
      </c>
      <c r="B1460" s="11"/>
      <c r="C1460" s="12" t="s">
        <v>16</v>
      </c>
      <c r="D1460" s="12" t="s">
        <v>17</v>
      </c>
      <c r="E1460" s="12" t="s">
        <v>5043</v>
      </c>
      <c r="F1460" s="13"/>
    </row>
    <row r="1461" spans="1:6" x14ac:dyDescent="0.2">
      <c r="A1461" s="12" t="s">
        <v>863</v>
      </c>
      <c r="B1461" s="11"/>
      <c r="C1461" s="12" t="s">
        <v>16</v>
      </c>
      <c r="D1461" s="12" t="s">
        <v>17</v>
      </c>
      <c r="E1461" s="12" t="s">
        <v>5045</v>
      </c>
      <c r="F1461" s="13"/>
    </row>
    <row r="1462" spans="1:6" x14ac:dyDescent="0.2">
      <c r="A1462" s="12" t="s">
        <v>2196</v>
      </c>
      <c r="B1462" s="11"/>
      <c r="C1462" s="12" t="s">
        <v>16</v>
      </c>
      <c r="D1462" s="12" t="s">
        <v>17</v>
      </c>
      <c r="E1462" s="12" t="s">
        <v>5047</v>
      </c>
      <c r="F1462" s="13"/>
    </row>
    <row r="1463" spans="1:6" x14ac:dyDescent="0.2">
      <c r="A1463" s="12" t="s">
        <v>863</v>
      </c>
      <c r="B1463" s="11"/>
      <c r="C1463" s="12" t="s">
        <v>16</v>
      </c>
      <c r="D1463" s="12" t="s">
        <v>17</v>
      </c>
      <c r="E1463" s="12" t="s">
        <v>5049</v>
      </c>
      <c r="F1463" s="13"/>
    </row>
    <row r="1464" spans="1:6" x14ac:dyDescent="0.2">
      <c r="A1464" s="12" t="s">
        <v>2050</v>
      </c>
      <c r="B1464" s="11"/>
      <c r="C1464" s="12" t="s">
        <v>16</v>
      </c>
      <c r="D1464" s="12" t="s">
        <v>6</v>
      </c>
      <c r="E1464" s="12" t="s">
        <v>5051</v>
      </c>
      <c r="F1464" s="13"/>
    </row>
    <row r="1465" spans="1:6" x14ac:dyDescent="0.2">
      <c r="A1465" s="12" t="s">
        <v>1225</v>
      </c>
      <c r="B1465" s="11"/>
      <c r="C1465" s="12" t="s">
        <v>16</v>
      </c>
      <c r="D1465" s="12" t="s">
        <v>6</v>
      </c>
      <c r="E1465" s="12" t="s">
        <v>5053</v>
      </c>
      <c r="F1465" s="13"/>
    </row>
    <row r="1466" spans="1:6" x14ac:dyDescent="0.2">
      <c r="A1466" s="12" t="s">
        <v>796</v>
      </c>
      <c r="B1466" s="11"/>
      <c r="C1466" s="12" t="s">
        <v>16</v>
      </c>
      <c r="D1466" s="12" t="s">
        <v>21</v>
      </c>
      <c r="E1466" s="12" t="s">
        <v>5055</v>
      </c>
      <c r="F1466" s="13"/>
    </row>
    <row r="1467" spans="1:6" x14ac:dyDescent="0.2">
      <c r="A1467" s="12" t="s">
        <v>678</v>
      </c>
      <c r="B1467" s="11"/>
      <c r="C1467" s="12" t="s">
        <v>16</v>
      </c>
      <c r="D1467" s="12" t="s">
        <v>21</v>
      </c>
      <c r="E1467" s="12" t="s">
        <v>5057</v>
      </c>
      <c r="F1467" s="13"/>
    </row>
    <row r="1468" spans="1:6" x14ac:dyDescent="0.2">
      <c r="A1468" s="12" t="s">
        <v>1471</v>
      </c>
      <c r="B1468" s="11"/>
      <c r="C1468" s="12" t="s">
        <v>16</v>
      </c>
      <c r="D1468" s="12" t="s">
        <v>21</v>
      </c>
      <c r="E1468" s="12" t="s">
        <v>5059</v>
      </c>
      <c r="F1468" s="13"/>
    </row>
    <row r="1469" spans="1:6" x14ac:dyDescent="0.2">
      <c r="A1469" s="12" t="s">
        <v>334</v>
      </c>
      <c r="B1469" s="11"/>
      <c r="C1469" s="12" t="s">
        <v>16</v>
      </c>
      <c r="D1469" s="12" t="s">
        <v>21</v>
      </c>
      <c r="E1469" s="12" t="s">
        <v>5061</v>
      </c>
      <c r="F1469" s="13"/>
    </row>
    <row r="1470" spans="1:6" x14ac:dyDescent="0.2">
      <c r="A1470" s="12" t="s">
        <v>635</v>
      </c>
      <c r="B1470" s="11"/>
      <c r="C1470" s="12" t="s">
        <v>16</v>
      </c>
      <c r="D1470" s="12" t="s">
        <v>21</v>
      </c>
      <c r="E1470" s="12" t="s">
        <v>5063</v>
      </c>
      <c r="F1470" s="13"/>
    </row>
    <row r="1471" spans="1:6" x14ac:dyDescent="0.2">
      <c r="A1471" s="12" t="s">
        <v>1924</v>
      </c>
      <c r="B1471" s="11"/>
      <c r="C1471" s="12" t="s">
        <v>16</v>
      </c>
      <c r="D1471" s="12" t="s">
        <v>21</v>
      </c>
      <c r="E1471" s="12" t="s">
        <v>5065</v>
      </c>
      <c r="F1471" s="13"/>
    </row>
    <row r="1472" spans="1:6" x14ac:dyDescent="0.2">
      <c r="A1472" s="12" t="s">
        <v>0</v>
      </c>
      <c r="B1472" s="11"/>
      <c r="C1472" s="12" t="s">
        <v>16</v>
      </c>
      <c r="D1472" s="12" t="s">
        <v>21</v>
      </c>
      <c r="E1472" s="12" t="s">
        <v>127</v>
      </c>
      <c r="F1472" s="13"/>
    </row>
    <row r="1473" spans="1:6" x14ac:dyDescent="0.2">
      <c r="A1473" s="12" t="s">
        <v>668</v>
      </c>
      <c r="B1473" s="11"/>
      <c r="C1473" s="12" t="s">
        <v>16</v>
      </c>
      <c r="D1473" s="12" t="s">
        <v>21</v>
      </c>
      <c r="E1473" s="12" t="s">
        <v>5067</v>
      </c>
      <c r="F1473" s="13"/>
    </row>
    <row r="1474" spans="1:6" x14ac:dyDescent="0.2">
      <c r="A1474" s="12" t="s">
        <v>1050</v>
      </c>
      <c r="B1474" s="11"/>
      <c r="C1474" s="12" t="s">
        <v>16</v>
      </c>
      <c r="D1474" s="12" t="s">
        <v>21</v>
      </c>
      <c r="E1474" s="12" t="s">
        <v>5069</v>
      </c>
      <c r="F1474" s="13"/>
    </row>
    <row r="1475" spans="1:6" x14ac:dyDescent="0.2">
      <c r="A1475" s="12" t="s">
        <v>2251</v>
      </c>
      <c r="B1475" s="11"/>
      <c r="C1475" s="12" t="s">
        <v>16</v>
      </c>
      <c r="D1475" s="12" t="s">
        <v>21</v>
      </c>
      <c r="E1475" s="12" t="s">
        <v>5071</v>
      </c>
      <c r="F1475" s="47"/>
    </row>
    <row r="1476" spans="1:6" x14ac:dyDescent="0.2">
      <c r="A1476" s="12" t="s">
        <v>715</v>
      </c>
      <c r="B1476" s="11"/>
      <c r="C1476" s="12" t="s">
        <v>16</v>
      </c>
      <c r="D1476" s="12" t="s">
        <v>17</v>
      </c>
      <c r="E1476" s="12" t="s">
        <v>5072</v>
      </c>
      <c r="F1476" s="13"/>
    </row>
    <row r="1477" spans="1:6" x14ac:dyDescent="0.2">
      <c r="A1477" s="12" t="s">
        <v>514</v>
      </c>
      <c r="B1477" s="11"/>
      <c r="C1477" s="12" t="s">
        <v>16</v>
      </c>
      <c r="D1477" s="12" t="s">
        <v>17</v>
      </c>
      <c r="E1477" s="12" t="s">
        <v>5074</v>
      </c>
      <c r="F1477" s="13"/>
    </row>
    <row r="1478" spans="1:6" x14ac:dyDescent="0.2">
      <c r="A1478" s="12" t="s">
        <v>909</v>
      </c>
      <c r="B1478" s="11"/>
      <c r="C1478" s="12" t="s">
        <v>16</v>
      </c>
      <c r="D1478" s="12" t="s">
        <v>6</v>
      </c>
      <c r="E1478" s="12" t="s">
        <v>5076</v>
      </c>
      <c r="F1478" s="47"/>
    </row>
    <row r="1479" spans="1:6" x14ac:dyDescent="0.2">
      <c r="A1479" s="12" t="s">
        <v>1324</v>
      </c>
      <c r="B1479" s="11"/>
      <c r="C1479" s="12" t="s">
        <v>16</v>
      </c>
      <c r="D1479" s="12" t="s">
        <v>6</v>
      </c>
      <c r="E1479" s="12" t="s">
        <v>5079</v>
      </c>
      <c r="F1479" s="13"/>
    </row>
    <row r="1480" spans="1:6" x14ac:dyDescent="0.2">
      <c r="A1480" s="12" t="s">
        <v>2251</v>
      </c>
      <c r="B1480" s="11"/>
      <c r="C1480" s="12" t="s">
        <v>16</v>
      </c>
      <c r="D1480" s="12" t="s">
        <v>6</v>
      </c>
      <c r="E1480" s="12" t="s">
        <v>5081</v>
      </c>
      <c r="F1480" s="47"/>
    </row>
    <row r="1481" spans="1:6" x14ac:dyDescent="0.2">
      <c r="A1481" s="12" t="s">
        <v>0</v>
      </c>
      <c r="B1481" s="11"/>
      <c r="C1481" s="12" t="s">
        <v>16</v>
      </c>
      <c r="D1481" s="12" t="s">
        <v>6</v>
      </c>
      <c r="E1481" s="12" t="s">
        <v>129</v>
      </c>
      <c r="F1481" s="13"/>
    </row>
    <row r="1482" spans="1:6" x14ac:dyDescent="0.2">
      <c r="A1482" s="12" t="s">
        <v>2251</v>
      </c>
      <c r="B1482" s="11"/>
      <c r="C1482" s="12" t="s">
        <v>16</v>
      </c>
      <c r="D1482" s="12" t="s">
        <v>21</v>
      </c>
      <c r="E1482" s="12" t="s">
        <v>5082</v>
      </c>
      <c r="F1482" s="47"/>
    </row>
    <row r="1483" spans="1:6" x14ac:dyDescent="0.2">
      <c r="A1483" s="12" t="s">
        <v>1331</v>
      </c>
      <c r="B1483" s="11"/>
      <c r="C1483" s="12" t="s">
        <v>16</v>
      </c>
      <c r="D1483" s="12" t="s">
        <v>21</v>
      </c>
      <c r="E1483" s="12" t="s">
        <v>5083</v>
      </c>
      <c r="F1483" s="13"/>
    </row>
    <row r="1484" spans="1:6" x14ac:dyDescent="0.2">
      <c r="A1484" s="12" t="s">
        <v>1471</v>
      </c>
      <c r="B1484" s="11"/>
      <c r="C1484" s="12" t="s">
        <v>16</v>
      </c>
      <c r="D1484" s="12" t="s">
        <v>21</v>
      </c>
      <c r="E1484" s="12" t="s">
        <v>5085</v>
      </c>
      <c r="F1484" s="13"/>
    </row>
    <row r="1485" spans="1:6" x14ac:dyDescent="0.2">
      <c r="A1485" s="12" t="s">
        <v>304</v>
      </c>
      <c r="B1485" s="11"/>
      <c r="C1485" s="12" t="s">
        <v>16</v>
      </c>
      <c r="D1485" s="12" t="s">
        <v>21</v>
      </c>
      <c r="E1485" s="12" t="s">
        <v>5087</v>
      </c>
      <c r="F1485" s="13"/>
    </row>
    <row r="1486" spans="1:6" x14ac:dyDescent="0.2">
      <c r="A1486" s="12" t="s">
        <v>327</v>
      </c>
      <c r="B1486" s="11"/>
      <c r="C1486" s="12" t="s">
        <v>16</v>
      </c>
      <c r="D1486" s="12" t="s">
        <v>21</v>
      </c>
      <c r="E1486" s="12" t="s">
        <v>5089</v>
      </c>
      <c r="F1486" s="13"/>
    </row>
    <row r="1487" spans="1:6" x14ac:dyDescent="0.2">
      <c r="A1487" s="12" t="s">
        <v>715</v>
      </c>
      <c r="B1487" s="11"/>
      <c r="C1487" s="12" t="s">
        <v>16</v>
      </c>
      <c r="D1487" s="12" t="s">
        <v>21</v>
      </c>
      <c r="E1487" s="12" t="s">
        <v>5091</v>
      </c>
      <c r="F1487" s="13"/>
    </row>
    <row r="1488" spans="1:6" x14ac:dyDescent="0.2">
      <c r="A1488" s="12" t="s">
        <v>1471</v>
      </c>
      <c r="B1488" s="11"/>
      <c r="C1488" s="12" t="s">
        <v>16</v>
      </c>
      <c r="D1488" s="12" t="s">
        <v>21</v>
      </c>
      <c r="E1488" s="12" t="s">
        <v>5093</v>
      </c>
      <c r="F1488" s="13"/>
    </row>
    <row r="1489" spans="1:6" x14ac:dyDescent="0.2">
      <c r="A1489" s="12" t="s">
        <v>331</v>
      </c>
      <c r="B1489" s="11"/>
      <c r="C1489" s="12" t="s">
        <v>16</v>
      </c>
      <c r="D1489" s="12" t="s">
        <v>21</v>
      </c>
      <c r="E1489" s="12" t="s">
        <v>5095</v>
      </c>
      <c r="F1489" s="13"/>
    </row>
    <row r="1490" spans="1:6" x14ac:dyDescent="0.2">
      <c r="A1490" s="12" t="s">
        <v>2251</v>
      </c>
      <c r="B1490" s="11"/>
      <c r="C1490" s="12" t="s">
        <v>16</v>
      </c>
      <c r="D1490" s="12" t="s">
        <v>21</v>
      </c>
      <c r="E1490" s="12" t="s">
        <v>5097</v>
      </c>
      <c r="F1490" s="47"/>
    </row>
    <row r="1491" spans="1:6" x14ac:dyDescent="0.2">
      <c r="A1491" s="12" t="s">
        <v>331</v>
      </c>
      <c r="B1491" s="11"/>
      <c r="C1491" s="12" t="s">
        <v>16</v>
      </c>
      <c r="D1491" s="12" t="s">
        <v>21</v>
      </c>
      <c r="E1491" s="12" t="s">
        <v>5098</v>
      </c>
      <c r="F1491" s="13"/>
    </row>
    <row r="1492" spans="1:6" x14ac:dyDescent="0.2">
      <c r="A1492" s="12" t="s">
        <v>845</v>
      </c>
      <c r="B1492" s="11"/>
      <c r="C1492" s="12" t="s">
        <v>16</v>
      </c>
      <c r="D1492" s="12" t="s">
        <v>17</v>
      </c>
      <c r="E1492" s="12" t="s">
        <v>5100</v>
      </c>
      <c r="F1492" s="13"/>
    </row>
    <row r="1493" spans="1:6" x14ac:dyDescent="0.2">
      <c r="A1493" s="12" t="s">
        <v>1857</v>
      </c>
      <c r="B1493" s="11"/>
      <c r="C1493" s="12" t="s">
        <v>16</v>
      </c>
      <c r="D1493" s="12" t="s">
        <v>17</v>
      </c>
      <c r="E1493" s="12" t="s">
        <v>5102</v>
      </c>
      <c r="F1493" s="13"/>
    </row>
    <row r="1494" spans="1:6" x14ac:dyDescent="0.2">
      <c r="A1494" s="12" t="s">
        <v>623</v>
      </c>
      <c r="B1494" s="11"/>
      <c r="C1494" s="12" t="s">
        <v>16</v>
      </c>
      <c r="D1494" s="12" t="s">
        <v>6</v>
      </c>
      <c r="E1494" s="12" t="s">
        <v>5104</v>
      </c>
      <c r="F1494" s="13"/>
    </row>
    <row r="1495" spans="1:6" x14ac:dyDescent="0.2">
      <c r="A1495" s="12" t="s">
        <v>2058</v>
      </c>
      <c r="B1495" s="11"/>
      <c r="C1495" s="12" t="s">
        <v>16</v>
      </c>
      <c r="D1495" s="12" t="s">
        <v>6</v>
      </c>
      <c r="E1495" s="12" t="s">
        <v>5106</v>
      </c>
      <c r="F1495" s="13"/>
    </row>
    <row r="1496" spans="1:6" x14ac:dyDescent="0.2">
      <c r="A1496" s="12" t="s">
        <v>1863</v>
      </c>
      <c r="B1496" s="11"/>
      <c r="C1496" s="12" t="s">
        <v>16</v>
      </c>
      <c r="D1496" s="12" t="s">
        <v>17</v>
      </c>
      <c r="E1496" s="12" t="s">
        <v>5109</v>
      </c>
      <c r="F1496" s="13"/>
    </row>
    <row r="1497" spans="1:6" x14ac:dyDescent="0.2">
      <c r="A1497" s="12" t="s">
        <v>0</v>
      </c>
      <c r="B1497" s="11"/>
      <c r="C1497" s="12" t="s">
        <v>16</v>
      </c>
      <c r="D1497" s="12" t="s">
        <v>6</v>
      </c>
      <c r="E1497" s="12" t="s">
        <v>131</v>
      </c>
      <c r="F1497" s="13"/>
    </row>
    <row r="1498" spans="1:6" x14ac:dyDescent="0.2">
      <c r="A1498" s="12" t="s">
        <v>1873</v>
      </c>
      <c r="B1498" s="11"/>
      <c r="C1498" s="12" t="s">
        <v>16</v>
      </c>
      <c r="D1498" s="12" t="s">
        <v>21</v>
      </c>
      <c r="E1498" s="12" t="s">
        <v>5111</v>
      </c>
      <c r="F1498" s="13"/>
    </row>
    <row r="1499" spans="1:6" x14ac:dyDescent="0.2">
      <c r="A1499" s="12" t="s">
        <v>682</v>
      </c>
      <c r="B1499" s="11"/>
      <c r="C1499" s="12" t="s">
        <v>16</v>
      </c>
      <c r="D1499" s="12" t="s">
        <v>21</v>
      </c>
      <c r="E1499" s="12" t="s">
        <v>5113</v>
      </c>
      <c r="F1499" s="13"/>
    </row>
    <row r="1500" spans="1:6" x14ac:dyDescent="0.2">
      <c r="A1500" s="12" t="s">
        <v>796</v>
      </c>
      <c r="B1500" s="11"/>
      <c r="C1500" s="12" t="s">
        <v>16</v>
      </c>
      <c r="D1500" s="12" t="s">
        <v>21</v>
      </c>
      <c r="E1500" s="12" t="s">
        <v>5115</v>
      </c>
      <c r="F1500" s="13"/>
    </row>
    <row r="1501" spans="1:6" x14ac:dyDescent="0.2">
      <c r="A1501" s="12" t="s">
        <v>285</v>
      </c>
      <c r="B1501" s="11"/>
      <c r="C1501" s="12" t="s">
        <v>16</v>
      </c>
      <c r="D1501" s="12" t="s">
        <v>21</v>
      </c>
      <c r="E1501" s="12" t="s">
        <v>5117</v>
      </c>
      <c r="F1501" s="13"/>
    </row>
    <row r="1502" spans="1:6" x14ac:dyDescent="0.2">
      <c r="A1502" s="12" t="s">
        <v>285</v>
      </c>
      <c r="B1502" s="11"/>
      <c r="C1502" s="12" t="s">
        <v>16</v>
      </c>
      <c r="D1502" s="12" t="s">
        <v>21</v>
      </c>
      <c r="E1502" s="12" t="s">
        <v>5119</v>
      </c>
      <c r="F1502" s="13"/>
    </row>
    <row r="1503" spans="1:6" x14ac:dyDescent="0.2">
      <c r="A1503" s="12" t="s">
        <v>327</v>
      </c>
      <c r="B1503" s="11"/>
      <c r="C1503" s="12" t="s">
        <v>16</v>
      </c>
      <c r="D1503" s="12" t="s">
        <v>21</v>
      </c>
      <c r="E1503" s="12" t="s">
        <v>5121</v>
      </c>
      <c r="F1503" s="13"/>
    </row>
    <row r="1504" spans="1:6" x14ac:dyDescent="0.2">
      <c r="A1504" s="12" t="s">
        <v>327</v>
      </c>
      <c r="B1504" s="11"/>
      <c r="C1504" s="12" t="s">
        <v>16</v>
      </c>
      <c r="D1504" s="12" t="s">
        <v>21</v>
      </c>
      <c r="E1504" s="12" t="s">
        <v>5123</v>
      </c>
      <c r="F1504" s="13"/>
    </row>
    <row r="1505" spans="1:6" x14ac:dyDescent="0.2">
      <c r="A1505" s="12" t="s">
        <v>331</v>
      </c>
      <c r="B1505" s="11"/>
      <c r="C1505" s="12" t="s">
        <v>16</v>
      </c>
      <c r="D1505" s="12" t="s">
        <v>21</v>
      </c>
      <c r="E1505" s="12" t="s">
        <v>5125</v>
      </c>
      <c r="F1505" s="13"/>
    </row>
    <row r="1506" spans="1:6" x14ac:dyDescent="0.2">
      <c r="A1506" s="12" t="s">
        <v>1022</v>
      </c>
      <c r="B1506" s="11"/>
      <c r="C1506" s="12" t="s">
        <v>16</v>
      </c>
      <c r="D1506" s="12" t="s">
        <v>21</v>
      </c>
      <c r="E1506" s="12" t="s">
        <v>5127</v>
      </c>
      <c r="F1506" s="13"/>
    </row>
    <row r="1507" spans="1:6" x14ac:dyDescent="0.2">
      <c r="A1507" s="12" t="s">
        <v>1873</v>
      </c>
      <c r="B1507" s="11"/>
      <c r="C1507" s="12" t="s">
        <v>16</v>
      </c>
      <c r="D1507" s="12" t="s">
        <v>21</v>
      </c>
      <c r="E1507" s="12" t="s">
        <v>5129</v>
      </c>
      <c r="F1507" s="13"/>
    </row>
    <row r="1508" spans="1:6" x14ac:dyDescent="0.2">
      <c r="A1508" s="12" t="s">
        <v>2251</v>
      </c>
      <c r="B1508" s="11"/>
      <c r="C1508" s="12" t="s">
        <v>16</v>
      </c>
      <c r="D1508" s="12" t="s">
        <v>17</v>
      </c>
      <c r="E1508" s="12" t="s">
        <v>5131</v>
      </c>
      <c r="F1508" s="47"/>
    </row>
    <row r="1509" spans="1:6" x14ac:dyDescent="0.2">
      <c r="A1509" s="12" t="s">
        <v>2196</v>
      </c>
      <c r="B1509" s="11"/>
      <c r="C1509" s="12" t="s">
        <v>16</v>
      </c>
      <c r="D1509" s="12" t="s">
        <v>17</v>
      </c>
      <c r="E1509" s="12" t="s">
        <v>5132</v>
      </c>
      <c r="F1509" s="13"/>
    </row>
    <row r="1510" spans="1:6" x14ac:dyDescent="0.2">
      <c r="A1510" s="12" t="s">
        <v>903</v>
      </c>
      <c r="B1510" s="11"/>
      <c r="C1510" s="12" t="s">
        <v>16</v>
      </c>
      <c r="D1510" s="12" t="s">
        <v>17</v>
      </c>
      <c r="E1510" s="12" t="s">
        <v>5135</v>
      </c>
      <c r="F1510" s="13"/>
    </row>
    <row r="1511" spans="1:6" x14ac:dyDescent="0.2">
      <c r="A1511" s="12" t="s">
        <v>1131</v>
      </c>
      <c r="B1511" s="11"/>
      <c r="C1511" s="12" t="s">
        <v>16</v>
      </c>
      <c r="D1511" s="12" t="s">
        <v>6</v>
      </c>
      <c r="E1511" s="12" t="s">
        <v>5138</v>
      </c>
      <c r="F1511" s="47"/>
    </row>
    <row r="1512" spans="1:6" x14ac:dyDescent="0.2">
      <c r="A1512" s="12" t="s">
        <v>632</v>
      </c>
      <c r="B1512" s="11"/>
      <c r="C1512" s="12" t="s">
        <v>16</v>
      </c>
      <c r="D1512" s="12" t="s">
        <v>6</v>
      </c>
      <c r="E1512" s="12" t="s">
        <v>5140</v>
      </c>
      <c r="F1512" s="13"/>
    </row>
    <row r="1513" spans="1:6" x14ac:dyDescent="0.2">
      <c r="A1513" s="12" t="s">
        <v>1131</v>
      </c>
      <c r="B1513" s="11"/>
      <c r="C1513" s="12" t="s">
        <v>16</v>
      </c>
      <c r="D1513" s="12" t="s">
        <v>6</v>
      </c>
      <c r="E1513" s="12" t="s">
        <v>5142</v>
      </c>
      <c r="F1513" s="47"/>
    </row>
    <row r="1514" spans="1:6" x14ac:dyDescent="0.2">
      <c r="A1514" s="12" t="s">
        <v>1471</v>
      </c>
      <c r="B1514" s="11"/>
      <c r="C1514" s="12" t="s">
        <v>16</v>
      </c>
      <c r="D1514" s="12" t="s">
        <v>21</v>
      </c>
      <c r="E1514" s="12" t="s">
        <v>5144</v>
      </c>
      <c r="F1514" s="13"/>
    </row>
    <row r="1515" spans="1:6" x14ac:dyDescent="0.2">
      <c r="A1515" s="12" t="s">
        <v>1471</v>
      </c>
      <c r="B1515" s="11"/>
      <c r="C1515" s="12" t="s">
        <v>16</v>
      </c>
      <c r="D1515" s="12" t="s">
        <v>21</v>
      </c>
      <c r="E1515" s="12" t="s">
        <v>5146</v>
      </c>
      <c r="F1515" s="13"/>
    </row>
    <row r="1516" spans="1:6" x14ac:dyDescent="0.2">
      <c r="A1516" s="12" t="s">
        <v>796</v>
      </c>
      <c r="B1516" s="11"/>
      <c r="C1516" s="12" t="s">
        <v>16</v>
      </c>
      <c r="D1516" s="12" t="s">
        <v>21</v>
      </c>
      <c r="E1516" s="12" t="s">
        <v>5148</v>
      </c>
      <c r="F1516" s="13"/>
    </row>
    <row r="1517" spans="1:6" x14ac:dyDescent="0.2">
      <c r="A1517" s="12" t="s">
        <v>1471</v>
      </c>
      <c r="B1517" s="11"/>
      <c r="C1517" s="12" t="s">
        <v>16</v>
      </c>
      <c r="D1517" s="12" t="s">
        <v>21</v>
      </c>
      <c r="E1517" s="12" t="s">
        <v>5150</v>
      </c>
      <c r="F1517" s="13"/>
    </row>
    <row r="1518" spans="1:6" x14ac:dyDescent="0.2">
      <c r="A1518" s="12" t="s">
        <v>2251</v>
      </c>
      <c r="B1518" s="11"/>
      <c r="C1518" s="12" t="s">
        <v>16</v>
      </c>
      <c r="D1518" s="12" t="s">
        <v>21</v>
      </c>
      <c r="E1518" s="12" t="s">
        <v>5152</v>
      </c>
      <c r="F1518" s="47"/>
    </row>
    <row r="1519" spans="1:6" x14ac:dyDescent="0.2">
      <c r="A1519" s="12" t="s">
        <v>715</v>
      </c>
      <c r="B1519" s="11"/>
      <c r="C1519" s="12" t="s">
        <v>16</v>
      </c>
      <c r="D1519" s="12" t="s">
        <v>21</v>
      </c>
      <c r="E1519" s="12" t="s">
        <v>5153</v>
      </c>
      <c r="F1519" s="13"/>
    </row>
    <row r="1520" spans="1:6" x14ac:dyDescent="0.2">
      <c r="A1520" s="12" t="s">
        <v>1924</v>
      </c>
      <c r="B1520" s="11"/>
      <c r="C1520" s="12" t="s">
        <v>16</v>
      </c>
      <c r="D1520" s="12" t="s">
        <v>21</v>
      </c>
      <c r="E1520" s="12" t="s">
        <v>5155</v>
      </c>
      <c r="F1520" s="13"/>
    </row>
    <row r="1521" spans="1:6" x14ac:dyDescent="0.2">
      <c r="A1521" s="12" t="s">
        <v>1924</v>
      </c>
      <c r="B1521" s="11"/>
      <c r="C1521" s="12" t="s">
        <v>16</v>
      </c>
      <c r="D1521" s="12" t="s">
        <v>21</v>
      </c>
      <c r="E1521" s="12" t="s">
        <v>5157</v>
      </c>
      <c r="F1521" s="13"/>
    </row>
    <row r="1522" spans="1:6" x14ac:dyDescent="0.2">
      <c r="A1522" s="12" t="s">
        <v>715</v>
      </c>
      <c r="B1522" s="11"/>
      <c r="C1522" s="12" t="s">
        <v>16</v>
      </c>
      <c r="D1522" s="12" t="s">
        <v>21</v>
      </c>
      <c r="E1522" s="12" t="s">
        <v>5159</v>
      </c>
      <c r="F1522" s="13"/>
    </row>
    <row r="1523" spans="1:6" x14ac:dyDescent="0.2">
      <c r="A1523" s="12" t="s">
        <v>2092</v>
      </c>
      <c r="B1523" s="11"/>
      <c r="C1523" s="12" t="s">
        <v>16</v>
      </c>
      <c r="D1523" s="12" t="s">
        <v>21</v>
      </c>
      <c r="E1523" s="12" t="s">
        <v>5161</v>
      </c>
      <c r="F1523" s="13"/>
    </row>
    <row r="1524" spans="1:6" x14ac:dyDescent="0.2">
      <c r="A1524" s="12" t="s">
        <v>2078</v>
      </c>
      <c r="B1524" s="11"/>
      <c r="C1524" s="12" t="s">
        <v>16</v>
      </c>
      <c r="D1524" s="12" t="s">
        <v>17</v>
      </c>
      <c r="E1524" s="12" t="s">
        <v>5163</v>
      </c>
      <c r="F1524" s="13"/>
    </row>
    <row r="1525" spans="1:6" x14ac:dyDescent="0.2">
      <c r="A1525" s="12" t="s">
        <v>863</v>
      </c>
      <c r="B1525" s="11"/>
      <c r="C1525" s="12" t="s">
        <v>16</v>
      </c>
      <c r="D1525" s="12" t="s">
        <v>17</v>
      </c>
      <c r="E1525" s="12" t="s">
        <v>5165</v>
      </c>
      <c r="F1525" s="13"/>
    </row>
    <row r="1526" spans="1:6" x14ac:dyDescent="0.2">
      <c r="A1526" s="12" t="s">
        <v>514</v>
      </c>
      <c r="B1526" s="11"/>
      <c r="C1526" s="12" t="s">
        <v>16</v>
      </c>
      <c r="D1526" s="12" t="s">
        <v>17</v>
      </c>
      <c r="E1526" s="12" t="s">
        <v>5167</v>
      </c>
      <c r="F1526" s="13"/>
    </row>
    <row r="1527" spans="1:6" x14ac:dyDescent="0.2">
      <c r="A1527" s="12" t="s">
        <v>2251</v>
      </c>
      <c r="B1527" s="11"/>
      <c r="C1527" s="12" t="s">
        <v>16</v>
      </c>
      <c r="D1527" s="12" t="s">
        <v>6</v>
      </c>
      <c r="E1527" s="12" t="s">
        <v>5169</v>
      </c>
      <c r="F1527" s="47"/>
    </row>
    <row r="1528" spans="1:6" x14ac:dyDescent="0.2">
      <c r="A1528" s="12" t="s">
        <v>285</v>
      </c>
      <c r="B1528" s="11"/>
      <c r="C1528" s="12" t="s">
        <v>16</v>
      </c>
      <c r="D1528" s="12" t="s">
        <v>6</v>
      </c>
      <c r="E1528" s="12" t="s">
        <v>5170</v>
      </c>
      <c r="F1528" s="13"/>
    </row>
    <row r="1529" spans="1:6" x14ac:dyDescent="0.2">
      <c r="A1529" s="12" t="s">
        <v>2010</v>
      </c>
      <c r="B1529" s="11"/>
      <c r="C1529" s="12" t="s">
        <v>16</v>
      </c>
      <c r="D1529" s="12" t="s">
        <v>6</v>
      </c>
      <c r="E1529" s="12" t="s">
        <v>5172</v>
      </c>
      <c r="F1529" s="13"/>
    </row>
    <row r="1530" spans="1:6" x14ac:dyDescent="0.2">
      <c r="A1530" s="12" t="s">
        <v>1927</v>
      </c>
      <c r="B1530" s="11"/>
      <c r="C1530" s="12" t="s">
        <v>16</v>
      </c>
      <c r="D1530" s="12" t="s">
        <v>21</v>
      </c>
      <c r="E1530" s="12" t="s">
        <v>5174</v>
      </c>
      <c r="F1530" s="13"/>
    </row>
    <row r="1531" spans="1:6" x14ac:dyDescent="0.2">
      <c r="A1531" s="12" t="s">
        <v>1466</v>
      </c>
      <c r="B1531" s="11"/>
      <c r="C1531" s="12" t="s">
        <v>16</v>
      </c>
      <c r="D1531" s="12" t="s">
        <v>21</v>
      </c>
      <c r="E1531" s="12" t="s">
        <v>5177</v>
      </c>
      <c r="F1531" s="13"/>
    </row>
    <row r="1532" spans="1:6" x14ac:dyDescent="0.2">
      <c r="A1532" s="12" t="s">
        <v>1466</v>
      </c>
      <c r="B1532" s="11"/>
      <c r="C1532" s="12" t="s">
        <v>16</v>
      </c>
      <c r="D1532" s="12" t="s">
        <v>21</v>
      </c>
      <c r="E1532" s="12" t="s">
        <v>5179</v>
      </c>
      <c r="F1532" s="13"/>
    </row>
    <row r="1533" spans="1:6" x14ac:dyDescent="0.2">
      <c r="A1533" s="12" t="s">
        <v>1050</v>
      </c>
      <c r="B1533" s="11"/>
      <c r="C1533" s="12" t="s">
        <v>16</v>
      </c>
      <c r="D1533" s="12" t="s">
        <v>21</v>
      </c>
      <c r="E1533" s="12" t="s">
        <v>5181</v>
      </c>
      <c r="F1533" s="13"/>
    </row>
    <row r="1534" spans="1:6" x14ac:dyDescent="0.2">
      <c r="A1534" s="12" t="s">
        <v>320</v>
      </c>
      <c r="B1534" s="11"/>
      <c r="C1534" s="12" t="s">
        <v>16</v>
      </c>
      <c r="D1534" s="12" t="s">
        <v>21</v>
      </c>
      <c r="E1534" s="12" t="s">
        <v>5183</v>
      </c>
      <c r="F1534" s="13"/>
    </row>
    <row r="1535" spans="1:6" x14ac:dyDescent="0.2">
      <c r="A1535" s="12" t="s">
        <v>1466</v>
      </c>
      <c r="B1535" s="11"/>
      <c r="C1535" s="12" t="s">
        <v>16</v>
      </c>
      <c r="D1535" s="12" t="s">
        <v>21</v>
      </c>
      <c r="E1535" s="12" t="s">
        <v>5185</v>
      </c>
      <c r="F1535" s="13"/>
    </row>
    <row r="1536" spans="1:6" x14ac:dyDescent="0.2">
      <c r="A1536" s="12" t="s">
        <v>1193</v>
      </c>
      <c r="B1536" s="11"/>
      <c r="C1536" s="12" t="s">
        <v>16</v>
      </c>
      <c r="D1536" s="12" t="s">
        <v>21</v>
      </c>
      <c r="E1536" s="12" t="s">
        <v>5187</v>
      </c>
      <c r="F1536" s="13"/>
    </row>
    <row r="1537" spans="1:6" x14ac:dyDescent="0.2">
      <c r="A1537" s="12" t="s">
        <v>331</v>
      </c>
      <c r="B1537" s="11"/>
      <c r="C1537" s="12" t="s">
        <v>16</v>
      </c>
      <c r="D1537" s="12" t="s">
        <v>21</v>
      </c>
      <c r="E1537" s="12" t="s">
        <v>5189</v>
      </c>
      <c r="F1537" s="13"/>
    </row>
    <row r="1538" spans="1:6" x14ac:dyDescent="0.2">
      <c r="A1538" s="12" t="s">
        <v>1996</v>
      </c>
      <c r="B1538" s="11"/>
      <c r="C1538" s="12" t="s">
        <v>16</v>
      </c>
      <c r="D1538" s="12" t="s">
        <v>21</v>
      </c>
      <c r="E1538" s="12" t="s">
        <v>5191</v>
      </c>
      <c r="F1538" s="13"/>
    </row>
    <row r="1539" spans="1:6" x14ac:dyDescent="0.2">
      <c r="A1539" s="12" t="s">
        <v>2251</v>
      </c>
      <c r="B1539" s="11"/>
      <c r="C1539" s="12" t="s">
        <v>16</v>
      </c>
      <c r="D1539" s="12" t="s">
        <v>21</v>
      </c>
      <c r="E1539" s="12" t="s">
        <v>5193</v>
      </c>
      <c r="F1539" s="47"/>
    </row>
    <row r="1540" spans="1:6" x14ac:dyDescent="0.2">
      <c r="A1540" s="12" t="s">
        <v>1963</v>
      </c>
      <c r="B1540" s="11"/>
      <c r="C1540" s="12" t="s">
        <v>16</v>
      </c>
      <c r="D1540" s="12" t="s">
        <v>17</v>
      </c>
      <c r="E1540" s="12" t="s">
        <v>5194</v>
      </c>
      <c r="F1540" s="13"/>
    </row>
    <row r="1541" spans="1:6" x14ac:dyDescent="0.2">
      <c r="A1541" s="12" t="s">
        <v>2196</v>
      </c>
      <c r="B1541" s="11"/>
      <c r="C1541" s="12" t="s">
        <v>16</v>
      </c>
      <c r="D1541" s="12" t="s">
        <v>17</v>
      </c>
      <c r="E1541" s="12" t="s">
        <v>5196</v>
      </c>
      <c r="F1541" s="13"/>
    </row>
    <row r="1542" spans="1:6" x14ac:dyDescent="0.2">
      <c r="A1542" s="12" t="s">
        <v>1987</v>
      </c>
      <c r="B1542" s="11"/>
      <c r="C1542" s="12" t="s">
        <v>16</v>
      </c>
      <c r="D1542" s="12" t="s">
        <v>17</v>
      </c>
      <c r="E1542" s="12" t="s">
        <v>5198</v>
      </c>
      <c r="F1542" s="13"/>
    </row>
    <row r="1543" spans="1:6" x14ac:dyDescent="0.2">
      <c r="A1543" s="12" t="s">
        <v>2251</v>
      </c>
      <c r="B1543" s="11"/>
      <c r="C1543" s="12" t="s">
        <v>16</v>
      </c>
      <c r="D1543" s="12" t="s">
        <v>6</v>
      </c>
      <c r="E1543" s="12" t="s">
        <v>5200</v>
      </c>
      <c r="F1543" s="47"/>
    </row>
    <row r="1544" spans="1:6" x14ac:dyDescent="0.2">
      <c r="A1544" s="12" t="s">
        <v>1471</v>
      </c>
      <c r="B1544" s="11"/>
      <c r="C1544" s="12" t="s">
        <v>16</v>
      </c>
      <c r="D1544" s="12" t="s">
        <v>6</v>
      </c>
      <c r="E1544" s="12" t="s">
        <v>5201</v>
      </c>
      <c r="F1544" s="13"/>
    </row>
    <row r="1545" spans="1:6" x14ac:dyDescent="0.2">
      <c r="A1545" s="12" t="s">
        <v>623</v>
      </c>
      <c r="B1545" s="11"/>
      <c r="C1545" s="12" t="s">
        <v>16</v>
      </c>
      <c r="D1545" s="12" t="s">
        <v>6</v>
      </c>
      <c r="E1545" s="12" t="s">
        <v>5203</v>
      </c>
      <c r="F1545" s="13"/>
    </row>
    <row r="1546" spans="1:6" x14ac:dyDescent="0.2">
      <c r="A1546" s="12" t="s">
        <v>1998</v>
      </c>
      <c r="B1546" s="11"/>
      <c r="C1546" s="12" t="s">
        <v>16</v>
      </c>
      <c r="D1546" s="12" t="s">
        <v>21</v>
      </c>
      <c r="E1546" s="12" t="s">
        <v>5205</v>
      </c>
      <c r="F1546" s="13"/>
    </row>
    <row r="1547" spans="1:6" x14ac:dyDescent="0.2">
      <c r="A1547" s="12" t="s">
        <v>470</v>
      </c>
      <c r="B1547" s="11"/>
      <c r="C1547" s="12" t="s">
        <v>16</v>
      </c>
      <c r="D1547" s="12" t="s">
        <v>21</v>
      </c>
      <c r="E1547" s="12" t="s">
        <v>5207</v>
      </c>
      <c r="F1547" s="13"/>
    </row>
    <row r="1548" spans="1:6" x14ac:dyDescent="0.2">
      <c r="A1548" s="12" t="s">
        <v>1982</v>
      </c>
      <c r="B1548" s="11"/>
      <c r="C1548" s="12" t="s">
        <v>16</v>
      </c>
      <c r="D1548" s="12" t="s">
        <v>21</v>
      </c>
      <c r="E1548" s="12" t="s">
        <v>5209</v>
      </c>
      <c r="F1548" s="13"/>
    </row>
    <row r="1549" spans="1:6" x14ac:dyDescent="0.2">
      <c r="A1549" s="12" t="s">
        <v>1196</v>
      </c>
      <c r="B1549" s="11"/>
      <c r="C1549" s="12" t="s">
        <v>16</v>
      </c>
      <c r="D1549" s="12" t="s">
        <v>21</v>
      </c>
      <c r="E1549" s="12" t="s">
        <v>5211</v>
      </c>
      <c r="F1549" s="13"/>
    </row>
    <row r="1550" spans="1:6" x14ac:dyDescent="0.2">
      <c r="A1550" s="12" t="s">
        <v>285</v>
      </c>
      <c r="B1550" s="11"/>
      <c r="C1550" s="12" t="s">
        <v>16</v>
      </c>
      <c r="D1550" s="12" t="s">
        <v>21</v>
      </c>
      <c r="E1550" s="12" t="s">
        <v>5214</v>
      </c>
      <c r="F1550" s="13"/>
    </row>
    <row r="1551" spans="1:6" x14ac:dyDescent="0.2">
      <c r="A1551" s="12" t="s">
        <v>396</v>
      </c>
      <c r="B1551" s="11"/>
      <c r="C1551" s="12" t="s">
        <v>16</v>
      </c>
      <c r="D1551" s="12" t="s">
        <v>21</v>
      </c>
      <c r="E1551" s="12" t="s">
        <v>5216</v>
      </c>
      <c r="F1551" s="13"/>
    </row>
    <row r="1552" spans="1:6" x14ac:dyDescent="0.2">
      <c r="A1552" s="12" t="s">
        <v>1854</v>
      </c>
      <c r="B1552" s="11"/>
      <c r="C1552" s="12" t="s">
        <v>16</v>
      </c>
      <c r="D1552" s="12" t="s">
        <v>21</v>
      </c>
      <c r="E1552" s="12" t="s">
        <v>5218</v>
      </c>
      <c r="F1552" s="13"/>
    </row>
    <row r="1553" spans="1:6" x14ac:dyDescent="0.2">
      <c r="A1553" s="12" t="s">
        <v>2251</v>
      </c>
      <c r="B1553" s="11"/>
      <c r="C1553" s="12" t="s">
        <v>16</v>
      </c>
      <c r="D1553" s="12" t="s">
        <v>21</v>
      </c>
      <c r="E1553" s="12" t="s">
        <v>5221</v>
      </c>
      <c r="F1553" s="47"/>
    </row>
    <row r="1554" spans="1:6" x14ac:dyDescent="0.2">
      <c r="A1554" s="12" t="s">
        <v>643</v>
      </c>
      <c r="B1554" s="11"/>
      <c r="C1554" s="12" t="s">
        <v>16</v>
      </c>
      <c r="D1554" s="12" t="s">
        <v>21</v>
      </c>
      <c r="E1554" s="12" t="s">
        <v>5222</v>
      </c>
      <c r="F1554" s="13"/>
    </row>
    <row r="1555" spans="1:6" x14ac:dyDescent="0.2">
      <c r="A1555" s="12" t="s">
        <v>643</v>
      </c>
      <c r="B1555" s="11"/>
      <c r="C1555" s="12" t="s">
        <v>16</v>
      </c>
      <c r="D1555" s="12" t="s">
        <v>21</v>
      </c>
      <c r="E1555" s="12" t="s">
        <v>5224</v>
      </c>
      <c r="F1555" s="13"/>
    </row>
    <row r="1556" spans="1:6" x14ac:dyDescent="0.2">
      <c r="A1556" s="12" t="s">
        <v>553</v>
      </c>
      <c r="B1556" s="11"/>
      <c r="C1556" s="12" t="s">
        <v>16</v>
      </c>
      <c r="D1556" s="12" t="s">
        <v>17</v>
      </c>
      <c r="E1556" s="12" t="s">
        <v>5226</v>
      </c>
      <c r="F1556" s="13"/>
    </row>
    <row r="1557" spans="1:6" x14ac:dyDescent="0.2">
      <c r="A1557" s="12" t="s">
        <v>863</v>
      </c>
      <c r="B1557" s="11"/>
      <c r="C1557" s="12" t="s">
        <v>16</v>
      </c>
      <c r="D1557" s="12" t="s">
        <v>17</v>
      </c>
      <c r="E1557" s="12" t="s">
        <v>5228</v>
      </c>
      <c r="F1557" s="13"/>
    </row>
    <row r="1558" spans="1:6" x14ac:dyDescent="0.2">
      <c r="A1558" s="12" t="s">
        <v>2204</v>
      </c>
      <c r="B1558" s="11"/>
      <c r="C1558" s="12" t="s">
        <v>16</v>
      </c>
      <c r="D1558" s="12" t="s">
        <v>17</v>
      </c>
      <c r="E1558" s="12" t="s">
        <v>5230</v>
      </c>
      <c r="F1558" s="13"/>
    </row>
    <row r="1559" spans="1:6" x14ac:dyDescent="0.2">
      <c r="A1559" s="12" t="s">
        <v>2251</v>
      </c>
      <c r="B1559" s="11"/>
      <c r="C1559" s="12" t="s">
        <v>16</v>
      </c>
      <c r="D1559" s="12" t="s">
        <v>6</v>
      </c>
      <c r="E1559" s="12" t="s">
        <v>5232</v>
      </c>
      <c r="F1559" s="47"/>
    </row>
    <row r="1560" spans="1:6" x14ac:dyDescent="0.2">
      <c r="A1560" s="12" t="s">
        <v>1867</v>
      </c>
      <c r="B1560" s="11"/>
      <c r="C1560" s="12" t="s">
        <v>16</v>
      </c>
      <c r="D1560" s="12" t="s">
        <v>6</v>
      </c>
      <c r="E1560" s="12" t="s">
        <v>5233</v>
      </c>
      <c r="F1560" s="13"/>
    </row>
    <row r="1561" spans="1:6" x14ac:dyDescent="0.2">
      <c r="A1561" s="12" t="s">
        <v>596</v>
      </c>
      <c r="B1561" s="11"/>
      <c r="C1561" s="12" t="s">
        <v>16</v>
      </c>
      <c r="D1561" s="12" t="s">
        <v>6</v>
      </c>
      <c r="E1561" s="12" t="s">
        <v>5235</v>
      </c>
      <c r="F1561" s="13"/>
    </row>
    <row r="1562" spans="1:6" x14ac:dyDescent="0.2">
      <c r="A1562" s="12" t="s">
        <v>2251</v>
      </c>
      <c r="B1562" s="11"/>
      <c r="C1562" s="12" t="s">
        <v>16</v>
      </c>
      <c r="D1562" s="12" t="s">
        <v>6</v>
      </c>
      <c r="E1562" s="12" t="s">
        <v>5237</v>
      </c>
      <c r="F1562" s="47"/>
    </row>
    <row r="1563" spans="1:6" x14ac:dyDescent="0.2">
      <c r="A1563" s="12" t="s">
        <v>692</v>
      </c>
      <c r="B1563" s="11"/>
      <c r="C1563" s="12" t="s">
        <v>16</v>
      </c>
      <c r="D1563" s="12" t="s">
        <v>6</v>
      </c>
      <c r="E1563" s="12" t="s">
        <v>5238</v>
      </c>
      <c r="F1563" s="13"/>
    </row>
    <row r="1564" spans="1:6" x14ac:dyDescent="0.2">
      <c r="A1564" s="12" t="s">
        <v>2251</v>
      </c>
      <c r="B1564" s="11"/>
      <c r="C1564" s="12" t="s">
        <v>16</v>
      </c>
      <c r="D1564" s="12" t="s">
        <v>6</v>
      </c>
      <c r="E1564" s="12" t="s">
        <v>5240</v>
      </c>
      <c r="F1564" s="47"/>
    </row>
    <row r="1565" spans="1:6" x14ac:dyDescent="0.2">
      <c r="A1565" s="12" t="s">
        <v>596</v>
      </c>
      <c r="B1565" s="11"/>
      <c r="C1565" s="12" t="s">
        <v>16</v>
      </c>
      <c r="D1565" s="12" t="s">
        <v>6</v>
      </c>
      <c r="E1565" s="12" t="s">
        <v>5241</v>
      </c>
      <c r="F1565" s="13"/>
    </row>
    <row r="1566" spans="1:6" x14ac:dyDescent="0.2">
      <c r="A1566" s="12" t="s">
        <v>1854</v>
      </c>
      <c r="B1566" s="11"/>
      <c r="C1566" s="12" t="s">
        <v>16</v>
      </c>
      <c r="D1566" s="12" t="s">
        <v>6</v>
      </c>
      <c r="E1566" s="12" t="s">
        <v>5243</v>
      </c>
      <c r="F1566" s="13"/>
    </row>
    <row r="1567" spans="1:6" x14ac:dyDescent="0.2">
      <c r="A1567" s="12" t="s">
        <v>1462</v>
      </c>
      <c r="B1567" s="11"/>
      <c r="C1567" s="12" t="s">
        <v>16</v>
      </c>
      <c r="D1567" s="12" t="s">
        <v>6</v>
      </c>
      <c r="E1567" s="12" t="s">
        <v>5245</v>
      </c>
      <c r="F1567" s="13"/>
    </row>
    <row r="1568" spans="1:6" x14ac:dyDescent="0.2">
      <c r="A1568" s="12" t="s">
        <v>2073</v>
      </c>
      <c r="B1568" s="11"/>
      <c r="C1568" s="12" t="s">
        <v>16</v>
      </c>
      <c r="D1568" s="12" t="s">
        <v>21</v>
      </c>
      <c r="E1568" s="12" t="s">
        <v>5247</v>
      </c>
      <c r="F1568" s="13"/>
    </row>
    <row r="1569" spans="1:6" x14ac:dyDescent="0.2">
      <c r="A1569" s="12" t="s">
        <v>1131</v>
      </c>
      <c r="B1569" s="11"/>
      <c r="C1569" s="12" t="s">
        <v>16</v>
      </c>
      <c r="D1569" s="12" t="s">
        <v>21</v>
      </c>
      <c r="E1569" s="12" t="s">
        <v>5249</v>
      </c>
      <c r="F1569" s="47"/>
    </row>
    <row r="1570" spans="1:6" x14ac:dyDescent="0.2">
      <c r="A1570" s="12" t="s">
        <v>331</v>
      </c>
      <c r="B1570" s="11"/>
      <c r="C1570" s="12" t="s">
        <v>16</v>
      </c>
      <c r="D1570" s="12" t="s">
        <v>21</v>
      </c>
      <c r="E1570" s="12" t="s">
        <v>5251</v>
      </c>
      <c r="F1570" s="13"/>
    </row>
    <row r="1571" spans="1:6" x14ac:dyDescent="0.2">
      <c r="A1571" s="12" t="s">
        <v>608</v>
      </c>
      <c r="B1571" s="11"/>
      <c r="C1571" s="12" t="s">
        <v>16</v>
      </c>
      <c r="D1571" s="12" t="s">
        <v>17</v>
      </c>
      <c r="E1571" s="12" t="s">
        <v>5253</v>
      </c>
      <c r="F1571" s="13"/>
    </row>
    <row r="1572" spans="1:6" x14ac:dyDescent="0.2">
      <c r="A1572" s="12" t="s">
        <v>863</v>
      </c>
      <c r="B1572" s="11"/>
      <c r="C1572" s="12" t="s">
        <v>16</v>
      </c>
      <c r="D1572" s="12" t="s">
        <v>17</v>
      </c>
      <c r="E1572" s="12" t="s">
        <v>5255</v>
      </c>
      <c r="F1572" s="13"/>
    </row>
    <row r="1573" spans="1:6" x14ac:dyDescent="0.2">
      <c r="A1573" s="12" t="s">
        <v>863</v>
      </c>
      <c r="B1573" s="11"/>
      <c r="C1573" s="12" t="s">
        <v>16</v>
      </c>
      <c r="D1573" s="12" t="s">
        <v>17</v>
      </c>
      <c r="E1573" s="12" t="s">
        <v>5257</v>
      </c>
      <c r="F1573" s="13"/>
    </row>
    <row r="1574" spans="1:6" x14ac:dyDescent="0.2">
      <c r="A1574" s="12" t="s">
        <v>596</v>
      </c>
      <c r="B1574" s="11"/>
      <c r="C1574" s="12" t="s">
        <v>16</v>
      </c>
      <c r="D1574" s="12" t="s">
        <v>6</v>
      </c>
      <c r="E1574" s="12" t="s">
        <v>5259</v>
      </c>
      <c r="F1574" s="13"/>
    </row>
    <row r="1575" spans="1:6" x14ac:dyDescent="0.2">
      <c r="A1575" s="12" t="s">
        <v>2251</v>
      </c>
      <c r="B1575" s="11"/>
      <c r="C1575" s="12" t="s">
        <v>16</v>
      </c>
      <c r="D1575" s="12" t="s">
        <v>6</v>
      </c>
      <c r="E1575" s="12" t="s">
        <v>5261</v>
      </c>
      <c r="F1575" s="47"/>
    </row>
    <row r="1576" spans="1:6" x14ac:dyDescent="0.2">
      <c r="A1576" s="12" t="s">
        <v>2043</v>
      </c>
      <c r="B1576" s="11"/>
      <c r="C1576" s="12" t="s">
        <v>16</v>
      </c>
      <c r="D1576" s="12" t="s">
        <v>6</v>
      </c>
      <c r="E1576" s="12" t="s">
        <v>5262</v>
      </c>
      <c r="F1576" s="13"/>
    </row>
    <row r="1577" spans="1:6" x14ac:dyDescent="0.2">
      <c r="A1577" s="12" t="s">
        <v>581</v>
      </c>
      <c r="B1577" s="11"/>
      <c r="C1577" s="12" t="s">
        <v>16</v>
      </c>
      <c r="D1577" s="12" t="s">
        <v>17</v>
      </c>
      <c r="E1577" s="12" t="s">
        <v>5264</v>
      </c>
      <c r="F1577" s="13"/>
    </row>
    <row r="1578" spans="1:6" x14ac:dyDescent="0.2">
      <c r="A1578" s="12" t="s">
        <v>1471</v>
      </c>
      <c r="B1578" s="11"/>
      <c r="C1578" s="12" t="s">
        <v>16</v>
      </c>
      <c r="D1578" s="12" t="s">
        <v>6</v>
      </c>
      <c r="E1578" s="12" t="s">
        <v>5266</v>
      </c>
      <c r="F1578" s="13"/>
    </row>
    <row r="1579" spans="1:6" x14ac:dyDescent="0.2">
      <c r="A1579" s="12" t="s">
        <v>1573</v>
      </c>
      <c r="B1579" s="11"/>
      <c r="C1579" s="12" t="s">
        <v>16</v>
      </c>
      <c r="D1579" s="12" t="s">
        <v>6</v>
      </c>
      <c r="E1579" s="12" t="s">
        <v>5268</v>
      </c>
      <c r="F1579" s="13"/>
    </row>
    <row r="1580" spans="1:6" x14ac:dyDescent="0.2">
      <c r="A1580" s="12" t="s">
        <v>1466</v>
      </c>
      <c r="B1580" s="11"/>
      <c r="C1580" s="12" t="s">
        <v>16</v>
      </c>
      <c r="D1580" s="12" t="s">
        <v>6</v>
      </c>
      <c r="E1580" s="12" t="s">
        <v>5270</v>
      </c>
      <c r="F1580" s="13"/>
    </row>
    <row r="1581" spans="1:6" x14ac:dyDescent="0.2">
      <c r="A1581" s="12" t="s">
        <v>1446</v>
      </c>
      <c r="B1581" s="11"/>
      <c r="C1581" s="12" t="s">
        <v>16</v>
      </c>
      <c r="D1581" s="12" t="s">
        <v>6</v>
      </c>
      <c r="E1581" s="12" t="s">
        <v>5272</v>
      </c>
      <c r="F1581" s="13"/>
    </row>
    <row r="1582" spans="1:6" x14ac:dyDescent="0.2">
      <c r="A1582" s="12" t="s">
        <v>0</v>
      </c>
      <c r="B1582" s="11"/>
      <c r="C1582" s="12" t="s">
        <v>16</v>
      </c>
      <c r="D1582" s="12" t="s">
        <v>6</v>
      </c>
      <c r="E1582" s="12" t="s">
        <v>133</v>
      </c>
      <c r="F1582" s="13"/>
    </row>
    <row r="1583" spans="1:6" x14ac:dyDescent="0.2">
      <c r="A1583" s="12" t="s">
        <v>0</v>
      </c>
      <c r="B1583" s="11"/>
      <c r="C1583" s="12" t="s">
        <v>16</v>
      </c>
      <c r="D1583" s="12" t="s">
        <v>6</v>
      </c>
      <c r="E1583" s="12" t="s">
        <v>135</v>
      </c>
      <c r="F1583" s="13"/>
    </row>
    <row r="1584" spans="1:6" x14ac:dyDescent="0.2">
      <c r="A1584" s="12" t="s">
        <v>2251</v>
      </c>
      <c r="B1584" s="11"/>
      <c r="C1584" s="12" t="s">
        <v>16</v>
      </c>
      <c r="D1584" s="12" t="s">
        <v>21</v>
      </c>
      <c r="E1584" s="12" t="s">
        <v>5274</v>
      </c>
      <c r="F1584" s="47"/>
    </row>
    <row r="1585" spans="1:6" x14ac:dyDescent="0.2">
      <c r="A1585" s="12" t="s">
        <v>31</v>
      </c>
      <c r="B1585" s="11"/>
      <c r="C1585" s="12" t="s">
        <v>16</v>
      </c>
      <c r="D1585" s="12" t="s">
        <v>17</v>
      </c>
      <c r="E1585" s="12" t="s">
        <v>137</v>
      </c>
      <c r="F1585" s="13"/>
    </row>
    <row r="1586" spans="1:6" x14ac:dyDescent="0.2">
      <c r="A1586" s="12" t="s">
        <v>2010</v>
      </c>
      <c r="B1586" s="11"/>
      <c r="C1586" s="12" t="s">
        <v>16</v>
      </c>
      <c r="D1586" s="12" t="s">
        <v>21</v>
      </c>
      <c r="E1586" s="12" t="s">
        <v>5275</v>
      </c>
      <c r="F1586" s="13"/>
    </row>
    <row r="1587" spans="1:6" x14ac:dyDescent="0.2">
      <c r="A1587" s="12" t="s">
        <v>479</v>
      </c>
      <c r="B1587" s="11"/>
      <c r="C1587" s="12" t="s">
        <v>16</v>
      </c>
      <c r="D1587" s="12" t="s">
        <v>17</v>
      </c>
      <c r="E1587" s="12" t="s">
        <v>5277</v>
      </c>
      <c r="F1587" s="13"/>
    </row>
    <row r="1588" spans="1:6" x14ac:dyDescent="0.2">
      <c r="A1588" s="12" t="s">
        <v>845</v>
      </c>
      <c r="B1588" s="11"/>
      <c r="C1588" s="12" t="s">
        <v>5</v>
      </c>
      <c r="D1588" s="12" t="s">
        <v>17</v>
      </c>
      <c r="E1588" s="12" t="s">
        <v>3924</v>
      </c>
      <c r="F1588" s="13"/>
    </row>
    <row r="1589" spans="1:6" x14ac:dyDescent="0.2">
      <c r="A1589" s="12" t="s">
        <v>845</v>
      </c>
      <c r="B1589" s="11"/>
      <c r="C1589" s="12" t="s">
        <v>5</v>
      </c>
      <c r="D1589" s="12" t="s">
        <v>17</v>
      </c>
      <c r="E1589" s="12" t="s">
        <v>3924</v>
      </c>
      <c r="F1589" s="13"/>
    </row>
    <row r="1590" spans="1:6" x14ac:dyDescent="0.2">
      <c r="A1590" s="12" t="s">
        <v>1462</v>
      </c>
      <c r="B1590" s="11"/>
      <c r="C1590" s="12" t="s">
        <v>5</v>
      </c>
      <c r="D1590" s="12" t="s">
        <v>17</v>
      </c>
      <c r="E1590" s="12" t="s">
        <v>3927</v>
      </c>
      <c r="F1590" s="13"/>
    </row>
    <row r="1591" spans="1:6" x14ac:dyDescent="0.2">
      <c r="A1591" s="12" t="s">
        <v>1462</v>
      </c>
      <c r="B1591" s="11"/>
      <c r="C1591" s="12" t="s">
        <v>5</v>
      </c>
      <c r="D1591" s="12" t="s">
        <v>17</v>
      </c>
      <c r="E1591" s="12" t="s">
        <v>3927</v>
      </c>
      <c r="F1591" s="13"/>
    </row>
    <row r="1592" spans="1:6" x14ac:dyDescent="0.2">
      <c r="A1592" s="12" t="s">
        <v>296</v>
      </c>
      <c r="B1592" s="11"/>
      <c r="C1592" s="12" t="s">
        <v>5</v>
      </c>
      <c r="D1592" s="12" t="s">
        <v>17</v>
      </c>
      <c r="E1592" s="12" t="s">
        <v>3930</v>
      </c>
      <c r="F1592" s="13"/>
    </row>
    <row r="1593" spans="1:6" x14ac:dyDescent="0.2">
      <c r="A1593" s="12" t="s">
        <v>1466</v>
      </c>
      <c r="B1593" s="11"/>
      <c r="C1593" s="12" t="s">
        <v>5</v>
      </c>
      <c r="D1593" s="12" t="s">
        <v>17</v>
      </c>
      <c r="E1593" s="12" t="s">
        <v>3932</v>
      </c>
      <c r="F1593" s="13"/>
    </row>
    <row r="1594" spans="1:6" x14ac:dyDescent="0.2">
      <c r="A1594" s="12" t="s">
        <v>1466</v>
      </c>
      <c r="B1594" s="11"/>
      <c r="C1594" s="12" t="s">
        <v>5</v>
      </c>
      <c r="D1594" s="12" t="s">
        <v>17</v>
      </c>
      <c r="E1594" s="12" t="s">
        <v>3932</v>
      </c>
      <c r="F1594" s="13"/>
    </row>
    <row r="1595" spans="1:6" x14ac:dyDescent="0.2">
      <c r="A1595" s="12" t="s">
        <v>2043</v>
      </c>
      <c r="B1595" s="11"/>
      <c r="C1595" s="12" t="s">
        <v>5</v>
      </c>
      <c r="D1595" s="12" t="s">
        <v>6</v>
      </c>
      <c r="E1595" s="12" t="s">
        <v>3935</v>
      </c>
      <c r="F1595" s="13"/>
    </row>
    <row r="1596" spans="1:6" x14ac:dyDescent="0.2">
      <c r="A1596" s="12" t="s">
        <v>2043</v>
      </c>
      <c r="B1596" s="11"/>
      <c r="C1596" s="12" t="s">
        <v>5</v>
      </c>
      <c r="D1596" s="12" t="s">
        <v>6</v>
      </c>
      <c r="E1596" s="12" t="s">
        <v>3935</v>
      </c>
      <c r="F1596" s="13"/>
    </row>
    <row r="1597" spans="1:6" x14ac:dyDescent="0.2">
      <c r="A1597" s="12" t="s">
        <v>0</v>
      </c>
      <c r="B1597" s="11"/>
      <c r="C1597" s="12" t="s">
        <v>5</v>
      </c>
      <c r="D1597" s="12" t="s">
        <v>6</v>
      </c>
      <c r="E1597" s="12" t="s">
        <v>145</v>
      </c>
      <c r="F1597" s="13"/>
    </row>
    <row r="1598" spans="1:6" x14ac:dyDescent="0.2">
      <c r="A1598" s="12" t="s">
        <v>0</v>
      </c>
      <c r="B1598" s="11"/>
      <c r="C1598" s="12" t="s">
        <v>5</v>
      </c>
      <c r="D1598" s="12" t="s">
        <v>6</v>
      </c>
      <c r="E1598" s="12" t="s">
        <v>145</v>
      </c>
      <c r="F1598" s="13"/>
    </row>
    <row r="1599" spans="1:6" x14ac:dyDescent="0.2">
      <c r="A1599" s="12" t="s">
        <v>641</v>
      </c>
      <c r="B1599" s="11"/>
      <c r="C1599" s="12" t="s">
        <v>5</v>
      </c>
      <c r="D1599" s="12" t="s">
        <v>6</v>
      </c>
      <c r="E1599" s="12" t="s">
        <v>3938</v>
      </c>
      <c r="F1599" s="13"/>
    </row>
    <row r="1600" spans="1:6" x14ac:dyDescent="0.2">
      <c r="A1600" s="12" t="s">
        <v>641</v>
      </c>
      <c r="B1600" s="11"/>
      <c r="C1600" s="12" t="s">
        <v>5</v>
      </c>
      <c r="D1600" s="12" t="s">
        <v>6</v>
      </c>
      <c r="E1600" s="12" t="s">
        <v>3938</v>
      </c>
      <c r="F1600" s="13"/>
    </row>
    <row r="1601" spans="1:6" x14ac:dyDescent="0.2">
      <c r="A1601" s="12" t="s">
        <v>0</v>
      </c>
      <c r="B1601" s="11"/>
      <c r="C1601" s="12" t="s">
        <v>5</v>
      </c>
      <c r="D1601" s="12" t="s">
        <v>6</v>
      </c>
      <c r="E1601" s="12" t="s">
        <v>148</v>
      </c>
      <c r="F1601" s="13"/>
    </row>
    <row r="1602" spans="1:6" x14ac:dyDescent="0.2">
      <c r="A1602" s="12" t="s">
        <v>0</v>
      </c>
      <c r="B1602" s="11"/>
      <c r="C1602" s="12" t="s">
        <v>5</v>
      </c>
      <c r="D1602" s="12" t="s">
        <v>6</v>
      </c>
      <c r="E1602" s="12" t="s">
        <v>148</v>
      </c>
      <c r="F1602" s="13"/>
    </row>
    <row r="1603" spans="1:6" x14ac:dyDescent="0.2">
      <c r="A1603" s="12" t="s">
        <v>0</v>
      </c>
      <c r="B1603" s="11"/>
      <c r="C1603" s="12" t="s">
        <v>5</v>
      </c>
      <c r="D1603" s="12" t="s">
        <v>6</v>
      </c>
      <c r="E1603" s="12" t="s">
        <v>151</v>
      </c>
      <c r="F1603" s="13"/>
    </row>
    <row r="1604" spans="1:6" x14ac:dyDescent="0.2">
      <c r="A1604" s="12" t="s">
        <v>0</v>
      </c>
      <c r="B1604" s="11"/>
      <c r="C1604" s="12" t="s">
        <v>5</v>
      </c>
      <c r="D1604" s="12" t="s">
        <v>6</v>
      </c>
      <c r="E1604" s="12" t="s">
        <v>151</v>
      </c>
      <c r="F1604" s="13"/>
    </row>
    <row r="1605" spans="1:6" x14ac:dyDescent="0.2">
      <c r="A1605" s="12" t="s">
        <v>0</v>
      </c>
      <c r="B1605" s="11"/>
      <c r="C1605" s="12" t="s">
        <v>5</v>
      </c>
      <c r="D1605" s="12" t="s">
        <v>6</v>
      </c>
      <c r="E1605" s="12" t="s">
        <v>154</v>
      </c>
      <c r="F1605" s="13"/>
    </row>
    <row r="1606" spans="1:6" x14ac:dyDescent="0.2">
      <c r="A1606" s="12" t="s">
        <v>0</v>
      </c>
      <c r="B1606" s="11"/>
      <c r="C1606" s="12" t="s">
        <v>5</v>
      </c>
      <c r="D1606" s="12" t="s">
        <v>6</v>
      </c>
      <c r="E1606" s="12" t="s">
        <v>154</v>
      </c>
      <c r="F1606" s="13"/>
    </row>
    <row r="1607" spans="1:6" x14ac:dyDescent="0.2">
      <c r="A1607" s="12" t="s">
        <v>2221</v>
      </c>
      <c r="B1607" s="11"/>
      <c r="C1607" s="12" t="s">
        <v>5</v>
      </c>
      <c r="D1607" s="12" t="s">
        <v>21</v>
      </c>
      <c r="E1607" s="12" t="s">
        <v>3941</v>
      </c>
      <c r="F1607" s="13"/>
    </row>
    <row r="1608" spans="1:6" x14ac:dyDescent="0.2">
      <c r="A1608" s="12" t="s">
        <v>1139</v>
      </c>
      <c r="B1608" s="11"/>
      <c r="C1608" s="12" t="s">
        <v>5</v>
      </c>
      <c r="D1608" s="12" t="s">
        <v>21</v>
      </c>
      <c r="E1608" s="12" t="s">
        <v>3943</v>
      </c>
      <c r="F1608" s="13"/>
    </row>
    <row r="1609" spans="1:6" x14ac:dyDescent="0.2">
      <c r="A1609" s="12" t="s">
        <v>1139</v>
      </c>
      <c r="B1609" s="11"/>
      <c r="C1609" s="12" t="s">
        <v>5</v>
      </c>
      <c r="D1609" s="12" t="s">
        <v>21</v>
      </c>
      <c r="E1609" s="12" t="s">
        <v>3943</v>
      </c>
      <c r="F1609" s="13"/>
    </row>
    <row r="1610" spans="1:6" x14ac:dyDescent="0.2">
      <c r="A1610" s="12" t="s">
        <v>1563</v>
      </c>
      <c r="B1610" s="11"/>
      <c r="C1610" s="12" t="s">
        <v>5</v>
      </c>
      <c r="D1610" s="12" t="s">
        <v>21</v>
      </c>
      <c r="E1610" s="12" t="s">
        <v>3946</v>
      </c>
      <c r="F1610" s="13"/>
    </row>
    <row r="1611" spans="1:6" x14ac:dyDescent="0.2">
      <c r="A1611" s="12" t="s">
        <v>1563</v>
      </c>
      <c r="B1611" s="11"/>
      <c r="C1611" s="12" t="s">
        <v>5</v>
      </c>
      <c r="D1611" s="12" t="s">
        <v>21</v>
      </c>
      <c r="E1611" s="12" t="s">
        <v>3946</v>
      </c>
      <c r="F1611" s="13"/>
    </row>
    <row r="1612" spans="1:6" x14ac:dyDescent="0.2">
      <c r="A1612" s="12" t="s">
        <v>0</v>
      </c>
      <c r="B1612" s="11"/>
      <c r="C1612" s="12" t="s">
        <v>5</v>
      </c>
      <c r="D1612" s="12" t="s">
        <v>21</v>
      </c>
      <c r="E1612" s="12" t="s">
        <v>157</v>
      </c>
      <c r="F1612" s="13"/>
    </row>
    <row r="1613" spans="1:6" x14ac:dyDescent="0.2">
      <c r="A1613" s="12" t="s">
        <v>0</v>
      </c>
      <c r="B1613" s="11"/>
      <c r="C1613" s="12" t="s">
        <v>5</v>
      </c>
      <c r="D1613" s="12" t="s">
        <v>21</v>
      </c>
      <c r="E1613" s="12" t="s">
        <v>157</v>
      </c>
      <c r="F1613" s="13"/>
    </row>
    <row r="1614" spans="1:6" x14ac:dyDescent="0.2">
      <c r="A1614" s="12" t="s">
        <v>1135</v>
      </c>
      <c r="B1614" s="11"/>
      <c r="C1614" s="12" t="s">
        <v>5</v>
      </c>
      <c r="D1614" s="12" t="s">
        <v>17</v>
      </c>
      <c r="E1614" s="12" t="s">
        <v>3891</v>
      </c>
      <c r="F1614" s="13"/>
    </row>
    <row r="1615" spans="1:6" x14ac:dyDescent="0.2">
      <c r="A1615" s="12" t="s">
        <v>1135</v>
      </c>
      <c r="B1615" s="11"/>
      <c r="C1615" s="12" t="s">
        <v>5</v>
      </c>
      <c r="D1615" s="12" t="s">
        <v>17</v>
      </c>
      <c r="E1615" s="12" t="s">
        <v>3891</v>
      </c>
      <c r="F1615" s="13"/>
    </row>
    <row r="1616" spans="1:6" x14ac:dyDescent="0.2">
      <c r="A1616" s="12" t="s">
        <v>1466</v>
      </c>
      <c r="B1616" s="11"/>
      <c r="C1616" s="12" t="s">
        <v>5</v>
      </c>
      <c r="D1616" s="12" t="s">
        <v>17</v>
      </c>
      <c r="E1616" s="12" t="s">
        <v>3894</v>
      </c>
      <c r="F1616" s="13"/>
    </row>
    <row r="1617" spans="1:6" x14ac:dyDescent="0.2">
      <c r="A1617" s="12" t="s">
        <v>1466</v>
      </c>
      <c r="B1617" s="11"/>
      <c r="C1617" s="12" t="s">
        <v>5</v>
      </c>
      <c r="D1617" s="12" t="s">
        <v>17</v>
      </c>
      <c r="E1617" s="12" t="s">
        <v>3894</v>
      </c>
      <c r="F1617" s="13"/>
    </row>
    <row r="1618" spans="1:6" x14ac:dyDescent="0.2">
      <c r="A1618" s="12" t="s">
        <v>1805</v>
      </c>
      <c r="B1618" s="11"/>
      <c r="C1618" s="12" t="s">
        <v>5</v>
      </c>
      <c r="D1618" s="12" t="s">
        <v>17</v>
      </c>
      <c r="E1618" s="12" t="s">
        <v>3897</v>
      </c>
      <c r="F1618" s="13"/>
    </row>
    <row r="1619" spans="1:6" x14ac:dyDescent="0.2">
      <c r="A1619" s="12" t="s">
        <v>1135</v>
      </c>
      <c r="B1619" s="11"/>
      <c r="C1619" s="12" t="s">
        <v>5</v>
      </c>
      <c r="D1619" s="12" t="s">
        <v>17</v>
      </c>
      <c r="E1619" s="12" t="s">
        <v>3899</v>
      </c>
      <c r="F1619" s="13"/>
    </row>
    <row r="1620" spans="1:6" x14ac:dyDescent="0.2">
      <c r="A1620" s="12" t="s">
        <v>1135</v>
      </c>
      <c r="B1620" s="11"/>
      <c r="C1620" s="12" t="s">
        <v>5</v>
      </c>
      <c r="D1620" s="12" t="s">
        <v>17</v>
      </c>
      <c r="E1620" s="12" t="s">
        <v>3899</v>
      </c>
      <c r="F1620" s="13"/>
    </row>
    <row r="1621" spans="1:6" x14ac:dyDescent="0.2">
      <c r="A1621" s="12" t="s">
        <v>1471</v>
      </c>
      <c r="B1621" s="11"/>
      <c r="C1621" s="12" t="s">
        <v>5</v>
      </c>
      <c r="D1621" s="12" t="s">
        <v>6</v>
      </c>
      <c r="E1621" s="12" t="s">
        <v>3902</v>
      </c>
      <c r="F1621" s="13"/>
    </row>
    <row r="1622" spans="1:6" x14ac:dyDescent="0.2">
      <c r="A1622" s="12" t="s">
        <v>1471</v>
      </c>
      <c r="B1622" s="11"/>
      <c r="C1622" s="12" t="s">
        <v>5</v>
      </c>
      <c r="D1622" s="12" t="s">
        <v>6</v>
      </c>
      <c r="E1622" s="12" t="s">
        <v>3902</v>
      </c>
      <c r="F1622" s="13"/>
    </row>
    <row r="1623" spans="1:6" x14ac:dyDescent="0.2">
      <c r="A1623" s="12" t="s">
        <v>1031</v>
      </c>
      <c r="B1623" s="11"/>
      <c r="C1623" s="12" t="s">
        <v>5</v>
      </c>
      <c r="D1623" s="12" t="s">
        <v>6</v>
      </c>
      <c r="E1623" s="12" t="s">
        <v>3905</v>
      </c>
      <c r="F1623" s="13"/>
    </row>
    <row r="1624" spans="1:6" x14ac:dyDescent="0.2">
      <c r="A1624" s="12" t="s">
        <v>1031</v>
      </c>
      <c r="B1624" s="11"/>
      <c r="C1624" s="12" t="s">
        <v>5</v>
      </c>
      <c r="D1624" s="12" t="s">
        <v>6</v>
      </c>
      <c r="E1624" s="12" t="s">
        <v>3905</v>
      </c>
      <c r="F1624" s="13"/>
    </row>
    <row r="1625" spans="1:6" x14ac:dyDescent="0.2">
      <c r="A1625" s="12" t="s">
        <v>0</v>
      </c>
      <c r="B1625" s="11"/>
      <c r="C1625" s="12" t="s">
        <v>5</v>
      </c>
      <c r="D1625" s="12" t="s">
        <v>6</v>
      </c>
      <c r="E1625" s="12" t="s">
        <v>139</v>
      </c>
      <c r="F1625" s="13"/>
    </row>
    <row r="1626" spans="1:6" x14ac:dyDescent="0.2">
      <c r="A1626" s="12" t="s">
        <v>0</v>
      </c>
      <c r="B1626" s="11"/>
      <c r="C1626" s="12" t="s">
        <v>5</v>
      </c>
      <c r="D1626" s="12" t="s">
        <v>6</v>
      </c>
      <c r="E1626" s="12" t="s">
        <v>139</v>
      </c>
      <c r="F1626" s="13"/>
    </row>
    <row r="1627" spans="1:6" x14ac:dyDescent="0.2">
      <c r="A1627" s="12" t="s">
        <v>1982</v>
      </c>
      <c r="B1627" s="11"/>
      <c r="C1627" s="12" t="s">
        <v>5</v>
      </c>
      <c r="D1627" s="12" t="s">
        <v>6</v>
      </c>
      <c r="E1627" s="12" t="s">
        <v>3908</v>
      </c>
      <c r="F1627" s="13"/>
    </row>
    <row r="1628" spans="1:6" x14ac:dyDescent="0.2">
      <c r="A1628" s="12" t="s">
        <v>1982</v>
      </c>
      <c r="B1628" s="11"/>
      <c r="C1628" s="12" t="s">
        <v>5</v>
      </c>
      <c r="D1628" s="12" t="s">
        <v>6</v>
      </c>
      <c r="E1628" s="12" t="s">
        <v>3908</v>
      </c>
      <c r="F1628" s="13"/>
    </row>
    <row r="1629" spans="1:6" x14ac:dyDescent="0.2">
      <c r="A1629" s="12" t="s">
        <v>2187</v>
      </c>
      <c r="B1629" s="11"/>
      <c r="C1629" s="12" t="s">
        <v>5</v>
      </c>
      <c r="D1629" s="12" t="s">
        <v>6</v>
      </c>
      <c r="E1629" s="12" t="s">
        <v>3911</v>
      </c>
      <c r="F1629" s="13"/>
    </row>
    <row r="1630" spans="1:6" x14ac:dyDescent="0.2">
      <c r="A1630" s="12" t="s">
        <v>2187</v>
      </c>
      <c r="B1630" s="11"/>
      <c r="C1630" s="12" t="s">
        <v>5</v>
      </c>
      <c r="D1630" s="12" t="s">
        <v>6</v>
      </c>
      <c r="E1630" s="12" t="s">
        <v>3911</v>
      </c>
      <c r="F1630" s="13"/>
    </row>
    <row r="1631" spans="1:6" x14ac:dyDescent="0.2">
      <c r="A1631" s="12" t="s">
        <v>2008</v>
      </c>
      <c r="B1631" s="11"/>
      <c r="C1631" s="12" t="s">
        <v>5</v>
      </c>
      <c r="D1631" s="12" t="s">
        <v>6</v>
      </c>
      <c r="E1631" s="12" t="s">
        <v>3914</v>
      </c>
      <c r="F1631" s="13"/>
    </row>
    <row r="1632" spans="1:6" x14ac:dyDescent="0.2">
      <c r="A1632" s="12" t="s">
        <v>1922</v>
      </c>
      <c r="B1632" s="11"/>
      <c r="C1632" s="12" t="s">
        <v>5</v>
      </c>
      <c r="D1632" s="12" t="s">
        <v>21</v>
      </c>
      <c r="E1632" s="12" t="s">
        <v>3916</v>
      </c>
      <c r="F1632" s="13"/>
    </row>
    <row r="1633" spans="1:6" x14ac:dyDescent="0.2">
      <c r="A1633" s="12" t="s">
        <v>1922</v>
      </c>
      <c r="B1633" s="11"/>
      <c r="C1633" s="12" t="s">
        <v>5</v>
      </c>
      <c r="D1633" s="12" t="s">
        <v>21</v>
      </c>
      <c r="E1633" s="12" t="s">
        <v>3916</v>
      </c>
      <c r="F1633" s="13"/>
    </row>
    <row r="1634" spans="1:6" x14ac:dyDescent="0.2">
      <c r="A1634" s="12" t="s">
        <v>0</v>
      </c>
      <c r="B1634" s="11"/>
      <c r="C1634" s="12" t="s">
        <v>5</v>
      </c>
      <c r="D1634" s="12" t="s">
        <v>21</v>
      </c>
      <c r="E1634" s="12" t="s">
        <v>142</v>
      </c>
      <c r="F1634" s="13"/>
    </row>
    <row r="1635" spans="1:6" x14ac:dyDescent="0.2">
      <c r="A1635" s="12" t="s">
        <v>0</v>
      </c>
      <c r="B1635" s="11"/>
      <c r="C1635" s="12" t="s">
        <v>5</v>
      </c>
      <c r="D1635" s="12" t="s">
        <v>21</v>
      </c>
      <c r="E1635" s="12" t="s">
        <v>142</v>
      </c>
      <c r="F1635" s="13"/>
    </row>
    <row r="1636" spans="1:6" x14ac:dyDescent="0.2">
      <c r="A1636" s="12" t="s">
        <v>2187</v>
      </c>
      <c r="B1636" s="11"/>
      <c r="C1636" s="12" t="s">
        <v>5</v>
      </c>
      <c r="D1636" s="12" t="s">
        <v>21</v>
      </c>
      <c r="E1636" s="12" t="s">
        <v>3919</v>
      </c>
      <c r="F1636" s="13"/>
    </row>
    <row r="1637" spans="1:6" x14ac:dyDescent="0.2">
      <c r="A1637" s="12" t="s">
        <v>2187</v>
      </c>
      <c r="B1637" s="11"/>
      <c r="C1637" s="12" t="s">
        <v>5</v>
      </c>
      <c r="D1637" s="12" t="s">
        <v>21</v>
      </c>
      <c r="E1637" s="12" t="s">
        <v>3919</v>
      </c>
      <c r="F1637" s="13"/>
    </row>
    <row r="1638" spans="1:6" x14ac:dyDescent="0.2">
      <c r="A1638" s="12" t="s">
        <v>2005</v>
      </c>
      <c r="B1638" s="11"/>
      <c r="C1638" s="12" t="s">
        <v>5</v>
      </c>
      <c r="D1638" s="12" t="s">
        <v>21</v>
      </c>
      <c r="E1638" s="12" t="s">
        <v>3922</v>
      </c>
      <c r="F1638" s="13"/>
    </row>
    <row r="1639" spans="1:6" x14ac:dyDescent="0.2">
      <c r="A1639" s="12" t="s">
        <v>491</v>
      </c>
      <c r="B1639" s="11"/>
      <c r="C1639" s="12" t="s">
        <v>5</v>
      </c>
      <c r="D1639" s="12" t="s">
        <v>17</v>
      </c>
      <c r="E1639" s="12" t="s">
        <v>3949</v>
      </c>
      <c r="F1639" s="13"/>
    </row>
    <row r="1640" spans="1:6" x14ac:dyDescent="0.2">
      <c r="A1640" s="12" t="s">
        <v>491</v>
      </c>
      <c r="B1640" s="11"/>
      <c r="C1640" s="12" t="s">
        <v>5</v>
      </c>
      <c r="D1640" s="12" t="s">
        <v>17</v>
      </c>
      <c r="E1640" s="12" t="s">
        <v>3949</v>
      </c>
      <c r="F1640" s="13"/>
    </row>
    <row r="1641" spans="1:6" x14ac:dyDescent="0.2">
      <c r="A1641" s="12" t="s">
        <v>482</v>
      </c>
      <c r="B1641" s="11"/>
      <c r="C1641" s="12" t="s">
        <v>5</v>
      </c>
      <c r="D1641" s="12" t="s">
        <v>17</v>
      </c>
      <c r="E1641" s="12" t="s">
        <v>3953</v>
      </c>
      <c r="F1641" s="13"/>
    </row>
    <row r="1642" spans="1:6" x14ac:dyDescent="0.2">
      <c r="A1642" s="12" t="s">
        <v>467</v>
      </c>
      <c r="B1642" s="11"/>
      <c r="C1642" s="12" t="s">
        <v>5</v>
      </c>
      <c r="D1642" s="12" t="s">
        <v>17</v>
      </c>
      <c r="E1642" s="12" t="s">
        <v>3955</v>
      </c>
      <c r="F1642" s="13"/>
    </row>
    <row r="1643" spans="1:6" x14ac:dyDescent="0.2">
      <c r="A1643" s="12" t="s">
        <v>467</v>
      </c>
      <c r="B1643" s="11"/>
      <c r="C1643" s="12" t="s">
        <v>5</v>
      </c>
      <c r="D1643" s="12" t="s">
        <v>17</v>
      </c>
      <c r="E1643" s="12" t="s">
        <v>3955</v>
      </c>
      <c r="F1643" s="13"/>
    </row>
    <row r="1644" spans="1:6" x14ac:dyDescent="0.2">
      <c r="A1644" s="12" t="s">
        <v>635</v>
      </c>
      <c r="B1644" s="11"/>
      <c r="C1644" s="12" t="s">
        <v>5</v>
      </c>
      <c r="D1644" s="12" t="s">
        <v>17</v>
      </c>
      <c r="E1644" s="12" t="s">
        <v>3958</v>
      </c>
      <c r="F1644" s="13"/>
    </row>
    <row r="1645" spans="1:6" x14ac:dyDescent="0.2">
      <c r="A1645" s="12" t="s">
        <v>635</v>
      </c>
      <c r="B1645" s="11"/>
      <c r="C1645" s="12" t="s">
        <v>5</v>
      </c>
      <c r="D1645" s="12" t="s">
        <v>17</v>
      </c>
      <c r="E1645" s="12" t="s">
        <v>3958</v>
      </c>
      <c r="F1645" s="13"/>
    </row>
    <row r="1646" spans="1:6" x14ac:dyDescent="0.2">
      <c r="A1646" s="12" t="s">
        <v>1573</v>
      </c>
      <c r="B1646" s="11"/>
      <c r="C1646" s="12" t="s">
        <v>5</v>
      </c>
      <c r="D1646" s="12" t="s">
        <v>6</v>
      </c>
      <c r="E1646" s="12" t="s">
        <v>3961</v>
      </c>
      <c r="F1646" s="13"/>
    </row>
    <row r="1647" spans="1:6" x14ac:dyDescent="0.2">
      <c r="A1647" s="12" t="s">
        <v>1573</v>
      </c>
      <c r="B1647" s="11"/>
      <c r="C1647" s="12" t="s">
        <v>5</v>
      </c>
      <c r="D1647" s="12" t="s">
        <v>6</v>
      </c>
      <c r="E1647" s="12" t="s">
        <v>3961</v>
      </c>
      <c r="F1647" s="13"/>
    </row>
    <row r="1648" spans="1:6" x14ac:dyDescent="0.2">
      <c r="A1648" s="12" t="s">
        <v>547</v>
      </c>
      <c r="B1648" s="11"/>
      <c r="C1648" s="12" t="s">
        <v>5</v>
      </c>
      <c r="D1648" s="12" t="s">
        <v>6</v>
      </c>
      <c r="E1648" s="12" t="s">
        <v>3964</v>
      </c>
      <c r="F1648" s="13"/>
    </row>
    <row r="1649" spans="1:6" x14ac:dyDescent="0.2">
      <c r="A1649" s="12" t="s">
        <v>2043</v>
      </c>
      <c r="B1649" s="11"/>
      <c r="C1649" s="12" t="s">
        <v>5</v>
      </c>
      <c r="D1649" s="12" t="s">
        <v>6</v>
      </c>
      <c r="E1649" s="12" t="s">
        <v>3966</v>
      </c>
      <c r="F1649" s="13"/>
    </row>
    <row r="1650" spans="1:6" x14ac:dyDescent="0.2">
      <c r="A1650" s="12" t="s">
        <v>2043</v>
      </c>
      <c r="B1650" s="11"/>
      <c r="C1650" s="12" t="s">
        <v>5</v>
      </c>
      <c r="D1650" s="12" t="s">
        <v>6</v>
      </c>
      <c r="E1650" s="12" t="s">
        <v>3966</v>
      </c>
      <c r="F1650" s="13"/>
    </row>
    <row r="1651" spans="1:6" x14ac:dyDescent="0.2">
      <c r="A1651" s="12" t="s">
        <v>662</v>
      </c>
      <c r="B1651" s="11"/>
      <c r="C1651" s="12" t="s">
        <v>5</v>
      </c>
      <c r="D1651" s="12" t="s">
        <v>6</v>
      </c>
      <c r="E1651" s="12" t="s">
        <v>3969</v>
      </c>
      <c r="F1651" s="13"/>
    </row>
    <row r="1652" spans="1:6" x14ac:dyDescent="0.2">
      <c r="A1652" s="12" t="s">
        <v>662</v>
      </c>
      <c r="B1652" s="11"/>
      <c r="C1652" s="12" t="s">
        <v>5</v>
      </c>
      <c r="D1652" s="12" t="s">
        <v>6</v>
      </c>
      <c r="E1652" s="12" t="s">
        <v>3969</v>
      </c>
      <c r="F1652" s="13"/>
    </row>
    <row r="1653" spans="1:6" x14ac:dyDescent="0.2">
      <c r="A1653" s="12" t="s">
        <v>662</v>
      </c>
      <c r="B1653" s="11"/>
      <c r="C1653" s="12" t="s">
        <v>5</v>
      </c>
      <c r="D1653" s="12" t="s">
        <v>6</v>
      </c>
      <c r="E1653" s="12" t="s">
        <v>3972</v>
      </c>
      <c r="F1653" s="13"/>
    </row>
    <row r="1654" spans="1:6" x14ac:dyDescent="0.2">
      <c r="A1654" s="12" t="s">
        <v>662</v>
      </c>
      <c r="B1654" s="11"/>
      <c r="C1654" s="12" t="s">
        <v>5</v>
      </c>
      <c r="D1654" s="12" t="s">
        <v>6</v>
      </c>
      <c r="E1654" s="12" t="s">
        <v>3972</v>
      </c>
      <c r="F1654" s="13"/>
    </row>
    <row r="1655" spans="1:6" x14ac:dyDescent="0.2">
      <c r="A1655" s="12" t="s">
        <v>1337</v>
      </c>
      <c r="B1655" s="11"/>
      <c r="C1655" s="12" t="s">
        <v>5</v>
      </c>
      <c r="D1655" s="12" t="s">
        <v>6</v>
      </c>
      <c r="E1655" s="12" t="s">
        <v>3975</v>
      </c>
      <c r="F1655" s="13"/>
    </row>
    <row r="1656" spans="1:6" x14ac:dyDescent="0.2">
      <c r="A1656" s="12" t="s">
        <v>1139</v>
      </c>
      <c r="B1656" s="11"/>
      <c r="C1656" s="12" t="s">
        <v>5</v>
      </c>
      <c r="D1656" s="12" t="s">
        <v>21</v>
      </c>
      <c r="E1656" s="12" t="s">
        <v>3977</v>
      </c>
      <c r="F1656" s="13"/>
    </row>
    <row r="1657" spans="1:6" x14ac:dyDescent="0.2">
      <c r="A1657" s="12" t="s">
        <v>1139</v>
      </c>
      <c r="B1657" s="11"/>
      <c r="C1657" s="12" t="s">
        <v>5</v>
      </c>
      <c r="D1657" s="12" t="s">
        <v>21</v>
      </c>
      <c r="E1657" s="12" t="s">
        <v>3977</v>
      </c>
      <c r="F1657" s="13"/>
    </row>
    <row r="1658" spans="1:6" x14ac:dyDescent="0.2">
      <c r="A1658" s="12" t="s">
        <v>1573</v>
      </c>
      <c r="B1658" s="11"/>
      <c r="C1658" s="12" t="s">
        <v>5</v>
      </c>
      <c r="D1658" s="12" t="s">
        <v>21</v>
      </c>
      <c r="E1658" s="12" t="s">
        <v>3980</v>
      </c>
      <c r="F1658" s="13"/>
    </row>
    <row r="1659" spans="1:6" x14ac:dyDescent="0.2">
      <c r="A1659" s="12" t="s">
        <v>327</v>
      </c>
      <c r="B1659" s="11"/>
      <c r="C1659" s="12" t="s">
        <v>5</v>
      </c>
      <c r="D1659" s="12" t="s">
        <v>21</v>
      </c>
      <c r="E1659" s="12" t="s">
        <v>3982</v>
      </c>
      <c r="F1659" s="13"/>
    </row>
    <row r="1660" spans="1:6" x14ac:dyDescent="0.2">
      <c r="A1660" s="12" t="s">
        <v>327</v>
      </c>
      <c r="B1660" s="11"/>
      <c r="C1660" s="12" t="s">
        <v>5</v>
      </c>
      <c r="D1660" s="12" t="s">
        <v>21</v>
      </c>
      <c r="E1660" s="12" t="s">
        <v>3982</v>
      </c>
      <c r="F1660" s="13"/>
    </row>
    <row r="1661" spans="1:6" x14ac:dyDescent="0.2">
      <c r="A1661" s="12" t="s">
        <v>285</v>
      </c>
      <c r="B1661" s="11"/>
      <c r="C1661" s="12" t="s">
        <v>5</v>
      </c>
      <c r="D1661" s="12" t="s">
        <v>21</v>
      </c>
      <c r="E1661" s="12" t="s">
        <v>3986</v>
      </c>
      <c r="F1661" s="13"/>
    </row>
    <row r="1662" spans="1:6" x14ac:dyDescent="0.2">
      <c r="A1662" s="12" t="s">
        <v>285</v>
      </c>
      <c r="B1662" s="11"/>
      <c r="C1662" s="12" t="s">
        <v>5</v>
      </c>
      <c r="D1662" s="12" t="s">
        <v>21</v>
      </c>
      <c r="E1662" s="12" t="s">
        <v>3986</v>
      </c>
      <c r="F1662" s="13"/>
    </row>
    <row r="1663" spans="1:6" x14ac:dyDescent="0.2">
      <c r="A1663" s="12" t="s">
        <v>822</v>
      </c>
      <c r="B1663" s="11"/>
      <c r="C1663" s="12" t="s">
        <v>5</v>
      </c>
      <c r="D1663" s="12" t="s">
        <v>17</v>
      </c>
      <c r="E1663" s="12" t="s">
        <v>3989</v>
      </c>
      <c r="F1663" s="13"/>
    </row>
    <row r="1664" spans="1:6" x14ac:dyDescent="0.2">
      <c r="A1664" s="12" t="s">
        <v>822</v>
      </c>
      <c r="B1664" s="11"/>
      <c r="C1664" s="12" t="s">
        <v>5</v>
      </c>
      <c r="D1664" s="12" t="s">
        <v>17</v>
      </c>
      <c r="E1664" s="12" t="s">
        <v>3989</v>
      </c>
      <c r="F1664" s="13"/>
    </row>
    <row r="1665" spans="1:6" x14ac:dyDescent="0.2">
      <c r="A1665" s="12" t="s">
        <v>479</v>
      </c>
      <c r="B1665" s="11"/>
      <c r="C1665" s="12" t="s">
        <v>5</v>
      </c>
      <c r="D1665" s="12" t="s">
        <v>17</v>
      </c>
      <c r="E1665" s="12" t="s">
        <v>3992</v>
      </c>
      <c r="F1665" s="13"/>
    </row>
    <row r="1666" spans="1:6" x14ac:dyDescent="0.2">
      <c r="A1666" s="12" t="s">
        <v>479</v>
      </c>
      <c r="B1666" s="11"/>
      <c r="C1666" s="12" t="s">
        <v>5</v>
      </c>
      <c r="D1666" s="12" t="s">
        <v>17</v>
      </c>
      <c r="E1666" s="12" t="s">
        <v>3992</v>
      </c>
      <c r="F1666" s="13"/>
    </row>
    <row r="1667" spans="1:6" x14ac:dyDescent="0.2">
      <c r="A1667" s="12" t="s">
        <v>662</v>
      </c>
      <c r="B1667" s="11"/>
      <c r="C1667" s="12" t="s">
        <v>5</v>
      </c>
      <c r="D1667" s="12" t="s">
        <v>17</v>
      </c>
      <c r="E1667" s="12" t="s">
        <v>3995</v>
      </c>
      <c r="F1667" s="13"/>
    </row>
    <row r="1668" spans="1:6" x14ac:dyDescent="0.2">
      <c r="A1668" s="12" t="s">
        <v>662</v>
      </c>
      <c r="B1668" s="11"/>
      <c r="C1668" s="12" t="s">
        <v>5</v>
      </c>
      <c r="D1668" s="12" t="s">
        <v>17</v>
      </c>
      <c r="E1668" s="12" t="s">
        <v>3995</v>
      </c>
      <c r="F1668" s="13"/>
    </row>
    <row r="1669" spans="1:6" x14ac:dyDescent="0.2">
      <c r="A1669" s="12" t="s">
        <v>822</v>
      </c>
      <c r="B1669" s="11"/>
      <c r="C1669" s="12" t="s">
        <v>5</v>
      </c>
      <c r="D1669" s="12" t="s">
        <v>17</v>
      </c>
      <c r="E1669" s="12" t="s">
        <v>3998</v>
      </c>
      <c r="F1669" s="13"/>
    </row>
    <row r="1670" spans="1:6" x14ac:dyDescent="0.2">
      <c r="A1670" s="12" t="s">
        <v>822</v>
      </c>
      <c r="B1670" s="11"/>
      <c r="C1670" s="12" t="s">
        <v>5</v>
      </c>
      <c r="D1670" s="12" t="s">
        <v>17</v>
      </c>
      <c r="E1670" s="12" t="s">
        <v>3998</v>
      </c>
      <c r="F1670" s="13"/>
    </row>
    <row r="1671" spans="1:6" x14ac:dyDescent="0.2">
      <c r="A1671" s="12" t="s">
        <v>0</v>
      </c>
      <c r="B1671" s="11"/>
      <c r="C1671" s="12" t="s">
        <v>5</v>
      </c>
      <c r="D1671" s="12" t="s">
        <v>6</v>
      </c>
      <c r="E1671" s="12" t="s">
        <v>160</v>
      </c>
      <c r="F1671" s="13"/>
    </row>
    <row r="1672" spans="1:6" x14ac:dyDescent="0.2">
      <c r="A1672" s="12" t="s">
        <v>0</v>
      </c>
      <c r="B1672" s="11"/>
      <c r="C1672" s="12" t="s">
        <v>5</v>
      </c>
      <c r="D1672" s="12" t="s">
        <v>6</v>
      </c>
      <c r="E1672" s="12" t="s">
        <v>160</v>
      </c>
      <c r="F1672" s="13"/>
    </row>
    <row r="1673" spans="1:6" x14ac:dyDescent="0.2">
      <c r="A1673" s="12" t="s">
        <v>1139</v>
      </c>
      <c r="B1673" s="11"/>
      <c r="C1673" s="12" t="s">
        <v>5</v>
      </c>
      <c r="D1673" s="12" t="s">
        <v>6</v>
      </c>
      <c r="E1673" s="12" t="s">
        <v>4001</v>
      </c>
      <c r="F1673" s="13"/>
    </row>
    <row r="1674" spans="1:6" x14ac:dyDescent="0.2">
      <c r="A1674" s="12" t="s">
        <v>1139</v>
      </c>
      <c r="B1674" s="11"/>
      <c r="C1674" s="12" t="s">
        <v>5</v>
      </c>
      <c r="D1674" s="12" t="s">
        <v>6</v>
      </c>
      <c r="E1674" s="12" t="s">
        <v>4001</v>
      </c>
      <c r="F1674" s="13"/>
    </row>
    <row r="1675" spans="1:6" x14ac:dyDescent="0.2">
      <c r="A1675" s="12" t="s">
        <v>1828</v>
      </c>
      <c r="B1675" s="11"/>
      <c r="C1675" s="12" t="s">
        <v>5</v>
      </c>
      <c r="D1675" s="12" t="s">
        <v>6</v>
      </c>
      <c r="E1675" s="12" t="s">
        <v>4004</v>
      </c>
      <c r="F1675" s="13"/>
    </row>
    <row r="1676" spans="1:6" x14ac:dyDescent="0.2">
      <c r="A1676" s="12" t="s">
        <v>1828</v>
      </c>
      <c r="B1676" s="11"/>
      <c r="C1676" s="12" t="s">
        <v>5</v>
      </c>
      <c r="D1676" s="12" t="s">
        <v>6</v>
      </c>
      <c r="E1676" s="12" t="s">
        <v>4004</v>
      </c>
      <c r="F1676" s="13"/>
    </row>
    <row r="1677" spans="1:6" x14ac:dyDescent="0.2">
      <c r="A1677" s="12" t="s">
        <v>1135</v>
      </c>
      <c r="B1677" s="11"/>
      <c r="C1677" s="12" t="s">
        <v>5</v>
      </c>
      <c r="D1677" s="12" t="s">
        <v>6</v>
      </c>
      <c r="E1677" s="12" t="s">
        <v>4007</v>
      </c>
      <c r="F1677" s="13"/>
    </row>
    <row r="1678" spans="1:6" x14ac:dyDescent="0.2">
      <c r="A1678" s="12" t="s">
        <v>1135</v>
      </c>
      <c r="B1678" s="11"/>
      <c r="C1678" s="12" t="s">
        <v>5</v>
      </c>
      <c r="D1678" s="12" t="s">
        <v>6</v>
      </c>
      <c r="E1678" s="12" t="s">
        <v>4007</v>
      </c>
      <c r="F1678" s="13"/>
    </row>
    <row r="1679" spans="1:6" x14ac:dyDescent="0.2">
      <c r="A1679" s="12" t="s">
        <v>2251</v>
      </c>
      <c r="B1679" s="11"/>
      <c r="C1679" s="12" t="s">
        <v>5</v>
      </c>
      <c r="D1679" s="12" t="s">
        <v>6</v>
      </c>
      <c r="E1679" s="12" t="s">
        <v>4010</v>
      </c>
      <c r="F1679" s="47"/>
    </row>
    <row r="1680" spans="1:6" x14ac:dyDescent="0.2">
      <c r="A1680" s="12" t="s">
        <v>1139</v>
      </c>
      <c r="B1680" s="11"/>
      <c r="C1680" s="12" t="s">
        <v>5</v>
      </c>
      <c r="D1680" s="12" t="s">
        <v>6</v>
      </c>
      <c r="E1680" s="12" t="s">
        <v>4011</v>
      </c>
      <c r="F1680" s="13"/>
    </row>
    <row r="1681" spans="1:6" x14ac:dyDescent="0.2">
      <c r="A1681" s="12" t="s">
        <v>331</v>
      </c>
      <c r="B1681" s="11"/>
      <c r="C1681" s="12" t="s">
        <v>5</v>
      </c>
      <c r="D1681" s="12" t="s">
        <v>21</v>
      </c>
      <c r="E1681" s="12" t="s">
        <v>4013</v>
      </c>
      <c r="F1681" s="13"/>
    </row>
    <row r="1682" spans="1:6" x14ac:dyDescent="0.2">
      <c r="A1682" s="12" t="s">
        <v>331</v>
      </c>
      <c r="B1682" s="11"/>
      <c r="C1682" s="12" t="s">
        <v>5</v>
      </c>
      <c r="D1682" s="12" t="s">
        <v>21</v>
      </c>
      <c r="E1682" s="12" t="s">
        <v>4013</v>
      </c>
      <c r="F1682" s="13"/>
    </row>
    <row r="1683" spans="1:6" x14ac:dyDescent="0.2">
      <c r="A1683" s="12" t="s">
        <v>2221</v>
      </c>
      <c r="B1683" s="11"/>
      <c r="C1683" s="12" t="s">
        <v>5</v>
      </c>
      <c r="D1683" s="12" t="s">
        <v>21</v>
      </c>
      <c r="E1683" s="12" t="s">
        <v>4016</v>
      </c>
      <c r="F1683" s="13"/>
    </row>
    <row r="1684" spans="1:6" x14ac:dyDescent="0.2">
      <c r="A1684" s="12" t="s">
        <v>2221</v>
      </c>
      <c r="B1684" s="11"/>
      <c r="C1684" s="12" t="s">
        <v>5</v>
      </c>
      <c r="D1684" s="12" t="s">
        <v>21</v>
      </c>
      <c r="E1684" s="12" t="s">
        <v>4016</v>
      </c>
      <c r="F1684" s="13"/>
    </row>
    <row r="1685" spans="1:6" x14ac:dyDescent="0.2">
      <c r="A1685" s="12" t="s">
        <v>1924</v>
      </c>
      <c r="B1685" s="11"/>
      <c r="C1685" s="12" t="s">
        <v>5</v>
      </c>
      <c r="D1685" s="12" t="s">
        <v>21</v>
      </c>
      <c r="E1685" s="12" t="s">
        <v>4020</v>
      </c>
      <c r="F1685" s="13"/>
    </row>
    <row r="1686" spans="1:6" x14ac:dyDescent="0.2">
      <c r="A1686" s="12" t="s">
        <v>1924</v>
      </c>
      <c r="B1686" s="11"/>
      <c r="C1686" s="12" t="s">
        <v>5</v>
      </c>
      <c r="D1686" s="12" t="s">
        <v>21</v>
      </c>
      <c r="E1686" s="12" t="s">
        <v>4020</v>
      </c>
      <c r="F1686" s="13"/>
    </row>
    <row r="1687" spans="1:6" x14ac:dyDescent="0.2">
      <c r="A1687" s="12" t="s">
        <v>1135</v>
      </c>
      <c r="B1687" s="11"/>
      <c r="C1687" s="12" t="s">
        <v>5</v>
      </c>
      <c r="D1687" s="12" t="s">
        <v>21</v>
      </c>
      <c r="E1687" s="12" t="s">
        <v>4023</v>
      </c>
      <c r="F1687" s="13"/>
    </row>
    <row r="1688" spans="1:6" x14ac:dyDescent="0.2">
      <c r="A1688" s="12" t="s">
        <v>1135</v>
      </c>
      <c r="B1688" s="11"/>
      <c r="C1688" s="12" t="s">
        <v>5</v>
      </c>
      <c r="D1688" s="12" t="s">
        <v>21</v>
      </c>
      <c r="E1688" s="12" t="s">
        <v>4023</v>
      </c>
      <c r="F1688" s="13"/>
    </row>
    <row r="1689" spans="1:6" x14ac:dyDescent="0.2">
      <c r="A1689" s="12" t="s">
        <v>2251</v>
      </c>
      <c r="B1689" s="11"/>
      <c r="C1689" s="12" t="s">
        <v>5</v>
      </c>
      <c r="D1689" s="12" t="s">
        <v>17</v>
      </c>
      <c r="E1689" s="12" t="s">
        <v>4026</v>
      </c>
      <c r="F1689" s="47"/>
    </row>
    <row r="1690" spans="1:6" x14ac:dyDescent="0.2">
      <c r="A1690" s="12" t="s">
        <v>285</v>
      </c>
      <c r="B1690" s="11"/>
      <c r="C1690" s="12" t="s">
        <v>5</v>
      </c>
      <c r="D1690" s="12" t="s">
        <v>17</v>
      </c>
      <c r="E1690" s="12" t="s">
        <v>4027</v>
      </c>
      <c r="F1690" s="13"/>
    </row>
    <row r="1691" spans="1:6" x14ac:dyDescent="0.2">
      <c r="A1691" s="12" t="s">
        <v>285</v>
      </c>
      <c r="B1691" s="11"/>
      <c r="C1691" s="12" t="s">
        <v>5</v>
      </c>
      <c r="D1691" s="12" t="s">
        <v>17</v>
      </c>
      <c r="E1691" s="12" t="s">
        <v>4027</v>
      </c>
      <c r="F1691" s="13"/>
    </row>
    <row r="1692" spans="1:6" x14ac:dyDescent="0.2">
      <c r="A1692" s="12" t="s">
        <v>285</v>
      </c>
      <c r="B1692" s="11"/>
      <c r="C1692" s="12" t="s">
        <v>5</v>
      </c>
      <c r="D1692" s="12" t="s">
        <v>17</v>
      </c>
      <c r="E1692" s="12" t="s">
        <v>4030</v>
      </c>
      <c r="F1692" s="13"/>
    </row>
    <row r="1693" spans="1:6" x14ac:dyDescent="0.2">
      <c r="A1693" s="12" t="s">
        <v>285</v>
      </c>
      <c r="B1693" s="11"/>
      <c r="C1693" s="12" t="s">
        <v>5</v>
      </c>
      <c r="D1693" s="12" t="s">
        <v>17</v>
      </c>
      <c r="E1693" s="12" t="s">
        <v>4030</v>
      </c>
      <c r="F1693" s="13"/>
    </row>
    <row r="1694" spans="1:6" x14ac:dyDescent="0.2">
      <c r="A1694" s="12" t="s">
        <v>1822</v>
      </c>
      <c r="B1694" s="11"/>
      <c r="C1694" s="12" t="s">
        <v>5</v>
      </c>
      <c r="D1694" s="12" t="s">
        <v>17</v>
      </c>
      <c r="E1694" s="12" t="s">
        <v>4033</v>
      </c>
      <c r="F1694" s="13"/>
    </row>
    <row r="1695" spans="1:6" x14ac:dyDescent="0.2">
      <c r="A1695" s="12" t="s">
        <v>1822</v>
      </c>
      <c r="B1695" s="11"/>
      <c r="C1695" s="12" t="s">
        <v>5</v>
      </c>
      <c r="D1695" s="12" t="s">
        <v>17</v>
      </c>
      <c r="E1695" s="12" t="s">
        <v>4033</v>
      </c>
      <c r="F1695" s="13"/>
    </row>
    <row r="1696" spans="1:6" x14ac:dyDescent="0.2">
      <c r="A1696" s="12" t="s">
        <v>1815</v>
      </c>
      <c r="B1696" s="11"/>
      <c r="C1696" s="12" t="s">
        <v>5</v>
      </c>
      <c r="D1696" s="12" t="s">
        <v>6</v>
      </c>
      <c r="E1696" s="12" t="s">
        <v>4036</v>
      </c>
      <c r="F1696" s="13"/>
    </row>
    <row r="1697" spans="1:6" x14ac:dyDescent="0.2">
      <c r="A1697" s="12" t="s">
        <v>1815</v>
      </c>
      <c r="B1697" s="11"/>
      <c r="C1697" s="12" t="s">
        <v>5</v>
      </c>
      <c r="D1697" s="12" t="s">
        <v>6</v>
      </c>
      <c r="E1697" s="12" t="s">
        <v>4036</v>
      </c>
      <c r="F1697" s="13"/>
    </row>
    <row r="1698" spans="1:6" x14ac:dyDescent="0.2">
      <c r="A1698" s="12" t="s">
        <v>1145</v>
      </c>
      <c r="B1698" s="11"/>
      <c r="C1698" s="12" t="s">
        <v>5</v>
      </c>
      <c r="D1698" s="12" t="s">
        <v>6</v>
      </c>
      <c r="E1698" s="12" t="s">
        <v>4039</v>
      </c>
      <c r="F1698" s="13"/>
    </row>
    <row r="1699" spans="1:6" x14ac:dyDescent="0.2">
      <c r="A1699" s="12" t="s">
        <v>1145</v>
      </c>
      <c r="B1699" s="11"/>
      <c r="C1699" s="12" t="s">
        <v>5</v>
      </c>
      <c r="D1699" s="12" t="s">
        <v>6</v>
      </c>
      <c r="E1699" s="12" t="s">
        <v>4039</v>
      </c>
      <c r="F1699" s="13"/>
    </row>
    <row r="1700" spans="1:6" x14ac:dyDescent="0.2">
      <c r="A1700" s="12" t="s">
        <v>0</v>
      </c>
      <c r="B1700" s="11"/>
      <c r="C1700" s="12" t="s">
        <v>5</v>
      </c>
      <c r="D1700" s="12" t="s">
        <v>6</v>
      </c>
      <c r="E1700" s="12" t="s">
        <v>163</v>
      </c>
      <c r="F1700" s="13"/>
    </row>
    <row r="1701" spans="1:6" x14ac:dyDescent="0.2">
      <c r="A1701" s="12" t="s">
        <v>0</v>
      </c>
      <c r="B1701" s="11"/>
      <c r="C1701" s="12" t="s">
        <v>5</v>
      </c>
      <c r="D1701" s="12" t="s">
        <v>6</v>
      </c>
      <c r="E1701" s="12" t="s">
        <v>163</v>
      </c>
      <c r="F1701" s="13"/>
    </row>
    <row r="1702" spans="1:6" x14ac:dyDescent="0.2">
      <c r="A1702" s="12" t="s">
        <v>1145</v>
      </c>
      <c r="B1702" s="11"/>
      <c r="C1702" s="12" t="s">
        <v>5</v>
      </c>
      <c r="D1702" s="12" t="s">
        <v>6</v>
      </c>
      <c r="E1702" s="12" t="s">
        <v>4042</v>
      </c>
      <c r="F1702" s="13"/>
    </row>
    <row r="1703" spans="1:6" x14ac:dyDescent="0.2">
      <c r="A1703" s="12" t="s">
        <v>1145</v>
      </c>
      <c r="B1703" s="11"/>
      <c r="C1703" s="12" t="s">
        <v>5</v>
      </c>
      <c r="D1703" s="12" t="s">
        <v>6</v>
      </c>
      <c r="E1703" s="12" t="s">
        <v>4042</v>
      </c>
      <c r="F1703" s="13"/>
    </row>
    <row r="1704" spans="1:6" x14ac:dyDescent="0.2">
      <c r="A1704" s="12" t="s">
        <v>0</v>
      </c>
      <c r="B1704" s="11"/>
      <c r="C1704" s="12" t="s">
        <v>5</v>
      </c>
      <c r="D1704" s="12" t="s">
        <v>6</v>
      </c>
      <c r="E1704" s="12" t="s">
        <v>166</v>
      </c>
      <c r="F1704" s="13"/>
    </row>
    <row r="1705" spans="1:6" x14ac:dyDescent="0.2">
      <c r="A1705" s="12" t="s">
        <v>0</v>
      </c>
      <c r="B1705" s="11"/>
      <c r="C1705" s="12" t="s">
        <v>5</v>
      </c>
      <c r="D1705" s="12" t="s">
        <v>6</v>
      </c>
      <c r="E1705" s="12" t="s">
        <v>166</v>
      </c>
      <c r="F1705" s="13"/>
    </row>
    <row r="1706" spans="1:6" x14ac:dyDescent="0.2">
      <c r="A1706" s="12" t="s">
        <v>2251</v>
      </c>
      <c r="B1706" s="11"/>
      <c r="C1706" s="12" t="s">
        <v>5</v>
      </c>
      <c r="D1706" s="12" t="s">
        <v>6</v>
      </c>
      <c r="E1706" s="12" t="s">
        <v>4045</v>
      </c>
      <c r="F1706" s="47"/>
    </row>
    <row r="1707" spans="1:6" x14ac:dyDescent="0.2">
      <c r="A1707" s="12" t="s">
        <v>635</v>
      </c>
      <c r="B1707" s="11"/>
      <c r="C1707" s="12" t="s">
        <v>5</v>
      </c>
      <c r="D1707" s="12" t="s">
        <v>21</v>
      </c>
      <c r="E1707" s="12" t="s">
        <v>4046</v>
      </c>
      <c r="F1707" s="13"/>
    </row>
    <row r="1708" spans="1:6" x14ac:dyDescent="0.2">
      <c r="A1708" s="12" t="s">
        <v>635</v>
      </c>
      <c r="B1708" s="11"/>
      <c r="C1708" s="12" t="s">
        <v>5</v>
      </c>
      <c r="D1708" s="12" t="s">
        <v>21</v>
      </c>
      <c r="E1708" s="12" t="s">
        <v>4046</v>
      </c>
      <c r="F1708" s="13"/>
    </row>
    <row r="1709" spans="1:6" x14ac:dyDescent="0.2">
      <c r="A1709" s="12" t="s">
        <v>2187</v>
      </c>
      <c r="B1709" s="11"/>
      <c r="C1709" s="12" t="s">
        <v>5</v>
      </c>
      <c r="D1709" s="12" t="s">
        <v>21</v>
      </c>
      <c r="E1709" s="12" t="s">
        <v>4049</v>
      </c>
      <c r="F1709" s="13"/>
    </row>
    <row r="1710" spans="1:6" x14ac:dyDescent="0.2">
      <c r="A1710" s="12" t="s">
        <v>2187</v>
      </c>
      <c r="B1710" s="11"/>
      <c r="C1710" s="12" t="s">
        <v>5</v>
      </c>
      <c r="D1710" s="12" t="s">
        <v>21</v>
      </c>
      <c r="E1710" s="12" t="s">
        <v>4049</v>
      </c>
      <c r="F1710" s="13"/>
    </row>
    <row r="1711" spans="1:6" x14ac:dyDescent="0.2">
      <c r="A1711" s="12" t="s">
        <v>285</v>
      </c>
      <c r="B1711" s="11"/>
      <c r="C1711" s="12" t="s">
        <v>5</v>
      </c>
      <c r="D1711" s="12" t="s">
        <v>21</v>
      </c>
      <c r="E1711" s="12" t="s">
        <v>4052</v>
      </c>
      <c r="F1711" s="13"/>
    </row>
    <row r="1712" spans="1:6" x14ac:dyDescent="0.2">
      <c r="A1712" s="12" t="s">
        <v>285</v>
      </c>
      <c r="B1712" s="11"/>
      <c r="C1712" s="12" t="s">
        <v>5</v>
      </c>
      <c r="D1712" s="12" t="s">
        <v>21</v>
      </c>
      <c r="E1712" s="12" t="s">
        <v>4052</v>
      </c>
      <c r="F1712" s="13"/>
    </row>
    <row r="1713" spans="1:6" x14ac:dyDescent="0.2">
      <c r="A1713" s="12" t="s">
        <v>1563</v>
      </c>
      <c r="B1713" s="11"/>
      <c r="C1713" s="12" t="s">
        <v>5</v>
      </c>
      <c r="D1713" s="12" t="s">
        <v>21</v>
      </c>
      <c r="E1713" s="12" t="s">
        <v>4055</v>
      </c>
      <c r="F1713" s="13"/>
    </row>
    <row r="1714" spans="1:6" x14ac:dyDescent="0.2">
      <c r="A1714" s="12" t="s">
        <v>1563</v>
      </c>
      <c r="B1714" s="11"/>
      <c r="C1714" s="12" t="s">
        <v>5</v>
      </c>
      <c r="D1714" s="12" t="s">
        <v>21</v>
      </c>
      <c r="E1714" s="12" t="s">
        <v>4055</v>
      </c>
      <c r="F1714" s="13"/>
    </row>
    <row r="1715" spans="1:6" x14ac:dyDescent="0.2">
      <c r="A1715" s="12" t="s">
        <v>1135</v>
      </c>
      <c r="B1715" s="11"/>
      <c r="C1715" s="12" t="s">
        <v>5</v>
      </c>
      <c r="D1715" s="12" t="s">
        <v>17</v>
      </c>
      <c r="E1715" s="12" t="s">
        <v>4058</v>
      </c>
      <c r="F1715" s="13"/>
    </row>
    <row r="1716" spans="1:6" x14ac:dyDescent="0.2">
      <c r="A1716" s="12" t="s">
        <v>1135</v>
      </c>
      <c r="B1716" s="11"/>
      <c r="C1716" s="12" t="s">
        <v>5</v>
      </c>
      <c r="D1716" s="12" t="s">
        <v>17</v>
      </c>
      <c r="E1716" s="12" t="s">
        <v>4058</v>
      </c>
      <c r="F1716" s="13"/>
    </row>
    <row r="1717" spans="1:6" x14ac:dyDescent="0.2">
      <c r="A1717" s="12" t="s">
        <v>285</v>
      </c>
      <c r="B1717" s="11"/>
      <c r="C1717" s="12" t="s">
        <v>5</v>
      </c>
      <c r="D1717" s="12" t="s">
        <v>17</v>
      </c>
      <c r="E1717" s="12" t="s">
        <v>4061</v>
      </c>
      <c r="F1717" s="13"/>
    </row>
    <row r="1718" spans="1:6" x14ac:dyDescent="0.2">
      <c r="A1718" s="12" t="s">
        <v>285</v>
      </c>
      <c r="B1718" s="11"/>
      <c r="C1718" s="12" t="s">
        <v>5</v>
      </c>
      <c r="D1718" s="12" t="s">
        <v>17</v>
      </c>
      <c r="E1718" s="12" t="s">
        <v>4061</v>
      </c>
      <c r="F1718" s="13"/>
    </row>
    <row r="1719" spans="1:6" x14ac:dyDescent="0.2">
      <c r="A1719" s="12" t="s">
        <v>285</v>
      </c>
      <c r="B1719" s="11"/>
      <c r="C1719" s="12" t="s">
        <v>5</v>
      </c>
      <c r="D1719" s="12" t="s">
        <v>17</v>
      </c>
      <c r="E1719" s="12" t="s">
        <v>4064</v>
      </c>
      <c r="F1719" s="13"/>
    </row>
    <row r="1720" spans="1:6" x14ac:dyDescent="0.2">
      <c r="A1720" s="12" t="s">
        <v>285</v>
      </c>
      <c r="B1720" s="11"/>
      <c r="C1720" s="12" t="s">
        <v>5</v>
      </c>
      <c r="D1720" s="12" t="s">
        <v>17</v>
      </c>
      <c r="E1720" s="12" t="s">
        <v>4064</v>
      </c>
      <c r="F1720" s="13"/>
    </row>
    <row r="1721" spans="1:6" x14ac:dyDescent="0.2">
      <c r="A1721" s="12" t="s">
        <v>491</v>
      </c>
      <c r="B1721" s="11"/>
      <c r="C1721" s="12" t="s">
        <v>5</v>
      </c>
      <c r="D1721" s="12" t="s">
        <v>17</v>
      </c>
      <c r="E1721" s="12" t="s">
        <v>4067</v>
      </c>
      <c r="F1721" s="13"/>
    </row>
    <row r="1722" spans="1:6" x14ac:dyDescent="0.2">
      <c r="A1722" s="12" t="s">
        <v>491</v>
      </c>
      <c r="B1722" s="11"/>
      <c r="C1722" s="12" t="s">
        <v>5</v>
      </c>
      <c r="D1722" s="12" t="s">
        <v>17</v>
      </c>
      <c r="E1722" s="12" t="s">
        <v>4067</v>
      </c>
      <c r="F1722" s="13"/>
    </row>
    <row r="1723" spans="1:6" x14ac:dyDescent="0.2">
      <c r="A1723" s="12" t="s">
        <v>1822</v>
      </c>
      <c r="B1723" s="11"/>
      <c r="C1723" s="12" t="s">
        <v>5</v>
      </c>
      <c r="D1723" s="12" t="s">
        <v>6</v>
      </c>
      <c r="E1723" s="12" t="s">
        <v>4070</v>
      </c>
      <c r="F1723" s="13"/>
    </row>
    <row r="1724" spans="1:6" x14ac:dyDescent="0.2">
      <c r="A1724" s="12" t="s">
        <v>491</v>
      </c>
      <c r="B1724" s="11"/>
      <c r="C1724" s="12" t="s">
        <v>5</v>
      </c>
      <c r="D1724" s="12" t="s">
        <v>17</v>
      </c>
      <c r="E1724" s="12" t="s">
        <v>4072</v>
      </c>
      <c r="F1724" s="13"/>
    </row>
    <row r="1725" spans="1:6" x14ac:dyDescent="0.2">
      <c r="A1725" s="12" t="s">
        <v>491</v>
      </c>
      <c r="B1725" s="11"/>
      <c r="C1725" s="12" t="s">
        <v>5</v>
      </c>
      <c r="D1725" s="12" t="s">
        <v>17</v>
      </c>
      <c r="E1725" s="12" t="s">
        <v>4072</v>
      </c>
      <c r="F1725" s="13"/>
    </row>
    <row r="1726" spans="1:6" x14ac:dyDescent="0.2">
      <c r="A1726" s="12" t="s">
        <v>2043</v>
      </c>
      <c r="B1726" s="11"/>
      <c r="C1726" s="12" t="s">
        <v>5</v>
      </c>
      <c r="D1726" s="12" t="s">
        <v>6</v>
      </c>
      <c r="E1726" s="12" t="s">
        <v>4075</v>
      </c>
      <c r="F1726" s="13"/>
    </row>
    <row r="1727" spans="1:6" x14ac:dyDescent="0.2">
      <c r="A1727" s="12" t="s">
        <v>1471</v>
      </c>
      <c r="B1727" s="11"/>
      <c r="C1727" s="12" t="s">
        <v>5</v>
      </c>
      <c r="D1727" s="12" t="s">
        <v>6</v>
      </c>
      <c r="E1727" s="12" t="s">
        <v>4077</v>
      </c>
      <c r="F1727" s="13"/>
    </row>
    <row r="1728" spans="1:6" x14ac:dyDescent="0.2">
      <c r="A1728" s="12" t="s">
        <v>1471</v>
      </c>
      <c r="B1728" s="11"/>
      <c r="C1728" s="12" t="s">
        <v>5</v>
      </c>
      <c r="D1728" s="12" t="s">
        <v>6</v>
      </c>
      <c r="E1728" s="12" t="s">
        <v>4077</v>
      </c>
      <c r="F1728" s="13"/>
    </row>
    <row r="1729" spans="1:6" x14ac:dyDescent="0.2">
      <c r="A1729" s="12" t="s">
        <v>0</v>
      </c>
      <c r="B1729" s="11"/>
      <c r="C1729" s="12" t="s">
        <v>5</v>
      </c>
      <c r="D1729" s="12" t="s">
        <v>6</v>
      </c>
      <c r="E1729" s="12" t="s">
        <v>169</v>
      </c>
      <c r="F1729" s="13"/>
    </row>
    <row r="1730" spans="1:6" x14ac:dyDescent="0.2">
      <c r="A1730" s="12" t="s">
        <v>0</v>
      </c>
      <c r="B1730" s="11"/>
      <c r="C1730" s="12" t="s">
        <v>5</v>
      </c>
      <c r="D1730" s="12" t="s">
        <v>6</v>
      </c>
      <c r="E1730" s="12" t="s">
        <v>169</v>
      </c>
      <c r="F1730" s="13"/>
    </row>
    <row r="1731" spans="1:6" x14ac:dyDescent="0.2">
      <c r="A1731" s="12" t="s">
        <v>662</v>
      </c>
      <c r="B1731" s="11"/>
      <c r="C1731" s="12" t="s">
        <v>5</v>
      </c>
      <c r="D1731" s="12" t="s">
        <v>6</v>
      </c>
      <c r="E1731" s="12" t="s">
        <v>4080</v>
      </c>
      <c r="F1731" s="13"/>
    </row>
    <row r="1732" spans="1:6" x14ac:dyDescent="0.2">
      <c r="A1732" s="12" t="s">
        <v>662</v>
      </c>
      <c r="B1732" s="11"/>
      <c r="C1732" s="12" t="s">
        <v>5</v>
      </c>
      <c r="D1732" s="12" t="s">
        <v>6</v>
      </c>
      <c r="E1732" s="12" t="s">
        <v>4080</v>
      </c>
      <c r="F1732" s="13"/>
    </row>
    <row r="1733" spans="1:6" x14ac:dyDescent="0.2">
      <c r="A1733" s="12" t="s">
        <v>285</v>
      </c>
      <c r="B1733" s="11"/>
      <c r="C1733" s="12" t="s">
        <v>5</v>
      </c>
      <c r="D1733" s="12" t="s">
        <v>21</v>
      </c>
      <c r="E1733" s="12" t="s">
        <v>4083</v>
      </c>
      <c r="F1733" s="13"/>
    </row>
    <row r="1734" spans="1:6" x14ac:dyDescent="0.2">
      <c r="A1734" s="12" t="s">
        <v>285</v>
      </c>
      <c r="B1734" s="11"/>
      <c r="C1734" s="12" t="s">
        <v>5</v>
      </c>
      <c r="D1734" s="12" t="s">
        <v>21</v>
      </c>
      <c r="E1734" s="12" t="s">
        <v>4083</v>
      </c>
      <c r="F1734" s="13"/>
    </row>
    <row r="1735" spans="1:6" x14ac:dyDescent="0.2">
      <c r="A1735" s="12" t="s">
        <v>0</v>
      </c>
      <c r="B1735" s="11"/>
      <c r="C1735" s="12" t="s">
        <v>5</v>
      </c>
      <c r="D1735" s="12" t="s">
        <v>21</v>
      </c>
      <c r="E1735" s="12" t="s">
        <v>172</v>
      </c>
      <c r="F1735" s="13"/>
    </row>
    <row r="1736" spans="1:6" x14ac:dyDescent="0.2">
      <c r="A1736" s="12" t="s">
        <v>0</v>
      </c>
      <c r="B1736" s="11"/>
      <c r="C1736" s="12" t="s">
        <v>5</v>
      </c>
      <c r="D1736" s="12" t="s">
        <v>21</v>
      </c>
      <c r="E1736" s="12" t="s">
        <v>172</v>
      </c>
      <c r="F1736" s="13"/>
    </row>
    <row r="1737" spans="1:6" x14ac:dyDescent="0.2">
      <c r="A1737" s="12" t="s">
        <v>2251</v>
      </c>
      <c r="B1737" s="11"/>
      <c r="C1737" s="12" t="s">
        <v>5</v>
      </c>
      <c r="D1737" s="12" t="s">
        <v>21</v>
      </c>
      <c r="E1737" s="12" t="s">
        <v>4086</v>
      </c>
      <c r="F1737" s="47"/>
    </row>
    <row r="1738" spans="1:6" x14ac:dyDescent="0.2">
      <c r="A1738" s="12" t="s">
        <v>1145</v>
      </c>
      <c r="B1738" s="11"/>
      <c r="C1738" s="12" t="s">
        <v>5</v>
      </c>
      <c r="D1738" s="12" t="s">
        <v>21</v>
      </c>
      <c r="E1738" s="12" t="s">
        <v>4087</v>
      </c>
      <c r="F1738" s="13"/>
    </row>
    <row r="1739" spans="1:6" x14ac:dyDescent="0.2">
      <c r="A1739" s="12" t="s">
        <v>1145</v>
      </c>
      <c r="B1739" s="11"/>
      <c r="C1739" s="12" t="s">
        <v>5</v>
      </c>
      <c r="D1739" s="12" t="s">
        <v>21</v>
      </c>
      <c r="E1739" s="12" t="s">
        <v>4087</v>
      </c>
      <c r="F1739" s="13"/>
    </row>
    <row r="1740" spans="1:6" x14ac:dyDescent="0.2">
      <c r="A1740" s="12" t="s">
        <v>1462</v>
      </c>
      <c r="B1740" s="11"/>
      <c r="C1740" s="12" t="s">
        <v>5</v>
      </c>
      <c r="D1740" s="12" t="s">
        <v>17</v>
      </c>
      <c r="E1740" s="12" t="s">
        <v>4090</v>
      </c>
      <c r="F1740" s="13"/>
    </row>
    <row r="1741" spans="1:6" x14ac:dyDescent="0.2">
      <c r="A1741" s="12" t="s">
        <v>1462</v>
      </c>
      <c r="B1741" s="11"/>
      <c r="C1741" s="12" t="s">
        <v>5</v>
      </c>
      <c r="D1741" s="12" t="s">
        <v>17</v>
      </c>
      <c r="E1741" s="12" t="s">
        <v>4090</v>
      </c>
      <c r="F1741" s="13"/>
    </row>
    <row r="1742" spans="1:6" x14ac:dyDescent="0.2">
      <c r="A1742" s="12" t="s">
        <v>0</v>
      </c>
      <c r="B1742" s="11"/>
      <c r="C1742" s="12" t="s">
        <v>5</v>
      </c>
      <c r="D1742" s="12" t="s">
        <v>17</v>
      </c>
      <c r="E1742" s="12" t="s">
        <v>175</v>
      </c>
      <c r="F1742" s="13"/>
    </row>
    <row r="1743" spans="1:6" x14ac:dyDescent="0.2">
      <c r="A1743" s="12" t="s">
        <v>0</v>
      </c>
      <c r="B1743" s="11"/>
      <c r="C1743" s="12" t="s">
        <v>5</v>
      </c>
      <c r="D1743" s="12" t="s">
        <v>17</v>
      </c>
      <c r="E1743" s="12" t="s">
        <v>175</v>
      </c>
      <c r="F1743" s="13"/>
    </row>
    <row r="1744" spans="1:6" x14ac:dyDescent="0.2">
      <c r="A1744" s="12" t="s">
        <v>837</v>
      </c>
      <c r="B1744" s="11"/>
      <c r="C1744" s="12" t="s">
        <v>5</v>
      </c>
      <c r="D1744" s="12" t="s">
        <v>17</v>
      </c>
      <c r="E1744" s="12" t="s">
        <v>4093</v>
      </c>
      <c r="F1744" s="13"/>
    </row>
    <row r="1745" spans="1:6" x14ac:dyDescent="0.2">
      <c r="A1745" s="12" t="s">
        <v>0</v>
      </c>
      <c r="B1745" s="11"/>
      <c r="C1745" s="12" t="s">
        <v>5</v>
      </c>
      <c r="D1745" s="12" t="s">
        <v>17</v>
      </c>
      <c r="E1745" s="12" t="s">
        <v>178</v>
      </c>
      <c r="F1745" s="13"/>
    </row>
    <row r="1746" spans="1:6" x14ac:dyDescent="0.2">
      <c r="A1746" s="12" t="s">
        <v>0</v>
      </c>
      <c r="B1746" s="11"/>
      <c r="C1746" s="12" t="s">
        <v>5</v>
      </c>
      <c r="D1746" s="12" t="s">
        <v>17</v>
      </c>
      <c r="E1746" s="12" t="s">
        <v>178</v>
      </c>
      <c r="F1746" s="13"/>
    </row>
    <row r="1747" spans="1:6" x14ac:dyDescent="0.2">
      <c r="A1747" s="12" t="s">
        <v>2043</v>
      </c>
      <c r="B1747" s="11"/>
      <c r="C1747" s="12" t="s">
        <v>5</v>
      </c>
      <c r="D1747" s="12" t="s">
        <v>6</v>
      </c>
      <c r="E1747" s="12" t="s">
        <v>4096</v>
      </c>
      <c r="F1747" s="13"/>
    </row>
    <row r="1748" spans="1:6" x14ac:dyDescent="0.2">
      <c r="A1748" s="12" t="s">
        <v>1145</v>
      </c>
      <c r="B1748" s="11"/>
      <c r="C1748" s="12" t="s">
        <v>5</v>
      </c>
      <c r="D1748" s="12" t="s">
        <v>6</v>
      </c>
      <c r="E1748" s="12" t="s">
        <v>4098</v>
      </c>
      <c r="F1748" s="13"/>
    </row>
    <row r="1749" spans="1:6" x14ac:dyDescent="0.2">
      <c r="A1749" s="12" t="s">
        <v>1145</v>
      </c>
      <c r="B1749" s="11"/>
      <c r="C1749" s="12" t="s">
        <v>5</v>
      </c>
      <c r="D1749" s="12" t="s">
        <v>6</v>
      </c>
      <c r="E1749" s="12" t="s">
        <v>4098</v>
      </c>
      <c r="F1749" s="13"/>
    </row>
    <row r="1750" spans="1:6" x14ac:dyDescent="0.2">
      <c r="A1750" s="12" t="s">
        <v>0</v>
      </c>
      <c r="B1750" s="11"/>
      <c r="C1750" s="12" t="s">
        <v>5</v>
      </c>
      <c r="D1750" s="12" t="s">
        <v>6</v>
      </c>
      <c r="E1750" s="12" t="s">
        <v>181</v>
      </c>
      <c r="F1750" s="13"/>
    </row>
    <row r="1751" spans="1:6" x14ac:dyDescent="0.2">
      <c r="A1751" s="12" t="s">
        <v>0</v>
      </c>
      <c r="B1751" s="11"/>
      <c r="C1751" s="12" t="s">
        <v>5</v>
      </c>
      <c r="D1751" s="12" t="s">
        <v>6</v>
      </c>
      <c r="E1751" s="12" t="s">
        <v>181</v>
      </c>
      <c r="F1751" s="13"/>
    </row>
    <row r="1752" spans="1:6" x14ac:dyDescent="0.2">
      <c r="A1752" s="12" t="s">
        <v>2251</v>
      </c>
      <c r="B1752" s="11"/>
      <c r="C1752" s="12" t="s">
        <v>5</v>
      </c>
      <c r="D1752" s="12" t="s">
        <v>6</v>
      </c>
      <c r="E1752" s="12" t="s">
        <v>4101</v>
      </c>
      <c r="F1752" s="47"/>
    </row>
    <row r="1753" spans="1:6" x14ac:dyDescent="0.2">
      <c r="A1753" s="12" t="s">
        <v>2187</v>
      </c>
      <c r="B1753" s="11"/>
      <c r="C1753" s="12" t="s">
        <v>5</v>
      </c>
      <c r="D1753" s="12" t="s">
        <v>6</v>
      </c>
      <c r="E1753" s="12" t="s">
        <v>4102</v>
      </c>
      <c r="F1753" s="13"/>
    </row>
    <row r="1754" spans="1:6" x14ac:dyDescent="0.2">
      <c r="A1754" s="12" t="s">
        <v>2187</v>
      </c>
      <c r="B1754" s="11"/>
      <c r="C1754" s="12" t="s">
        <v>5</v>
      </c>
      <c r="D1754" s="12" t="s">
        <v>6</v>
      </c>
      <c r="E1754" s="12" t="s">
        <v>4102</v>
      </c>
      <c r="F1754" s="13"/>
    </row>
    <row r="1755" spans="1:6" x14ac:dyDescent="0.2">
      <c r="A1755" s="12" t="s">
        <v>2187</v>
      </c>
      <c r="B1755" s="11"/>
      <c r="C1755" s="12" t="s">
        <v>5</v>
      </c>
      <c r="D1755" s="12" t="s">
        <v>6</v>
      </c>
      <c r="E1755" s="12" t="s">
        <v>4105</v>
      </c>
      <c r="F1755" s="13"/>
    </row>
    <row r="1756" spans="1:6" x14ac:dyDescent="0.2">
      <c r="A1756" s="12" t="s">
        <v>2187</v>
      </c>
      <c r="B1756" s="11"/>
      <c r="C1756" s="12" t="s">
        <v>5</v>
      </c>
      <c r="D1756" s="12" t="s">
        <v>6</v>
      </c>
      <c r="E1756" s="12" t="s">
        <v>4105</v>
      </c>
      <c r="F1756" s="13"/>
    </row>
    <row r="1757" spans="1:6" x14ac:dyDescent="0.2">
      <c r="A1757" s="12" t="s">
        <v>1541</v>
      </c>
      <c r="B1757" s="11"/>
      <c r="C1757" s="12" t="s">
        <v>5</v>
      </c>
      <c r="D1757" s="12" t="s">
        <v>21</v>
      </c>
      <c r="E1757" s="12" t="s">
        <v>4108</v>
      </c>
      <c r="F1757" s="13"/>
    </row>
    <row r="1758" spans="1:6" x14ac:dyDescent="0.2">
      <c r="A1758" s="12" t="s">
        <v>1541</v>
      </c>
      <c r="B1758" s="11"/>
      <c r="C1758" s="12" t="s">
        <v>5</v>
      </c>
      <c r="D1758" s="12" t="s">
        <v>21</v>
      </c>
      <c r="E1758" s="12" t="s">
        <v>4108</v>
      </c>
      <c r="F1758" s="13"/>
    </row>
    <row r="1759" spans="1:6" x14ac:dyDescent="0.2">
      <c r="A1759" s="12" t="s">
        <v>435</v>
      </c>
      <c r="B1759" s="11"/>
      <c r="C1759" s="12" t="s">
        <v>5</v>
      </c>
      <c r="D1759" s="12" t="s">
        <v>21</v>
      </c>
      <c r="E1759" s="12" t="s">
        <v>4111</v>
      </c>
      <c r="F1759" s="13"/>
    </row>
    <row r="1760" spans="1:6" x14ac:dyDescent="0.2">
      <c r="A1760" s="12" t="s">
        <v>435</v>
      </c>
      <c r="B1760" s="11"/>
      <c r="C1760" s="12" t="s">
        <v>5</v>
      </c>
      <c r="D1760" s="12" t="s">
        <v>21</v>
      </c>
      <c r="E1760" s="12" t="s">
        <v>4111</v>
      </c>
      <c r="F1760" s="13"/>
    </row>
    <row r="1761" spans="1:6" x14ac:dyDescent="0.2">
      <c r="A1761" s="12" t="s">
        <v>2187</v>
      </c>
      <c r="B1761" s="11"/>
      <c r="C1761" s="12" t="s">
        <v>5</v>
      </c>
      <c r="D1761" s="12" t="s">
        <v>21</v>
      </c>
      <c r="E1761" s="12" t="s">
        <v>4115</v>
      </c>
      <c r="F1761" s="13"/>
    </row>
    <row r="1762" spans="1:6" x14ac:dyDescent="0.2">
      <c r="A1762" s="12" t="s">
        <v>2187</v>
      </c>
      <c r="B1762" s="11"/>
      <c r="C1762" s="12" t="s">
        <v>5</v>
      </c>
      <c r="D1762" s="12" t="s">
        <v>21</v>
      </c>
      <c r="E1762" s="12" t="s">
        <v>4115</v>
      </c>
      <c r="F1762" s="13"/>
    </row>
    <row r="1763" spans="1:6" x14ac:dyDescent="0.2">
      <c r="A1763" s="12" t="s">
        <v>0</v>
      </c>
      <c r="B1763" s="11"/>
      <c r="C1763" s="12" t="s">
        <v>5</v>
      </c>
      <c r="D1763" s="12" t="s">
        <v>21</v>
      </c>
      <c r="E1763" s="12" t="s">
        <v>184</v>
      </c>
      <c r="F1763" s="13"/>
    </row>
    <row r="1764" spans="1:6" x14ac:dyDescent="0.2">
      <c r="A1764" s="12" t="s">
        <v>0</v>
      </c>
      <c r="B1764" s="11"/>
      <c r="C1764" s="12" t="s">
        <v>5</v>
      </c>
      <c r="D1764" s="12" t="s">
        <v>21</v>
      </c>
      <c r="E1764" s="12" t="s">
        <v>184</v>
      </c>
      <c r="F1764" s="13"/>
    </row>
    <row r="1765" spans="1:6" x14ac:dyDescent="0.2">
      <c r="A1765" s="12" t="s">
        <v>2251</v>
      </c>
      <c r="B1765" s="11"/>
      <c r="C1765" s="12" t="s">
        <v>5</v>
      </c>
      <c r="D1765" s="12" t="s">
        <v>17</v>
      </c>
      <c r="E1765" s="12" t="s">
        <v>4118</v>
      </c>
      <c r="F1765" s="47"/>
    </row>
    <row r="1766" spans="1:6" x14ac:dyDescent="0.2">
      <c r="A1766" s="12" t="s">
        <v>0</v>
      </c>
      <c r="B1766" s="11"/>
      <c r="C1766" s="12" t="s">
        <v>5</v>
      </c>
      <c r="D1766" s="12" t="s">
        <v>17</v>
      </c>
      <c r="E1766" s="12" t="s">
        <v>187</v>
      </c>
      <c r="F1766" s="13"/>
    </row>
    <row r="1767" spans="1:6" x14ac:dyDescent="0.2">
      <c r="A1767" s="12" t="s">
        <v>0</v>
      </c>
      <c r="B1767" s="11"/>
      <c r="C1767" s="12" t="s">
        <v>5</v>
      </c>
      <c r="D1767" s="12" t="s">
        <v>17</v>
      </c>
      <c r="E1767" s="12" t="s">
        <v>187</v>
      </c>
      <c r="F1767" s="13"/>
    </row>
    <row r="1768" spans="1:6" x14ac:dyDescent="0.2">
      <c r="A1768" s="12" t="s">
        <v>296</v>
      </c>
      <c r="B1768" s="11"/>
      <c r="C1768" s="12" t="s">
        <v>5</v>
      </c>
      <c r="D1768" s="12" t="s">
        <v>17</v>
      </c>
      <c r="E1768" s="12" t="s">
        <v>4119</v>
      </c>
      <c r="F1768" s="13"/>
    </row>
    <row r="1769" spans="1:6" x14ac:dyDescent="0.2">
      <c r="A1769" s="12" t="s">
        <v>296</v>
      </c>
      <c r="B1769" s="11"/>
      <c r="C1769" s="12" t="s">
        <v>5</v>
      </c>
      <c r="D1769" s="12" t="s">
        <v>17</v>
      </c>
      <c r="E1769" s="12" t="s">
        <v>4119</v>
      </c>
      <c r="F1769" s="13"/>
    </row>
    <row r="1770" spans="1:6" x14ac:dyDescent="0.2">
      <c r="A1770" s="12" t="s">
        <v>718</v>
      </c>
      <c r="B1770" s="11"/>
      <c r="C1770" s="12" t="s">
        <v>5</v>
      </c>
      <c r="D1770" s="12" t="s">
        <v>17</v>
      </c>
      <c r="E1770" s="12" t="s">
        <v>4122</v>
      </c>
      <c r="F1770" s="13"/>
    </row>
    <row r="1771" spans="1:6" x14ac:dyDescent="0.2">
      <c r="A1771" s="12" t="s">
        <v>718</v>
      </c>
      <c r="B1771" s="11"/>
      <c r="C1771" s="12" t="s">
        <v>5</v>
      </c>
      <c r="D1771" s="12" t="s">
        <v>17</v>
      </c>
      <c r="E1771" s="12" t="s">
        <v>4122</v>
      </c>
      <c r="F1771" s="13"/>
    </row>
    <row r="1772" spans="1:6" x14ac:dyDescent="0.2">
      <c r="A1772" s="12" t="s">
        <v>2149</v>
      </c>
      <c r="B1772" s="11"/>
      <c r="C1772" s="12" t="s">
        <v>5</v>
      </c>
      <c r="D1772" s="12" t="s">
        <v>6</v>
      </c>
      <c r="E1772" s="12" t="s">
        <v>4125</v>
      </c>
      <c r="F1772" s="13"/>
    </row>
    <row r="1773" spans="1:6" x14ac:dyDescent="0.2">
      <c r="A1773" s="12" t="s">
        <v>1845</v>
      </c>
      <c r="B1773" s="11"/>
      <c r="C1773" s="12" t="s">
        <v>5</v>
      </c>
      <c r="D1773" s="12" t="s">
        <v>6</v>
      </c>
      <c r="E1773" s="12" t="s">
        <v>4127</v>
      </c>
      <c r="F1773" s="13"/>
    </row>
    <row r="1774" spans="1:6" x14ac:dyDescent="0.2">
      <c r="A1774" s="12" t="s">
        <v>854</v>
      </c>
      <c r="B1774" s="11"/>
      <c r="C1774" s="12" t="s">
        <v>5</v>
      </c>
      <c r="D1774" s="12" t="s">
        <v>6</v>
      </c>
      <c r="E1774" s="12" t="s">
        <v>4129</v>
      </c>
      <c r="F1774" s="13"/>
    </row>
    <row r="1775" spans="1:6" x14ac:dyDescent="0.2">
      <c r="A1775" s="12" t="s">
        <v>854</v>
      </c>
      <c r="B1775" s="11"/>
      <c r="C1775" s="12" t="s">
        <v>5</v>
      </c>
      <c r="D1775" s="12" t="s">
        <v>6</v>
      </c>
      <c r="E1775" s="12" t="s">
        <v>4129</v>
      </c>
      <c r="F1775" s="13"/>
    </row>
    <row r="1776" spans="1:6" x14ac:dyDescent="0.2">
      <c r="A1776" s="12" t="s">
        <v>2043</v>
      </c>
      <c r="B1776" s="11"/>
      <c r="C1776" s="12" t="s">
        <v>5</v>
      </c>
      <c r="D1776" s="12" t="s">
        <v>6</v>
      </c>
      <c r="E1776" s="12" t="s">
        <v>4132</v>
      </c>
      <c r="F1776" s="13"/>
    </row>
    <row r="1777" spans="1:6" x14ac:dyDescent="0.2">
      <c r="A1777" s="12" t="s">
        <v>2043</v>
      </c>
      <c r="B1777" s="11"/>
      <c r="C1777" s="12" t="s">
        <v>5</v>
      </c>
      <c r="D1777" s="12" t="s">
        <v>6</v>
      </c>
      <c r="E1777" s="12" t="s">
        <v>4132</v>
      </c>
      <c r="F1777" s="13"/>
    </row>
    <row r="1778" spans="1:6" x14ac:dyDescent="0.2">
      <c r="A1778" s="12" t="s">
        <v>718</v>
      </c>
      <c r="B1778" s="11"/>
      <c r="C1778" s="12" t="s">
        <v>5</v>
      </c>
      <c r="D1778" s="12" t="s">
        <v>6</v>
      </c>
      <c r="E1778" s="12" t="s">
        <v>4135</v>
      </c>
      <c r="F1778" s="13"/>
    </row>
    <row r="1779" spans="1:6" x14ac:dyDescent="0.2">
      <c r="A1779" s="12" t="s">
        <v>718</v>
      </c>
      <c r="B1779" s="11"/>
      <c r="C1779" s="12" t="s">
        <v>5</v>
      </c>
      <c r="D1779" s="12" t="s">
        <v>6</v>
      </c>
      <c r="E1779" s="12" t="s">
        <v>4135</v>
      </c>
      <c r="F1779" s="13"/>
    </row>
    <row r="1780" spans="1:6" x14ac:dyDescent="0.2">
      <c r="A1780" s="12" t="s">
        <v>1573</v>
      </c>
      <c r="B1780" s="11"/>
      <c r="C1780" s="12" t="s">
        <v>5</v>
      </c>
      <c r="D1780" s="12" t="s">
        <v>6</v>
      </c>
      <c r="E1780" s="12" t="s">
        <v>4138</v>
      </c>
      <c r="F1780" s="13"/>
    </row>
    <row r="1781" spans="1:6" x14ac:dyDescent="0.2">
      <c r="A1781" s="12" t="s">
        <v>1135</v>
      </c>
      <c r="B1781" s="11"/>
      <c r="C1781" s="12" t="s">
        <v>5</v>
      </c>
      <c r="D1781" s="12" t="s">
        <v>21</v>
      </c>
      <c r="E1781" s="12" t="s">
        <v>4140</v>
      </c>
      <c r="F1781" s="13"/>
    </row>
    <row r="1782" spans="1:6" x14ac:dyDescent="0.2">
      <c r="A1782" s="12" t="s">
        <v>1135</v>
      </c>
      <c r="B1782" s="11"/>
      <c r="C1782" s="12" t="s">
        <v>5</v>
      </c>
      <c r="D1782" s="12" t="s">
        <v>21</v>
      </c>
      <c r="E1782" s="12" t="s">
        <v>4140</v>
      </c>
      <c r="F1782" s="13"/>
    </row>
    <row r="1783" spans="1:6" x14ac:dyDescent="0.2">
      <c r="A1783" s="12" t="s">
        <v>1922</v>
      </c>
      <c r="B1783" s="11"/>
      <c r="C1783" s="12" t="s">
        <v>5</v>
      </c>
      <c r="D1783" s="12" t="s">
        <v>21</v>
      </c>
      <c r="E1783" s="12" t="s">
        <v>4143</v>
      </c>
      <c r="F1783" s="13"/>
    </row>
    <row r="1784" spans="1:6" x14ac:dyDescent="0.2">
      <c r="A1784" s="12" t="s">
        <v>1922</v>
      </c>
      <c r="B1784" s="11"/>
      <c r="C1784" s="12" t="s">
        <v>5</v>
      </c>
      <c r="D1784" s="12" t="s">
        <v>21</v>
      </c>
      <c r="E1784" s="12" t="s">
        <v>4143</v>
      </c>
      <c r="F1784" s="13"/>
    </row>
    <row r="1785" spans="1:6" x14ac:dyDescent="0.2">
      <c r="A1785" s="12" t="s">
        <v>1131</v>
      </c>
      <c r="B1785" s="11"/>
      <c r="C1785" s="12" t="s">
        <v>5</v>
      </c>
      <c r="D1785" s="12" t="s">
        <v>21</v>
      </c>
      <c r="E1785" s="12" t="s">
        <v>4146</v>
      </c>
      <c r="F1785" s="47"/>
    </row>
    <row r="1786" spans="1:6" x14ac:dyDescent="0.2">
      <c r="A1786" s="12" t="s">
        <v>1139</v>
      </c>
      <c r="B1786" s="11"/>
      <c r="C1786" s="12" t="s">
        <v>5</v>
      </c>
      <c r="D1786" s="12" t="s">
        <v>21</v>
      </c>
      <c r="E1786" s="12" t="s">
        <v>4148</v>
      </c>
      <c r="F1786" s="13"/>
    </row>
    <row r="1787" spans="1:6" x14ac:dyDescent="0.2">
      <c r="A1787" s="12" t="s">
        <v>1139</v>
      </c>
      <c r="B1787" s="11"/>
      <c r="C1787" s="12" t="s">
        <v>5</v>
      </c>
      <c r="D1787" s="12" t="s">
        <v>21</v>
      </c>
      <c r="E1787" s="12" t="s">
        <v>4148</v>
      </c>
      <c r="F1787" s="13"/>
    </row>
    <row r="1788" spans="1:6" x14ac:dyDescent="0.2">
      <c r="A1788" s="12" t="s">
        <v>1135</v>
      </c>
      <c r="B1788" s="11"/>
      <c r="C1788" s="12" t="s">
        <v>5</v>
      </c>
      <c r="D1788" s="12" t="s">
        <v>17</v>
      </c>
      <c r="E1788" s="12" t="s">
        <v>4151</v>
      </c>
      <c r="F1788" s="13"/>
    </row>
    <row r="1789" spans="1:6" x14ac:dyDescent="0.2">
      <c r="A1789" s="12" t="s">
        <v>1135</v>
      </c>
      <c r="B1789" s="11"/>
      <c r="C1789" s="12" t="s">
        <v>5</v>
      </c>
      <c r="D1789" s="12" t="s">
        <v>17</v>
      </c>
      <c r="E1789" s="12" t="s">
        <v>4151</v>
      </c>
      <c r="F1789" s="13"/>
    </row>
    <row r="1790" spans="1:6" x14ac:dyDescent="0.2">
      <c r="A1790" s="12" t="s">
        <v>845</v>
      </c>
      <c r="B1790" s="11"/>
      <c r="C1790" s="12" t="s">
        <v>5</v>
      </c>
      <c r="D1790" s="12" t="s">
        <v>17</v>
      </c>
      <c r="E1790" s="12" t="s">
        <v>4154</v>
      </c>
      <c r="F1790" s="13"/>
    </row>
    <row r="1791" spans="1:6" x14ac:dyDescent="0.2">
      <c r="A1791" s="12" t="s">
        <v>845</v>
      </c>
      <c r="B1791" s="11"/>
      <c r="C1791" s="12" t="s">
        <v>5</v>
      </c>
      <c r="D1791" s="12" t="s">
        <v>17</v>
      </c>
      <c r="E1791" s="12" t="s">
        <v>4154</v>
      </c>
      <c r="F1791" s="13"/>
    </row>
    <row r="1792" spans="1:6" x14ac:dyDescent="0.2">
      <c r="A1792" s="12" t="s">
        <v>1139</v>
      </c>
      <c r="B1792" s="11"/>
      <c r="C1792" s="12" t="s">
        <v>5</v>
      </c>
      <c r="D1792" s="12" t="s">
        <v>17</v>
      </c>
      <c r="E1792" s="12" t="s">
        <v>4157</v>
      </c>
      <c r="F1792" s="13"/>
    </row>
    <row r="1793" spans="1:6" x14ac:dyDescent="0.2">
      <c r="A1793" s="12" t="s">
        <v>1139</v>
      </c>
      <c r="B1793" s="11"/>
      <c r="C1793" s="12" t="s">
        <v>5</v>
      </c>
      <c r="D1793" s="12" t="s">
        <v>17</v>
      </c>
      <c r="E1793" s="12" t="s">
        <v>4157</v>
      </c>
      <c r="F1793" s="13"/>
    </row>
    <row r="1794" spans="1:6" x14ac:dyDescent="0.2">
      <c r="A1794" s="12" t="s">
        <v>1135</v>
      </c>
      <c r="B1794" s="11"/>
      <c r="C1794" s="12" t="s">
        <v>5</v>
      </c>
      <c r="D1794" s="12" t="s">
        <v>17</v>
      </c>
      <c r="E1794" s="12" t="s">
        <v>4160</v>
      </c>
      <c r="F1794" s="13"/>
    </row>
    <row r="1795" spans="1:6" x14ac:dyDescent="0.2">
      <c r="A1795" s="12" t="s">
        <v>1135</v>
      </c>
      <c r="B1795" s="11"/>
      <c r="C1795" s="12" t="s">
        <v>5</v>
      </c>
      <c r="D1795" s="12" t="s">
        <v>17</v>
      </c>
      <c r="E1795" s="12" t="s">
        <v>4160</v>
      </c>
      <c r="F1795" s="13"/>
    </row>
    <row r="1796" spans="1:6" x14ac:dyDescent="0.2">
      <c r="A1796" s="12" t="s">
        <v>2251</v>
      </c>
      <c r="B1796" s="11"/>
      <c r="C1796" s="12" t="s">
        <v>5</v>
      </c>
      <c r="D1796" s="12" t="s">
        <v>6</v>
      </c>
      <c r="E1796" s="12" t="s">
        <v>4163</v>
      </c>
      <c r="F1796" s="47"/>
    </row>
    <row r="1797" spans="1:6" x14ac:dyDescent="0.2">
      <c r="A1797" s="12" t="s">
        <v>2251</v>
      </c>
      <c r="B1797" s="11"/>
      <c r="C1797" s="12" t="s">
        <v>5</v>
      </c>
      <c r="D1797" s="12" t="s">
        <v>6</v>
      </c>
      <c r="E1797" s="12" t="s">
        <v>4164</v>
      </c>
      <c r="F1797" s="47"/>
    </row>
    <row r="1798" spans="1:6" x14ac:dyDescent="0.2">
      <c r="A1798" s="12" t="s">
        <v>712</v>
      </c>
      <c r="B1798" s="11"/>
      <c r="C1798" s="12" t="s">
        <v>5</v>
      </c>
      <c r="D1798" s="12" t="s">
        <v>6</v>
      </c>
      <c r="E1798" s="12" t="s">
        <v>4165</v>
      </c>
      <c r="F1798" s="13"/>
    </row>
    <row r="1799" spans="1:6" x14ac:dyDescent="0.2">
      <c r="A1799" s="12" t="s">
        <v>712</v>
      </c>
      <c r="B1799" s="11"/>
      <c r="C1799" s="12" t="s">
        <v>5</v>
      </c>
      <c r="D1799" s="12" t="s">
        <v>6</v>
      </c>
      <c r="E1799" s="12" t="s">
        <v>4165</v>
      </c>
      <c r="F1799" s="13"/>
    </row>
    <row r="1800" spans="1:6" x14ac:dyDescent="0.2">
      <c r="A1800" s="12" t="s">
        <v>2043</v>
      </c>
      <c r="B1800" s="11"/>
      <c r="C1800" s="12" t="s">
        <v>5</v>
      </c>
      <c r="D1800" s="12" t="s">
        <v>6</v>
      </c>
      <c r="E1800" s="12" t="s">
        <v>4168</v>
      </c>
      <c r="F1800" s="13"/>
    </row>
    <row r="1801" spans="1:6" x14ac:dyDescent="0.2">
      <c r="A1801" s="12" t="s">
        <v>285</v>
      </c>
      <c r="B1801" s="11"/>
      <c r="C1801" s="12" t="s">
        <v>5</v>
      </c>
      <c r="D1801" s="12" t="s">
        <v>6</v>
      </c>
      <c r="E1801" s="12" t="s">
        <v>4170</v>
      </c>
      <c r="F1801" s="13"/>
    </row>
    <row r="1802" spans="1:6" x14ac:dyDescent="0.2">
      <c r="A1802" s="12" t="s">
        <v>285</v>
      </c>
      <c r="B1802" s="11"/>
      <c r="C1802" s="12" t="s">
        <v>5</v>
      </c>
      <c r="D1802" s="12" t="s">
        <v>6</v>
      </c>
      <c r="E1802" s="12" t="s">
        <v>4170</v>
      </c>
      <c r="F1802" s="13"/>
    </row>
    <row r="1803" spans="1:6" x14ac:dyDescent="0.2">
      <c r="A1803" s="12" t="s">
        <v>1135</v>
      </c>
      <c r="B1803" s="11"/>
      <c r="C1803" s="12" t="s">
        <v>5</v>
      </c>
      <c r="D1803" s="12" t="s">
        <v>6</v>
      </c>
      <c r="E1803" s="12" t="s">
        <v>4173</v>
      </c>
      <c r="F1803" s="13"/>
    </row>
    <row r="1804" spans="1:6" x14ac:dyDescent="0.2">
      <c r="A1804" s="12" t="s">
        <v>1135</v>
      </c>
      <c r="B1804" s="11"/>
      <c r="C1804" s="12" t="s">
        <v>5</v>
      </c>
      <c r="D1804" s="12" t="s">
        <v>6</v>
      </c>
      <c r="E1804" s="12" t="s">
        <v>4173</v>
      </c>
      <c r="F1804" s="13"/>
    </row>
    <row r="1805" spans="1:6" x14ac:dyDescent="0.2">
      <c r="A1805" s="12" t="s">
        <v>2036</v>
      </c>
      <c r="B1805" s="11"/>
      <c r="C1805" s="12" t="s">
        <v>5</v>
      </c>
      <c r="D1805" s="12" t="s">
        <v>21</v>
      </c>
      <c r="E1805" s="12" t="s">
        <v>4176</v>
      </c>
      <c r="F1805" s="13"/>
    </row>
    <row r="1806" spans="1:6" x14ac:dyDescent="0.2">
      <c r="A1806" s="12" t="s">
        <v>0</v>
      </c>
      <c r="B1806" s="11"/>
      <c r="C1806" s="12" t="s">
        <v>5</v>
      </c>
      <c r="D1806" s="12" t="s">
        <v>21</v>
      </c>
      <c r="E1806" s="12" t="s">
        <v>190</v>
      </c>
      <c r="F1806" s="13"/>
    </row>
    <row r="1807" spans="1:6" x14ac:dyDescent="0.2">
      <c r="A1807" s="12" t="s">
        <v>0</v>
      </c>
      <c r="B1807" s="11"/>
      <c r="C1807" s="12" t="s">
        <v>5</v>
      </c>
      <c r="D1807" s="12" t="s">
        <v>21</v>
      </c>
      <c r="E1807" s="12" t="s">
        <v>190</v>
      </c>
      <c r="F1807" s="13"/>
    </row>
    <row r="1808" spans="1:6" x14ac:dyDescent="0.2">
      <c r="A1808" s="12" t="s">
        <v>1922</v>
      </c>
      <c r="B1808" s="11"/>
      <c r="C1808" s="12" t="s">
        <v>5</v>
      </c>
      <c r="D1808" s="12" t="s">
        <v>21</v>
      </c>
      <c r="E1808" s="12" t="s">
        <v>4179</v>
      </c>
      <c r="F1808" s="13"/>
    </row>
    <row r="1809" spans="1:6" x14ac:dyDescent="0.2">
      <c r="A1809" s="12" t="s">
        <v>1922</v>
      </c>
      <c r="B1809" s="11"/>
      <c r="C1809" s="12" t="s">
        <v>5</v>
      </c>
      <c r="D1809" s="12" t="s">
        <v>21</v>
      </c>
      <c r="E1809" s="12" t="s">
        <v>4179</v>
      </c>
      <c r="F1809" s="13"/>
    </row>
    <row r="1810" spans="1:6" x14ac:dyDescent="0.2">
      <c r="A1810" s="12" t="s">
        <v>1139</v>
      </c>
      <c r="B1810" s="11"/>
      <c r="C1810" s="12" t="s">
        <v>5</v>
      </c>
      <c r="D1810" s="12" t="s">
        <v>21</v>
      </c>
      <c r="E1810" s="12" t="s">
        <v>4182</v>
      </c>
      <c r="F1810" s="13"/>
    </row>
    <row r="1811" spans="1:6" x14ac:dyDescent="0.2">
      <c r="A1811" s="12" t="s">
        <v>1139</v>
      </c>
      <c r="B1811" s="11"/>
      <c r="C1811" s="12" t="s">
        <v>5</v>
      </c>
      <c r="D1811" s="12" t="s">
        <v>21</v>
      </c>
      <c r="E1811" s="12" t="s">
        <v>4182</v>
      </c>
      <c r="F1811" s="13"/>
    </row>
    <row r="1812" spans="1:6" x14ac:dyDescent="0.2">
      <c r="A1812" s="12" t="s">
        <v>0</v>
      </c>
      <c r="B1812" s="11"/>
      <c r="C1812" s="12" t="s">
        <v>5</v>
      </c>
      <c r="D1812" s="12" t="s">
        <v>17</v>
      </c>
      <c r="E1812" s="12" t="s">
        <v>193</v>
      </c>
      <c r="F1812" s="13"/>
    </row>
    <row r="1813" spans="1:6" x14ac:dyDescent="0.2">
      <c r="A1813" s="12" t="s">
        <v>0</v>
      </c>
      <c r="B1813" s="11"/>
      <c r="C1813" s="12" t="s">
        <v>5</v>
      </c>
      <c r="D1813" s="12" t="s">
        <v>17</v>
      </c>
      <c r="E1813" s="12" t="s">
        <v>193</v>
      </c>
      <c r="F1813" s="13"/>
    </row>
    <row r="1814" spans="1:6" x14ac:dyDescent="0.2">
      <c r="A1814" s="12" t="s">
        <v>497</v>
      </c>
      <c r="B1814" s="11"/>
      <c r="C1814" s="12" t="s">
        <v>5</v>
      </c>
      <c r="D1814" s="12" t="s">
        <v>17</v>
      </c>
      <c r="E1814" s="12" t="s">
        <v>4185</v>
      </c>
      <c r="F1814" s="13"/>
    </row>
    <row r="1815" spans="1:6" x14ac:dyDescent="0.2">
      <c r="A1815" s="12" t="s">
        <v>497</v>
      </c>
      <c r="B1815" s="11"/>
      <c r="C1815" s="12" t="s">
        <v>5</v>
      </c>
      <c r="D1815" s="12" t="s">
        <v>17</v>
      </c>
      <c r="E1815" s="12" t="s">
        <v>4185</v>
      </c>
      <c r="F1815" s="13"/>
    </row>
    <row r="1816" spans="1:6" x14ac:dyDescent="0.2">
      <c r="A1816" s="12" t="s">
        <v>0</v>
      </c>
      <c r="B1816" s="11"/>
      <c r="C1816" s="12" t="s">
        <v>5</v>
      </c>
      <c r="D1816" s="12" t="s">
        <v>17</v>
      </c>
      <c r="E1816" s="12" t="s">
        <v>196</v>
      </c>
      <c r="F1816" s="13"/>
    </row>
    <row r="1817" spans="1:6" x14ac:dyDescent="0.2">
      <c r="A1817" s="12" t="s">
        <v>0</v>
      </c>
      <c r="B1817" s="11"/>
      <c r="C1817" s="12" t="s">
        <v>5</v>
      </c>
      <c r="D1817" s="12" t="s">
        <v>17</v>
      </c>
      <c r="E1817" s="12" t="s">
        <v>196</v>
      </c>
      <c r="F1817" s="13"/>
    </row>
    <row r="1818" spans="1:6" x14ac:dyDescent="0.2">
      <c r="A1818" s="12" t="s">
        <v>0</v>
      </c>
      <c r="B1818" s="11"/>
      <c r="C1818" s="12" t="s">
        <v>5</v>
      </c>
      <c r="D1818" s="12" t="s">
        <v>17</v>
      </c>
      <c r="E1818" s="12" t="s">
        <v>199</v>
      </c>
      <c r="F1818" s="13"/>
    </row>
    <row r="1819" spans="1:6" x14ac:dyDescent="0.2">
      <c r="A1819" s="12" t="s">
        <v>0</v>
      </c>
      <c r="B1819" s="11"/>
      <c r="C1819" s="12" t="s">
        <v>5</v>
      </c>
      <c r="D1819" s="12" t="s">
        <v>17</v>
      </c>
      <c r="E1819" s="12" t="s">
        <v>199</v>
      </c>
      <c r="F1819" s="13"/>
    </row>
    <row r="1820" spans="1:6" x14ac:dyDescent="0.2">
      <c r="A1820" s="12" t="s">
        <v>1550</v>
      </c>
      <c r="B1820" s="11"/>
      <c r="C1820" s="12" t="s">
        <v>5</v>
      </c>
      <c r="D1820" s="12" t="s">
        <v>6</v>
      </c>
      <c r="E1820" s="12" t="s">
        <v>4188</v>
      </c>
      <c r="F1820" s="13"/>
    </row>
    <row r="1821" spans="1:6" x14ac:dyDescent="0.2">
      <c r="A1821" s="12" t="s">
        <v>1550</v>
      </c>
      <c r="B1821" s="11"/>
      <c r="C1821" s="12" t="s">
        <v>5</v>
      </c>
      <c r="D1821" s="12" t="s">
        <v>6</v>
      </c>
      <c r="E1821" s="12" t="s">
        <v>4188</v>
      </c>
      <c r="F1821" s="13"/>
    </row>
    <row r="1822" spans="1:6" x14ac:dyDescent="0.2">
      <c r="A1822" s="12" t="s">
        <v>1466</v>
      </c>
      <c r="B1822" s="11"/>
      <c r="C1822" s="12" t="s">
        <v>5</v>
      </c>
      <c r="D1822" s="12" t="s">
        <v>6</v>
      </c>
      <c r="E1822" s="12" t="s">
        <v>4191</v>
      </c>
      <c r="F1822" s="13"/>
    </row>
    <row r="1823" spans="1:6" x14ac:dyDescent="0.2">
      <c r="A1823" s="12" t="s">
        <v>1466</v>
      </c>
      <c r="B1823" s="11"/>
      <c r="C1823" s="12" t="s">
        <v>5</v>
      </c>
      <c r="D1823" s="12" t="s">
        <v>6</v>
      </c>
      <c r="E1823" s="12" t="s">
        <v>4191</v>
      </c>
      <c r="F1823" s="13"/>
    </row>
    <row r="1824" spans="1:6" x14ac:dyDescent="0.2">
      <c r="A1824" s="12" t="s">
        <v>1462</v>
      </c>
      <c r="B1824" s="11"/>
      <c r="C1824" s="12" t="s">
        <v>5</v>
      </c>
      <c r="D1824" s="12" t="s">
        <v>6</v>
      </c>
      <c r="E1824" s="12" t="s">
        <v>4195</v>
      </c>
      <c r="F1824" s="13"/>
    </row>
    <row r="1825" spans="1:6" x14ac:dyDescent="0.2">
      <c r="A1825" s="12" t="s">
        <v>1462</v>
      </c>
      <c r="B1825" s="11"/>
      <c r="C1825" s="12" t="s">
        <v>5</v>
      </c>
      <c r="D1825" s="12" t="s">
        <v>6</v>
      </c>
      <c r="E1825" s="12" t="s">
        <v>4195</v>
      </c>
      <c r="F1825" s="13"/>
    </row>
    <row r="1826" spans="1:6" x14ac:dyDescent="0.2">
      <c r="A1826" s="12" t="s">
        <v>718</v>
      </c>
      <c r="B1826" s="11"/>
      <c r="C1826" s="12" t="s">
        <v>5</v>
      </c>
      <c r="D1826" s="12" t="s">
        <v>6</v>
      </c>
      <c r="E1826" s="12" t="s">
        <v>4198</v>
      </c>
      <c r="F1826" s="13"/>
    </row>
    <row r="1827" spans="1:6" x14ac:dyDescent="0.2">
      <c r="A1827" s="12" t="s">
        <v>0</v>
      </c>
      <c r="B1827" s="11"/>
      <c r="C1827" s="12" t="s">
        <v>5</v>
      </c>
      <c r="D1827" s="12" t="s">
        <v>6</v>
      </c>
      <c r="E1827" s="12" t="s">
        <v>202</v>
      </c>
      <c r="F1827" s="13"/>
    </row>
    <row r="1828" spans="1:6" x14ac:dyDescent="0.2">
      <c r="A1828" s="12" t="s">
        <v>0</v>
      </c>
      <c r="B1828" s="11"/>
      <c r="C1828" s="12" t="s">
        <v>5</v>
      </c>
      <c r="D1828" s="12" t="s">
        <v>6</v>
      </c>
      <c r="E1828" s="12" t="s">
        <v>202</v>
      </c>
      <c r="F1828" s="13"/>
    </row>
    <row r="1829" spans="1:6" x14ac:dyDescent="0.2">
      <c r="A1829" s="12" t="s">
        <v>0</v>
      </c>
      <c r="B1829" s="11"/>
      <c r="C1829" s="12" t="s">
        <v>5</v>
      </c>
      <c r="D1829" s="12" t="s">
        <v>6</v>
      </c>
      <c r="E1829" s="12" t="s">
        <v>205</v>
      </c>
      <c r="F1829" s="13"/>
    </row>
    <row r="1830" spans="1:6" x14ac:dyDescent="0.2">
      <c r="A1830" s="12" t="s">
        <v>0</v>
      </c>
      <c r="B1830" s="11"/>
      <c r="C1830" s="12" t="s">
        <v>5</v>
      </c>
      <c r="D1830" s="12" t="s">
        <v>6</v>
      </c>
      <c r="E1830" s="12" t="s">
        <v>205</v>
      </c>
      <c r="F1830" s="13"/>
    </row>
    <row r="1831" spans="1:6" x14ac:dyDescent="0.2">
      <c r="A1831" s="12" t="s">
        <v>1135</v>
      </c>
      <c r="B1831" s="11"/>
      <c r="C1831" s="12" t="s">
        <v>5</v>
      </c>
      <c r="D1831" s="12" t="s">
        <v>21</v>
      </c>
      <c r="E1831" s="12" t="s">
        <v>4200</v>
      </c>
      <c r="F1831" s="13"/>
    </row>
    <row r="1832" spans="1:6" x14ac:dyDescent="0.2">
      <c r="A1832" s="12" t="s">
        <v>1135</v>
      </c>
      <c r="B1832" s="11"/>
      <c r="C1832" s="12" t="s">
        <v>5</v>
      </c>
      <c r="D1832" s="12" t="s">
        <v>21</v>
      </c>
      <c r="E1832" s="12" t="s">
        <v>4200</v>
      </c>
      <c r="F1832" s="13"/>
    </row>
    <row r="1833" spans="1:6" x14ac:dyDescent="0.2">
      <c r="A1833" s="12" t="s">
        <v>1139</v>
      </c>
      <c r="B1833" s="11"/>
      <c r="C1833" s="12" t="s">
        <v>5</v>
      </c>
      <c r="D1833" s="12" t="s">
        <v>21</v>
      </c>
      <c r="E1833" s="12" t="s">
        <v>4203</v>
      </c>
      <c r="F1833" s="13"/>
    </row>
    <row r="1834" spans="1:6" x14ac:dyDescent="0.2">
      <c r="A1834" s="12" t="s">
        <v>1139</v>
      </c>
      <c r="B1834" s="11"/>
      <c r="C1834" s="12" t="s">
        <v>5</v>
      </c>
      <c r="D1834" s="12" t="s">
        <v>21</v>
      </c>
      <c r="E1834" s="12" t="s">
        <v>4203</v>
      </c>
      <c r="F1834" s="13"/>
    </row>
    <row r="1835" spans="1:6" x14ac:dyDescent="0.2">
      <c r="A1835" s="12" t="s">
        <v>1135</v>
      </c>
      <c r="B1835" s="11"/>
      <c r="C1835" s="12" t="s">
        <v>5</v>
      </c>
      <c r="D1835" s="12" t="s">
        <v>21</v>
      </c>
      <c r="E1835" s="12" t="s">
        <v>4206</v>
      </c>
      <c r="F1835" s="13"/>
    </row>
    <row r="1836" spans="1:6" x14ac:dyDescent="0.2">
      <c r="A1836" s="12" t="s">
        <v>1135</v>
      </c>
      <c r="B1836" s="11"/>
      <c r="C1836" s="12" t="s">
        <v>5</v>
      </c>
      <c r="D1836" s="12" t="s">
        <v>21</v>
      </c>
      <c r="E1836" s="12" t="s">
        <v>4206</v>
      </c>
      <c r="F1836" s="13"/>
    </row>
    <row r="1837" spans="1:6" x14ac:dyDescent="0.2">
      <c r="A1837" s="12" t="s">
        <v>659</v>
      </c>
      <c r="B1837" s="11"/>
      <c r="C1837" s="12" t="s">
        <v>5</v>
      </c>
      <c r="D1837" s="12" t="s">
        <v>21</v>
      </c>
      <c r="E1837" s="12" t="s">
        <v>4209</v>
      </c>
      <c r="F1837" s="13"/>
    </row>
    <row r="1838" spans="1:6" x14ac:dyDescent="0.2">
      <c r="A1838" s="12" t="s">
        <v>659</v>
      </c>
      <c r="B1838" s="11"/>
      <c r="C1838" s="12" t="s">
        <v>5</v>
      </c>
      <c r="D1838" s="12" t="s">
        <v>21</v>
      </c>
      <c r="E1838" s="12" t="s">
        <v>4209</v>
      </c>
      <c r="F1838" s="13"/>
    </row>
    <row r="1839" spans="1:6" x14ac:dyDescent="0.2">
      <c r="A1839" s="12" t="s">
        <v>715</v>
      </c>
      <c r="B1839" s="11"/>
      <c r="C1839" s="12" t="s">
        <v>208</v>
      </c>
      <c r="D1839" s="12" t="s">
        <v>209</v>
      </c>
      <c r="E1839" s="12" t="s">
        <v>5703</v>
      </c>
      <c r="F1839" s="13"/>
    </row>
    <row r="1840" spans="1:6" x14ac:dyDescent="0.2">
      <c r="A1840" s="12" t="s">
        <v>2251</v>
      </c>
      <c r="B1840" s="11"/>
      <c r="C1840" s="12" t="s">
        <v>208</v>
      </c>
      <c r="D1840" s="12" t="s">
        <v>209</v>
      </c>
      <c r="E1840" s="12" t="s">
        <v>5704</v>
      </c>
      <c r="F1840" s="47"/>
    </row>
    <row r="1841" spans="1:6" x14ac:dyDescent="0.2">
      <c r="A1841" s="12" t="s">
        <v>1346</v>
      </c>
      <c r="B1841" s="11"/>
      <c r="C1841" s="12" t="s">
        <v>208</v>
      </c>
      <c r="D1841" s="12" t="s">
        <v>209</v>
      </c>
      <c r="E1841" s="12" t="s">
        <v>5705</v>
      </c>
      <c r="F1841" s="13"/>
    </row>
    <row r="1842" spans="1:6" x14ac:dyDescent="0.2">
      <c r="A1842" s="12" t="s">
        <v>1339</v>
      </c>
      <c r="B1842" s="11"/>
      <c r="C1842" s="12" t="s">
        <v>208</v>
      </c>
      <c r="D1842" s="12" t="s">
        <v>209</v>
      </c>
      <c r="E1842" s="12" t="s">
        <v>5706</v>
      </c>
      <c r="F1842" s="13"/>
    </row>
    <row r="1843" spans="1:6" x14ac:dyDescent="0.2">
      <c r="A1843" s="12" t="s">
        <v>2251</v>
      </c>
      <c r="B1843" s="11"/>
      <c r="C1843" s="12" t="s">
        <v>2331</v>
      </c>
      <c r="D1843" s="12" t="s">
        <v>6</v>
      </c>
      <c r="E1843" s="12" t="s">
        <v>2371</v>
      </c>
      <c r="F1843" s="47"/>
    </row>
    <row r="1844" spans="1:6" x14ac:dyDescent="0.2">
      <c r="A1844" s="12" t="s">
        <v>2251</v>
      </c>
      <c r="B1844" s="11"/>
      <c r="C1844" s="12" t="s">
        <v>2331</v>
      </c>
      <c r="D1844" s="12" t="s">
        <v>6</v>
      </c>
      <c r="E1844" s="12" t="s">
        <v>2372</v>
      </c>
      <c r="F1844" s="47"/>
    </row>
    <row r="1845" spans="1:6" x14ac:dyDescent="0.2">
      <c r="A1845" s="12" t="s">
        <v>2251</v>
      </c>
      <c r="B1845" s="11"/>
      <c r="C1845" s="12" t="s">
        <v>2331</v>
      </c>
      <c r="D1845" s="12" t="s">
        <v>6</v>
      </c>
      <c r="E1845" s="12" t="s">
        <v>2373</v>
      </c>
      <c r="F1845" s="47"/>
    </row>
    <row r="1846" spans="1:6" x14ac:dyDescent="0.2">
      <c r="A1846" s="12" t="s">
        <v>2251</v>
      </c>
      <c r="B1846" s="11"/>
      <c r="C1846" s="12" t="s">
        <v>2331</v>
      </c>
      <c r="D1846" s="12" t="s">
        <v>6</v>
      </c>
      <c r="E1846" s="12" t="s">
        <v>2374</v>
      </c>
      <c r="F1846" s="47"/>
    </row>
    <row r="1847" spans="1:6" x14ac:dyDescent="0.2">
      <c r="A1847" s="12" t="s">
        <v>2251</v>
      </c>
      <c r="B1847" s="11"/>
      <c r="C1847" s="12" t="s">
        <v>2331</v>
      </c>
      <c r="D1847" s="12" t="s">
        <v>6</v>
      </c>
      <c r="E1847" s="12" t="s">
        <v>2375</v>
      </c>
      <c r="F1847" s="47"/>
    </row>
    <row r="1848" spans="1:6" x14ac:dyDescent="0.2">
      <c r="A1848" s="12" t="s">
        <v>2251</v>
      </c>
      <c r="B1848" s="11"/>
      <c r="C1848" s="12" t="s">
        <v>2331</v>
      </c>
      <c r="D1848" s="12" t="s">
        <v>6</v>
      </c>
      <c r="E1848" s="12" t="s">
        <v>2376</v>
      </c>
      <c r="F1848" s="47"/>
    </row>
    <row r="1849" spans="1:6" x14ac:dyDescent="0.2">
      <c r="A1849" s="12" t="s">
        <v>2251</v>
      </c>
      <c r="B1849" s="11"/>
      <c r="C1849" s="12" t="s">
        <v>2331</v>
      </c>
      <c r="D1849" s="12" t="s">
        <v>6</v>
      </c>
      <c r="E1849" s="12" t="s">
        <v>2377</v>
      </c>
      <c r="F1849" s="47"/>
    </row>
    <row r="1850" spans="1:6" x14ac:dyDescent="0.2">
      <c r="A1850" s="12" t="s">
        <v>2251</v>
      </c>
      <c r="B1850" s="11"/>
      <c r="C1850" s="12" t="s">
        <v>2331</v>
      </c>
      <c r="D1850" s="12" t="s">
        <v>6</v>
      </c>
      <c r="E1850" s="12" t="s">
        <v>2378</v>
      </c>
      <c r="F1850" s="47"/>
    </row>
    <row r="1851" spans="1:6" x14ac:dyDescent="0.2">
      <c r="A1851" s="12" t="s">
        <v>2251</v>
      </c>
      <c r="B1851" s="11"/>
      <c r="C1851" s="12" t="s">
        <v>2331</v>
      </c>
      <c r="D1851" s="12" t="s">
        <v>6</v>
      </c>
      <c r="E1851" s="12" t="s">
        <v>2379</v>
      </c>
      <c r="F1851" s="47"/>
    </row>
    <row r="1852" spans="1:6" x14ac:dyDescent="0.2">
      <c r="A1852" s="12" t="s">
        <v>2251</v>
      </c>
      <c r="B1852" s="11"/>
      <c r="C1852" s="12" t="s">
        <v>2331</v>
      </c>
      <c r="D1852" s="12" t="s">
        <v>6</v>
      </c>
      <c r="E1852" s="12" t="s">
        <v>2380</v>
      </c>
      <c r="F1852" s="47"/>
    </row>
    <row r="1853" spans="1:6" x14ac:dyDescent="0.2">
      <c r="A1853" s="12" t="s">
        <v>2251</v>
      </c>
      <c r="B1853" s="11"/>
      <c r="C1853" s="12" t="s">
        <v>2331</v>
      </c>
      <c r="D1853" s="12" t="s">
        <v>6</v>
      </c>
      <c r="E1853" s="12" t="s">
        <v>2381</v>
      </c>
      <c r="F1853" s="47"/>
    </row>
    <row r="1854" spans="1:6" x14ac:dyDescent="0.2">
      <c r="A1854" s="12" t="s">
        <v>2251</v>
      </c>
      <c r="B1854" s="11"/>
      <c r="C1854" s="12" t="s">
        <v>2331</v>
      </c>
      <c r="D1854" s="12" t="s">
        <v>6</v>
      </c>
      <c r="E1854" s="12" t="s">
        <v>2382</v>
      </c>
      <c r="F1854" s="47"/>
    </row>
    <row r="1855" spans="1:6" x14ac:dyDescent="0.2">
      <c r="A1855" s="12" t="s">
        <v>2251</v>
      </c>
      <c r="B1855" s="11"/>
      <c r="C1855" s="12" t="s">
        <v>2331</v>
      </c>
      <c r="D1855" s="12" t="s">
        <v>6</v>
      </c>
      <c r="E1855" s="12" t="s">
        <v>2383</v>
      </c>
      <c r="F1855" s="47"/>
    </row>
    <row r="1856" spans="1:6" x14ac:dyDescent="0.2">
      <c r="A1856" s="12" t="s">
        <v>2251</v>
      </c>
      <c r="B1856" s="11"/>
      <c r="C1856" s="12" t="s">
        <v>2331</v>
      </c>
      <c r="D1856" s="12" t="s">
        <v>6</v>
      </c>
      <c r="E1856" s="12" t="s">
        <v>2384</v>
      </c>
      <c r="F1856" s="47"/>
    </row>
    <row r="1857" spans="1:6" x14ac:dyDescent="0.2">
      <c r="A1857" s="12" t="s">
        <v>2251</v>
      </c>
      <c r="B1857" s="11"/>
      <c r="C1857" s="12" t="s">
        <v>208</v>
      </c>
      <c r="D1857" s="12" t="s">
        <v>209</v>
      </c>
      <c r="E1857" s="12" t="s">
        <v>5699</v>
      </c>
      <c r="F1857" s="47"/>
    </row>
    <row r="1858" spans="1:6" x14ac:dyDescent="0.2">
      <c r="A1858" s="12" t="s">
        <v>2251</v>
      </c>
      <c r="B1858" s="11"/>
      <c r="C1858" s="12" t="s">
        <v>2331</v>
      </c>
      <c r="D1858" s="12" t="s">
        <v>6</v>
      </c>
      <c r="E1858" s="12" t="s">
        <v>2385</v>
      </c>
      <c r="F1858" s="47"/>
    </row>
    <row r="1859" spans="1:6" x14ac:dyDescent="0.2">
      <c r="A1859" s="12" t="s">
        <v>2251</v>
      </c>
      <c r="B1859" s="11"/>
      <c r="C1859" s="12" t="s">
        <v>208</v>
      </c>
      <c r="D1859" s="12" t="s">
        <v>209</v>
      </c>
      <c r="E1859" s="12" t="s">
        <v>5700</v>
      </c>
      <c r="F1859" s="47"/>
    </row>
    <row r="1860" spans="1:6" x14ac:dyDescent="0.2">
      <c r="A1860" s="12" t="s">
        <v>614</v>
      </c>
      <c r="B1860" s="11"/>
      <c r="C1860" s="12" t="s">
        <v>208</v>
      </c>
      <c r="D1860" s="12" t="s">
        <v>209</v>
      </c>
      <c r="E1860" s="12" t="s">
        <v>5701</v>
      </c>
      <c r="F1860" s="13"/>
    </row>
    <row r="1861" spans="1:6" x14ac:dyDescent="0.2">
      <c r="A1861" s="12" t="s">
        <v>646</v>
      </c>
      <c r="B1861" s="11"/>
      <c r="C1861" s="12" t="s">
        <v>208</v>
      </c>
      <c r="D1861" s="12" t="s">
        <v>209</v>
      </c>
      <c r="E1861" s="12" t="s">
        <v>5702</v>
      </c>
      <c r="F1861" s="13"/>
    </row>
    <row r="1862" spans="1:6" x14ac:dyDescent="0.2">
      <c r="A1862" s="12" t="s">
        <v>1471</v>
      </c>
      <c r="B1862" s="11"/>
      <c r="C1862" s="12" t="s">
        <v>2331</v>
      </c>
      <c r="D1862" s="12" t="s">
        <v>6</v>
      </c>
      <c r="E1862" s="12" t="s">
        <v>2332</v>
      </c>
      <c r="F1862" s="13"/>
    </row>
    <row r="1863" spans="1:6" x14ac:dyDescent="0.2">
      <c r="A1863" s="12" t="s">
        <v>1471</v>
      </c>
      <c r="B1863" s="11"/>
      <c r="C1863" s="12" t="s">
        <v>2331</v>
      </c>
      <c r="D1863" s="12" t="s">
        <v>6</v>
      </c>
      <c r="E1863" s="12" t="s">
        <v>2332</v>
      </c>
      <c r="F1863" s="13"/>
    </row>
    <row r="1864" spans="1:6" x14ac:dyDescent="0.2">
      <c r="A1864" s="12" t="s">
        <v>2043</v>
      </c>
      <c r="B1864" s="11"/>
      <c r="C1864" s="12" t="s">
        <v>2331</v>
      </c>
      <c r="D1864" s="12" t="s">
        <v>6</v>
      </c>
      <c r="E1864" s="12" t="s">
        <v>2335</v>
      </c>
      <c r="F1864" s="13"/>
    </row>
    <row r="1865" spans="1:6" x14ac:dyDescent="0.2">
      <c r="A1865" s="12" t="s">
        <v>2043</v>
      </c>
      <c r="B1865" s="11"/>
      <c r="C1865" s="12" t="s">
        <v>2331</v>
      </c>
      <c r="D1865" s="12" t="s">
        <v>6</v>
      </c>
      <c r="E1865" s="12" t="s">
        <v>2335</v>
      </c>
      <c r="F1865" s="13"/>
    </row>
    <row r="1866" spans="1:6" x14ac:dyDescent="0.2">
      <c r="A1866" s="12" t="s">
        <v>2039</v>
      </c>
      <c r="B1866" s="11"/>
      <c r="C1866" s="12" t="s">
        <v>2331</v>
      </c>
      <c r="D1866" s="12" t="s">
        <v>6</v>
      </c>
      <c r="E1866" s="12" t="s">
        <v>2339</v>
      </c>
      <c r="F1866" s="13"/>
    </row>
    <row r="1867" spans="1:6" x14ac:dyDescent="0.2">
      <c r="A1867" s="12" t="s">
        <v>1569</v>
      </c>
      <c r="B1867" s="11"/>
      <c r="C1867" s="12" t="s">
        <v>2331</v>
      </c>
      <c r="D1867" s="12" t="s">
        <v>6</v>
      </c>
      <c r="E1867" s="12" t="s">
        <v>2342</v>
      </c>
      <c r="F1867" s="13"/>
    </row>
    <row r="1868" spans="1:6" x14ac:dyDescent="0.2">
      <c r="A1868" s="12" t="s">
        <v>1569</v>
      </c>
      <c r="B1868" s="11"/>
      <c r="C1868" s="12" t="s">
        <v>2331</v>
      </c>
      <c r="D1868" s="12" t="s">
        <v>6</v>
      </c>
      <c r="E1868" s="12" t="s">
        <v>2342</v>
      </c>
      <c r="F1868" s="13"/>
    </row>
    <row r="1869" spans="1:6" x14ac:dyDescent="0.2">
      <c r="A1869" s="12" t="s">
        <v>2043</v>
      </c>
      <c r="B1869" s="11"/>
      <c r="C1869" s="12" t="s">
        <v>2331</v>
      </c>
      <c r="D1869" s="12" t="s">
        <v>6</v>
      </c>
      <c r="E1869" s="12" t="s">
        <v>2345</v>
      </c>
      <c r="F1869" s="13"/>
    </row>
    <row r="1870" spans="1:6" x14ac:dyDescent="0.2">
      <c r="A1870" s="12" t="s">
        <v>2043</v>
      </c>
      <c r="B1870" s="11"/>
      <c r="C1870" s="12" t="s">
        <v>2331</v>
      </c>
      <c r="D1870" s="12" t="s">
        <v>6</v>
      </c>
      <c r="E1870" s="12" t="s">
        <v>2345</v>
      </c>
      <c r="F1870" s="13"/>
    </row>
    <row r="1871" spans="1:6" x14ac:dyDescent="0.2">
      <c r="A1871" s="12" t="s">
        <v>1471</v>
      </c>
      <c r="B1871" s="11"/>
      <c r="C1871" s="12" t="s">
        <v>2331</v>
      </c>
      <c r="D1871" s="12" t="s">
        <v>6</v>
      </c>
      <c r="E1871" s="12" t="s">
        <v>2348</v>
      </c>
      <c r="F1871" s="13"/>
    </row>
    <row r="1872" spans="1:6" x14ac:dyDescent="0.2">
      <c r="A1872" s="12" t="s">
        <v>1471</v>
      </c>
      <c r="B1872" s="11"/>
      <c r="C1872" s="12" t="s">
        <v>2331</v>
      </c>
      <c r="D1872" s="12" t="s">
        <v>6</v>
      </c>
      <c r="E1872" s="12" t="s">
        <v>2348</v>
      </c>
      <c r="F1872" s="13"/>
    </row>
    <row r="1873" spans="1:6" x14ac:dyDescent="0.2">
      <c r="A1873" s="12" t="s">
        <v>1471</v>
      </c>
      <c r="B1873" s="11"/>
      <c r="C1873" s="12" t="s">
        <v>2331</v>
      </c>
      <c r="D1873" s="12" t="s">
        <v>6</v>
      </c>
      <c r="E1873" s="12" t="s">
        <v>2353</v>
      </c>
      <c r="F1873" s="13"/>
    </row>
    <row r="1874" spans="1:6" x14ac:dyDescent="0.2">
      <c r="A1874" s="12" t="s">
        <v>1471</v>
      </c>
      <c r="B1874" s="11"/>
      <c r="C1874" s="12" t="s">
        <v>2331</v>
      </c>
      <c r="D1874" s="12" t="s">
        <v>6</v>
      </c>
      <c r="E1874" s="12" t="s">
        <v>2353</v>
      </c>
      <c r="F1874" s="13"/>
    </row>
    <row r="1875" spans="1:6" x14ac:dyDescent="0.2">
      <c r="A1875" s="12" t="s">
        <v>1569</v>
      </c>
      <c r="B1875" s="11"/>
      <c r="C1875" s="12" t="s">
        <v>2331</v>
      </c>
      <c r="D1875" s="12" t="s">
        <v>6</v>
      </c>
      <c r="E1875" s="12" t="s">
        <v>2356</v>
      </c>
      <c r="F1875" s="13"/>
    </row>
    <row r="1876" spans="1:6" x14ac:dyDescent="0.2">
      <c r="A1876" s="12" t="s">
        <v>1569</v>
      </c>
      <c r="B1876" s="11"/>
      <c r="C1876" s="12" t="s">
        <v>2331</v>
      </c>
      <c r="D1876" s="12" t="s">
        <v>6</v>
      </c>
      <c r="E1876" s="12" t="s">
        <v>2356</v>
      </c>
      <c r="F1876" s="13"/>
    </row>
    <row r="1877" spans="1:6" x14ac:dyDescent="0.2">
      <c r="A1877" s="12" t="s">
        <v>2251</v>
      </c>
      <c r="B1877" s="11"/>
      <c r="C1877" s="12" t="s">
        <v>2331</v>
      </c>
      <c r="D1877" s="12" t="s">
        <v>6</v>
      </c>
      <c r="E1877" s="12" t="s">
        <v>2359</v>
      </c>
      <c r="F1877" s="47"/>
    </row>
    <row r="1878" spans="1:6" x14ac:dyDescent="0.2">
      <c r="A1878" s="12" t="s">
        <v>1471</v>
      </c>
      <c r="B1878" s="11"/>
      <c r="C1878" s="12" t="s">
        <v>2331</v>
      </c>
      <c r="D1878" s="12" t="s">
        <v>6</v>
      </c>
      <c r="E1878" s="12" t="s">
        <v>2360</v>
      </c>
      <c r="F1878" s="13"/>
    </row>
    <row r="1879" spans="1:6" x14ac:dyDescent="0.2">
      <c r="A1879" s="12" t="s">
        <v>1471</v>
      </c>
      <c r="B1879" s="11"/>
      <c r="C1879" s="12" t="s">
        <v>2331</v>
      </c>
      <c r="D1879" s="12" t="s">
        <v>6</v>
      </c>
      <c r="E1879" s="12" t="s">
        <v>2360</v>
      </c>
      <c r="F1879" s="13"/>
    </row>
    <row r="1880" spans="1:6" x14ac:dyDescent="0.2">
      <c r="A1880" s="12" t="s">
        <v>1466</v>
      </c>
      <c r="B1880" s="11"/>
      <c r="C1880" s="12" t="s">
        <v>2331</v>
      </c>
      <c r="D1880" s="12" t="s">
        <v>6</v>
      </c>
      <c r="E1880" s="12" t="s">
        <v>2363</v>
      </c>
      <c r="F1880" s="13"/>
    </row>
    <row r="1881" spans="1:6" x14ac:dyDescent="0.2">
      <c r="A1881" s="12" t="s">
        <v>1466</v>
      </c>
      <c r="B1881" s="11"/>
      <c r="C1881" s="12" t="s">
        <v>2331</v>
      </c>
      <c r="D1881" s="12" t="s">
        <v>6</v>
      </c>
      <c r="E1881" s="12" t="s">
        <v>2363</v>
      </c>
      <c r="F1881" s="13"/>
    </row>
    <row r="1882" spans="1:6" x14ac:dyDescent="0.2">
      <c r="A1882" s="12" t="s">
        <v>1466</v>
      </c>
      <c r="B1882" s="11"/>
      <c r="C1882" s="12" t="s">
        <v>2331</v>
      </c>
      <c r="D1882" s="12" t="s">
        <v>6</v>
      </c>
      <c r="E1882" s="12" t="s">
        <v>2366</v>
      </c>
      <c r="F1882" s="13"/>
    </row>
    <row r="1883" spans="1:6" x14ac:dyDescent="0.2">
      <c r="A1883" s="12" t="s">
        <v>1466</v>
      </c>
      <c r="B1883" s="11"/>
      <c r="C1883" s="12" t="s">
        <v>2331</v>
      </c>
      <c r="D1883" s="12" t="s">
        <v>6</v>
      </c>
      <c r="E1883" s="12" t="s">
        <v>2366</v>
      </c>
      <c r="F1883" s="13"/>
    </row>
    <row r="1884" spans="1:6" x14ac:dyDescent="0.2">
      <c r="A1884" s="12" t="s">
        <v>2251</v>
      </c>
      <c r="B1884" s="11"/>
      <c r="C1884" s="12" t="s">
        <v>2331</v>
      </c>
      <c r="D1884" s="12" t="s">
        <v>6</v>
      </c>
      <c r="E1884" s="12" t="s">
        <v>2369</v>
      </c>
      <c r="F1884" s="47"/>
    </row>
    <row r="1885" spans="1:6" x14ac:dyDescent="0.2">
      <c r="A1885" s="12" t="s">
        <v>2251</v>
      </c>
      <c r="B1885" s="11"/>
      <c r="C1885" s="12" t="s">
        <v>2331</v>
      </c>
      <c r="D1885" s="12" t="s">
        <v>6</v>
      </c>
      <c r="E1885" s="12" t="s">
        <v>2370</v>
      </c>
      <c r="F1885" s="47"/>
    </row>
    <row r="1886" spans="1:6" x14ac:dyDescent="0.2">
      <c r="A1886" s="12" t="s">
        <v>678</v>
      </c>
      <c r="B1886" s="11"/>
      <c r="C1886" s="12" t="s">
        <v>208</v>
      </c>
      <c r="D1886" s="12" t="s">
        <v>209</v>
      </c>
      <c r="E1886" s="12" t="s">
        <v>5707</v>
      </c>
      <c r="F1886" s="13"/>
    </row>
    <row r="1887" spans="1:6" x14ac:dyDescent="0.2">
      <c r="A1887" s="12" t="s">
        <v>2251</v>
      </c>
      <c r="B1887" s="11"/>
      <c r="C1887" s="12" t="s">
        <v>208</v>
      </c>
      <c r="D1887" s="12" t="s">
        <v>209</v>
      </c>
      <c r="E1887" s="12" t="s">
        <v>5708</v>
      </c>
      <c r="F1887" s="47"/>
    </row>
    <row r="1888" spans="1:6" x14ac:dyDescent="0.2">
      <c r="A1888" s="12" t="s">
        <v>472</v>
      </c>
      <c r="B1888" s="11"/>
      <c r="C1888" s="12" t="s">
        <v>208</v>
      </c>
      <c r="D1888" s="12" t="s">
        <v>209</v>
      </c>
      <c r="E1888" s="12" t="s">
        <v>5709</v>
      </c>
      <c r="F1888" s="13"/>
    </row>
    <row r="1889" spans="1:6" x14ac:dyDescent="0.2">
      <c r="A1889" s="12" t="s">
        <v>1984</v>
      </c>
      <c r="B1889" s="11"/>
      <c r="C1889" s="12" t="s">
        <v>208</v>
      </c>
      <c r="D1889" s="12" t="s">
        <v>209</v>
      </c>
      <c r="E1889" s="12" t="s">
        <v>5710</v>
      </c>
      <c r="F1889" s="13"/>
    </row>
    <row r="1890" spans="1:6" x14ac:dyDescent="0.2">
      <c r="A1890" s="12" t="s">
        <v>2039</v>
      </c>
      <c r="B1890" s="11"/>
      <c r="C1890" s="12" t="s">
        <v>2331</v>
      </c>
      <c r="D1890" s="12" t="s">
        <v>6</v>
      </c>
      <c r="E1890" s="12" t="s">
        <v>2386</v>
      </c>
      <c r="F1890" s="13"/>
    </row>
    <row r="1891" spans="1:6" x14ac:dyDescent="0.2">
      <c r="A1891" s="12" t="s">
        <v>1569</v>
      </c>
      <c r="B1891" s="11"/>
      <c r="C1891" s="12" t="s">
        <v>2331</v>
      </c>
      <c r="D1891" s="12" t="s">
        <v>6</v>
      </c>
      <c r="E1891" s="12" t="s">
        <v>2388</v>
      </c>
      <c r="F1891" s="13"/>
    </row>
    <row r="1892" spans="1:6" x14ac:dyDescent="0.2">
      <c r="A1892" s="12" t="s">
        <v>1569</v>
      </c>
      <c r="B1892" s="11"/>
      <c r="C1892" s="12" t="s">
        <v>2331</v>
      </c>
      <c r="D1892" s="12" t="s">
        <v>6</v>
      </c>
      <c r="E1892" s="12" t="s">
        <v>2388</v>
      </c>
      <c r="F1892" s="13"/>
    </row>
    <row r="1893" spans="1:6" x14ac:dyDescent="0.2">
      <c r="A1893" s="12" t="s">
        <v>1573</v>
      </c>
      <c r="B1893" s="11"/>
      <c r="C1893" s="12" t="s">
        <v>2331</v>
      </c>
      <c r="D1893" s="12" t="s">
        <v>6</v>
      </c>
      <c r="E1893" s="12" t="s">
        <v>2391</v>
      </c>
      <c r="F1893" s="13"/>
    </row>
    <row r="1894" spans="1:6" x14ac:dyDescent="0.2">
      <c r="A1894" s="12" t="s">
        <v>1573</v>
      </c>
      <c r="B1894" s="11"/>
      <c r="C1894" s="12" t="s">
        <v>2331</v>
      </c>
      <c r="D1894" s="12" t="s">
        <v>6</v>
      </c>
      <c r="E1894" s="12" t="s">
        <v>2391</v>
      </c>
      <c r="F1894" s="13"/>
    </row>
    <row r="1895" spans="1:6" x14ac:dyDescent="0.2">
      <c r="A1895" s="12" t="s">
        <v>2043</v>
      </c>
      <c r="B1895" s="11"/>
      <c r="C1895" s="12" t="s">
        <v>2331</v>
      </c>
      <c r="D1895" s="12" t="s">
        <v>6</v>
      </c>
      <c r="E1895" s="12" t="s">
        <v>2394</v>
      </c>
      <c r="F1895" s="13"/>
    </row>
    <row r="1896" spans="1:6" x14ac:dyDescent="0.2">
      <c r="A1896" s="12" t="s">
        <v>1466</v>
      </c>
      <c r="B1896" s="11"/>
      <c r="C1896" s="12" t="s">
        <v>2331</v>
      </c>
      <c r="D1896" s="12" t="s">
        <v>6</v>
      </c>
      <c r="E1896" s="12" t="s">
        <v>2396</v>
      </c>
      <c r="F1896" s="13"/>
    </row>
    <row r="1897" spans="1:6" x14ac:dyDescent="0.2">
      <c r="A1897" s="12" t="s">
        <v>1466</v>
      </c>
      <c r="B1897" s="11"/>
      <c r="C1897" s="12" t="s">
        <v>2331</v>
      </c>
      <c r="D1897" s="12" t="s">
        <v>6</v>
      </c>
      <c r="E1897" s="12" t="s">
        <v>2396</v>
      </c>
      <c r="F1897" s="13"/>
    </row>
    <row r="1898" spans="1:6" x14ac:dyDescent="0.2">
      <c r="A1898" s="12" t="s">
        <v>2039</v>
      </c>
      <c r="B1898" s="11"/>
      <c r="C1898" s="12" t="s">
        <v>2331</v>
      </c>
      <c r="D1898" s="12" t="s">
        <v>6</v>
      </c>
      <c r="E1898" s="12" t="s">
        <v>2399</v>
      </c>
      <c r="F1898" s="13"/>
    </row>
    <row r="1899" spans="1:6" x14ac:dyDescent="0.2">
      <c r="A1899" s="12" t="s">
        <v>2039</v>
      </c>
      <c r="B1899" s="11"/>
      <c r="C1899" s="12" t="s">
        <v>2331</v>
      </c>
      <c r="D1899" s="12" t="s">
        <v>6</v>
      </c>
      <c r="E1899" s="12" t="s">
        <v>2399</v>
      </c>
      <c r="F1899" s="13"/>
    </row>
    <row r="1900" spans="1:6" x14ac:dyDescent="0.2">
      <c r="A1900" s="12" t="s">
        <v>2043</v>
      </c>
      <c r="B1900" s="11"/>
      <c r="C1900" s="12" t="s">
        <v>2331</v>
      </c>
      <c r="D1900" s="12" t="s">
        <v>6</v>
      </c>
      <c r="E1900" s="12" t="s">
        <v>2402</v>
      </c>
      <c r="F1900" s="13"/>
    </row>
    <row r="1901" spans="1:6" x14ac:dyDescent="0.2">
      <c r="A1901" s="12" t="s">
        <v>2043</v>
      </c>
      <c r="B1901" s="11"/>
      <c r="C1901" s="12" t="s">
        <v>2331</v>
      </c>
      <c r="D1901" s="12" t="s">
        <v>6</v>
      </c>
      <c r="E1901" s="12" t="s">
        <v>2402</v>
      </c>
      <c r="F1901" s="13"/>
    </row>
    <row r="1902" spans="1:6" x14ac:dyDescent="0.2">
      <c r="A1902" s="12" t="s">
        <v>2043</v>
      </c>
      <c r="B1902" s="11"/>
      <c r="C1902" s="12" t="s">
        <v>2331</v>
      </c>
      <c r="D1902" s="12" t="s">
        <v>6</v>
      </c>
      <c r="E1902" s="12" t="s">
        <v>2405</v>
      </c>
      <c r="F1902" s="13"/>
    </row>
    <row r="1903" spans="1:6" x14ac:dyDescent="0.2">
      <c r="A1903" s="12" t="s">
        <v>2043</v>
      </c>
      <c r="B1903" s="11"/>
      <c r="C1903" s="12" t="s">
        <v>2331</v>
      </c>
      <c r="D1903" s="12" t="s">
        <v>6</v>
      </c>
      <c r="E1903" s="12" t="s">
        <v>2405</v>
      </c>
      <c r="F1903" s="13"/>
    </row>
    <row r="1904" spans="1:6" x14ac:dyDescent="0.2">
      <c r="A1904" s="12" t="s">
        <v>2039</v>
      </c>
      <c r="B1904" s="11"/>
      <c r="C1904" s="12" t="s">
        <v>2331</v>
      </c>
      <c r="D1904" s="12" t="s">
        <v>6</v>
      </c>
      <c r="E1904" s="12" t="s">
        <v>2408</v>
      </c>
      <c r="F1904" s="13"/>
    </row>
    <row r="1905" spans="1:6" x14ac:dyDescent="0.2">
      <c r="A1905" s="12" t="s">
        <v>2039</v>
      </c>
      <c r="B1905" s="11"/>
      <c r="C1905" s="12" t="s">
        <v>2331</v>
      </c>
      <c r="D1905" s="12" t="s">
        <v>6</v>
      </c>
      <c r="E1905" s="12" t="s">
        <v>2408</v>
      </c>
      <c r="F1905" s="13"/>
    </row>
    <row r="1906" spans="1:6" x14ac:dyDescent="0.2">
      <c r="A1906" s="12" t="s">
        <v>1471</v>
      </c>
      <c r="B1906" s="11"/>
      <c r="C1906" s="12" t="s">
        <v>2331</v>
      </c>
      <c r="D1906" s="12" t="s">
        <v>6</v>
      </c>
      <c r="E1906" s="12" t="s">
        <v>2411</v>
      </c>
      <c r="F1906" s="13"/>
    </row>
    <row r="1907" spans="1:6" x14ac:dyDescent="0.2">
      <c r="A1907" s="12" t="s">
        <v>1471</v>
      </c>
      <c r="B1907" s="11"/>
      <c r="C1907" s="12" t="s">
        <v>2331</v>
      </c>
      <c r="D1907" s="12" t="s">
        <v>6</v>
      </c>
      <c r="E1907" s="12" t="s">
        <v>2411</v>
      </c>
      <c r="F1907" s="13"/>
    </row>
    <row r="1908" spans="1:6" x14ac:dyDescent="0.2">
      <c r="A1908" s="12" t="s">
        <v>2251</v>
      </c>
      <c r="B1908" s="11"/>
      <c r="C1908" s="12" t="s">
        <v>2331</v>
      </c>
      <c r="D1908" s="12" t="s">
        <v>6</v>
      </c>
      <c r="E1908" s="12" t="s">
        <v>2414</v>
      </c>
      <c r="F1908" s="47"/>
    </row>
    <row r="1909" spans="1:6" x14ac:dyDescent="0.2">
      <c r="A1909" s="12" t="s">
        <v>1466</v>
      </c>
      <c r="B1909" s="11"/>
      <c r="C1909" s="12" t="s">
        <v>2331</v>
      </c>
      <c r="D1909" s="12" t="s">
        <v>6</v>
      </c>
      <c r="E1909" s="12" t="s">
        <v>2415</v>
      </c>
      <c r="F1909" s="13"/>
    </row>
    <row r="1910" spans="1:6" x14ac:dyDescent="0.2">
      <c r="A1910" s="12" t="s">
        <v>1466</v>
      </c>
      <c r="B1910" s="11"/>
      <c r="C1910" s="12" t="s">
        <v>2331</v>
      </c>
      <c r="D1910" s="12" t="s">
        <v>6</v>
      </c>
      <c r="E1910" s="12" t="s">
        <v>2415</v>
      </c>
      <c r="F1910" s="13"/>
    </row>
    <row r="1911" spans="1:6" x14ac:dyDescent="0.2">
      <c r="A1911" s="12" t="s">
        <v>2251</v>
      </c>
      <c r="B1911" s="11"/>
      <c r="C1911" s="12" t="s">
        <v>2331</v>
      </c>
      <c r="D1911" s="12" t="s">
        <v>6</v>
      </c>
      <c r="E1911" s="12" t="s">
        <v>2418</v>
      </c>
      <c r="F1911" s="47"/>
    </row>
    <row r="1912" spans="1:6" x14ac:dyDescent="0.2">
      <c r="A1912" s="12" t="s">
        <v>2251</v>
      </c>
      <c r="B1912" s="11"/>
      <c r="C1912" s="12" t="s">
        <v>2331</v>
      </c>
      <c r="D1912" s="12" t="s">
        <v>6</v>
      </c>
      <c r="E1912" s="12" t="s">
        <v>2419</v>
      </c>
      <c r="F1912" s="47"/>
    </row>
    <row r="1913" spans="1:6" x14ac:dyDescent="0.2">
      <c r="A1913" s="12" t="s">
        <v>672</v>
      </c>
      <c r="B1913" s="11"/>
      <c r="C1913" s="12" t="s">
        <v>208</v>
      </c>
      <c r="D1913" s="12" t="s">
        <v>209</v>
      </c>
      <c r="E1913" s="12" t="s">
        <v>5711</v>
      </c>
      <c r="F1913" s="13"/>
    </row>
    <row r="1914" spans="1:6" x14ac:dyDescent="0.2">
      <c r="A1914" s="12" t="s">
        <v>845</v>
      </c>
      <c r="B1914" s="11"/>
      <c r="C1914" s="12" t="s">
        <v>208</v>
      </c>
      <c r="D1914" s="12" t="s">
        <v>209</v>
      </c>
      <c r="E1914" s="12" t="s">
        <v>5712</v>
      </c>
      <c r="F1914" s="13"/>
    </row>
    <row r="1915" spans="1:6" x14ac:dyDescent="0.2">
      <c r="A1915" s="12" t="s">
        <v>617</v>
      </c>
      <c r="B1915" s="11"/>
      <c r="C1915" s="12" t="s">
        <v>208</v>
      </c>
      <c r="D1915" s="12" t="s">
        <v>209</v>
      </c>
      <c r="E1915" s="12" t="s">
        <v>5713</v>
      </c>
      <c r="F1915" s="13"/>
    </row>
    <row r="1916" spans="1:6" x14ac:dyDescent="0.2">
      <c r="A1916" s="12" t="s">
        <v>1582</v>
      </c>
      <c r="B1916" s="11"/>
      <c r="C1916" s="12" t="s">
        <v>208</v>
      </c>
      <c r="D1916" s="12" t="s">
        <v>209</v>
      </c>
      <c r="E1916" s="12" t="s">
        <v>5714</v>
      </c>
      <c r="F1916" s="13"/>
    </row>
    <row r="1917" spans="1:6" x14ac:dyDescent="0.2">
      <c r="A1917" s="12" t="s">
        <v>1471</v>
      </c>
      <c r="B1917" s="11"/>
      <c r="C1917" s="12" t="s">
        <v>2331</v>
      </c>
      <c r="D1917" s="12" t="s">
        <v>6</v>
      </c>
      <c r="E1917" s="12" t="s">
        <v>2420</v>
      </c>
      <c r="F1917" s="13"/>
    </row>
    <row r="1918" spans="1:6" x14ac:dyDescent="0.2">
      <c r="A1918" s="12" t="s">
        <v>1471</v>
      </c>
      <c r="B1918" s="11"/>
      <c r="C1918" s="12" t="s">
        <v>2331</v>
      </c>
      <c r="D1918" s="12" t="s">
        <v>6</v>
      </c>
      <c r="E1918" s="12" t="s">
        <v>2420</v>
      </c>
      <c r="F1918" s="13"/>
    </row>
    <row r="1919" spans="1:6" x14ac:dyDescent="0.2">
      <c r="A1919" s="12" t="s">
        <v>1471</v>
      </c>
      <c r="B1919" s="11"/>
      <c r="C1919" s="12" t="s">
        <v>2331</v>
      </c>
      <c r="D1919" s="12" t="s">
        <v>6</v>
      </c>
      <c r="E1919" s="12" t="s">
        <v>2423</v>
      </c>
      <c r="F1919" s="13"/>
    </row>
    <row r="1920" spans="1:6" x14ac:dyDescent="0.2">
      <c r="A1920" s="12" t="s">
        <v>1471</v>
      </c>
      <c r="B1920" s="11"/>
      <c r="C1920" s="12" t="s">
        <v>2331</v>
      </c>
      <c r="D1920" s="12" t="s">
        <v>6</v>
      </c>
      <c r="E1920" s="12" t="s">
        <v>2423</v>
      </c>
      <c r="F1920" s="13"/>
    </row>
    <row r="1921" spans="1:6" x14ac:dyDescent="0.2">
      <c r="A1921" s="12" t="s">
        <v>1573</v>
      </c>
      <c r="B1921" s="11"/>
      <c r="C1921" s="12" t="s">
        <v>2331</v>
      </c>
      <c r="D1921" s="12" t="s">
        <v>6</v>
      </c>
      <c r="E1921" s="12" t="s">
        <v>2426</v>
      </c>
      <c r="F1921" s="13"/>
    </row>
    <row r="1922" spans="1:6" x14ac:dyDescent="0.2">
      <c r="A1922" s="12" t="s">
        <v>1573</v>
      </c>
      <c r="B1922" s="11"/>
      <c r="C1922" s="12" t="s">
        <v>2331</v>
      </c>
      <c r="D1922" s="12" t="s">
        <v>6</v>
      </c>
      <c r="E1922" s="12" t="s">
        <v>2426</v>
      </c>
      <c r="F1922" s="13"/>
    </row>
    <row r="1923" spans="1:6" x14ac:dyDescent="0.2">
      <c r="A1923" s="12" t="s">
        <v>1471</v>
      </c>
      <c r="B1923" s="11"/>
      <c r="C1923" s="12" t="s">
        <v>2331</v>
      </c>
      <c r="D1923" s="12" t="s">
        <v>6</v>
      </c>
      <c r="E1923" s="12" t="s">
        <v>2429</v>
      </c>
      <c r="F1923" s="13"/>
    </row>
    <row r="1924" spans="1:6" x14ac:dyDescent="0.2">
      <c r="A1924" s="12" t="s">
        <v>1471</v>
      </c>
      <c r="B1924" s="11"/>
      <c r="C1924" s="12" t="s">
        <v>2331</v>
      </c>
      <c r="D1924" s="12" t="s">
        <v>6</v>
      </c>
      <c r="E1924" s="12" t="s">
        <v>2429</v>
      </c>
      <c r="F1924" s="13"/>
    </row>
    <row r="1925" spans="1:6" x14ac:dyDescent="0.2">
      <c r="A1925" s="12" t="s">
        <v>1466</v>
      </c>
      <c r="B1925" s="11"/>
      <c r="C1925" s="12" t="s">
        <v>2331</v>
      </c>
      <c r="D1925" s="12" t="s">
        <v>6</v>
      </c>
      <c r="E1925" s="12" t="s">
        <v>2432</v>
      </c>
      <c r="F1925" s="13"/>
    </row>
    <row r="1926" spans="1:6" x14ac:dyDescent="0.2">
      <c r="A1926" s="12" t="s">
        <v>1466</v>
      </c>
      <c r="B1926" s="11"/>
      <c r="C1926" s="12" t="s">
        <v>2331</v>
      </c>
      <c r="D1926" s="12" t="s">
        <v>6</v>
      </c>
      <c r="E1926" s="12" t="s">
        <v>2432</v>
      </c>
      <c r="F1926" s="13"/>
    </row>
    <row r="1927" spans="1:6" x14ac:dyDescent="0.2">
      <c r="A1927" s="12" t="s">
        <v>1466</v>
      </c>
      <c r="B1927" s="11"/>
      <c r="C1927" s="12" t="s">
        <v>2331</v>
      </c>
      <c r="D1927" s="12" t="s">
        <v>6</v>
      </c>
      <c r="E1927" s="12" t="s">
        <v>2435</v>
      </c>
      <c r="F1927" s="13"/>
    </row>
    <row r="1928" spans="1:6" x14ac:dyDescent="0.2">
      <c r="A1928" s="12" t="s">
        <v>1466</v>
      </c>
      <c r="B1928" s="11"/>
      <c r="C1928" s="12" t="s">
        <v>2331</v>
      </c>
      <c r="D1928" s="12" t="s">
        <v>6</v>
      </c>
      <c r="E1928" s="12" t="s">
        <v>2435</v>
      </c>
      <c r="F1928" s="13"/>
    </row>
    <row r="1929" spans="1:6" x14ac:dyDescent="0.2">
      <c r="A1929" s="12" t="s">
        <v>1466</v>
      </c>
      <c r="B1929" s="11"/>
      <c r="C1929" s="12" t="s">
        <v>2331</v>
      </c>
      <c r="D1929" s="12" t="s">
        <v>6</v>
      </c>
      <c r="E1929" s="12" t="s">
        <v>2438</v>
      </c>
      <c r="F1929" s="13"/>
    </row>
    <row r="1930" spans="1:6" x14ac:dyDescent="0.2">
      <c r="A1930" s="12" t="s">
        <v>1466</v>
      </c>
      <c r="B1930" s="11"/>
      <c r="C1930" s="12" t="s">
        <v>2331</v>
      </c>
      <c r="D1930" s="12" t="s">
        <v>6</v>
      </c>
      <c r="E1930" s="12" t="s">
        <v>2438</v>
      </c>
      <c r="F1930" s="13"/>
    </row>
    <row r="1931" spans="1:6" x14ac:dyDescent="0.2">
      <c r="A1931" s="12" t="s">
        <v>1471</v>
      </c>
      <c r="B1931" s="11"/>
      <c r="C1931" s="12" t="s">
        <v>2331</v>
      </c>
      <c r="D1931" s="12" t="s">
        <v>6</v>
      </c>
      <c r="E1931" s="12" t="s">
        <v>2441</v>
      </c>
      <c r="F1931" s="13"/>
    </row>
    <row r="1932" spans="1:6" x14ac:dyDescent="0.2">
      <c r="A1932" s="12" t="s">
        <v>1471</v>
      </c>
      <c r="B1932" s="11"/>
      <c r="C1932" s="12" t="s">
        <v>2331</v>
      </c>
      <c r="D1932" s="12" t="s">
        <v>6</v>
      </c>
      <c r="E1932" s="12" t="s">
        <v>2441</v>
      </c>
      <c r="F1932" s="13"/>
    </row>
    <row r="1933" spans="1:6" x14ac:dyDescent="0.2">
      <c r="A1933" s="12" t="s">
        <v>2039</v>
      </c>
      <c r="B1933" s="11"/>
      <c r="C1933" s="12" t="s">
        <v>2331</v>
      </c>
      <c r="D1933" s="12" t="s">
        <v>6</v>
      </c>
      <c r="E1933" s="12" t="s">
        <v>2444</v>
      </c>
      <c r="F1933" s="13"/>
    </row>
    <row r="1934" spans="1:6" x14ac:dyDescent="0.2">
      <c r="A1934" s="12" t="s">
        <v>2039</v>
      </c>
      <c r="B1934" s="11"/>
      <c r="C1934" s="12" t="s">
        <v>2331</v>
      </c>
      <c r="D1934" s="12" t="s">
        <v>6</v>
      </c>
      <c r="E1934" s="12" t="s">
        <v>2444</v>
      </c>
      <c r="F1934" s="13"/>
    </row>
    <row r="1935" spans="1:6" x14ac:dyDescent="0.2">
      <c r="A1935" s="12" t="s">
        <v>1466</v>
      </c>
      <c r="B1935" s="11"/>
      <c r="C1935" s="12" t="s">
        <v>2331</v>
      </c>
      <c r="D1935" s="12" t="s">
        <v>6</v>
      </c>
      <c r="E1935" s="12" t="s">
        <v>2447</v>
      </c>
      <c r="F1935" s="13"/>
    </row>
    <row r="1936" spans="1:6" x14ac:dyDescent="0.2">
      <c r="A1936" s="12" t="s">
        <v>1466</v>
      </c>
      <c r="B1936" s="11"/>
      <c r="C1936" s="12" t="s">
        <v>2331</v>
      </c>
      <c r="D1936" s="12" t="s">
        <v>6</v>
      </c>
      <c r="E1936" s="12" t="s">
        <v>2447</v>
      </c>
      <c r="F1936" s="13"/>
    </row>
    <row r="1937" spans="1:6" x14ac:dyDescent="0.2">
      <c r="A1937" s="12" t="s">
        <v>1471</v>
      </c>
      <c r="B1937" s="11"/>
      <c r="C1937" s="12" t="s">
        <v>2331</v>
      </c>
      <c r="D1937" s="12" t="s">
        <v>6</v>
      </c>
      <c r="E1937" s="12" t="s">
        <v>2450</v>
      </c>
      <c r="F1937" s="13"/>
    </row>
    <row r="1938" spans="1:6" x14ac:dyDescent="0.2">
      <c r="A1938" s="12" t="s">
        <v>1471</v>
      </c>
      <c r="B1938" s="11"/>
      <c r="C1938" s="12" t="s">
        <v>2331</v>
      </c>
      <c r="D1938" s="12" t="s">
        <v>6</v>
      </c>
      <c r="E1938" s="12" t="s">
        <v>2450</v>
      </c>
      <c r="F1938" s="13"/>
    </row>
    <row r="1939" spans="1:6" x14ac:dyDescent="0.2">
      <c r="A1939" s="12" t="s">
        <v>1471</v>
      </c>
      <c r="B1939" s="11"/>
      <c r="C1939" s="12" t="s">
        <v>2331</v>
      </c>
      <c r="D1939" s="12" t="s">
        <v>6</v>
      </c>
      <c r="E1939" s="12" t="s">
        <v>2453</v>
      </c>
      <c r="F1939" s="13"/>
    </row>
    <row r="1940" spans="1:6" x14ac:dyDescent="0.2">
      <c r="A1940" s="12" t="s">
        <v>1471</v>
      </c>
      <c r="B1940" s="11"/>
      <c r="C1940" s="12" t="s">
        <v>2331</v>
      </c>
      <c r="D1940" s="12" t="s">
        <v>6</v>
      </c>
      <c r="E1940" s="12" t="s">
        <v>2453</v>
      </c>
      <c r="F1940" s="13"/>
    </row>
    <row r="1941" spans="1:6" x14ac:dyDescent="0.2">
      <c r="A1941" s="12" t="s">
        <v>2251</v>
      </c>
      <c r="B1941" s="11"/>
      <c r="C1941" s="12" t="s">
        <v>2331</v>
      </c>
      <c r="D1941" s="12" t="s">
        <v>6</v>
      </c>
      <c r="E1941" s="12" t="s">
        <v>2456</v>
      </c>
      <c r="F1941" s="47"/>
    </row>
    <row r="1942" spans="1:6" x14ac:dyDescent="0.2">
      <c r="A1942" s="12" t="s">
        <v>2251</v>
      </c>
      <c r="B1942" s="11"/>
      <c r="C1942" s="12" t="s">
        <v>2331</v>
      </c>
      <c r="D1942" s="12" t="s">
        <v>6</v>
      </c>
      <c r="E1942" s="12" t="s">
        <v>2457</v>
      </c>
      <c r="F1942" s="47"/>
    </row>
    <row r="1943" spans="1:6" x14ac:dyDescent="0.2">
      <c r="A1943" s="12" t="s">
        <v>1281</v>
      </c>
      <c r="B1943" s="11"/>
      <c r="C1943" s="12" t="s">
        <v>208</v>
      </c>
      <c r="D1943" s="12" t="s">
        <v>209</v>
      </c>
      <c r="E1943" s="12" t="s">
        <v>5715</v>
      </c>
      <c r="F1943" s="13"/>
    </row>
    <row r="1944" spans="1:6" x14ac:dyDescent="0.2">
      <c r="A1944" s="12" t="s">
        <v>2251</v>
      </c>
      <c r="B1944" s="11"/>
      <c r="C1944" s="12" t="s">
        <v>208</v>
      </c>
      <c r="D1944" s="12" t="s">
        <v>209</v>
      </c>
      <c r="E1944" s="12" t="s">
        <v>5716</v>
      </c>
      <c r="F1944" s="47"/>
    </row>
    <row r="1945" spans="1:6" x14ac:dyDescent="0.2">
      <c r="A1945" s="12" t="s">
        <v>1585</v>
      </c>
      <c r="B1945" s="11"/>
      <c r="C1945" s="12" t="s">
        <v>208</v>
      </c>
      <c r="D1945" s="12" t="s">
        <v>209</v>
      </c>
      <c r="E1945" s="12" t="s">
        <v>5717</v>
      </c>
      <c r="F1945" s="13"/>
    </row>
    <row r="1946" spans="1:6" x14ac:dyDescent="0.2">
      <c r="A1946" s="12" t="s">
        <v>681</v>
      </c>
      <c r="B1946" s="11"/>
      <c r="C1946" s="12" t="s">
        <v>208</v>
      </c>
      <c r="D1946" s="12" t="s">
        <v>209</v>
      </c>
      <c r="E1946" s="12" t="s">
        <v>5718</v>
      </c>
      <c r="F1946" s="13"/>
    </row>
    <row r="1947" spans="1:6" x14ac:dyDescent="0.2">
      <c r="A1947" s="12" t="s">
        <v>1462</v>
      </c>
      <c r="B1947" s="11"/>
      <c r="C1947" s="12" t="s">
        <v>2331</v>
      </c>
      <c r="D1947" s="12" t="s">
        <v>6</v>
      </c>
      <c r="E1947" s="12" t="s">
        <v>2458</v>
      </c>
      <c r="F1947" s="13"/>
    </row>
    <row r="1948" spans="1:6" x14ac:dyDescent="0.2">
      <c r="A1948" s="12" t="s">
        <v>1462</v>
      </c>
      <c r="B1948" s="11"/>
      <c r="C1948" s="12" t="s">
        <v>2331</v>
      </c>
      <c r="D1948" s="12" t="s">
        <v>6</v>
      </c>
      <c r="E1948" s="12" t="s">
        <v>2458</v>
      </c>
      <c r="F1948" s="13"/>
    </row>
    <row r="1949" spans="1:6" x14ac:dyDescent="0.2">
      <c r="A1949" s="12" t="s">
        <v>2043</v>
      </c>
      <c r="B1949" s="11"/>
      <c r="C1949" s="12" t="s">
        <v>2331</v>
      </c>
      <c r="D1949" s="12" t="s">
        <v>6</v>
      </c>
      <c r="E1949" s="12" t="s">
        <v>2461</v>
      </c>
      <c r="F1949" s="13"/>
    </row>
    <row r="1950" spans="1:6" x14ac:dyDescent="0.2">
      <c r="A1950" s="12" t="s">
        <v>2043</v>
      </c>
      <c r="B1950" s="11"/>
      <c r="C1950" s="12" t="s">
        <v>2331</v>
      </c>
      <c r="D1950" s="12" t="s">
        <v>6</v>
      </c>
      <c r="E1950" s="12" t="s">
        <v>2461</v>
      </c>
      <c r="F1950" s="13"/>
    </row>
    <row r="1951" spans="1:6" x14ac:dyDescent="0.2">
      <c r="A1951" s="12" t="s">
        <v>1573</v>
      </c>
      <c r="B1951" s="11"/>
      <c r="C1951" s="12" t="s">
        <v>2331</v>
      </c>
      <c r="D1951" s="12" t="s">
        <v>6</v>
      </c>
      <c r="E1951" s="12" t="s">
        <v>2464</v>
      </c>
      <c r="F1951" s="13"/>
    </row>
    <row r="1952" spans="1:6" x14ac:dyDescent="0.2">
      <c r="A1952" s="12" t="s">
        <v>1573</v>
      </c>
      <c r="B1952" s="11"/>
      <c r="C1952" s="12" t="s">
        <v>2331</v>
      </c>
      <c r="D1952" s="12" t="s">
        <v>6</v>
      </c>
      <c r="E1952" s="12" t="s">
        <v>2464</v>
      </c>
      <c r="F1952" s="13"/>
    </row>
    <row r="1953" spans="1:6" x14ac:dyDescent="0.2">
      <c r="A1953" s="12" t="s">
        <v>1573</v>
      </c>
      <c r="B1953" s="11"/>
      <c r="C1953" s="12" t="s">
        <v>2331</v>
      </c>
      <c r="D1953" s="12" t="s">
        <v>6</v>
      </c>
      <c r="E1953" s="12" t="s">
        <v>2467</v>
      </c>
      <c r="F1953" s="13"/>
    </row>
    <row r="1954" spans="1:6" x14ac:dyDescent="0.2">
      <c r="A1954" s="12" t="s">
        <v>1573</v>
      </c>
      <c r="B1954" s="11"/>
      <c r="C1954" s="12" t="s">
        <v>2331</v>
      </c>
      <c r="D1954" s="12" t="s">
        <v>6</v>
      </c>
      <c r="E1954" s="12" t="s">
        <v>2467</v>
      </c>
      <c r="F1954" s="13"/>
    </row>
    <row r="1955" spans="1:6" x14ac:dyDescent="0.2">
      <c r="A1955" s="12" t="s">
        <v>689</v>
      </c>
      <c r="B1955" s="11"/>
      <c r="C1955" s="12" t="s">
        <v>2331</v>
      </c>
      <c r="D1955" s="12" t="s">
        <v>6</v>
      </c>
      <c r="E1955" s="12" t="s">
        <v>2470</v>
      </c>
      <c r="F1955" s="13"/>
    </row>
    <row r="1956" spans="1:6" x14ac:dyDescent="0.2">
      <c r="A1956" s="12" t="s">
        <v>689</v>
      </c>
      <c r="B1956" s="11"/>
      <c r="C1956" s="12" t="s">
        <v>2331</v>
      </c>
      <c r="D1956" s="12" t="s">
        <v>6</v>
      </c>
      <c r="E1956" s="12" t="s">
        <v>2470</v>
      </c>
      <c r="F1956" s="13"/>
    </row>
    <row r="1957" spans="1:6" x14ac:dyDescent="0.2">
      <c r="A1957" s="12" t="s">
        <v>1573</v>
      </c>
      <c r="B1957" s="11"/>
      <c r="C1957" s="12" t="s">
        <v>2331</v>
      </c>
      <c r="D1957" s="12" t="s">
        <v>6</v>
      </c>
      <c r="E1957" s="12" t="s">
        <v>2473</v>
      </c>
      <c r="F1957" s="13"/>
    </row>
    <row r="1958" spans="1:6" x14ac:dyDescent="0.2">
      <c r="A1958" s="12" t="s">
        <v>1573</v>
      </c>
      <c r="B1958" s="11"/>
      <c r="C1958" s="12" t="s">
        <v>2331</v>
      </c>
      <c r="D1958" s="12" t="s">
        <v>6</v>
      </c>
      <c r="E1958" s="12" t="s">
        <v>2473</v>
      </c>
      <c r="F1958" s="13"/>
    </row>
    <row r="1959" spans="1:6" x14ac:dyDescent="0.2">
      <c r="A1959" s="12" t="s">
        <v>1573</v>
      </c>
      <c r="B1959" s="11"/>
      <c r="C1959" s="12" t="s">
        <v>2331</v>
      </c>
      <c r="D1959" s="12" t="s">
        <v>6</v>
      </c>
      <c r="E1959" s="12" t="s">
        <v>2476</v>
      </c>
      <c r="F1959" s="13"/>
    </row>
    <row r="1960" spans="1:6" x14ac:dyDescent="0.2">
      <c r="A1960" s="12" t="s">
        <v>1573</v>
      </c>
      <c r="B1960" s="11"/>
      <c r="C1960" s="12" t="s">
        <v>2331</v>
      </c>
      <c r="D1960" s="12" t="s">
        <v>6</v>
      </c>
      <c r="E1960" s="12" t="s">
        <v>2476</v>
      </c>
      <c r="F1960" s="13"/>
    </row>
    <row r="1961" spans="1:6" x14ac:dyDescent="0.2">
      <c r="A1961" s="12" t="s">
        <v>2251</v>
      </c>
      <c r="B1961" s="11"/>
      <c r="C1961" s="12" t="s">
        <v>2331</v>
      </c>
      <c r="D1961" s="12" t="s">
        <v>6</v>
      </c>
      <c r="E1961" s="12" t="s">
        <v>2479</v>
      </c>
      <c r="F1961" s="47"/>
    </row>
    <row r="1962" spans="1:6" x14ac:dyDescent="0.2">
      <c r="A1962" s="12" t="s">
        <v>1573</v>
      </c>
      <c r="B1962" s="11"/>
      <c r="C1962" s="12" t="s">
        <v>2331</v>
      </c>
      <c r="D1962" s="12" t="s">
        <v>6</v>
      </c>
      <c r="E1962" s="12" t="s">
        <v>2480</v>
      </c>
      <c r="F1962" s="13"/>
    </row>
    <row r="1963" spans="1:6" x14ac:dyDescent="0.2">
      <c r="A1963" s="12" t="s">
        <v>1466</v>
      </c>
      <c r="B1963" s="11"/>
      <c r="C1963" s="12" t="s">
        <v>2331</v>
      </c>
      <c r="D1963" s="12" t="s">
        <v>6</v>
      </c>
      <c r="E1963" s="12" t="s">
        <v>2482</v>
      </c>
      <c r="F1963" s="13"/>
    </row>
    <row r="1964" spans="1:6" x14ac:dyDescent="0.2">
      <c r="A1964" s="12" t="s">
        <v>1466</v>
      </c>
      <c r="B1964" s="11"/>
      <c r="C1964" s="12" t="s">
        <v>2331</v>
      </c>
      <c r="D1964" s="12" t="s">
        <v>6</v>
      </c>
      <c r="E1964" s="12" t="s">
        <v>2482</v>
      </c>
      <c r="F1964" s="13"/>
    </row>
    <row r="1965" spans="1:6" x14ac:dyDescent="0.2">
      <c r="A1965" s="12" t="s">
        <v>1573</v>
      </c>
      <c r="B1965" s="11"/>
      <c r="C1965" s="12" t="s">
        <v>2331</v>
      </c>
      <c r="D1965" s="12" t="s">
        <v>6</v>
      </c>
      <c r="E1965" s="12" t="s">
        <v>2485</v>
      </c>
      <c r="F1965" s="13"/>
    </row>
    <row r="1966" spans="1:6" x14ac:dyDescent="0.2">
      <c r="A1966" s="12" t="s">
        <v>1466</v>
      </c>
      <c r="B1966" s="11"/>
      <c r="C1966" s="12" t="s">
        <v>2331</v>
      </c>
      <c r="D1966" s="12" t="s">
        <v>6</v>
      </c>
      <c r="E1966" s="12" t="s">
        <v>2487</v>
      </c>
      <c r="F1966" s="13"/>
    </row>
    <row r="1967" spans="1:6" x14ac:dyDescent="0.2">
      <c r="A1967" s="12" t="s">
        <v>2251</v>
      </c>
      <c r="B1967" s="11"/>
      <c r="C1967" s="12" t="s">
        <v>2331</v>
      </c>
      <c r="D1967" s="12" t="s">
        <v>6</v>
      </c>
      <c r="E1967" s="12" t="s">
        <v>2489</v>
      </c>
      <c r="F1967" s="47"/>
    </row>
    <row r="1968" spans="1:6" x14ac:dyDescent="0.2">
      <c r="A1968" s="12" t="s">
        <v>2251</v>
      </c>
      <c r="B1968" s="11"/>
      <c r="C1968" s="12" t="s">
        <v>2331</v>
      </c>
      <c r="D1968" s="12" t="s">
        <v>6</v>
      </c>
      <c r="E1968" s="12" t="s">
        <v>2490</v>
      </c>
      <c r="F1968" s="47"/>
    </row>
    <row r="1969" spans="1:6" x14ac:dyDescent="0.2">
      <c r="A1969" s="12" t="s">
        <v>620</v>
      </c>
      <c r="B1969" s="11"/>
      <c r="C1969" s="12" t="s">
        <v>208</v>
      </c>
      <c r="D1969" s="12" t="s">
        <v>209</v>
      </c>
      <c r="E1969" s="12" t="s">
        <v>5719</v>
      </c>
      <c r="F1969" s="13"/>
    </row>
    <row r="1970" spans="1:6" x14ac:dyDescent="0.2">
      <c r="A1970" s="12" t="s">
        <v>1275</v>
      </c>
      <c r="B1970" s="11"/>
      <c r="C1970" s="12" t="s">
        <v>208</v>
      </c>
      <c r="D1970" s="12" t="s">
        <v>209</v>
      </c>
      <c r="E1970" s="12" t="s">
        <v>5720</v>
      </c>
      <c r="F1970" s="13"/>
    </row>
    <row r="1971" spans="1:6" x14ac:dyDescent="0.2">
      <c r="A1971" s="12" t="s">
        <v>1145</v>
      </c>
      <c r="B1971" s="11"/>
      <c r="C1971" s="12" t="s">
        <v>208</v>
      </c>
      <c r="D1971" s="12" t="s">
        <v>209</v>
      </c>
      <c r="E1971" s="12" t="s">
        <v>5721</v>
      </c>
      <c r="F1971" s="13"/>
    </row>
    <row r="1972" spans="1:6" x14ac:dyDescent="0.2">
      <c r="A1972" s="12" t="s">
        <v>2251</v>
      </c>
      <c r="B1972" s="11"/>
      <c r="C1972" s="12" t="s">
        <v>208</v>
      </c>
      <c r="D1972" s="12" t="s">
        <v>209</v>
      </c>
      <c r="E1972" s="12" t="s">
        <v>5722</v>
      </c>
      <c r="F1972" s="47"/>
    </row>
    <row r="1973" spans="1:6" x14ac:dyDescent="0.2">
      <c r="A1973" s="12" t="s">
        <v>1573</v>
      </c>
      <c r="B1973" s="11"/>
      <c r="C1973" s="12" t="s">
        <v>2331</v>
      </c>
      <c r="D1973" s="12" t="s">
        <v>6</v>
      </c>
      <c r="E1973" s="12" t="s">
        <v>2491</v>
      </c>
      <c r="F1973" s="13"/>
    </row>
    <row r="1974" spans="1:6" x14ac:dyDescent="0.2">
      <c r="A1974" s="12" t="s">
        <v>2039</v>
      </c>
      <c r="B1974" s="11"/>
      <c r="C1974" s="12" t="s">
        <v>2331</v>
      </c>
      <c r="D1974" s="12" t="s">
        <v>6</v>
      </c>
      <c r="E1974" s="12" t="s">
        <v>2493</v>
      </c>
      <c r="F1974" s="13"/>
    </row>
    <row r="1975" spans="1:6" x14ac:dyDescent="0.2">
      <c r="A1975" s="12" t="s">
        <v>2039</v>
      </c>
      <c r="B1975" s="11"/>
      <c r="C1975" s="12" t="s">
        <v>2331</v>
      </c>
      <c r="D1975" s="12" t="s">
        <v>6</v>
      </c>
      <c r="E1975" s="12" t="s">
        <v>2493</v>
      </c>
      <c r="F1975" s="13"/>
    </row>
    <row r="1976" spans="1:6" x14ac:dyDescent="0.2">
      <c r="A1976" s="12" t="s">
        <v>2043</v>
      </c>
      <c r="B1976" s="11"/>
      <c r="C1976" s="12" t="s">
        <v>2331</v>
      </c>
      <c r="D1976" s="12" t="s">
        <v>6</v>
      </c>
      <c r="E1976" s="12" t="s">
        <v>2496</v>
      </c>
      <c r="F1976" s="13"/>
    </row>
    <row r="1977" spans="1:6" x14ac:dyDescent="0.2">
      <c r="A1977" s="12" t="s">
        <v>2043</v>
      </c>
      <c r="B1977" s="11"/>
      <c r="C1977" s="12" t="s">
        <v>2331</v>
      </c>
      <c r="D1977" s="12" t="s">
        <v>6</v>
      </c>
      <c r="E1977" s="12" t="s">
        <v>2496</v>
      </c>
      <c r="F1977" s="13"/>
    </row>
    <row r="1978" spans="1:6" x14ac:dyDescent="0.2">
      <c r="A1978" s="12" t="s">
        <v>1471</v>
      </c>
      <c r="B1978" s="11"/>
      <c r="C1978" s="12" t="s">
        <v>2331</v>
      </c>
      <c r="D1978" s="12" t="s">
        <v>6</v>
      </c>
      <c r="E1978" s="12" t="s">
        <v>2499</v>
      </c>
      <c r="F1978" s="13"/>
    </row>
    <row r="1979" spans="1:6" x14ac:dyDescent="0.2">
      <c r="A1979" s="12" t="s">
        <v>1471</v>
      </c>
      <c r="B1979" s="11"/>
      <c r="C1979" s="12" t="s">
        <v>2331</v>
      </c>
      <c r="D1979" s="12" t="s">
        <v>6</v>
      </c>
      <c r="E1979" s="12" t="s">
        <v>2499</v>
      </c>
      <c r="F1979" s="13"/>
    </row>
    <row r="1980" spans="1:6" x14ac:dyDescent="0.2">
      <c r="A1980" s="12" t="s">
        <v>2043</v>
      </c>
      <c r="B1980" s="11"/>
      <c r="C1980" s="12" t="s">
        <v>2331</v>
      </c>
      <c r="D1980" s="12" t="s">
        <v>6</v>
      </c>
      <c r="E1980" s="12" t="s">
        <v>2502</v>
      </c>
      <c r="F1980" s="13"/>
    </row>
    <row r="1981" spans="1:6" x14ac:dyDescent="0.2">
      <c r="A1981" s="12" t="s">
        <v>2043</v>
      </c>
      <c r="B1981" s="11"/>
      <c r="C1981" s="12" t="s">
        <v>2331</v>
      </c>
      <c r="D1981" s="12" t="s">
        <v>6</v>
      </c>
      <c r="E1981" s="12" t="s">
        <v>2502</v>
      </c>
      <c r="F1981" s="13"/>
    </row>
    <row r="1982" spans="1:6" x14ac:dyDescent="0.2">
      <c r="A1982" s="12" t="s">
        <v>1471</v>
      </c>
      <c r="B1982" s="11"/>
      <c r="C1982" s="12" t="s">
        <v>2331</v>
      </c>
      <c r="D1982" s="12" t="s">
        <v>6</v>
      </c>
      <c r="E1982" s="12" t="s">
        <v>2505</v>
      </c>
      <c r="F1982" s="13"/>
    </row>
    <row r="1983" spans="1:6" x14ac:dyDescent="0.2">
      <c r="A1983" s="12" t="s">
        <v>1471</v>
      </c>
      <c r="B1983" s="11"/>
      <c r="C1983" s="12" t="s">
        <v>2331</v>
      </c>
      <c r="D1983" s="12" t="s">
        <v>6</v>
      </c>
      <c r="E1983" s="12" t="s">
        <v>2505</v>
      </c>
      <c r="F1983" s="13"/>
    </row>
    <row r="1984" spans="1:6" x14ac:dyDescent="0.2">
      <c r="A1984" s="12" t="s">
        <v>1471</v>
      </c>
      <c r="B1984" s="11"/>
      <c r="C1984" s="12" t="s">
        <v>2331</v>
      </c>
      <c r="D1984" s="12" t="s">
        <v>6</v>
      </c>
      <c r="E1984" s="12" t="s">
        <v>2508</v>
      </c>
      <c r="F1984" s="13"/>
    </row>
    <row r="1985" spans="1:6" x14ac:dyDescent="0.2">
      <c r="A1985" s="12" t="s">
        <v>1471</v>
      </c>
      <c r="B1985" s="11"/>
      <c r="C1985" s="12" t="s">
        <v>2331</v>
      </c>
      <c r="D1985" s="12" t="s">
        <v>6</v>
      </c>
      <c r="E1985" s="12" t="s">
        <v>2508</v>
      </c>
      <c r="F1985" s="13"/>
    </row>
    <row r="1986" spans="1:6" x14ac:dyDescent="0.2">
      <c r="A1986" s="12" t="s">
        <v>1468</v>
      </c>
      <c r="B1986" s="11"/>
      <c r="C1986" s="12" t="s">
        <v>2331</v>
      </c>
      <c r="D1986" s="12" t="s">
        <v>6</v>
      </c>
      <c r="E1986" s="12" t="s">
        <v>2511</v>
      </c>
      <c r="F1986" s="13"/>
    </row>
    <row r="1987" spans="1:6" x14ac:dyDescent="0.2">
      <c r="A1987" s="12" t="s">
        <v>1468</v>
      </c>
      <c r="B1987" s="11"/>
      <c r="C1987" s="12" t="s">
        <v>2331</v>
      </c>
      <c r="D1987" s="12" t="s">
        <v>6</v>
      </c>
      <c r="E1987" s="12" t="s">
        <v>2511</v>
      </c>
      <c r="F1987" s="13"/>
    </row>
    <row r="1988" spans="1:6" x14ac:dyDescent="0.2">
      <c r="A1988" s="12" t="s">
        <v>1471</v>
      </c>
      <c r="B1988" s="11"/>
      <c r="C1988" s="12" t="s">
        <v>2331</v>
      </c>
      <c r="D1988" s="12" t="s">
        <v>6</v>
      </c>
      <c r="E1988" s="12" t="s">
        <v>2515</v>
      </c>
      <c r="F1988" s="13"/>
    </row>
    <row r="1989" spans="1:6" x14ac:dyDescent="0.2">
      <c r="A1989" s="12" t="s">
        <v>1471</v>
      </c>
      <c r="B1989" s="11"/>
      <c r="C1989" s="12" t="s">
        <v>2331</v>
      </c>
      <c r="D1989" s="12" t="s">
        <v>6</v>
      </c>
      <c r="E1989" s="12" t="s">
        <v>2515</v>
      </c>
      <c r="F1989" s="13"/>
    </row>
    <row r="1990" spans="1:6" x14ac:dyDescent="0.2">
      <c r="A1990" s="12" t="s">
        <v>2251</v>
      </c>
      <c r="B1990" s="11"/>
      <c r="C1990" s="12" t="s">
        <v>2331</v>
      </c>
      <c r="D1990" s="12" t="s">
        <v>6</v>
      </c>
      <c r="E1990" s="12" t="s">
        <v>2518</v>
      </c>
      <c r="F1990" s="47"/>
    </row>
    <row r="1991" spans="1:6" x14ac:dyDescent="0.2">
      <c r="A1991" s="12" t="s">
        <v>1466</v>
      </c>
      <c r="B1991" s="11"/>
      <c r="C1991" s="12" t="s">
        <v>2331</v>
      </c>
      <c r="D1991" s="12" t="s">
        <v>6</v>
      </c>
      <c r="E1991" s="12" t="s">
        <v>2519</v>
      </c>
      <c r="F1991" s="13"/>
    </row>
    <row r="1992" spans="1:6" x14ac:dyDescent="0.2">
      <c r="A1992" s="12" t="s">
        <v>1466</v>
      </c>
      <c r="B1992" s="11"/>
      <c r="C1992" s="12" t="s">
        <v>2331</v>
      </c>
      <c r="D1992" s="12" t="s">
        <v>6</v>
      </c>
      <c r="E1992" s="12" t="s">
        <v>2519</v>
      </c>
      <c r="F1992" s="13"/>
    </row>
    <row r="1993" spans="1:6" x14ac:dyDescent="0.2">
      <c r="A1993" s="12" t="s">
        <v>2251</v>
      </c>
      <c r="B1993" s="11"/>
      <c r="C1993" s="12" t="s">
        <v>2331</v>
      </c>
      <c r="D1993" s="12" t="s">
        <v>6</v>
      </c>
      <c r="E1993" s="12" t="s">
        <v>2522</v>
      </c>
      <c r="F1993" s="47"/>
    </row>
    <row r="1994" spans="1:6" x14ac:dyDescent="0.2">
      <c r="A1994" s="12" t="s">
        <v>2251</v>
      </c>
      <c r="B1994" s="11"/>
      <c r="C1994" s="12" t="s">
        <v>2331</v>
      </c>
      <c r="D1994" s="12" t="s">
        <v>6</v>
      </c>
      <c r="E1994" s="12" t="s">
        <v>2523</v>
      </c>
      <c r="F1994" s="47"/>
    </row>
    <row r="1995" spans="1:6" x14ac:dyDescent="0.2">
      <c r="A1995" s="12" t="s">
        <v>2251</v>
      </c>
      <c r="B1995" s="11"/>
      <c r="C1995" s="12" t="s">
        <v>2331</v>
      </c>
      <c r="D1995" s="12" t="s">
        <v>6</v>
      </c>
      <c r="E1995" s="12" t="s">
        <v>2524</v>
      </c>
      <c r="F1995" s="47"/>
    </row>
    <row r="1996" spans="1:6" x14ac:dyDescent="0.2">
      <c r="A1996" s="12" t="s">
        <v>802</v>
      </c>
      <c r="B1996" s="11"/>
      <c r="C1996" s="12" t="s">
        <v>208</v>
      </c>
      <c r="D1996" s="12" t="s">
        <v>209</v>
      </c>
      <c r="E1996" s="12" t="s">
        <v>5723</v>
      </c>
      <c r="F1996" s="13"/>
    </row>
    <row r="1997" spans="1:6" x14ac:dyDescent="0.2">
      <c r="A1997" s="12" t="s">
        <v>2251</v>
      </c>
      <c r="B1997" s="11"/>
      <c r="C1997" s="12" t="s">
        <v>208</v>
      </c>
      <c r="D1997" s="12" t="s">
        <v>209</v>
      </c>
      <c r="E1997" s="12" t="s">
        <v>5724</v>
      </c>
      <c r="F1997" s="47"/>
    </row>
    <row r="1998" spans="1:6" x14ac:dyDescent="0.2">
      <c r="A1998" s="12" t="s">
        <v>2251</v>
      </c>
      <c r="B1998" s="11"/>
      <c r="C1998" s="12" t="s">
        <v>208</v>
      </c>
      <c r="D1998" s="12" t="s">
        <v>209</v>
      </c>
      <c r="E1998" s="12" t="s">
        <v>5725</v>
      </c>
      <c r="F1998" s="47"/>
    </row>
    <row r="1999" spans="1:6" x14ac:dyDescent="0.2">
      <c r="A1999" s="12" t="s">
        <v>805</v>
      </c>
      <c r="B1999" s="11"/>
      <c r="C1999" s="12" t="s">
        <v>208</v>
      </c>
      <c r="D1999" s="12" t="s">
        <v>209</v>
      </c>
      <c r="E1999" s="12" t="s">
        <v>5726</v>
      </c>
      <c r="F1999" s="13"/>
    </row>
    <row r="2000" spans="1:6" x14ac:dyDescent="0.2">
      <c r="A2000" s="12" t="s">
        <v>1471</v>
      </c>
      <c r="B2000" s="11"/>
      <c r="C2000" s="12" t="s">
        <v>2331</v>
      </c>
      <c r="D2000" s="12" t="s">
        <v>6</v>
      </c>
      <c r="E2000" s="12" t="s">
        <v>2525</v>
      </c>
      <c r="F2000" s="13"/>
    </row>
    <row r="2001" spans="1:6" x14ac:dyDescent="0.2">
      <c r="A2001" s="12" t="s">
        <v>1471</v>
      </c>
      <c r="B2001" s="11"/>
      <c r="C2001" s="12" t="s">
        <v>2331</v>
      </c>
      <c r="D2001" s="12" t="s">
        <v>6</v>
      </c>
      <c r="E2001" s="12" t="s">
        <v>2525</v>
      </c>
      <c r="F2001" s="13"/>
    </row>
    <row r="2002" spans="1:6" x14ac:dyDescent="0.2">
      <c r="A2002" s="12" t="s">
        <v>1471</v>
      </c>
      <c r="B2002" s="11"/>
      <c r="C2002" s="12" t="s">
        <v>2331</v>
      </c>
      <c r="D2002" s="12" t="s">
        <v>6</v>
      </c>
      <c r="E2002" s="12" t="s">
        <v>2528</v>
      </c>
      <c r="F2002" s="13"/>
    </row>
    <row r="2003" spans="1:6" x14ac:dyDescent="0.2">
      <c r="A2003" s="12" t="s">
        <v>1471</v>
      </c>
      <c r="B2003" s="11"/>
      <c r="C2003" s="12" t="s">
        <v>2331</v>
      </c>
      <c r="D2003" s="12" t="s">
        <v>6</v>
      </c>
      <c r="E2003" s="12" t="s">
        <v>2528</v>
      </c>
      <c r="F2003" s="13"/>
    </row>
    <row r="2004" spans="1:6" x14ac:dyDescent="0.2">
      <c r="A2004" s="12" t="s">
        <v>1471</v>
      </c>
      <c r="B2004" s="11"/>
      <c r="C2004" s="12" t="s">
        <v>2331</v>
      </c>
      <c r="D2004" s="12" t="s">
        <v>6</v>
      </c>
      <c r="E2004" s="12" t="s">
        <v>2531</v>
      </c>
      <c r="F2004" s="13"/>
    </row>
    <row r="2005" spans="1:6" x14ac:dyDescent="0.2">
      <c r="A2005" s="12" t="s">
        <v>1471</v>
      </c>
      <c r="B2005" s="11"/>
      <c r="C2005" s="12" t="s">
        <v>2331</v>
      </c>
      <c r="D2005" s="12" t="s">
        <v>6</v>
      </c>
      <c r="E2005" s="12" t="s">
        <v>2531</v>
      </c>
      <c r="F2005" s="13"/>
    </row>
    <row r="2006" spans="1:6" x14ac:dyDescent="0.2">
      <c r="A2006" s="12" t="s">
        <v>1468</v>
      </c>
      <c r="B2006" s="11"/>
      <c r="C2006" s="12" t="s">
        <v>2331</v>
      </c>
      <c r="D2006" s="12" t="s">
        <v>6</v>
      </c>
      <c r="E2006" s="12" t="s">
        <v>2534</v>
      </c>
      <c r="F2006" s="13"/>
    </row>
    <row r="2007" spans="1:6" x14ac:dyDescent="0.2">
      <c r="A2007" s="12" t="s">
        <v>1468</v>
      </c>
      <c r="B2007" s="11"/>
      <c r="C2007" s="12" t="s">
        <v>2331</v>
      </c>
      <c r="D2007" s="12" t="s">
        <v>6</v>
      </c>
      <c r="E2007" s="12" t="s">
        <v>2534</v>
      </c>
      <c r="F2007" s="13"/>
    </row>
    <row r="2008" spans="1:6" x14ac:dyDescent="0.2">
      <c r="A2008" s="12" t="s">
        <v>1471</v>
      </c>
      <c r="B2008" s="11"/>
      <c r="C2008" s="12" t="s">
        <v>2331</v>
      </c>
      <c r="D2008" s="12" t="s">
        <v>6</v>
      </c>
      <c r="E2008" s="12" t="s">
        <v>2537</v>
      </c>
      <c r="F2008" s="13"/>
    </row>
    <row r="2009" spans="1:6" x14ac:dyDescent="0.2">
      <c r="A2009" s="12" t="s">
        <v>1466</v>
      </c>
      <c r="B2009" s="11"/>
      <c r="C2009" s="12" t="s">
        <v>2331</v>
      </c>
      <c r="D2009" s="12" t="s">
        <v>6</v>
      </c>
      <c r="E2009" s="12" t="s">
        <v>2539</v>
      </c>
      <c r="F2009" s="13"/>
    </row>
    <row r="2010" spans="1:6" x14ac:dyDescent="0.2">
      <c r="A2010" s="12" t="s">
        <v>1466</v>
      </c>
      <c r="B2010" s="11"/>
      <c r="C2010" s="12" t="s">
        <v>2331</v>
      </c>
      <c r="D2010" s="12" t="s">
        <v>6</v>
      </c>
      <c r="E2010" s="12" t="s">
        <v>2539</v>
      </c>
      <c r="F2010" s="13"/>
    </row>
    <row r="2011" spans="1:6" x14ac:dyDescent="0.2">
      <c r="A2011" s="12" t="s">
        <v>1468</v>
      </c>
      <c r="B2011" s="11"/>
      <c r="C2011" s="12" t="s">
        <v>2331</v>
      </c>
      <c r="D2011" s="12" t="s">
        <v>6</v>
      </c>
      <c r="E2011" s="12" t="s">
        <v>2542</v>
      </c>
      <c r="F2011" s="13"/>
    </row>
    <row r="2012" spans="1:6" x14ac:dyDescent="0.2">
      <c r="A2012" s="12" t="s">
        <v>2043</v>
      </c>
      <c r="B2012" s="11"/>
      <c r="C2012" s="12" t="s">
        <v>2331</v>
      </c>
      <c r="D2012" s="12" t="s">
        <v>6</v>
      </c>
      <c r="E2012" s="12" t="s">
        <v>2545</v>
      </c>
      <c r="F2012" s="13"/>
    </row>
    <row r="2013" spans="1:6" x14ac:dyDescent="0.2">
      <c r="A2013" s="12" t="s">
        <v>1462</v>
      </c>
      <c r="B2013" s="11"/>
      <c r="C2013" s="12" t="s">
        <v>2331</v>
      </c>
      <c r="D2013" s="12" t="s">
        <v>6</v>
      </c>
      <c r="E2013" s="12" t="s">
        <v>2547</v>
      </c>
      <c r="F2013" s="13"/>
    </row>
    <row r="2014" spans="1:6" x14ac:dyDescent="0.2">
      <c r="A2014" s="12" t="s">
        <v>1462</v>
      </c>
      <c r="B2014" s="11"/>
      <c r="C2014" s="12" t="s">
        <v>2331</v>
      </c>
      <c r="D2014" s="12" t="s">
        <v>6</v>
      </c>
      <c r="E2014" s="12" t="s">
        <v>2547</v>
      </c>
      <c r="F2014" s="13"/>
    </row>
    <row r="2015" spans="1:6" x14ac:dyDescent="0.2">
      <c r="A2015" s="12" t="s">
        <v>1573</v>
      </c>
      <c r="B2015" s="11"/>
      <c r="C2015" s="12" t="s">
        <v>2331</v>
      </c>
      <c r="D2015" s="12" t="s">
        <v>6</v>
      </c>
      <c r="E2015" s="12" t="s">
        <v>2550</v>
      </c>
      <c r="F2015" s="13"/>
    </row>
    <row r="2016" spans="1:6" x14ac:dyDescent="0.2">
      <c r="A2016" s="12" t="s">
        <v>1573</v>
      </c>
      <c r="B2016" s="11"/>
      <c r="C2016" s="12" t="s">
        <v>2331</v>
      </c>
      <c r="D2016" s="12" t="s">
        <v>6</v>
      </c>
      <c r="E2016" s="12" t="s">
        <v>2550</v>
      </c>
      <c r="F2016" s="13"/>
    </row>
    <row r="2017" spans="1:6" x14ac:dyDescent="0.2">
      <c r="A2017" s="12" t="s">
        <v>1462</v>
      </c>
      <c r="B2017" s="11"/>
      <c r="C2017" s="12" t="s">
        <v>2331</v>
      </c>
      <c r="D2017" s="12" t="s">
        <v>6</v>
      </c>
      <c r="E2017" s="12" t="s">
        <v>2553</v>
      </c>
      <c r="F2017" s="13"/>
    </row>
    <row r="2018" spans="1:6" x14ac:dyDescent="0.2">
      <c r="A2018" s="12" t="s">
        <v>1462</v>
      </c>
      <c r="B2018" s="11"/>
      <c r="C2018" s="12" t="s">
        <v>2331</v>
      </c>
      <c r="D2018" s="12" t="s">
        <v>6</v>
      </c>
      <c r="E2018" s="12" t="s">
        <v>2553</v>
      </c>
      <c r="F2018" s="13"/>
    </row>
    <row r="2019" spans="1:6" x14ac:dyDescent="0.2">
      <c r="A2019" s="12" t="s">
        <v>689</v>
      </c>
      <c r="B2019" s="11"/>
      <c r="C2019" s="12" t="s">
        <v>2331</v>
      </c>
      <c r="D2019" s="12" t="s">
        <v>6</v>
      </c>
      <c r="E2019" s="12" t="s">
        <v>2556</v>
      </c>
      <c r="F2019" s="13"/>
    </row>
    <row r="2020" spans="1:6" x14ac:dyDescent="0.2">
      <c r="A2020" s="12" t="s">
        <v>2251</v>
      </c>
      <c r="B2020" s="11"/>
      <c r="C2020" s="12" t="s">
        <v>2331</v>
      </c>
      <c r="D2020" s="12" t="s">
        <v>6</v>
      </c>
      <c r="E2020" s="12" t="s">
        <v>2558</v>
      </c>
      <c r="F2020" s="47"/>
    </row>
    <row r="2021" spans="1:6" x14ac:dyDescent="0.2">
      <c r="A2021" s="12" t="s">
        <v>2251</v>
      </c>
      <c r="B2021" s="11"/>
      <c r="C2021" s="12" t="s">
        <v>2331</v>
      </c>
      <c r="D2021" s="12" t="s">
        <v>6</v>
      </c>
      <c r="E2021" s="12" t="s">
        <v>2559</v>
      </c>
      <c r="F2021" s="47"/>
    </row>
    <row r="2022" spans="1:6" x14ac:dyDescent="0.2">
      <c r="A2022" s="12" t="s">
        <v>2251</v>
      </c>
      <c r="B2022" s="11"/>
      <c r="C2022" s="12" t="s">
        <v>208</v>
      </c>
      <c r="D2022" s="12" t="s">
        <v>209</v>
      </c>
      <c r="E2022" s="12" t="s">
        <v>5727</v>
      </c>
      <c r="F2022" s="47"/>
    </row>
    <row r="2023" spans="1:6" x14ac:dyDescent="0.2">
      <c r="A2023" s="12" t="s">
        <v>799</v>
      </c>
      <c r="B2023" s="11"/>
      <c r="C2023" s="12" t="s">
        <v>208</v>
      </c>
      <c r="D2023" s="12" t="s">
        <v>209</v>
      </c>
      <c r="E2023" s="12" t="s">
        <v>5728</v>
      </c>
      <c r="F2023" s="13"/>
    </row>
    <row r="2024" spans="1:6" x14ac:dyDescent="0.2">
      <c r="A2024" s="12" t="s">
        <v>1892</v>
      </c>
      <c r="B2024" s="11"/>
      <c r="C2024" s="12" t="s">
        <v>208</v>
      </c>
      <c r="D2024" s="12" t="s">
        <v>209</v>
      </c>
      <c r="E2024" s="12" t="s">
        <v>5729</v>
      </c>
      <c r="F2024" s="13"/>
    </row>
    <row r="2025" spans="1:6" x14ac:dyDescent="0.2">
      <c r="A2025" s="12" t="s">
        <v>1898</v>
      </c>
      <c r="B2025" s="11"/>
      <c r="C2025" s="12" t="s">
        <v>208</v>
      </c>
      <c r="D2025" s="12" t="s">
        <v>209</v>
      </c>
      <c r="E2025" s="12" t="s">
        <v>5731</v>
      </c>
      <c r="F2025" s="13"/>
    </row>
    <row r="2026" spans="1:6" x14ac:dyDescent="0.2">
      <c r="A2026" s="12" t="s">
        <v>1471</v>
      </c>
      <c r="B2026" s="11"/>
      <c r="C2026" s="12" t="s">
        <v>2331</v>
      </c>
      <c r="D2026" s="12" t="s">
        <v>6</v>
      </c>
      <c r="E2026" s="12" t="s">
        <v>2560</v>
      </c>
      <c r="F2026" s="13"/>
    </row>
    <row r="2027" spans="1:6" x14ac:dyDescent="0.2">
      <c r="A2027" s="12" t="s">
        <v>1471</v>
      </c>
      <c r="B2027" s="11"/>
      <c r="C2027" s="12" t="s">
        <v>2331</v>
      </c>
      <c r="D2027" s="12" t="s">
        <v>6</v>
      </c>
      <c r="E2027" s="12" t="s">
        <v>2560</v>
      </c>
      <c r="F2027" s="13"/>
    </row>
    <row r="2028" spans="1:6" x14ac:dyDescent="0.2">
      <c r="A2028" s="12" t="s">
        <v>2043</v>
      </c>
      <c r="B2028" s="11"/>
      <c r="C2028" s="12" t="s">
        <v>2331</v>
      </c>
      <c r="D2028" s="12" t="s">
        <v>6</v>
      </c>
      <c r="E2028" s="12" t="s">
        <v>2563</v>
      </c>
      <c r="F2028" s="13"/>
    </row>
    <row r="2029" spans="1:6" x14ac:dyDescent="0.2">
      <c r="A2029" s="12" t="s">
        <v>2043</v>
      </c>
      <c r="B2029" s="11"/>
      <c r="C2029" s="12" t="s">
        <v>2331</v>
      </c>
      <c r="D2029" s="12" t="s">
        <v>6</v>
      </c>
      <c r="E2029" s="12" t="s">
        <v>2563</v>
      </c>
      <c r="F2029" s="13"/>
    </row>
    <row r="2030" spans="1:6" x14ac:dyDescent="0.2">
      <c r="A2030" s="12" t="s">
        <v>1466</v>
      </c>
      <c r="B2030" s="11"/>
      <c r="C2030" s="12" t="s">
        <v>2331</v>
      </c>
      <c r="D2030" s="12" t="s">
        <v>6</v>
      </c>
      <c r="E2030" s="12" t="s">
        <v>2566</v>
      </c>
      <c r="F2030" s="13"/>
    </row>
    <row r="2031" spans="1:6" x14ac:dyDescent="0.2">
      <c r="A2031" s="12" t="s">
        <v>1466</v>
      </c>
      <c r="B2031" s="11"/>
      <c r="C2031" s="12" t="s">
        <v>2331</v>
      </c>
      <c r="D2031" s="12" t="s">
        <v>6</v>
      </c>
      <c r="E2031" s="12" t="s">
        <v>2566</v>
      </c>
      <c r="F2031" s="13"/>
    </row>
    <row r="2032" spans="1:6" x14ac:dyDescent="0.2">
      <c r="A2032" s="12" t="s">
        <v>1466</v>
      </c>
      <c r="B2032" s="11"/>
      <c r="C2032" s="12" t="s">
        <v>2331</v>
      </c>
      <c r="D2032" s="12" t="s">
        <v>6</v>
      </c>
      <c r="E2032" s="12" t="s">
        <v>2569</v>
      </c>
      <c r="F2032" s="13"/>
    </row>
    <row r="2033" spans="1:6" x14ac:dyDescent="0.2">
      <c r="A2033" s="12" t="s">
        <v>1466</v>
      </c>
      <c r="B2033" s="11"/>
      <c r="C2033" s="12" t="s">
        <v>2331</v>
      </c>
      <c r="D2033" s="12" t="s">
        <v>6</v>
      </c>
      <c r="E2033" s="12" t="s">
        <v>2569</v>
      </c>
      <c r="F2033" s="13"/>
    </row>
    <row r="2034" spans="1:6" x14ac:dyDescent="0.2">
      <c r="A2034" s="12" t="s">
        <v>1471</v>
      </c>
      <c r="B2034" s="11"/>
      <c r="C2034" s="12" t="s">
        <v>2331</v>
      </c>
      <c r="D2034" s="12" t="s">
        <v>6</v>
      </c>
      <c r="E2034" s="12" t="s">
        <v>2572</v>
      </c>
      <c r="F2034" s="13"/>
    </row>
    <row r="2035" spans="1:6" x14ac:dyDescent="0.2">
      <c r="A2035" s="12" t="s">
        <v>1471</v>
      </c>
      <c r="B2035" s="11"/>
      <c r="C2035" s="12" t="s">
        <v>2331</v>
      </c>
      <c r="D2035" s="12" t="s">
        <v>6</v>
      </c>
      <c r="E2035" s="12" t="s">
        <v>2572</v>
      </c>
      <c r="F2035" s="13"/>
    </row>
    <row r="2036" spans="1:6" x14ac:dyDescent="0.2">
      <c r="A2036" s="12" t="s">
        <v>702</v>
      </c>
      <c r="B2036" s="11"/>
      <c r="C2036" s="12" t="s">
        <v>2331</v>
      </c>
      <c r="D2036" s="12" t="s">
        <v>6</v>
      </c>
      <c r="E2036" s="12" t="s">
        <v>2575</v>
      </c>
      <c r="F2036" s="13"/>
    </row>
    <row r="2037" spans="1:6" x14ac:dyDescent="0.2">
      <c r="A2037" s="12" t="s">
        <v>702</v>
      </c>
      <c r="B2037" s="11"/>
      <c r="C2037" s="12" t="s">
        <v>2331</v>
      </c>
      <c r="D2037" s="12" t="s">
        <v>6</v>
      </c>
      <c r="E2037" s="12" t="s">
        <v>2575</v>
      </c>
      <c r="F2037" s="13"/>
    </row>
    <row r="2038" spans="1:6" x14ac:dyDescent="0.2">
      <c r="A2038" s="12" t="s">
        <v>2039</v>
      </c>
      <c r="B2038" s="11"/>
      <c r="C2038" s="12" t="s">
        <v>2331</v>
      </c>
      <c r="D2038" s="12" t="s">
        <v>6</v>
      </c>
      <c r="E2038" s="12" t="s">
        <v>2578</v>
      </c>
      <c r="F2038" s="13"/>
    </row>
    <row r="2039" spans="1:6" x14ac:dyDescent="0.2">
      <c r="A2039" s="12" t="s">
        <v>2039</v>
      </c>
      <c r="B2039" s="11"/>
      <c r="C2039" s="12" t="s">
        <v>2331</v>
      </c>
      <c r="D2039" s="12" t="s">
        <v>6</v>
      </c>
      <c r="E2039" s="12" t="s">
        <v>2578</v>
      </c>
      <c r="F2039" s="13"/>
    </row>
    <row r="2040" spans="1:6" x14ac:dyDescent="0.2">
      <c r="A2040" s="12" t="s">
        <v>1466</v>
      </c>
      <c r="B2040" s="11"/>
      <c r="C2040" s="12" t="s">
        <v>2331</v>
      </c>
      <c r="D2040" s="12" t="s">
        <v>6</v>
      </c>
      <c r="E2040" s="12" t="s">
        <v>2582</v>
      </c>
      <c r="F2040" s="13"/>
    </row>
    <row r="2041" spans="1:6" x14ac:dyDescent="0.2">
      <c r="A2041" s="12" t="s">
        <v>1466</v>
      </c>
      <c r="B2041" s="11"/>
      <c r="C2041" s="12" t="s">
        <v>2331</v>
      </c>
      <c r="D2041" s="12" t="s">
        <v>6</v>
      </c>
      <c r="E2041" s="12" t="s">
        <v>2582</v>
      </c>
      <c r="F2041" s="13"/>
    </row>
    <row r="2042" spans="1:6" x14ac:dyDescent="0.2">
      <c r="A2042" s="12" t="s">
        <v>2043</v>
      </c>
      <c r="B2042" s="11"/>
      <c r="C2042" s="12" t="s">
        <v>2331</v>
      </c>
      <c r="D2042" s="12" t="s">
        <v>6</v>
      </c>
      <c r="E2042" s="12" t="s">
        <v>2585</v>
      </c>
      <c r="F2042" s="13"/>
    </row>
    <row r="2043" spans="1:6" x14ac:dyDescent="0.2">
      <c r="A2043" s="12" t="s">
        <v>2043</v>
      </c>
      <c r="B2043" s="11"/>
      <c r="C2043" s="12" t="s">
        <v>2331</v>
      </c>
      <c r="D2043" s="12" t="s">
        <v>6</v>
      </c>
      <c r="E2043" s="12" t="s">
        <v>2585</v>
      </c>
      <c r="F2043" s="13"/>
    </row>
    <row r="2044" spans="1:6" x14ac:dyDescent="0.2">
      <c r="A2044" s="12" t="s">
        <v>1471</v>
      </c>
      <c r="B2044" s="11"/>
      <c r="C2044" s="12" t="s">
        <v>2331</v>
      </c>
      <c r="D2044" s="12" t="s">
        <v>6</v>
      </c>
      <c r="E2044" s="12" t="s">
        <v>2588</v>
      </c>
      <c r="F2044" s="13"/>
    </row>
    <row r="2045" spans="1:6" x14ac:dyDescent="0.2">
      <c r="A2045" s="12" t="s">
        <v>1471</v>
      </c>
      <c r="B2045" s="11"/>
      <c r="C2045" s="12" t="s">
        <v>2331</v>
      </c>
      <c r="D2045" s="12" t="s">
        <v>6</v>
      </c>
      <c r="E2045" s="12" t="s">
        <v>2588</v>
      </c>
      <c r="F2045" s="13"/>
    </row>
    <row r="2046" spans="1:6" x14ac:dyDescent="0.2">
      <c r="A2046" s="12" t="s">
        <v>1471</v>
      </c>
      <c r="B2046" s="11"/>
      <c r="C2046" s="12" t="s">
        <v>2331</v>
      </c>
      <c r="D2046" s="12" t="s">
        <v>6</v>
      </c>
      <c r="E2046" s="12" t="s">
        <v>2591</v>
      </c>
      <c r="F2046" s="13"/>
    </row>
    <row r="2047" spans="1:6" x14ac:dyDescent="0.2">
      <c r="A2047" s="12" t="s">
        <v>1471</v>
      </c>
      <c r="B2047" s="11"/>
      <c r="C2047" s="12" t="s">
        <v>2331</v>
      </c>
      <c r="D2047" s="12" t="s">
        <v>6</v>
      </c>
      <c r="E2047" s="12" t="s">
        <v>2591</v>
      </c>
      <c r="F2047" s="13"/>
    </row>
    <row r="2048" spans="1:6" x14ac:dyDescent="0.2">
      <c r="A2048" s="12" t="s">
        <v>1466</v>
      </c>
      <c r="B2048" s="11"/>
      <c r="C2048" s="12" t="s">
        <v>2331</v>
      </c>
      <c r="D2048" s="12" t="s">
        <v>6</v>
      </c>
      <c r="E2048" s="12" t="s">
        <v>2594</v>
      </c>
      <c r="F2048" s="13"/>
    </row>
    <row r="2049" spans="1:6" x14ac:dyDescent="0.2">
      <c r="A2049" s="12" t="s">
        <v>1466</v>
      </c>
      <c r="B2049" s="11"/>
      <c r="C2049" s="12" t="s">
        <v>2331</v>
      </c>
      <c r="D2049" s="12" t="s">
        <v>6</v>
      </c>
      <c r="E2049" s="12" t="s">
        <v>2594</v>
      </c>
      <c r="F2049" s="13"/>
    </row>
    <row r="2050" spans="1:6" x14ac:dyDescent="0.2">
      <c r="A2050" s="12" t="s">
        <v>2251</v>
      </c>
      <c r="B2050" s="11"/>
      <c r="C2050" s="12" t="s">
        <v>2331</v>
      </c>
      <c r="D2050" s="12" t="s">
        <v>6</v>
      </c>
      <c r="E2050" s="12" t="s">
        <v>2597</v>
      </c>
      <c r="F2050" s="47"/>
    </row>
    <row r="2051" spans="1:6" x14ac:dyDescent="0.2">
      <c r="A2051" s="12" t="s">
        <v>2251</v>
      </c>
      <c r="B2051" s="11"/>
      <c r="C2051" s="12" t="s">
        <v>2331</v>
      </c>
      <c r="D2051" s="12" t="s">
        <v>6</v>
      </c>
      <c r="E2051" s="12" t="s">
        <v>2598</v>
      </c>
      <c r="F2051" s="47"/>
    </row>
    <row r="2052" spans="1:6" x14ac:dyDescent="0.2">
      <c r="A2052" s="12" t="s">
        <v>1888</v>
      </c>
      <c r="B2052" s="11"/>
      <c r="C2052" s="12" t="s">
        <v>208</v>
      </c>
      <c r="D2052" s="12" t="s">
        <v>209</v>
      </c>
      <c r="E2052" s="12" t="s">
        <v>5732</v>
      </c>
      <c r="F2052" s="13"/>
    </row>
    <row r="2053" spans="1:6" x14ac:dyDescent="0.2">
      <c r="A2053" s="12" t="s">
        <v>1895</v>
      </c>
      <c r="B2053" s="11"/>
      <c r="C2053" s="12" t="s">
        <v>208</v>
      </c>
      <c r="D2053" s="12" t="s">
        <v>209</v>
      </c>
      <c r="E2053" s="12" t="s">
        <v>5733</v>
      </c>
      <c r="F2053" s="13"/>
    </row>
    <row r="2054" spans="1:6" x14ac:dyDescent="0.2">
      <c r="A2054" s="12" t="s">
        <v>1356</v>
      </c>
      <c r="B2054" s="11"/>
      <c r="C2054" s="12" t="s">
        <v>208</v>
      </c>
      <c r="D2054" s="12" t="s">
        <v>209</v>
      </c>
      <c r="E2054" s="12" t="s">
        <v>5734</v>
      </c>
      <c r="F2054" s="13"/>
    </row>
    <row r="2055" spans="1:6" x14ac:dyDescent="0.2">
      <c r="A2055" s="12" t="s">
        <v>1349</v>
      </c>
      <c r="B2055" s="11"/>
      <c r="C2055" s="12" t="s">
        <v>208</v>
      </c>
      <c r="D2055" s="12" t="s">
        <v>209</v>
      </c>
      <c r="E2055" s="12" t="s">
        <v>5735</v>
      </c>
      <c r="F2055" s="13"/>
    </row>
    <row r="2056" spans="1:6" x14ac:dyDescent="0.2">
      <c r="A2056" s="12" t="s">
        <v>1462</v>
      </c>
      <c r="B2056" s="11"/>
      <c r="C2056" s="12" t="s">
        <v>2331</v>
      </c>
      <c r="D2056" s="12" t="s">
        <v>6</v>
      </c>
      <c r="E2056" s="12" t="s">
        <v>2599</v>
      </c>
      <c r="F2056" s="13"/>
    </row>
    <row r="2057" spans="1:6" x14ac:dyDescent="0.2">
      <c r="A2057" s="12" t="s">
        <v>1462</v>
      </c>
      <c r="B2057" s="11"/>
      <c r="C2057" s="12" t="s">
        <v>2331</v>
      </c>
      <c r="D2057" s="12" t="s">
        <v>6</v>
      </c>
      <c r="E2057" s="12" t="s">
        <v>2599</v>
      </c>
      <c r="F2057" s="13"/>
    </row>
    <row r="2058" spans="1:6" x14ac:dyDescent="0.2">
      <c r="A2058" s="12" t="s">
        <v>1471</v>
      </c>
      <c r="B2058" s="11"/>
      <c r="C2058" s="12" t="s">
        <v>2331</v>
      </c>
      <c r="D2058" s="12" t="s">
        <v>6</v>
      </c>
      <c r="E2058" s="12" t="s">
        <v>2602</v>
      </c>
      <c r="F2058" s="13"/>
    </row>
    <row r="2059" spans="1:6" x14ac:dyDescent="0.2">
      <c r="A2059" s="12" t="s">
        <v>1471</v>
      </c>
      <c r="B2059" s="11"/>
      <c r="C2059" s="12" t="s">
        <v>2331</v>
      </c>
      <c r="D2059" s="12" t="s">
        <v>6</v>
      </c>
      <c r="E2059" s="12" t="s">
        <v>2602</v>
      </c>
      <c r="F2059" s="13"/>
    </row>
    <row r="2060" spans="1:6" x14ac:dyDescent="0.2">
      <c r="A2060" s="12" t="s">
        <v>1471</v>
      </c>
      <c r="B2060" s="11"/>
      <c r="C2060" s="12" t="s">
        <v>2331</v>
      </c>
      <c r="D2060" s="12" t="s">
        <v>6</v>
      </c>
      <c r="E2060" s="12" t="s">
        <v>2605</v>
      </c>
      <c r="F2060" s="13"/>
    </row>
    <row r="2061" spans="1:6" x14ac:dyDescent="0.2">
      <c r="A2061" s="12" t="s">
        <v>1471</v>
      </c>
      <c r="B2061" s="11"/>
      <c r="C2061" s="12" t="s">
        <v>2331</v>
      </c>
      <c r="D2061" s="12" t="s">
        <v>6</v>
      </c>
      <c r="E2061" s="12" t="s">
        <v>2605</v>
      </c>
      <c r="F2061" s="13"/>
    </row>
    <row r="2062" spans="1:6" x14ac:dyDescent="0.2">
      <c r="A2062" s="12" t="s">
        <v>1466</v>
      </c>
      <c r="B2062" s="11"/>
      <c r="C2062" s="12" t="s">
        <v>2331</v>
      </c>
      <c r="D2062" s="12" t="s">
        <v>6</v>
      </c>
      <c r="E2062" s="12" t="s">
        <v>2608</v>
      </c>
      <c r="F2062" s="13"/>
    </row>
    <row r="2063" spans="1:6" x14ac:dyDescent="0.2">
      <c r="A2063" s="12" t="s">
        <v>1468</v>
      </c>
      <c r="B2063" s="11"/>
      <c r="C2063" s="12" t="s">
        <v>2331</v>
      </c>
      <c r="D2063" s="12" t="s">
        <v>6</v>
      </c>
      <c r="E2063" s="12" t="s">
        <v>2611</v>
      </c>
      <c r="F2063" s="13"/>
    </row>
    <row r="2064" spans="1:6" x14ac:dyDescent="0.2">
      <c r="A2064" s="12" t="s">
        <v>1468</v>
      </c>
      <c r="B2064" s="11"/>
      <c r="C2064" s="12" t="s">
        <v>2331</v>
      </c>
      <c r="D2064" s="12" t="s">
        <v>6</v>
      </c>
      <c r="E2064" s="12" t="s">
        <v>2611</v>
      </c>
      <c r="F2064" s="13"/>
    </row>
    <row r="2065" spans="1:6" x14ac:dyDescent="0.2">
      <c r="A2065" s="12" t="s">
        <v>1468</v>
      </c>
      <c r="B2065" s="11"/>
      <c r="C2065" s="12" t="s">
        <v>2331</v>
      </c>
      <c r="D2065" s="12" t="s">
        <v>6</v>
      </c>
      <c r="E2065" s="12" t="s">
        <v>2614</v>
      </c>
      <c r="F2065" s="13"/>
    </row>
    <row r="2066" spans="1:6" x14ac:dyDescent="0.2">
      <c r="A2066" s="12" t="s">
        <v>2251</v>
      </c>
      <c r="B2066" s="11"/>
      <c r="C2066" s="12" t="s">
        <v>2331</v>
      </c>
      <c r="D2066" s="12" t="s">
        <v>6</v>
      </c>
      <c r="E2066" s="12" t="s">
        <v>2617</v>
      </c>
      <c r="F2066" s="47"/>
    </row>
    <row r="2067" spans="1:6" x14ac:dyDescent="0.2">
      <c r="A2067" s="12" t="s">
        <v>2043</v>
      </c>
      <c r="B2067" s="11"/>
      <c r="C2067" s="12" t="s">
        <v>2331</v>
      </c>
      <c r="D2067" s="12" t="s">
        <v>6</v>
      </c>
      <c r="E2067" s="12" t="s">
        <v>2618</v>
      </c>
      <c r="F2067" s="13"/>
    </row>
    <row r="2068" spans="1:6" x14ac:dyDescent="0.2">
      <c r="A2068" s="12" t="s">
        <v>1466</v>
      </c>
      <c r="B2068" s="11"/>
      <c r="C2068" s="12" t="s">
        <v>2331</v>
      </c>
      <c r="D2068" s="12" t="s">
        <v>6</v>
      </c>
      <c r="E2068" s="12" t="s">
        <v>2620</v>
      </c>
      <c r="F2068" s="13"/>
    </row>
    <row r="2069" spans="1:6" x14ac:dyDescent="0.2">
      <c r="A2069" s="12" t="s">
        <v>2043</v>
      </c>
      <c r="B2069" s="11"/>
      <c r="C2069" s="12" t="s">
        <v>2331</v>
      </c>
      <c r="D2069" s="12" t="s">
        <v>6</v>
      </c>
      <c r="E2069" s="12" t="s">
        <v>2622</v>
      </c>
      <c r="F2069" s="13"/>
    </row>
    <row r="2070" spans="1:6" x14ac:dyDescent="0.2">
      <c r="A2070" s="12" t="s">
        <v>2043</v>
      </c>
      <c r="B2070" s="11"/>
      <c r="C2070" s="12" t="s">
        <v>2331</v>
      </c>
      <c r="D2070" s="12" t="s">
        <v>6</v>
      </c>
      <c r="E2070" s="12" t="s">
        <v>2622</v>
      </c>
      <c r="F2070" s="13"/>
    </row>
    <row r="2071" spans="1:6" x14ac:dyDescent="0.2">
      <c r="A2071" s="12" t="s">
        <v>1471</v>
      </c>
      <c r="B2071" s="11"/>
      <c r="C2071" s="12" t="s">
        <v>2331</v>
      </c>
      <c r="D2071" s="12" t="s">
        <v>6</v>
      </c>
      <c r="E2071" s="12" t="s">
        <v>2625</v>
      </c>
      <c r="F2071" s="13"/>
    </row>
    <row r="2072" spans="1:6" x14ac:dyDescent="0.2">
      <c r="A2072" s="12" t="s">
        <v>1471</v>
      </c>
      <c r="B2072" s="11"/>
      <c r="C2072" s="12" t="s">
        <v>2331</v>
      </c>
      <c r="D2072" s="12" t="s">
        <v>6</v>
      </c>
      <c r="E2072" s="12" t="s">
        <v>2625</v>
      </c>
      <c r="F2072" s="13"/>
    </row>
    <row r="2073" spans="1:6" x14ac:dyDescent="0.2">
      <c r="A2073" s="12" t="s">
        <v>1471</v>
      </c>
      <c r="B2073" s="11"/>
      <c r="C2073" s="12" t="s">
        <v>2331</v>
      </c>
      <c r="D2073" s="12" t="s">
        <v>6</v>
      </c>
      <c r="E2073" s="12" t="s">
        <v>2628</v>
      </c>
      <c r="F2073" s="13"/>
    </row>
    <row r="2074" spans="1:6" x14ac:dyDescent="0.2">
      <c r="A2074" s="12" t="s">
        <v>1471</v>
      </c>
      <c r="B2074" s="11"/>
      <c r="C2074" s="12" t="s">
        <v>2331</v>
      </c>
      <c r="D2074" s="12" t="s">
        <v>6</v>
      </c>
      <c r="E2074" s="12" t="s">
        <v>2628</v>
      </c>
      <c r="F2074" s="13"/>
    </row>
    <row r="2075" spans="1:6" x14ac:dyDescent="0.2">
      <c r="A2075" s="12" t="s">
        <v>2251</v>
      </c>
      <c r="B2075" s="11"/>
      <c r="C2075" s="12" t="s">
        <v>2331</v>
      </c>
      <c r="D2075" s="12" t="s">
        <v>6</v>
      </c>
      <c r="E2075" s="12" t="s">
        <v>2631</v>
      </c>
      <c r="F2075" s="47"/>
    </row>
    <row r="2076" spans="1:6" x14ac:dyDescent="0.2">
      <c r="A2076" s="12" t="s">
        <v>2251</v>
      </c>
      <c r="B2076" s="11"/>
      <c r="C2076" s="12" t="s">
        <v>2331</v>
      </c>
      <c r="D2076" s="12" t="s">
        <v>6</v>
      </c>
      <c r="E2076" s="12" t="s">
        <v>2632</v>
      </c>
      <c r="F2076" s="47"/>
    </row>
    <row r="2077" spans="1:6" x14ac:dyDescent="0.2">
      <c r="A2077" s="12" t="s">
        <v>1278</v>
      </c>
      <c r="B2077" s="11"/>
      <c r="C2077" s="12" t="s">
        <v>208</v>
      </c>
      <c r="D2077" s="12" t="s">
        <v>209</v>
      </c>
      <c r="E2077" s="12" t="s">
        <v>5736</v>
      </c>
      <c r="F2077" s="13"/>
    </row>
    <row r="2078" spans="1:6" x14ac:dyDescent="0.2">
      <c r="A2078" s="12" t="s">
        <v>796</v>
      </c>
      <c r="B2078" s="11"/>
      <c r="C2078" s="12" t="s">
        <v>208</v>
      </c>
      <c r="D2078" s="12" t="s">
        <v>209</v>
      </c>
      <c r="E2078" s="12" t="s">
        <v>5737</v>
      </c>
      <c r="F2078" s="13"/>
    </row>
    <row r="2079" spans="1:6" x14ac:dyDescent="0.2">
      <c r="A2079" s="12" t="s">
        <v>1343</v>
      </c>
      <c r="B2079" s="11"/>
      <c r="C2079" s="12" t="s">
        <v>208</v>
      </c>
      <c r="D2079" s="12" t="s">
        <v>209</v>
      </c>
      <c r="E2079" s="12" t="s">
        <v>5738</v>
      </c>
      <c r="F2079" s="13"/>
    </row>
    <row r="2080" spans="1:6" x14ac:dyDescent="0.2">
      <c r="A2080" s="12" t="s">
        <v>1352</v>
      </c>
      <c r="B2080" s="11"/>
      <c r="C2080" s="12" t="s">
        <v>208</v>
      </c>
      <c r="D2080" s="12" t="s">
        <v>209</v>
      </c>
      <c r="E2080" s="12" t="s">
        <v>5739</v>
      </c>
      <c r="F2080" s="13"/>
    </row>
    <row r="2081" spans="1:6" x14ac:dyDescent="0.2">
      <c r="A2081" s="12" t="s">
        <v>2251</v>
      </c>
      <c r="B2081" s="11"/>
      <c r="C2081" s="12" t="s">
        <v>2331</v>
      </c>
      <c r="D2081" s="12" t="s">
        <v>6</v>
      </c>
      <c r="E2081" s="12" t="s">
        <v>2633</v>
      </c>
      <c r="F2081" s="47"/>
    </row>
    <row r="2082" spans="1:6" x14ac:dyDescent="0.2">
      <c r="A2082" s="12" t="s">
        <v>1462</v>
      </c>
      <c r="B2082" s="11"/>
      <c r="C2082" s="12" t="s">
        <v>2331</v>
      </c>
      <c r="D2082" s="12" t="s">
        <v>6</v>
      </c>
      <c r="E2082" s="12" t="s">
        <v>2634</v>
      </c>
      <c r="F2082" s="13"/>
    </row>
    <row r="2083" spans="1:6" x14ac:dyDescent="0.2">
      <c r="A2083" s="12" t="s">
        <v>1462</v>
      </c>
      <c r="B2083" s="11"/>
      <c r="C2083" s="12" t="s">
        <v>2331</v>
      </c>
      <c r="D2083" s="12" t="s">
        <v>6</v>
      </c>
      <c r="E2083" s="12" t="s">
        <v>2634</v>
      </c>
      <c r="F2083" s="13"/>
    </row>
    <row r="2084" spans="1:6" x14ac:dyDescent="0.2">
      <c r="A2084" s="12" t="s">
        <v>2251</v>
      </c>
      <c r="B2084" s="11"/>
      <c r="C2084" s="12" t="s">
        <v>2331</v>
      </c>
      <c r="D2084" s="12" t="s">
        <v>6</v>
      </c>
      <c r="E2084" s="12" t="s">
        <v>2637</v>
      </c>
      <c r="F2084" s="47"/>
    </row>
    <row r="2085" spans="1:6" x14ac:dyDescent="0.2">
      <c r="A2085" s="12" t="s">
        <v>1462</v>
      </c>
      <c r="B2085" s="11"/>
      <c r="C2085" s="12" t="s">
        <v>2331</v>
      </c>
      <c r="D2085" s="12" t="s">
        <v>6</v>
      </c>
      <c r="E2085" s="12" t="s">
        <v>2638</v>
      </c>
      <c r="F2085" s="13"/>
    </row>
    <row r="2086" spans="1:6" x14ac:dyDescent="0.2">
      <c r="A2086" s="12" t="s">
        <v>1462</v>
      </c>
      <c r="B2086" s="11"/>
      <c r="C2086" s="12" t="s">
        <v>2331</v>
      </c>
      <c r="D2086" s="12" t="s">
        <v>6</v>
      </c>
      <c r="E2086" s="12" t="s">
        <v>2638</v>
      </c>
      <c r="F2086" s="13"/>
    </row>
    <row r="2087" spans="1:6" x14ac:dyDescent="0.2">
      <c r="A2087" s="12" t="s">
        <v>1471</v>
      </c>
      <c r="B2087" s="11"/>
      <c r="C2087" s="12" t="s">
        <v>2331</v>
      </c>
      <c r="D2087" s="12" t="s">
        <v>6</v>
      </c>
      <c r="E2087" s="12" t="s">
        <v>2641</v>
      </c>
      <c r="F2087" s="13"/>
    </row>
    <row r="2088" spans="1:6" x14ac:dyDescent="0.2">
      <c r="A2088" s="12" t="s">
        <v>1471</v>
      </c>
      <c r="B2088" s="11"/>
      <c r="C2088" s="12" t="s">
        <v>2331</v>
      </c>
      <c r="D2088" s="12" t="s">
        <v>6</v>
      </c>
      <c r="E2088" s="12" t="s">
        <v>2641</v>
      </c>
      <c r="F2088" s="13"/>
    </row>
    <row r="2089" spans="1:6" x14ac:dyDescent="0.2">
      <c r="A2089" s="12" t="s">
        <v>1468</v>
      </c>
      <c r="B2089" s="11"/>
      <c r="C2089" s="12" t="s">
        <v>2331</v>
      </c>
      <c r="D2089" s="12" t="s">
        <v>6</v>
      </c>
      <c r="E2089" s="12" t="s">
        <v>2644</v>
      </c>
      <c r="F2089" s="13"/>
    </row>
    <row r="2090" spans="1:6" x14ac:dyDescent="0.2">
      <c r="A2090" s="12" t="s">
        <v>1468</v>
      </c>
      <c r="B2090" s="11"/>
      <c r="C2090" s="12" t="s">
        <v>2331</v>
      </c>
      <c r="D2090" s="12" t="s">
        <v>6</v>
      </c>
      <c r="E2090" s="12" t="s">
        <v>2644</v>
      </c>
      <c r="F2090" s="13"/>
    </row>
    <row r="2091" spans="1:6" x14ac:dyDescent="0.2">
      <c r="A2091" s="12" t="s">
        <v>2043</v>
      </c>
      <c r="B2091" s="11"/>
      <c r="C2091" s="12" t="s">
        <v>2331</v>
      </c>
      <c r="D2091" s="12" t="s">
        <v>6</v>
      </c>
      <c r="E2091" s="12" t="s">
        <v>2647</v>
      </c>
      <c r="F2091" s="13"/>
    </row>
    <row r="2092" spans="1:6" x14ac:dyDescent="0.2">
      <c r="A2092" s="12" t="s">
        <v>2043</v>
      </c>
      <c r="B2092" s="11"/>
      <c r="C2092" s="12" t="s">
        <v>2331</v>
      </c>
      <c r="D2092" s="12" t="s">
        <v>6</v>
      </c>
      <c r="E2092" s="12" t="s">
        <v>2647</v>
      </c>
      <c r="F2092" s="13"/>
    </row>
    <row r="2093" spans="1:6" x14ac:dyDescent="0.2">
      <c r="A2093" s="12" t="s">
        <v>1471</v>
      </c>
      <c r="B2093" s="11"/>
      <c r="C2093" s="12" t="s">
        <v>2331</v>
      </c>
      <c r="D2093" s="12" t="s">
        <v>6</v>
      </c>
      <c r="E2093" s="12" t="s">
        <v>2650</v>
      </c>
      <c r="F2093" s="13"/>
    </row>
    <row r="2094" spans="1:6" x14ac:dyDescent="0.2">
      <c r="A2094" s="12" t="s">
        <v>1471</v>
      </c>
      <c r="B2094" s="11"/>
      <c r="C2094" s="12" t="s">
        <v>2331</v>
      </c>
      <c r="D2094" s="12" t="s">
        <v>6</v>
      </c>
      <c r="E2094" s="12" t="s">
        <v>2650</v>
      </c>
      <c r="F2094" s="13"/>
    </row>
    <row r="2095" spans="1:6" x14ac:dyDescent="0.2">
      <c r="A2095" s="12" t="s">
        <v>1462</v>
      </c>
      <c r="B2095" s="11"/>
      <c r="C2095" s="12" t="s">
        <v>2331</v>
      </c>
      <c r="D2095" s="12" t="s">
        <v>6</v>
      </c>
      <c r="E2095" s="12" t="s">
        <v>2653</v>
      </c>
      <c r="F2095" s="13"/>
    </row>
    <row r="2096" spans="1:6" x14ac:dyDescent="0.2">
      <c r="A2096" s="12" t="s">
        <v>1462</v>
      </c>
      <c r="B2096" s="11"/>
      <c r="C2096" s="12" t="s">
        <v>2331</v>
      </c>
      <c r="D2096" s="12" t="s">
        <v>6</v>
      </c>
      <c r="E2096" s="12" t="s">
        <v>2653</v>
      </c>
      <c r="F2096" s="13"/>
    </row>
    <row r="2097" spans="1:6" x14ac:dyDescent="0.2">
      <c r="A2097" s="12" t="s">
        <v>1468</v>
      </c>
      <c r="B2097" s="11"/>
      <c r="C2097" s="12" t="s">
        <v>2331</v>
      </c>
      <c r="D2097" s="12" t="s">
        <v>6</v>
      </c>
      <c r="E2097" s="12" t="s">
        <v>2656</v>
      </c>
      <c r="F2097" s="13"/>
    </row>
    <row r="2098" spans="1:6" x14ac:dyDescent="0.2">
      <c r="A2098" s="12" t="s">
        <v>1468</v>
      </c>
      <c r="B2098" s="11"/>
      <c r="C2098" s="12" t="s">
        <v>2331</v>
      </c>
      <c r="D2098" s="12" t="s">
        <v>6</v>
      </c>
      <c r="E2098" s="12" t="s">
        <v>2656</v>
      </c>
      <c r="F2098" s="13"/>
    </row>
    <row r="2099" spans="1:6" x14ac:dyDescent="0.2">
      <c r="A2099" s="12" t="s">
        <v>2251</v>
      </c>
      <c r="B2099" s="11"/>
      <c r="C2099" s="12" t="s">
        <v>2331</v>
      </c>
      <c r="D2099" s="12" t="s">
        <v>6</v>
      </c>
      <c r="E2099" s="12" t="s">
        <v>2659</v>
      </c>
      <c r="F2099" s="47"/>
    </row>
    <row r="2100" spans="1:6" x14ac:dyDescent="0.2">
      <c r="A2100" s="12" t="s">
        <v>2251</v>
      </c>
      <c r="B2100" s="11"/>
      <c r="C2100" s="12" t="s">
        <v>2331</v>
      </c>
      <c r="D2100" s="12" t="s">
        <v>6</v>
      </c>
      <c r="E2100" s="12" t="s">
        <v>2660</v>
      </c>
      <c r="F2100" s="47"/>
    </row>
    <row r="2101" spans="1:6" x14ac:dyDescent="0.2">
      <c r="A2101" s="12" t="s">
        <v>2251</v>
      </c>
      <c r="B2101" s="11"/>
      <c r="C2101" s="12" t="s">
        <v>2331</v>
      </c>
      <c r="D2101" s="12" t="s">
        <v>6</v>
      </c>
      <c r="E2101" s="12" t="s">
        <v>2661</v>
      </c>
      <c r="F2101" s="47"/>
    </row>
    <row r="2102" spans="1:6" x14ac:dyDescent="0.2">
      <c r="A2102" s="12" t="s">
        <v>2251</v>
      </c>
      <c r="B2102" s="11"/>
      <c r="C2102" s="12" t="s">
        <v>2331</v>
      </c>
      <c r="D2102" s="12" t="s">
        <v>6</v>
      </c>
      <c r="E2102" s="12" t="s">
        <v>2662</v>
      </c>
      <c r="F2102" s="47"/>
    </row>
    <row r="2103" spans="1:6" x14ac:dyDescent="0.2">
      <c r="A2103" s="12" t="s">
        <v>1396</v>
      </c>
      <c r="B2103" s="11"/>
      <c r="C2103" s="12" t="s">
        <v>208</v>
      </c>
      <c r="D2103" s="12" t="s">
        <v>209</v>
      </c>
      <c r="E2103" s="12" t="s">
        <v>5740</v>
      </c>
      <c r="F2103" s="13"/>
    </row>
    <row r="2104" spans="1:6" x14ac:dyDescent="0.2">
      <c r="A2104" s="12" t="s">
        <v>364</v>
      </c>
      <c r="B2104" s="11"/>
      <c r="C2104" s="12" t="s">
        <v>208</v>
      </c>
      <c r="D2104" s="12" t="s">
        <v>209</v>
      </c>
      <c r="E2104" s="12" t="s">
        <v>5740</v>
      </c>
      <c r="F2104" s="13"/>
    </row>
    <row r="2105" spans="1:6" x14ac:dyDescent="0.2">
      <c r="A2105" s="12" t="s">
        <v>1399</v>
      </c>
      <c r="B2105" s="11"/>
      <c r="C2105" s="12" t="s">
        <v>208</v>
      </c>
      <c r="D2105" s="12" t="s">
        <v>209</v>
      </c>
      <c r="E2105" s="12" t="s">
        <v>5740</v>
      </c>
      <c r="F2105" s="13"/>
    </row>
    <row r="2106" spans="1:6" x14ac:dyDescent="0.2">
      <c r="A2106" s="12" t="s">
        <v>1392</v>
      </c>
      <c r="B2106" s="11"/>
      <c r="C2106" s="12" t="s">
        <v>208</v>
      </c>
      <c r="D2106" s="12" t="s">
        <v>209</v>
      </c>
      <c r="E2106" s="12" t="s">
        <v>5740</v>
      </c>
      <c r="F2106" s="13"/>
    </row>
    <row r="2107" spans="1:6" x14ac:dyDescent="0.2">
      <c r="A2107" s="12" t="s">
        <v>368</v>
      </c>
      <c r="B2107" s="11"/>
      <c r="C2107" s="12" t="s">
        <v>208</v>
      </c>
      <c r="D2107" s="12" t="s">
        <v>209</v>
      </c>
      <c r="E2107" s="12" t="s">
        <v>5743</v>
      </c>
      <c r="F2107" s="13"/>
    </row>
    <row r="2108" spans="1:6" x14ac:dyDescent="0.2">
      <c r="A2108" s="12" t="s">
        <v>1407</v>
      </c>
      <c r="B2108" s="11"/>
      <c r="C2108" s="12" t="s">
        <v>208</v>
      </c>
      <c r="D2108" s="12" t="s">
        <v>209</v>
      </c>
      <c r="E2108" s="12" t="s">
        <v>5743</v>
      </c>
      <c r="F2108" s="13"/>
    </row>
    <row r="2109" spans="1:6" x14ac:dyDescent="0.2">
      <c r="A2109" s="12" t="s">
        <v>31</v>
      </c>
      <c r="B2109" s="11"/>
      <c r="C2109" s="12" t="s">
        <v>208</v>
      </c>
      <c r="D2109" s="12" t="s">
        <v>209</v>
      </c>
      <c r="E2109" s="12" t="s">
        <v>210</v>
      </c>
      <c r="F2109" s="13"/>
    </row>
    <row r="2110" spans="1:6" x14ac:dyDescent="0.2">
      <c r="A2110" s="12" t="s">
        <v>12</v>
      </c>
      <c r="B2110" s="11"/>
      <c r="C2110" s="12" t="s">
        <v>208</v>
      </c>
      <c r="D2110" s="12" t="s">
        <v>209</v>
      </c>
      <c r="E2110" s="12" t="s">
        <v>210</v>
      </c>
      <c r="F2110" s="13"/>
    </row>
    <row r="2111" spans="1:6" x14ac:dyDescent="0.2">
      <c r="A2111" s="12" t="s">
        <v>0</v>
      </c>
      <c r="B2111" s="11"/>
      <c r="C2111" s="12" t="s">
        <v>208</v>
      </c>
      <c r="D2111" s="12" t="s">
        <v>209</v>
      </c>
      <c r="E2111" s="12" t="s">
        <v>211</v>
      </c>
      <c r="F2111" s="13"/>
    </row>
    <row r="2112" spans="1:6" x14ac:dyDescent="0.2">
      <c r="A2112" s="12" t="s">
        <v>2251</v>
      </c>
      <c r="B2112" s="11"/>
      <c r="C2112" s="12" t="s">
        <v>208</v>
      </c>
      <c r="D2112" s="12" t="s">
        <v>209</v>
      </c>
      <c r="E2112" s="12" t="s">
        <v>5745</v>
      </c>
      <c r="F2112" s="47"/>
    </row>
    <row r="2113" spans="1:6" x14ac:dyDescent="0.2">
      <c r="A2113" s="12" t="s">
        <v>5746</v>
      </c>
      <c r="B2113" s="11"/>
      <c r="C2113" s="12" t="s">
        <v>208</v>
      </c>
      <c r="D2113" s="12" t="s">
        <v>209</v>
      </c>
      <c r="E2113" s="12" t="s">
        <v>5747</v>
      </c>
      <c r="F2113" s="13"/>
    </row>
  </sheetData>
  <autoFilter ref="A1:F2113" xr:uid="{A60DF5A9-D24D-4F6D-A02C-753377825E37}"/>
  <mergeCells count="1">
    <mergeCell ref="I17:L17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5628-D8A7-4238-83E0-5D1EBAEA19EE}">
  <sheetPr>
    <tabColor rgb="FF00B0F0"/>
  </sheetPr>
  <dimension ref="A1:Y31"/>
  <sheetViews>
    <sheetView workbookViewId="0">
      <selection sqref="A1:Y31"/>
    </sheetView>
  </sheetViews>
  <sheetFormatPr baseColWidth="10" defaultRowHeight="12.75" x14ac:dyDescent="0.2"/>
  <sheetData>
    <row r="1" spans="1:25" ht="38.25" x14ac:dyDescent="0.2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0" t="s">
        <v>219</v>
      </c>
      <c r="I1" s="1" t="s">
        <v>220</v>
      </c>
      <c r="J1" s="10" t="s">
        <v>221</v>
      </c>
      <c r="K1" s="10" t="s">
        <v>222</v>
      </c>
      <c r="L1" s="10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R1" s="10" t="s">
        <v>229</v>
      </c>
      <c r="S1" s="1" t="s">
        <v>230</v>
      </c>
      <c r="T1" s="1" t="s">
        <v>231</v>
      </c>
      <c r="U1" s="10" t="s">
        <v>232</v>
      </c>
      <c r="V1" s="10" t="s">
        <v>233</v>
      </c>
      <c r="W1" s="10" t="s">
        <v>234</v>
      </c>
      <c r="X1" s="1" t="s">
        <v>235</v>
      </c>
      <c r="Y1" s="1" t="s">
        <v>236</v>
      </c>
    </row>
    <row r="2" spans="1:25" x14ac:dyDescent="0.2">
      <c r="A2" t="s">
        <v>454</v>
      </c>
      <c r="B2" t="s">
        <v>5784</v>
      </c>
      <c r="C2" t="s">
        <v>2</v>
      </c>
      <c r="D2" t="s">
        <v>3</v>
      </c>
      <c r="E2" t="s">
        <v>4</v>
      </c>
      <c r="F2" t="s">
        <v>4</v>
      </c>
      <c r="G2" t="s">
        <v>2252</v>
      </c>
      <c r="H2" t="s">
        <v>2253</v>
      </c>
      <c r="I2" t="s">
        <v>2285</v>
      </c>
      <c r="J2" s="2">
        <v>300</v>
      </c>
      <c r="K2" s="2">
        <v>0</v>
      </c>
      <c r="L2" s="2">
        <v>0</v>
      </c>
      <c r="M2" s="3">
        <v>45818</v>
      </c>
      <c r="N2" t="s">
        <v>4</v>
      </c>
      <c r="O2" s="3">
        <v>45818</v>
      </c>
      <c r="P2" s="3"/>
      <c r="Q2" t="s">
        <v>2289</v>
      </c>
      <c r="R2" t="s">
        <v>2255</v>
      </c>
      <c r="S2" s="4">
        <v>0.64408564814814995</v>
      </c>
      <c r="T2" t="s">
        <v>4</v>
      </c>
      <c r="U2" t="s">
        <v>2287</v>
      </c>
      <c r="V2" s="5">
        <v>0</v>
      </c>
      <c r="W2" s="5">
        <v>0</v>
      </c>
      <c r="X2" t="s">
        <v>4</v>
      </c>
      <c r="Y2" t="s">
        <v>4</v>
      </c>
    </row>
    <row r="3" spans="1:25" x14ac:dyDescent="0.2">
      <c r="A3" t="s">
        <v>454</v>
      </c>
      <c r="B3" t="s">
        <v>5784</v>
      </c>
      <c r="C3" t="s">
        <v>2</v>
      </c>
      <c r="D3" t="s">
        <v>3</v>
      </c>
      <c r="E3" t="s">
        <v>4</v>
      </c>
      <c r="F3" t="s">
        <v>4</v>
      </c>
      <c r="G3" t="s">
        <v>2252</v>
      </c>
      <c r="H3" t="s">
        <v>2253</v>
      </c>
      <c r="I3" t="s">
        <v>2285</v>
      </c>
      <c r="J3" s="2">
        <v>300</v>
      </c>
      <c r="K3" s="2">
        <v>0</v>
      </c>
      <c r="L3" s="2">
        <v>0</v>
      </c>
      <c r="M3" s="3">
        <v>45856</v>
      </c>
      <c r="N3" t="s">
        <v>4</v>
      </c>
      <c r="O3" s="3">
        <v>45856</v>
      </c>
      <c r="P3" s="3"/>
      <c r="Q3" t="s">
        <v>2288</v>
      </c>
      <c r="R3" t="s">
        <v>2255</v>
      </c>
      <c r="S3" s="4">
        <v>0.64408564814814995</v>
      </c>
      <c r="T3" t="s">
        <v>4</v>
      </c>
      <c r="U3" t="s">
        <v>2287</v>
      </c>
      <c r="V3" s="5">
        <v>0</v>
      </c>
      <c r="W3" s="5">
        <v>0</v>
      </c>
      <c r="X3" t="s">
        <v>4</v>
      </c>
      <c r="Y3" t="s">
        <v>4</v>
      </c>
    </row>
    <row r="4" spans="1:25" x14ac:dyDescent="0.2">
      <c r="A4" t="s">
        <v>454</v>
      </c>
      <c r="B4" t="s">
        <v>5784</v>
      </c>
      <c r="C4" t="s">
        <v>2</v>
      </c>
      <c r="D4" t="s">
        <v>3</v>
      </c>
      <c r="E4" t="s">
        <v>4</v>
      </c>
      <c r="F4" t="s">
        <v>4</v>
      </c>
      <c r="G4" t="s">
        <v>2252</v>
      </c>
      <c r="H4" t="s">
        <v>2253</v>
      </c>
      <c r="I4" t="s">
        <v>2285</v>
      </c>
      <c r="J4" s="2">
        <v>300</v>
      </c>
      <c r="K4" s="2">
        <v>0</v>
      </c>
      <c r="L4" s="2">
        <v>0</v>
      </c>
      <c r="M4" s="3">
        <v>45856</v>
      </c>
      <c r="N4" t="s">
        <v>4</v>
      </c>
      <c r="O4" s="3">
        <v>45856</v>
      </c>
      <c r="P4" s="3"/>
      <c r="Q4" t="s">
        <v>2286</v>
      </c>
      <c r="R4" t="s">
        <v>2255</v>
      </c>
      <c r="S4" s="4">
        <v>0.64408564814814995</v>
      </c>
      <c r="T4" t="s">
        <v>4</v>
      </c>
      <c r="U4" t="s">
        <v>2287</v>
      </c>
      <c r="V4" s="5">
        <v>0</v>
      </c>
      <c r="W4" s="5">
        <v>0</v>
      </c>
      <c r="X4" t="s">
        <v>4</v>
      </c>
      <c r="Y4" t="s">
        <v>4</v>
      </c>
    </row>
    <row r="5" spans="1:25" x14ac:dyDescent="0.2">
      <c r="A5" t="s">
        <v>460</v>
      </c>
      <c r="B5" t="s">
        <v>461</v>
      </c>
      <c r="C5" t="s">
        <v>2</v>
      </c>
      <c r="D5" t="s">
        <v>3</v>
      </c>
      <c r="E5" t="s">
        <v>4</v>
      </c>
      <c r="F5" t="s">
        <v>4</v>
      </c>
      <c r="G5" t="s">
        <v>2252</v>
      </c>
      <c r="H5" t="s">
        <v>2253</v>
      </c>
      <c r="I5" t="s">
        <v>2291</v>
      </c>
      <c r="J5" s="2">
        <v>300</v>
      </c>
      <c r="K5" s="2">
        <v>0</v>
      </c>
      <c r="L5" s="2">
        <v>0</v>
      </c>
      <c r="M5" s="3">
        <v>45819</v>
      </c>
      <c r="N5" t="s">
        <v>4</v>
      </c>
      <c r="O5" s="3">
        <v>45819</v>
      </c>
      <c r="P5" s="3"/>
      <c r="Q5" t="s">
        <v>2293</v>
      </c>
      <c r="R5" t="s">
        <v>2255</v>
      </c>
      <c r="S5" s="4">
        <v>0</v>
      </c>
      <c r="T5" t="s">
        <v>4</v>
      </c>
      <c r="U5" t="s">
        <v>2287</v>
      </c>
      <c r="V5" s="5">
        <v>0</v>
      </c>
      <c r="W5" s="5">
        <v>0</v>
      </c>
      <c r="X5" t="s">
        <v>4</v>
      </c>
      <c r="Y5" t="s">
        <v>4</v>
      </c>
    </row>
    <row r="6" spans="1:25" x14ac:dyDescent="0.2">
      <c r="A6" t="s">
        <v>460</v>
      </c>
      <c r="B6" t="s">
        <v>461</v>
      </c>
      <c r="C6" t="s">
        <v>2</v>
      </c>
      <c r="D6" t="s">
        <v>3</v>
      </c>
      <c r="E6" t="s">
        <v>4</v>
      </c>
      <c r="F6" t="s">
        <v>4</v>
      </c>
      <c r="G6" t="s">
        <v>2252</v>
      </c>
      <c r="H6" t="s">
        <v>2253</v>
      </c>
      <c r="I6" t="s">
        <v>2291</v>
      </c>
      <c r="J6" s="2">
        <v>300</v>
      </c>
      <c r="K6" s="2">
        <v>0</v>
      </c>
      <c r="L6" s="2">
        <v>0</v>
      </c>
      <c r="M6" s="3">
        <v>45819</v>
      </c>
      <c r="N6" t="s">
        <v>4</v>
      </c>
      <c r="O6" s="3">
        <v>45819</v>
      </c>
      <c r="P6" s="3"/>
      <c r="Q6" t="s">
        <v>2292</v>
      </c>
      <c r="R6" t="s">
        <v>2255</v>
      </c>
      <c r="S6" s="4">
        <v>0</v>
      </c>
      <c r="T6" t="s">
        <v>4</v>
      </c>
      <c r="U6" t="s">
        <v>2287</v>
      </c>
      <c r="V6" s="5">
        <v>0</v>
      </c>
      <c r="W6" s="5">
        <v>0</v>
      </c>
      <c r="X6" t="s">
        <v>4</v>
      </c>
      <c r="Y6" t="s">
        <v>4</v>
      </c>
    </row>
    <row r="7" spans="1:25" x14ac:dyDescent="0.2">
      <c r="A7" t="s">
        <v>451</v>
      </c>
      <c r="B7" t="s">
        <v>5785</v>
      </c>
      <c r="C7" t="s">
        <v>2</v>
      </c>
      <c r="D7" t="s">
        <v>3</v>
      </c>
      <c r="E7" t="s">
        <v>4</v>
      </c>
      <c r="F7" t="s">
        <v>4</v>
      </c>
      <c r="G7" t="s">
        <v>2252</v>
      </c>
      <c r="H7" t="s">
        <v>2253</v>
      </c>
      <c r="I7" t="s">
        <v>2294</v>
      </c>
      <c r="J7" s="2">
        <v>300</v>
      </c>
      <c r="K7" s="2">
        <v>0</v>
      </c>
      <c r="L7" s="2">
        <v>0</v>
      </c>
      <c r="M7" s="3">
        <v>45856</v>
      </c>
      <c r="N7" t="s">
        <v>4</v>
      </c>
      <c r="O7" s="3">
        <v>45856</v>
      </c>
      <c r="P7" s="3"/>
      <c r="Q7" t="s">
        <v>2295</v>
      </c>
      <c r="R7" t="s">
        <v>2255</v>
      </c>
      <c r="S7" s="4">
        <v>0.52312499999999995</v>
      </c>
      <c r="T7" t="s">
        <v>4</v>
      </c>
      <c r="U7" t="s">
        <v>2287</v>
      </c>
      <c r="V7" s="5">
        <v>0</v>
      </c>
      <c r="W7" s="5">
        <v>0</v>
      </c>
      <c r="X7" t="s">
        <v>4</v>
      </c>
      <c r="Y7" t="s">
        <v>4</v>
      </c>
    </row>
    <row r="8" spans="1:25" x14ac:dyDescent="0.2">
      <c r="A8" t="s">
        <v>451</v>
      </c>
      <c r="B8" t="s">
        <v>5785</v>
      </c>
      <c r="C8" t="s">
        <v>2</v>
      </c>
      <c r="D8" t="s">
        <v>3</v>
      </c>
      <c r="E8" t="s">
        <v>4</v>
      </c>
      <c r="F8" t="s">
        <v>4</v>
      </c>
      <c r="G8" t="s">
        <v>2252</v>
      </c>
      <c r="H8" t="s">
        <v>2253</v>
      </c>
      <c r="I8" t="s">
        <v>2294</v>
      </c>
      <c r="J8" s="2">
        <v>300</v>
      </c>
      <c r="K8" s="2">
        <v>0</v>
      </c>
      <c r="L8" s="2">
        <v>0</v>
      </c>
      <c r="M8" s="3">
        <v>45856</v>
      </c>
      <c r="N8" t="s">
        <v>4</v>
      </c>
      <c r="O8" s="3">
        <v>45856</v>
      </c>
      <c r="P8" s="3"/>
      <c r="Q8" t="s">
        <v>2296</v>
      </c>
      <c r="R8" t="s">
        <v>2255</v>
      </c>
      <c r="S8" s="4">
        <v>0.52312499999999995</v>
      </c>
      <c r="T8" t="s">
        <v>4</v>
      </c>
      <c r="U8" t="s">
        <v>2287</v>
      </c>
      <c r="V8" s="5">
        <v>0</v>
      </c>
      <c r="W8" s="5">
        <v>0</v>
      </c>
      <c r="X8" t="s">
        <v>4</v>
      </c>
      <c r="Y8" t="s">
        <v>4</v>
      </c>
    </row>
    <row r="9" spans="1:25" x14ac:dyDescent="0.2">
      <c r="A9" t="s">
        <v>448</v>
      </c>
      <c r="B9" t="s">
        <v>450</v>
      </c>
      <c r="C9" t="s">
        <v>2</v>
      </c>
      <c r="D9" t="s">
        <v>3</v>
      </c>
      <c r="E9" t="s">
        <v>4</v>
      </c>
      <c r="F9" t="s">
        <v>4</v>
      </c>
      <c r="G9" t="s">
        <v>2252</v>
      </c>
      <c r="H9" t="s">
        <v>2253</v>
      </c>
      <c r="I9" t="s">
        <v>2297</v>
      </c>
      <c r="J9" s="2">
        <v>300</v>
      </c>
      <c r="K9" s="2">
        <v>0</v>
      </c>
      <c r="L9" s="2">
        <v>0</v>
      </c>
      <c r="M9" s="3">
        <v>45854</v>
      </c>
      <c r="N9" t="s">
        <v>4</v>
      </c>
      <c r="O9" s="3">
        <v>45854</v>
      </c>
      <c r="P9" s="3"/>
      <c r="Q9" t="s">
        <v>2302</v>
      </c>
      <c r="R9" t="s">
        <v>2255</v>
      </c>
      <c r="S9" s="4">
        <v>0.53271990740741004</v>
      </c>
      <c r="T9" t="s">
        <v>4</v>
      </c>
      <c r="U9" t="s">
        <v>2287</v>
      </c>
      <c r="V9" s="5">
        <v>0</v>
      </c>
      <c r="W9" s="5">
        <v>0</v>
      </c>
      <c r="X9" t="s">
        <v>4</v>
      </c>
      <c r="Y9" t="s">
        <v>4</v>
      </c>
    </row>
    <row r="10" spans="1:25" x14ac:dyDescent="0.2">
      <c r="A10" t="s">
        <v>448</v>
      </c>
      <c r="B10" t="s">
        <v>450</v>
      </c>
      <c r="C10" t="s">
        <v>2</v>
      </c>
      <c r="D10" t="s">
        <v>3</v>
      </c>
      <c r="E10" t="s">
        <v>4</v>
      </c>
      <c r="F10" t="s">
        <v>4</v>
      </c>
      <c r="G10" t="s">
        <v>2252</v>
      </c>
      <c r="H10" t="s">
        <v>2253</v>
      </c>
      <c r="I10" t="s">
        <v>2297</v>
      </c>
      <c r="J10" s="2">
        <v>300</v>
      </c>
      <c r="K10" s="2">
        <v>0</v>
      </c>
      <c r="L10" s="2">
        <v>0</v>
      </c>
      <c r="M10" s="3">
        <v>45854</v>
      </c>
      <c r="N10" t="s">
        <v>4</v>
      </c>
      <c r="O10" s="3">
        <v>45854</v>
      </c>
      <c r="P10" s="3"/>
      <c r="Q10" t="s">
        <v>2301</v>
      </c>
      <c r="R10" t="s">
        <v>2255</v>
      </c>
      <c r="S10" s="4">
        <v>0.53271990740741004</v>
      </c>
      <c r="T10" t="s">
        <v>4</v>
      </c>
      <c r="U10" t="s">
        <v>2287</v>
      </c>
      <c r="V10" s="5">
        <v>0</v>
      </c>
      <c r="W10" s="5">
        <v>0</v>
      </c>
      <c r="X10" t="s">
        <v>4</v>
      </c>
      <c r="Y10" t="s">
        <v>4</v>
      </c>
    </row>
    <row r="11" spans="1:25" x14ac:dyDescent="0.2">
      <c r="A11" t="s">
        <v>448</v>
      </c>
      <c r="B11" t="s">
        <v>450</v>
      </c>
      <c r="C11" t="s">
        <v>2</v>
      </c>
      <c r="D11" t="s">
        <v>3</v>
      </c>
      <c r="E11" t="s">
        <v>4</v>
      </c>
      <c r="F11" t="s">
        <v>4</v>
      </c>
      <c r="G11" t="s">
        <v>2252</v>
      </c>
      <c r="H11" t="s">
        <v>2253</v>
      </c>
      <c r="I11" t="s">
        <v>2297</v>
      </c>
      <c r="J11" s="2">
        <v>300</v>
      </c>
      <c r="K11" s="2">
        <v>0</v>
      </c>
      <c r="L11" s="2">
        <v>0</v>
      </c>
      <c r="M11" s="3">
        <v>45854</v>
      </c>
      <c r="N11" t="s">
        <v>4</v>
      </c>
      <c r="O11" s="3">
        <v>45854</v>
      </c>
      <c r="P11" s="3"/>
      <c r="Q11" t="s">
        <v>2298</v>
      </c>
      <c r="R11" t="s">
        <v>2255</v>
      </c>
      <c r="S11" s="4">
        <v>0.53271990740741004</v>
      </c>
      <c r="T11" t="s">
        <v>4</v>
      </c>
      <c r="U11" t="s">
        <v>2287</v>
      </c>
      <c r="V11" s="5">
        <v>0</v>
      </c>
      <c r="W11" s="5">
        <v>0</v>
      </c>
      <c r="X11" t="s">
        <v>4</v>
      </c>
      <c r="Y11" t="s">
        <v>4</v>
      </c>
    </row>
    <row r="12" spans="1:25" x14ac:dyDescent="0.2">
      <c r="A12" t="s">
        <v>448</v>
      </c>
      <c r="B12" t="s">
        <v>450</v>
      </c>
      <c r="C12" t="s">
        <v>2</v>
      </c>
      <c r="D12" t="s">
        <v>3</v>
      </c>
      <c r="E12" t="s">
        <v>4</v>
      </c>
      <c r="F12" t="s">
        <v>4</v>
      </c>
      <c r="G12" t="s">
        <v>2252</v>
      </c>
      <c r="H12" t="s">
        <v>2253</v>
      </c>
      <c r="I12" t="s">
        <v>2297</v>
      </c>
      <c r="J12" s="2">
        <v>300</v>
      </c>
      <c r="K12" s="2">
        <v>0</v>
      </c>
      <c r="L12" s="2">
        <v>0</v>
      </c>
      <c r="M12" s="3">
        <v>45854</v>
      </c>
      <c r="N12" t="s">
        <v>4</v>
      </c>
      <c r="O12" s="3">
        <v>45854</v>
      </c>
      <c r="P12" s="3"/>
      <c r="Q12" t="s">
        <v>2300</v>
      </c>
      <c r="R12" t="s">
        <v>2255</v>
      </c>
      <c r="S12" s="4">
        <v>0.53271990740741004</v>
      </c>
      <c r="T12" t="s">
        <v>4</v>
      </c>
      <c r="U12" t="s">
        <v>2287</v>
      </c>
      <c r="V12" s="5">
        <v>0</v>
      </c>
      <c r="W12" s="5">
        <v>0</v>
      </c>
      <c r="X12" t="s">
        <v>4</v>
      </c>
      <c r="Y12" t="s">
        <v>4</v>
      </c>
    </row>
    <row r="13" spans="1:25" x14ac:dyDescent="0.2">
      <c r="A13" t="s">
        <v>438</v>
      </c>
      <c r="B13" t="s">
        <v>439</v>
      </c>
      <c r="C13" t="s">
        <v>2</v>
      </c>
      <c r="D13" t="s">
        <v>3</v>
      </c>
      <c r="E13" t="s">
        <v>4</v>
      </c>
      <c r="F13" t="s">
        <v>4</v>
      </c>
      <c r="G13" t="s">
        <v>2252</v>
      </c>
      <c r="H13" t="s">
        <v>2253</v>
      </c>
      <c r="I13" t="s">
        <v>2303</v>
      </c>
      <c r="J13" s="2">
        <v>300</v>
      </c>
      <c r="K13" s="2">
        <v>0</v>
      </c>
      <c r="L13" s="2">
        <v>0</v>
      </c>
      <c r="M13" s="3">
        <v>45859</v>
      </c>
      <c r="N13" t="s">
        <v>4</v>
      </c>
      <c r="O13" s="3">
        <v>45859</v>
      </c>
      <c r="P13" s="3"/>
      <c r="Q13" t="s">
        <v>2304</v>
      </c>
      <c r="R13" t="s">
        <v>2255</v>
      </c>
      <c r="S13" s="4">
        <v>0.52770833333333</v>
      </c>
      <c r="T13" t="s">
        <v>4</v>
      </c>
      <c r="U13" t="s">
        <v>2287</v>
      </c>
      <c r="V13" s="5">
        <v>0</v>
      </c>
      <c r="W13" s="5">
        <v>0</v>
      </c>
      <c r="X13" t="s">
        <v>4</v>
      </c>
      <c r="Y13" t="s">
        <v>4</v>
      </c>
    </row>
    <row r="14" spans="1:25" x14ac:dyDescent="0.2">
      <c r="A14" t="s">
        <v>442</v>
      </c>
      <c r="B14" t="s">
        <v>443</v>
      </c>
      <c r="C14" t="s">
        <v>2</v>
      </c>
      <c r="D14" t="s">
        <v>3</v>
      </c>
      <c r="E14" t="s">
        <v>4</v>
      </c>
      <c r="F14" t="s">
        <v>4</v>
      </c>
      <c r="G14" t="s">
        <v>2252</v>
      </c>
      <c r="H14" t="s">
        <v>2253</v>
      </c>
      <c r="I14" t="s">
        <v>2305</v>
      </c>
      <c r="J14" s="2">
        <v>300</v>
      </c>
      <c r="K14" s="2">
        <v>0</v>
      </c>
      <c r="L14" s="2">
        <v>0</v>
      </c>
      <c r="M14" s="3">
        <v>45859</v>
      </c>
      <c r="N14" t="s">
        <v>4</v>
      </c>
      <c r="O14" s="3">
        <v>45859</v>
      </c>
      <c r="P14" s="3"/>
      <c r="Q14" t="s">
        <v>2306</v>
      </c>
      <c r="R14" t="s">
        <v>2255</v>
      </c>
      <c r="S14" s="4">
        <v>0.38094907407407003</v>
      </c>
      <c r="T14" t="s">
        <v>4</v>
      </c>
      <c r="U14" t="s">
        <v>2287</v>
      </c>
      <c r="V14" s="5">
        <v>0</v>
      </c>
      <c r="W14" s="5">
        <v>0</v>
      </c>
      <c r="X14" t="s">
        <v>4</v>
      </c>
      <c r="Y14" t="s">
        <v>4</v>
      </c>
    </row>
    <row r="15" spans="1:25" x14ac:dyDescent="0.2">
      <c r="A15" t="s">
        <v>442</v>
      </c>
      <c r="B15" t="s">
        <v>443</v>
      </c>
      <c r="C15" t="s">
        <v>2</v>
      </c>
      <c r="D15" t="s">
        <v>3</v>
      </c>
      <c r="E15" t="s">
        <v>4</v>
      </c>
      <c r="F15" t="s">
        <v>4</v>
      </c>
      <c r="G15" t="s">
        <v>2252</v>
      </c>
      <c r="H15" t="s">
        <v>2253</v>
      </c>
      <c r="I15" t="s">
        <v>2305</v>
      </c>
      <c r="J15" s="2">
        <v>300</v>
      </c>
      <c r="K15" s="2">
        <v>0</v>
      </c>
      <c r="L15" s="2">
        <v>0</v>
      </c>
      <c r="M15" s="3">
        <v>45859</v>
      </c>
      <c r="N15" t="s">
        <v>4</v>
      </c>
      <c r="O15" s="3">
        <v>45859</v>
      </c>
      <c r="P15" s="3"/>
      <c r="Q15" t="s">
        <v>2307</v>
      </c>
      <c r="R15" t="s">
        <v>2255</v>
      </c>
      <c r="S15" s="4">
        <v>0.38094907407407003</v>
      </c>
      <c r="T15" t="s">
        <v>4</v>
      </c>
      <c r="U15" t="s">
        <v>2287</v>
      </c>
      <c r="V15" s="5">
        <v>0</v>
      </c>
      <c r="W15" s="5">
        <v>0</v>
      </c>
      <c r="X15" t="s">
        <v>4</v>
      </c>
      <c r="Y15" t="s">
        <v>4</v>
      </c>
    </row>
    <row r="16" spans="1:25" x14ac:dyDescent="0.2">
      <c r="A16" t="s">
        <v>442</v>
      </c>
      <c r="B16" t="s">
        <v>443</v>
      </c>
      <c r="C16" t="s">
        <v>2</v>
      </c>
      <c r="D16" t="s">
        <v>3</v>
      </c>
      <c r="E16" t="s">
        <v>4</v>
      </c>
      <c r="F16" t="s">
        <v>4</v>
      </c>
      <c r="G16" t="s">
        <v>2252</v>
      </c>
      <c r="H16" t="s">
        <v>2253</v>
      </c>
      <c r="I16" t="s">
        <v>2308</v>
      </c>
      <c r="J16" s="2">
        <v>300</v>
      </c>
      <c r="K16" s="2">
        <v>0</v>
      </c>
      <c r="L16" s="2">
        <v>0</v>
      </c>
      <c r="M16" s="3">
        <v>45859</v>
      </c>
      <c r="N16" t="s">
        <v>4</v>
      </c>
      <c r="O16" s="3">
        <v>45859</v>
      </c>
      <c r="P16" s="3"/>
      <c r="Q16" t="s">
        <v>2310</v>
      </c>
      <c r="R16" t="s">
        <v>2255</v>
      </c>
      <c r="S16" s="4">
        <v>0.95304398148147995</v>
      </c>
      <c r="T16" t="s">
        <v>4</v>
      </c>
      <c r="U16" t="s">
        <v>2287</v>
      </c>
      <c r="V16" s="5">
        <v>0</v>
      </c>
      <c r="W16" s="5">
        <v>0</v>
      </c>
      <c r="X16" t="s">
        <v>4</v>
      </c>
      <c r="Y16" t="s">
        <v>4</v>
      </c>
    </row>
    <row r="17" spans="1:25" x14ac:dyDescent="0.2">
      <c r="A17" t="s">
        <v>442</v>
      </c>
      <c r="B17" t="s">
        <v>443</v>
      </c>
      <c r="C17" t="s">
        <v>2</v>
      </c>
      <c r="D17" t="s">
        <v>3</v>
      </c>
      <c r="E17" t="s">
        <v>4</v>
      </c>
      <c r="F17" t="s">
        <v>4</v>
      </c>
      <c r="G17" t="s">
        <v>2252</v>
      </c>
      <c r="H17" t="s">
        <v>2253</v>
      </c>
      <c r="I17" t="s">
        <v>2308</v>
      </c>
      <c r="J17" s="2">
        <v>300</v>
      </c>
      <c r="K17" s="2">
        <v>0</v>
      </c>
      <c r="L17" s="2">
        <v>0</v>
      </c>
      <c r="M17" s="3">
        <v>45839</v>
      </c>
      <c r="N17" t="s">
        <v>4</v>
      </c>
      <c r="O17" s="3">
        <v>45839</v>
      </c>
      <c r="P17" s="3"/>
      <c r="Q17" t="s">
        <v>2311</v>
      </c>
      <c r="R17" t="s">
        <v>2255</v>
      </c>
      <c r="S17" s="4">
        <v>0.95304398148147995</v>
      </c>
      <c r="T17" t="s">
        <v>4</v>
      </c>
      <c r="U17" t="s">
        <v>2287</v>
      </c>
      <c r="V17" s="5">
        <v>0</v>
      </c>
      <c r="W17" s="5">
        <v>0</v>
      </c>
      <c r="X17" t="s">
        <v>4</v>
      </c>
      <c r="Y17" t="s">
        <v>4</v>
      </c>
    </row>
    <row r="18" spans="1:25" x14ac:dyDescent="0.2">
      <c r="A18" t="s">
        <v>442</v>
      </c>
      <c r="B18" t="s">
        <v>443</v>
      </c>
      <c r="C18" t="s">
        <v>2</v>
      </c>
      <c r="D18" t="s">
        <v>3</v>
      </c>
      <c r="E18" t="s">
        <v>4</v>
      </c>
      <c r="F18" t="s">
        <v>4</v>
      </c>
      <c r="G18" t="s">
        <v>2252</v>
      </c>
      <c r="H18" t="s">
        <v>2253</v>
      </c>
      <c r="I18" t="s">
        <v>2308</v>
      </c>
      <c r="J18" s="2">
        <v>300</v>
      </c>
      <c r="K18" s="2">
        <v>0</v>
      </c>
      <c r="L18" s="2">
        <v>0</v>
      </c>
      <c r="M18" s="3">
        <v>45854</v>
      </c>
      <c r="N18" t="s">
        <v>4</v>
      </c>
      <c r="O18" s="3">
        <v>45854</v>
      </c>
      <c r="P18" s="3"/>
      <c r="Q18" t="s">
        <v>2309</v>
      </c>
      <c r="R18" t="s">
        <v>2255</v>
      </c>
      <c r="S18" s="4">
        <v>0.95304398148147995</v>
      </c>
      <c r="T18" t="s">
        <v>4</v>
      </c>
      <c r="U18" t="s">
        <v>2287</v>
      </c>
      <c r="V18" s="5">
        <v>0</v>
      </c>
      <c r="W18" s="5">
        <v>0</v>
      </c>
      <c r="X18" t="s">
        <v>4</v>
      </c>
      <c r="Y18" t="s">
        <v>4</v>
      </c>
    </row>
    <row r="19" spans="1:25" x14ac:dyDescent="0.2">
      <c r="A19" t="s">
        <v>442</v>
      </c>
      <c r="B19" t="s">
        <v>443</v>
      </c>
      <c r="C19" t="s">
        <v>2</v>
      </c>
      <c r="D19" t="s">
        <v>3</v>
      </c>
      <c r="E19" t="s">
        <v>4</v>
      </c>
      <c r="F19" t="s">
        <v>4</v>
      </c>
      <c r="G19" t="s">
        <v>2252</v>
      </c>
      <c r="H19" t="s">
        <v>2253</v>
      </c>
      <c r="I19" t="s">
        <v>2308</v>
      </c>
      <c r="J19" s="2">
        <v>300</v>
      </c>
      <c r="K19" s="2">
        <v>0</v>
      </c>
      <c r="L19" s="2">
        <v>0</v>
      </c>
      <c r="M19" s="3">
        <v>45839</v>
      </c>
      <c r="N19" t="s">
        <v>4</v>
      </c>
      <c r="O19" s="3">
        <v>45839</v>
      </c>
      <c r="P19" s="3"/>
      <c r="Q19" t="s">
        <v>2313</v>
      </c>
      <c r="R19" t="s">
        <v>2255</v>
      </c>
      <c r="S19" s="4">
        <v>0.95304398148147995</v>
      </c>
      <c r="T19" t="s">
        <v>4</v>
      </c>
      <c r="U19" t="s">
        <v>2287</v>
      </c>
      <c r="V19" s="5">
        <v>0</v>
      </c>
      <c r="W19" s="5">
        <v>0</v>
      </c>
      <c r="X19" t="s">
        <v>4</v>
      </c>
      <c r="Y19" t="s">
        <v>4</v>
      </c>
    </row>
    <row r="20" spans="1:25" x14ac:dyDescent="0.2">
      <c r="A20" t="s">
        <v>445</v>
      </c>
      <c r="B20" t="s">
        <v>5786</v>
      </c>
      <c r="C20" t="s">
        <v>2</v>
      </c>
      <c r="D20" t="s">
        <v>3</v>
      </c>
      <c r="E20" t="s">
        <v>4</v>
      </c>
      <c r="F20" t="s">
        <v>4</v>
      </c>
      <c r="G20" t="s">
        <v>2252</v>
      </c>
      <c r="H20" t="s">
        <v>2253</v>
      </c>
      <c r="I20" t="s">
        <v>2314</v>
      </c>
      <c r="J20" s="2">
        <v>300</v>
      </c>
      <c r="K20" s="2">
        <v>0</v>
      </c>
      <c r="L20" s="2">
        <v>0</v>
      </c>
      <c r="M20" s="3">
        <v>45846</v>
      </c>
      <c r="N20" t="s">
        <v>4</v>
      </c>
      <c r="O20" s="3">
        <v>45846</v>
      </c>
      <c r="P20" s="3"/>
      <c r="Q20" t="s">
        <v>2319</v>
      </c>
      <c r="R20" t="s">
        <v>2255</v>
      </c>
      <c r="S20" s="4">
        <v>0.96460648148147998</v>
      </c>
      <c r="T20" t="s">
        <v>4</v>
      </c>
      <c r="U20" t="s">
        <v>2287</v>
      </c>
      <c r="V20" s="5">
        <v>0</v>
      </c>
      <c r="W20" s="5">
        <v>0</v>
      </c>
      <c r="X20" t="s">
        <v>4</v>
      </c>
      <c r="Y20" t="s">
        <v>4</v>
      </c>
    </row>
    <row r="21" spans="1:25" x14ac:dyDescent="0.2">
      <c r="A21" t="s">
        <v>445</v>
      </c>
      <c r="B21" t="s">
        <v>5786</v>
      </c>
      <c r="C21" t="s">
        <v>2</v>
      </c>
      <c r="D21" t="s">
        <v>3</v>
      </c>
      <c r="E21" t="s">
        <v>4</v>
      </c>
      <c r="F21" t="s">
        <v>4</v>
      </c>
      <c r="G21" t="s">
        <v>2252</v>
      </c>
      <c r="H21" t="s">
        <v>2253</v>
      </c>
      <c r="I21" t="s">
        <v>2314</v>
      </c>
      <c r="J21" s="2">
        <v>300</v>
      </c>
      <c r="K21" s="2">
        <v>0</v>
      </c>
      <c r="L21" s="2">
        <v>0</v>
      </c>
      <c r="M21" s="3">
        <v>45849</v>
      </c>
      <c r="N21" t="s">
        <v>4</v>
      </c>
      <c r="O21" s="3">
        <v>45849</v>
      </c>
      <c r="P21" s="3"/>
      <c r="Q21" t="s">
        <v>2320</v>
      </c>
      <c r="R21" t="s">
        <v>2255</v>
      </c>
      <c r="S21" s="4">
        <v>0.96460648148147998</v>
      </c>
      <c r="T21" t="s">
        <v>4</v>
      </c>
      <c r="U21" t="s">
        <v>2287</v>
      </c>
      <c r="V21" s="5">
        <v>0</v>
      </c>
      <c r="W21" s="5">
        <v>0</v>
      </c>
      <c r="X21" t="s">
        <v>4</v>
      </c>
      <c r="Y21" t="s">
        <v>4</v>
      </c>
    </row>
    <row r="22" spans="1:25" x14ac:dyDescent="0.2">
      <c r="A22" t="s">
        <v>445</v>
      </c>
      <c r="B22" t="s">
        <v>5786</v>
      </c>
      <c r="C22" t="s">
        <v>2</v>
      </c>
      <c r="D22" t="s">
        <v>3</v>
      </c>
      <c r="E22" t="s">
        <v>4</v>
      </c>
      <c r="F22" t="s">
        <v>4</v>
      </c>
      <c r="G22" t="s">
        <v>2252</v>
      </c>
      <c r="H22" t="s">
        <v>2253</v>
      </c>
      <c r="I22" t="s">
        <v>2314</v>
      </c>
      <c r="J22" s="2">
        <v>300</v>
      </c>
      <c r="K22" s="2">
        <v>0</v>
      </c>
      <c r="L22" s="2">
        <v>0</v>
      </c>
      <c r="M22" s="3">
        <v>45849</v>
      </c>
      <c r="N22" t="s">
        <v>4</v>
      </c>
      <c r="O22" s="3">
        <v>45849</v>
      </c>
      <c r="P22" s="3"/>
      <c r="Q22" t="s">
        <v>2322</v>
      </c>
      <c r="R22" t="s">
        <v>2255</v>
      </c>
      <c r="S22" s="4">
        <v>0.96460648148147998</v>
      </c>
      <c r="T22" t="s">
        <v>4</v>
      </c>
      <c r="U22" t="s">
        <v>2287</v>
      </c>
      <c r="V22" s="5">
        <v>0</v>
      </c>
      <c r="W22" s="5">
        <v>0</v>
      </c>
      <c r="X22" t="s">
        <v>4</v>
      </c>
      <c r="Y22" t="s">
        <v>4</v>
      </c>
    </row>
    <row r="23" spans="1:25" x14ac:dyDescent="0.2">
      <c r="A23" t="s">
        <v>445</v>
      </c>
      <c r="B23" t="s">
        <v>5786</v>
      </c>
      <c r="C23" t="s">
        <v>2</v>
      </c>
      <c r="D23" t="s">
        <v>3</v>
      </c>
      <c r="E23" t="s">
        <v>4</v>
      </c>
      <c r="F23" t="s">
        <v>4</v>
      </c>
      <c r="G23" t="s">
        <v>2252</v>
      </c>
      <c r="H23" t="s">
        <v>2253</v>
      </c>
      <c r="I23" t="s">
        <v>2314</v>
      </c>
      <c r="J23" s="2">
        <v>300</v>
      </c>
      <c r="K23" s="2">
        <v>0</v>
      </c>
      <c r="L23" s="2">
        <v>0</v>
      </c>
      <c r="M23" s="3">
        <v>45849</v>
      </c>
      <c r="N23" t="s">
        <v>4</v>
      </c>
      <c r="O23" s="3">
        <v>45849</v>
      </c>
      <c r="P23" s="3"/>
      <c r="Q23" t="s">
        <v>2324</v>
      </c>
      <c r="R23" t="s">
        <v>2255</v>
      </c>
      <c r="S23" s="4">
        <v>0.96460648148147998</v>
      </c>
      <c r="T23" t="s">
        <v>4</v>
      </c>
      <c r="U23" t="s">
        <v>2287</v>
      </c>
      <c r="V23" s="5">
        <v>0</v>
      </c>
      <c r="W23" s="5">
        <v>0</v>
      </c>
      <c r="X23" t="s">
        <v>4</v>
      </c>
      <c r="Y23" t="s">
        <v>4</v>
      </c>
    </row>
    <row r="24" spans="1:25" x14ac:dyDescent="0.2">
      <c r="A24" t="s">
        <v>445</v>
      </c>
      <c r="B24" t="s">
        <v>5786</v>
      </c>
      <c r="C24" t="s">
        <v>2</v>
      </c>
      <c r="D24" t="s">
        <v>3</v>
      </c>
      <c r="E24" t="s">
        <v>4</v>
      </c>
      <c r="F24" t="s">
        <v>4</v>
      </c>
      <c r="G24" t="s">
        <v>2252</v>
      </c>
      <c r="H24" t="s">
        <v>2253</v>
      </c>
      <c r="I24" t="s">
        <v>2314</v>
      </c>
      <c r="J24" s="2">
        <v>300</v>
      </c>
      <c r="K24" s="2">
        <v>0</v>
      </c>
      <c r="L24" s="2">
        <v>0</v>
      </c>
      <c r="M24" s="3">
        <v>45849</v>
      </c>
      <c r="N24" t="s">
        <v>4</v>
      </c>
      <c r="O24" s="3">
        <v>45849</v>
      </c>
      <c r="P24" s="3"/>
      <c r="Q24" t="s">
        <v>2323</v>
      </c>
      <c r="R24" t="s">
        <v>2255</v>
      </c>
      <c r="S24" s="4">
        <v>0.96460648148147998</v>
      </c>
      <c r="T24" t="s">
        <v>4</v>
      </c>
      <c r="U24" t="s">
        <v>2287</v>
      </c>
      <c r="V24" s="5">
        <v>0</v>
      </c>
      <c r="W24" s="5">
        <v>0</v>
      </c>
      <c r="X24" t="s">
        <v>4</v>
      </c>
      <c r="Y24" t="s">
        <v>4</v>
      </c>
    </row>
    <row r="25" spans="1:25" x14ac:dyDescent="0.2">
      <c r="A25" t="s">
        <v>445</v>
      </c>
      <c r="B25" t="s">
        <v>5786</v>
      </c>
      <c r="C25" t="s">
        <v>2</v>
      </c>
      <c r="D25" t="s">
        <v>3</v>
      </c>
      <c r="E25" t="s">
        <v>4</v>
      </c>
      <c r="F25" t="s">
        <v>4</v>
      </c>
      <c r="G25" t="s">
        <v>2252</v>
      </c>
      <c r="H25" t="s">
        <v>2253</v>
      </c>
      <c r="I25" t="s">
        <v>2314</v>
      </c>
      <c r="J25" s="2">
        <v>300</v>
      </c>
      <c r="K25" s="2">
        <v>0</v>
      </c>
      <c r="L25" s="2">
        <v>0</v>
      </c>
      <c r="M25" s="3">
        <v>45836</v>
      </c>
      <c r="N25" t="s">
        <v>4</v>
      </c>
      <c r="O25" s="3">
        <v>45836</v>
      </c>
      <c r="P25" s="3"/>
      <c r="Q25" t="s">
        <v>2315</v>
      </c>
      <c r="R25" t="s">
        <v>2255</v>
      </c>
      <c r="S25" s="4">
        <v>0.96460648148147998</v>
      </c>
      <c r="T25" t="s">
        <v>4</v>
      </c>
      <c r="U25" t="s">
        <v>2287</v>
      </c>
      <c r="V25" s="5">
        <v>0</v>
      </c>
      <c r="W25" s="5">
        <v>0</v>
      </c>
      <c r="X25" t="s">
        <v>4</v>
      </c>
      <c r="Y25" t="s">
        <v>4</v>
      </c>
    </row>
    <row r="26" spans="1:25" x14ac:dyDescent="0.2">
      <c r="A26" t="s">
        <v>445</v>
      </c>
      <c r="B26" t="s">
        <v>5786</v>
      </c>
      <c r="C26" t="s">
        <v>2</v>
      </c>
      <c r="D26" t="s">
        <v>3</v>
      </c>
      <c r="E26" t="s">
        <v>4</v>
      </c>
      <c r="F26" t="s">
        <v>4</v>
      </c>
      <c r="G26" t="s">
        <v>2252</v>
      </c>
      <c r="H26" t="s">
        <v>2253</v>
      </c>
      <c r="I26" t="s">
        <v>2314</v>
      </c>
      <c r="J26" s="2">
        <v>300</v>
      </c>
      <c r="K26" s="2">
        <v>0</v>
      </c>
      <c r="L26" s="2">
        <v>0</v>
      </c>
      <c r="M26" s="3">
        <v>45846</v>
      </c>
      <c r="N26" t="s">
        <v>4</v>
      </c>
      <c r="O26" s="3">
        <v>45846</v>
      </c>
      <c r="P26" s="3"/>
      <c r="Q26" t="s">
        <v>2317</v>
      </c>
      <c r="R26" t="s">
        <v>2255</v>
      </c>
      <c r="S26" s="4">
        <v>0.96460648148147998</v>
      </c>
      <c r="T26" t="s">
        <v>4</v>
      </c>
      <c r="U26" t="s">
        <v>2287</v>
      </c>
      <c r="V26" s="5">
        <v>0</v>
      </c>
      <c r="W26" s="5">
        <v>0</v>
      </c>
      <c r="X26" t="s">
        <v>4</v>
      </c>
      <c r="Y26" t="s">
        <v>4</v>
      </c>
    </row>
    <row r="27" spans="1:25" x14ac:dyDescent="0.2">
      <c r="A27" t="s">
        <v>438</v>
      </c>
      <c r="B27" t="s">
        <v>439</v>
      </c>
      <c r="C27" t="s">
        <v>2</v>
      </c>
      <c r="D27" t="s">
        <v>3</v>
      </c>
      <c r="E27" t="s">
        <v>4</v>
      </c>
      <c r="F27" t="s">
        <v>4</v>
      </c>
      <c r="G27" t="s">
        <v>2252</v>
      </c>
      <c r="H27" t="s">
        <v>2253</v>
      </c>
      <c r="I27" t="s">
        <v>2325</v>
      </c>
      <c r="J27" s="2">
        <v>300</v>
      </c>
      <c r="K27" s="2">
        <v>0</v>
      </c>
      <c r="L27" s="2">
        <v>0</v>
      </c>
      <c r="M27" s="3">
        <v>45856</v>
      </c>
      <c r="N27" t="s">
        <v>4</v>
      </c>
      <c r="O27" s="3">
        <v>45856</v>
      </c>
      <c r="P27" s="3"/>
      <c r="Q27" t="s">
        <v>2328</v>
      </c>
      <c r="R27" t="s">
        <v>2255</v>
      </c>
      <c r="S27" s="4">
        <v>0.43358796296295998</v>
      </c>
      <c r="T27" t="s">
        <v>4</v>
      </c>
      <c r="U27" t="s">
        <v>2287</v>
      </c>
      <c r="V27" s="5">
        <v>0</v>
      </c>
      <c r="W27" s="5">
        <v>0</v>
      </c>
      <c r="X27" t="s">
        <v>4</v>
      </c>
      <c r="Y27" t="s">
        <v>4</v>
      </c>
    </row>
    <row r="28" spans="1:25" x14ac:dyDescent="0.2">
      <c r="A28" t="s">
        <v>438</v>
      </c>
      <c r="B28" t="s">
        <v>439</v>
      </c>
      <c r="C28" t="s">
        <v>2</v>
      </c>
      <c r="D28" t="s">
        <v>3</v>
      </c>
      <c r="E28" t="s">
        <v>4</v>
      </c>
      <c r="F28" t="s">
        <v>4</v>
      </c>
      <c r="G28" t="s">
        <v>2252</v>
      </c>
      <c r="H28" t="s">
        <v>2253</v>
      </c>
      <c r="I28" t="s">
        <v>2325</v>
      </c>
      <c r="J28" s="2">
        <v>300</v>
      </c>
      <c r="K28" s="2">
        <v>0</v>
      </c>
      <c r="L28" s="2">
        <v>0</v>
      </c>
      <c r="M28" s="3">
        <v>45827</v>
      </c>
      <c r="N28" t="s">
        <v>4</v>
      </c>
      <c r="O28" s="3">
        <v>45827</v>
      </c>
      <c r="P28" s="3"/>
      <c r="Q28" t="s">
        <v>2326</v>
      </c>
      <c r="R28" t="s">
        <v>2255</v>
      </c>
      <c r="S28" s="4">
        <v>0.43358796296295998</v>
      </c>
      <c r="T28" t="s">
        <v>4</v>
      </c>
      <c r="U28" t="s">
        <v>2287</v>
      </c>
      <c r="V28" s="5">
        <v>0</v>
      </c>
      <c r="W28" s="5">
        <v>0</v>
      </c>
      <c r="X28" t="s">
        <v>4</v>
      </c>
      <c r="Y28" t="s">
        <v>4</v>
      </c>
    </row>
    <row r="29" spans="1:25" x14ac:dyDescent="0.2">
      <c r="A29" t="s">
        <v>438</v>
      </c>
      <c r="B29" t="s">
        <v>439</v>
      </c>
      <c r="C29" t="s">
        <v>2</v>
      </c>
      <c r="D29" t="s">
        <v>3</v>
      </c>
      <c r="E29" t="s">
        <v>4</v>
      </c>
      <c r="F29" t="s">
        <v>4</v>
      </c>
      <c r="G29" t="s">
        <v>2252</v>
      </c>
      <c r="H29" t="s">
        <v>2253</v>
      </c>
      <c r="I29" t="s">
        <v>2325</v>
      </c>
      <c r="J29" s="2">
        <v>300</v>
      </c>
      <c r="K29" s="2">
        <v>0</v>
      </c>
      <c r="L29" s="2">
        <v>0</v>
      </c>
      <c r="M29" s="3">
        <v>45827</v>
      </c>
      <c r="N29" t="s">
        <v>4</v>
      </c>
      <c r="O29" s="3">
        <v>45827</v>
      </c>
      <c r="P29" s="3"/>
      <c r="Q29" t="s">
        <v>2329</v>
      </c>
      <c r="R29" t="s">
        <v>2255</v>
      </c>
      <c r="S29" s="4">
        <v>0.43358796296295998</v>
      </c>
      <c r="T29" t="s">
        <v>4</v>
      </c>
      <c r="U29" t="s">
        <v>2287</v>
      </c>
      <c r="V29" s="5">
        <v>0</v>
      </c>
      <c r="W29" s="5">
        <v>0</v>
      </c>
      <c r="X29" t="s">
        <v>4</v>
      </c>
      <c r="Y29" t="s">
        <v>4</v>
      </c>
    </row>
    <row r="30" spans="1:25" x14ac:dyDescent="0.2">
      <c r="A30" t="s">
        <v>438</v>
      </c>
      <c r="B30" t="s">
        <v>439</v>
      </c>
      <c r="C30" t="s">
        <v>2</v>
      </c>
      <c r="D30" t="s">
        <v>3</v>
      </c>
      <c r="E30" t="s">
        <v>4</v>
      </c>
      <c r="F30" t="s">
        <v>4</v>
      </c>
      <c r="G30" t="s">
        <v>2252</v>
      </c>
      <c r="H30" t="s">
        <v>2253</v>
      </c>
      <c r="I30" t="s">
        <v>2325</v>
      </c>
      <c r="J30" s="2">
        <v>300</v>
      </c>
      <c r="K30" s="2">
        <v>0</v>
      </c>
      <c r="L30" s="2">
        <v>0</v>
      </c>
      <c r="M30" s="3">
        <v>45859</v>
      </c>
      <c r="N30" t="s">
        <v>4</v>
      </c>
      <c r="O30" s="3">
        <v>45859</v>
      </c>
      <c r="P30" s="3"/>
      <c r="Q30" t="s">
        <v>2330</v>
      </c>
      <c r="R30" t="s">
        <v>2255</v>
      </c>
      <c r="S30" s="4">
        <v>0.43358796296295998</v>
      </c>
      <c r="T30" t="s">
        <v>4</v>
      </c>
      <c r="U30" t="s">
        <v>2287</v>
      </c>
      <c r="V30" s="5">
        <v>0</v>
      </c>
      <c r="W30" s="5">
        <v>0</v>
      </c>
      <c r="X30" t="s">
        <v>4</v>
      </c>
      <c r="Y30" t="s">
        <v>4</v>
      </c>
    </row>
    <row r="31" spans="1:25" x14ac:dyDescent="0.2">
      <c r="A31" s="6" t="s">
        <v>4</v>
      </c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6" t="s">
        <v>4</v>
      </c>
      <c r="I31" s="6" t="s">
        <v>4</v>
      </c>
      <c r="J31" s="7">
        <v>8700</v>
      </c>
      <c r="K31" s="7">
        <v>0</v>
      </c>
      <c r="L31" s="7">
        <v>0</v>
      </c>
      <c r="M31" s="8"/>
      <c r="N31" s="6" t="s">
        <v>4</v>
      </c>
      <c r="O31" s="8"/>
      <c r="P31" s="8"/>
      <c r="Q31" s="6" t="s">
        <v>4</v>
      </c>
      <c r="R31" s="6" t="s">
        <v>4</v>
      </c>
      <c r="S31" s="9"/>
      <c r="T31" s="6" t="s">
        <v>4</v>
      </c>
      <c r="U31" s="6" t="s">
        <v>4</v>
      </c>
      <c r="V31" s="7"/>
      <c r="W31" s="7"/>
      <c r="X31" s="6" t="s">
        <v>4</v>
      </c>
      <c r="Y31" s="6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A720-986A-45D8-AC60-B0B3590C0ABF}">
  <sheetPr>
    <tabColor rgb="FFFFFF00"/>
  </sheetPr>
  <dimension ref="A1:K30"/>
  <sheetViews>
    <sheetView workbookViewId="0">
      <selection activeCell="B15" sqref="B15"/>
    </sheetView>
  </sheetViews>
  <sheetFormatPr baseColWidth="10" defaultRowHeight="12.75" x14ac:dyDescent="0.2"/>
  <cols>
    <col min="2" max="2" width="31" bestFit="1" customWidth="1"/>
    <col min="7" max="7" width="16" customWidth="1"/>
  </cols>
  <sheetData>
    <row r="1" spans="1:11" ht="30" x14ac:dyDescent="0.2">
      <c r="A1" s="52" t="s">
        <v>212</v>
      </c>
      <c r="B1" s="52" t="s">
        <v>213</v>
      </c>
      <c r="C1" s="52" t="s">
        <v>220</v>
      </c>
      <c r="D1" s="53" t="s">
        <v>221</v>
      </c>
      <c r="E1" s="53" t="s">
        <v>222</v>
      </c>
      <c r="F1" s="53" t="s">
        <v>223</v>
      </c>
      <c r="G1" s="56" t="s">
        <v>5791</v>
      </c>
    </row>
    <row r="2" spans="1:11" x14ac:dyDescent="0.2">
      <c r="A2" s="54" t="s">
        <v>454</v>
      </c>
      <c r="B2" s="54" t="s">
        <v>5784</v>
      </c>
      <c r="C2" s="54" t="s">
        <v>2285</v>
      </c>
      <c r="D2" s="55">
        <v>300</v>
      </c>
      <c r="E2" s="55">
        <v>0</v>
      </c>
      <c r="F2" s="55">
        <v>0</v>
      </c>
      <c r="G2" s="54" t="s">
        <v>2289</v>
      </c>
    </row>
    <row r="3" spans="1:11" x14ac:dyDescent="0.2">
      <c r="A3" s="54" t="s">
        <v>454</v>
      </c>
      <c r="B3" s="54" t="s">
        <v>5784</v>
      </c>
      <c r="C3" s="54" t="s">
        <v>2285</v>
      </c>
      <c r="D3" s="55">
        <v>300</v>
      </c>
      <c r="E3" s="55">
        <v>0</v>
      </c>
      <c r="F3" s="55">
        <v>0</v>
      </c>
      <c r="G3" s="54" t="s">
        <v>2288</v>
      </c>
    </row>
    <row r="4" spans="1:11" x14ac:dyDescent="0.2">
      <c r="A4" s="54" t="s">
        <v>454</v>
      </c>
      <c r="B4" s="54" t="s">
        <v>5784</v>
      </c>
      <c r="C4" s="54" t="s">
        <v>2285</v>
      </c>
      <c r="D4" s="55">
        <v>300</v>
      </c>
      <c r="E4" s="55">
        <v>0</v>
      </c>
      <c r="F4" s="55">
        <v>0</v>
      </c>
      <c r="G4" s="54" t="s">
        <v>2286</v>
      </c>
    </row>
    <row r="5" spans="1:11" x14ac:dyDescent="0.2">
      <c r="A5" s="54" t="s">
        <v>460</v>
      </c>
      <c r="B5" s="54" t="s">
        <v>461</v>
      </c>
      <c r="C5" s="54" t="s">
        <v>2291</v>
      </c>
      <c r="D5" s="55">
        <v>300</v>
      </c>
      <c r="E5" s="55">
        <v>0</v>
      </c>
      <c r="F5" s="55">
        <v>0</v>
      </c>
      <c r="G5" s="54" t="s">
        <v>2293</v>
      </c>
    </row>
    <row r="6" spans="1:11" x14ac:dyDescent="0.2">
      <c r="A6" s="54" t="s">
        <v>460</v>
      </c>
      <c r="B6" s="54" t="s">
        <v>461</v>
      </c>
      <c r="C6" s="54" t="s">
        <v>2291</v>
      </c>
      <c r="D6" s="55">
        <v>300</v>
      </c>
      <c r="E6" s="55">
        <v>0</v>
      </c>
      <c r="F6" s="55">
        <v>0</v>
      </c>
      <c r="G6" s="54" t="s">
        <v>2292</v>
      </c>
    </row>
    <row r="7" spans="1:11" x14ac:dyDescent="0.2">
      <c r="A7" s="54" t="s">
        <v>451</v>
      </c>
      <c r="B7" s="54" t="s">
        <v>5785</v>
      </c>
      <c r="C7" s="54" t="s">
        <v>2294</v>
      </c>
      <c r="D7" s="55">
        <v>300</v>
      </c>
      <c r="E7" s="55">
        <v>0</v>
      </c>
      <c r="F7" s="55">
        <v>0</v>
      </c>
      <c r="G7" s="54" t="s">
        <v>2295</v>
      </c>
    </row>
    <row r="8" spans="1:11" x14ac:dyDescent="0.2">
      <c r="A8" s="54" t="s">
        <v>451</v>
      </c>
      <c r="B8" s="54" t="s">
        <v>5785</v>
      </c>
      <c r="C8" s="54" t="s">
        <v>2294</v>
      </c>
      <c r="D8" s="55">
        <v>300</v>
      </c>
      <c r="E8" s="55">
        <v>0</v>
      </c>
      <c r="F8" s="55">
        <v>0</v>
      </c>
      <c r="G8" s="54" t="s">
        <v>2296</v>
      </c>
    </row>
    <row r="9" spans="1:11" x14ac:dyDescent="0.2">
      <c r="A9" s="54" t="s">
        <v>448</v>
      </c>
      <c r="B9" s="54" t="s">
        <v>450</v>
      </c>
      <c r="C9" s="54" t="s">
        <v>2297</v>
      </c>
      <c r="D9" s="55">
        <v>300</v>
      </c>
      <c r="E9" s="55">
        <v>0</v>
      </c>
      <c r="F9" s="55">
        <v>0</v>
      </c>
      <c r="G9" s="54" t="s">
        <v>2302</v>
      </c>
    </row>
    <row r="10" spans="1:11" x14ac:dyDescent="0.2">
      <c r="A10" s="54" t="s">
        <v>448</v>
      </c>
      <c r="B10" s="54" t="s">
        <v>450</v>
      </c>
      <c r="C10" s="54" t="s">
        <v>2297</v>
      </c>
      <c r="D10" s="55">
        <v>300</v>
      </c>
      <c r="E10" s="55">
        <v>0</v>
      </c>
      <c r="F10" s="55">
        <v>0</v>
      </c>
      <c r="G10" s="54" t="s">
        <v>2301</v>
      </c>
    </row>
    <row r="11" spans="1:11" x14ac:dyDescent="0.2">
      <c r="A11" s="54" t="s">
        <v>448</v>
      </c>
      <c r="B11" s="54" t="s">
        <v>450</v>
      </c>
      <c r="C11" s="54" t="s">
        <v>2297</v>
      </c>
      <c r="D11" s="55">
        <v>300</v>
      </c>
      <c r="E11" s="55">
        <v>0</v>
      </c>
      <c r="F11" s="55">
        <v>0</v>
      </c>
      <c r="G11" s="54" t="s">
        <v>2298</v>
      </c>
    </row>
    <row r="12" spans="1:11" x14ac:dyDescent="0.2">
      <c r="A12" s="54" t="s">
        <v>448</v>
      </c>
      <c r="B12" s="54" t="s">
        <v>450</v>
      </c>
      <c r="C12" s="54" t="s">
        <v>2297</v>
      </c>
      <c r="D12" s="55">
        <v>300</v>
      </c>
      <c r="E12" s="55">
        <v>0</v>
      </c>
      <c r="F12" s="55">
        <v>0</v>
      </c>
      <c r="G12" s="54" t="s">
        <v>2300</v>
      </c>
    </row>
    <row r="13" spans="1:11" x14ac:dyDescent="0.2">
      <c r="A13" s="54" t="s">
        <v>438</v>
      </c>
      <c r="B13" s="54" t="s">
        <v>439</v>
      </c>
      <c r="C13" s="54" t="s">
        <v>2303</v>
      </c>
      <c r="D13" s="55">
        <v>300</v>
      </c>
      <c r="E13" s="55">
        <v>0</v>
      </c>
      <c r="F13" s="55">
        <v>0</v>
      </c>
      <c r="G13" s="54" t="s">
        <v>2304</v>
      </c>
      <c r="I13" s="69" t="s">
        <v>5790</v>
      </c>
      <c r="J13" s="69"/>
      <c r="K13" s="69"/>
    </row>
    <row r="14" spans="1:11" x14ac:dyDescent="0.2">
      <c r="A14" s="54" t="s">
        <v>442</v>
      </c>
      <c r="B14" s="54" t="s">
        <v>443</v>
      </c>
      <c r="C14" s="54" t="s">
        <v>2305</v>
      </c>
      <c r="D14" s="55">
        <v>300</v>
      </c>
      <c r="E14" s="55">
        <v>0</v>
      </c>
      <c r="F14" s="55">
        <v>0</v>
      </c>
      <c r="G14" s="54" t="s">
        <v>2306</v>
      </c>
    </row>
    <row r="15" spans="1:11" x14ac:dyDescent="0.2">
      <c r="A15" s="54" t="s">
        <v>442</v>
      </c>
      <c r="B15" s="54" t="s">
        <v>443</v>
      </c>
      <c r="C15" s="54" t="s">
        <v>2305</v>
      </c>
      <c r="D15" s="55">
        <v>300</v>
      </c>
      <c r="E15" s="55">
        <v>0</v>
      </c>
      <c r="F15" s="55">
        <v>0</v>
      </c>
      <c r="G15" s="54" t="s">
        <v>2307</v>
      </c>
    </row>
    <row r="16" spans="1:11" x14ac:dyDescent="0.2">
      <c r="A16" s="54" t="s">
        <v>442</v>
      </c>
      <c r="B16" s="54" t="s">
        <v>443</v>
      </c>
      <c r="C16" s="54" t="s">
        <v>2308</v>
      </c>
      <c r="D16" s="55">
        <v>300</v>
      </c>
      <c r="E16" s="55">
        <v>0</v>
      </c>
      <c r="F16" s="55">
        <v>0</v>
      </c>
      <c r="G16" s="54" t="s">
        <v>2310</v>
      </c>
    </row>
    <row r="17" spans="1:7" x14ac:dyDescent="0.2">
      <c r="A17" s="54" t="s">
        <v>442</v>
      </c>
      <c r="B17" s="54" t="s">
        <v>443</v>
      </c>
      <c r="C17" s="54" t="s">
        <v>2308</v>
      </c>
      <c r="D17" s="55">
        <v>300</v>
      </c>
      <c r="E17" s="55">
        <v>0</v>
      </c>
      <c r="F17" s="55">
        <v>0</v>
      </c>
      <c r="G17" s="54" t="s">
        <v>2311</v>
      </c>
    </row>
    <row r="18" spans="1:7" x14ac:dyDescent="0.2">
      <c r="A18" s="54" t="s">
        <v>442</v>
      </c>
      <c r="B18" s="54" t="s">
        <v>443</v>
      </c>
      <c r="C18" s="54" t="s">
        <v>2308</v>
      </c>
      <c r="D18" s="55">
        <v>300</v>
      </c>
      <c r="E18" s="55">
        <v>0</v>
      </c>
      <c r="F18" s="55">
        <v>0</v>
      </c>
      <c r="G18" s="54" t="s">
        <v>2309</v>
      </c>
    </row>
    <row r="19" spans="1:7" x14ac:dyDescent="0.2">
      <c r="A19" s="54" t="s">
        <v>442</v>
      </c>
      <c r="B19" s="54" t="s">
        <v>443</v>
      </c>
      <c r="C19" s="54" t="s">
        <v>2308</v>
      </c>
      <c r="D19" s="55">
        <v>300</v>
      </c>
      <c r="E19" s="55">
        <v>0</v>
      </c>
      <c r="F19" s="55">
        <v>0</v>
      </c>
      <c r="G19" s="54" t="s">
        <v>2313</v>
      </c>
    </row>
    <row r="20" spans="1:7" x14ac:dyDescent="0.2">
      <c r="A20" s="54" t="s">
        <v>445</v>
      </c>
      <c r="B20" s="54" t="s">
        <v>5786</v>
      </c>
      <c r="C20" s="54" t="s">
        <v>2314</v>
      </c>
      <c r="D20" s="55">
        <v>300</v>
      </c>
      <c r="E20" s="55">
        <v>0</v>
      </c>
      <c r="F20" s="55">
        <v>0</v>
      </c>
      <c r="G20" s="54" t="s">
        <v>2319</v>
      </c>
    </row>
    <row r="21" spans="1:7" x14ac:dyDescent="0.2">
      <c r="A21" s="54" t="s">
        <v>445</v>
      </c>
      <c r="B21" s="54" t="s">
        <v>5786</v>
      </c>
      <c r="C21" s="54" t="s">
        <v>2314</v>
      </c>
      <c r="D21" s="55">
        <v>300</v>
      </c>
      <c r="E21" s="55">
        <v>0</v>
      </c>
      <c r="F21" s="55">
        <v>0</v>
      </c>
      <c r="G21" s="54" t="s">
        <v>2320</v>
      </c>
    </row>
    <row r="22" spans="1:7" x14ac:dyDescent="0.2">
      <c r="A22" s="54" t="s">
        <v>445</v>
      </c>
      <c r="B22" s="54" t="s">
        <v>5786</v>
      </c>
      <c r="C22" s="54" t="s">
        <v>2314</v>
      </c>
      <c r="D22" s="55">
        <v>300</v>
      </c>
      <c r="E22" s="55">
        <v>0</v>
      </c>
      <c r="F22" s="55">
        <v>0</v>
      </c>
      <c r="G22" s="54" t="s">
        <v>2322</v>
      </c>
    </row>
    <row r="23" spans="1:7" x14ac:dyDescent="0.2">
      <c r="A23" s="54" t="s">
        <v>445</v>
      </c>
      <c r="B23" s="54" t="s">
        <v>5786</v>
      </c>
      <c r="C23" s="54" t="s">
        <v>2314</v>
      </c>
      <c r="D23" s="55">
        <v>300</v>
      </c>
      <c r="E23" s="55">
        <v>0</v>
      </c>
      <c r="F23" s="55">
        <v>0</v>
      </c>
      <c r="G23" s="54" t="s">
        <v>2324</v>
      </c>
    </row>
    <row r="24" spans="1:7" x14ac:dyDescent="0.2">
      <c r="A24" s="54" t="s">
        <v>445</v>
      </c>
      <c r="B24" s="54" t="s">
        <v>5786</v>
      </c>
      <c r="C24" s="54" t="s">
        <v>2314</v>
      </c>
      <c r="D24" s="55">
        <v>300</v>
      </c>
      <c r="E24" s="55">
        <v>0</v>
      </c>
      <c r="F24" s="55">
        <v>0</v>
      </c>
      <c r="G24" s="54" t="s">
        <v>2323</v>
      </c>
    </row>
    <row r="25" spans="1:7" x14ac:dyDescent="0.2">
      <c r="A25" s="54" t="s">
        <v>445</v>
      </c>
      <c r="B25" s="54" t="s">
        <v>5786</v>
      </c>
      <c r="C25" s="54" t="s">
        <v>2314</v>
      </c>
      <c r="D25" s="55">
        <v>300</v>
      </c>
      <c r="E25" s="55">
        <v>0</v>
      </c>
      <c r="F25" s="55">
        <v>0</v>
      </c>
      <c r="G25" s="54" t="s">
        <v>2315</v>
      </c>
    </row>
    <row r="26" spans="1:7" x14ac:dyDescent="0.2">
      <c r="A26" s="54" t="s">
        <v>445</v>
      </c>
      <c r="B26" s="54" t="s">
        <v>5786</v>
      </c>
      <c r="C26" s="54" t="s">
        <v>2314</v>
      </c>
      <c r="D26" s="55">
        <v>300</v>
      </c>
      <c r="E26" s="55">
        <v>0</v>
      </c>
      <c r="F26" s="55">
        <v>0</v>
      </c>
      <c r="G26" s="54" t="s">
        <v>2317</v>
      </c>
    </row>
    <row r="27" spans="1:7" x14ac:dyDescent="0.2">
      <c r="A27" s="54" t="s">
        <v>438</v>
      </c>
      <c r="B27" s="54" t="s">
        <v>439</v>
      </c>
      <c r="C27" s="54" t="s">
        <v>2325</v>
      </c>
      <c r="D27" s="55">
        <v>300</v>
      </c>
      <c r="E27" s="55">
        <v>0</v>
      </c>
      <c r="F27" s="55">
        <v>0</v>
      </c>
      <c r="G27" s="54" t="s">
        <v>2328</v>
      </c>
    </row>
    <row r="28" spans="1:7" x14ac:dyDescent="0.2">
      <c r="A28" s="54" t="s">
        <v>438</v>
      </c>
      <c r="B28" s="54" t="s">
        <v>439</v>
      </c>
      <c r="C28" s="54" t="s">
        <v>2325</v>
      </c>
      <c r="D28" s="55">
        <v>300</v>
      </c>
      <c r="E28" s="55">
        <v>0</v>
      </c>
      <c r="F28" s="55">
        <v>0</v>
      </c>
      <c r="G28" s="54" t="s">
        <v>2326</v>
      </c>
    </row>
    <row r="29" spans="1:7" x14ac:dyDescent="0.2">
      <c r="A29" s="54" t="s">
        <v>438</v>
      </c>
      <c r="B29" s="54" t="s">
        <v>439</v>
      </c>
      <c r="C29" s="54" t="s">
        <v>2325</v>
      </c>
      <c r="D29" s="55">
        <v>300</v>
      </c>
      <c r="E29" s="55">
        <v>0</v>
      </c>
      <c r="F29" s="55">
        <v>0</v>
      </c>
      <c r="G29" s="54" t="s">
        <v>2329</v>
      </c>
    </row>
    <row r="30" spans="1:7" x14ac:dyDescent="0.2">
      <c r="A30" s="54" t="s">
        <v>438</v>
      </c>
      <c r="B30" s="54" t="s">
        <v>439</v>
      </c>
      <c r="C30" s="54" t="s">
        <v>2325</v>
      </c>
      <c r="D30" s="55">
        <v>300</v>
      </c>
      <c r="E30" s="55">
        <v>0</v>
      </c>
      <c r="F30" s="55">
        <v>0</v>
      </c>
      <c r="G30" s="54" t="s">
        <v>2330</v>
      </c>
    </row>
  </sheetData>
  <mergeCells count="1">
    <mergeCell ref="I13:K1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Base de datos</vt:lpstr>
      <vt:lpstr>SAP WM</vt:lpstr>
      <vt:lpstr>SAP 0016</vt:lpstr>
      <vt:lpstr>SAP MB52</vt:lpstr>
      <vt:lpstr>Modificada </vt:lpstr>
      <vt:lpstr>Modificado</vt:lpstr>
      <vt:lpstr>SAP LX03</vt:lpstr>
      <vt:lpstr>Modificada</vt:lpstr>
      <vt:lpstr>SAP UD</vt:lpstr>
      <vt:lpstr>Modifcada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Samuel Cano</cp:lastModifiedBy>
  <cp:revision>1</cp:revision>
  <dcterms:modified xsi:type="dcterms:W3CDTF">2025-10-23T19:18:18Z</dcterms:modified>
  <cp:category/>
</cp:coreProperties>
</file>